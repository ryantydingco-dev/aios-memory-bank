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38ba8932f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ee9cdccf5914ec7"/>
    <x:sheet xmlns:r="http://schemas.openxmlformats.org/officeDocument/2006/relationships" name="Opportunity Ranking" sheetId="2" r:id="R33ef63d3dedf4dc3"/>
    <x:sheet xmlns:r="http://schemas.openxmlformats.org/officeDocument/2006/relationships" name="Daily Queue" sheetId="3" r:id="Rdd250316086d489b"/>
    <x:sheet xmlns:r="http://schemas.openxmlformats.org/officeDocument/2006/relationships" name="Daily Scorecard" sheetId="4" r:id="Rdd1d5776ff57413c"/>
    <x:sheet xmlns:r="http://schemas.openxmlformats.org/officeDocument/2006/relationships" name="Approvals" sheetId="5" r:id="R00801ca5141f4f73"/>
    <x:sheet xmlns:r="http://schemas.openxmlformats.org/officeDocument/2006/relationships" name="Sources" sheetId="6" r:id="Rf4efaba958a04a2e"/>
    <x:sheet xmlns:r="http://schemas.openxmlformats.org/officeDocument/2006/relationships" name="CA Mockups" sheetId="7" r:id="Rec85f73fbfb9460d"/>
    <x:sheet xmlns:r="http://schemas.openxmlformats.org/officeDocument/2006/relationships" name="CA Reorders" sheetId="8" r:id="R3b1bc3c9d312465f"/>
    <x:sheet xmlns:r="http://schemas.openxmlformats.org/officeDocument/2006/relationships" name="CA August" sheetId="9" r:id="R0b1383c2ea7c454c"/>
    <x:sheet xmlns:r="http://schemas.openxmlformats.org/officeDocument/2006/relationships" name="DT Warm" sheetId="10" r:id="R05494ba6928a44b1"/>
    <x:sheet xmlns:r="http://schemas.openxmlformats.org/officeDocument/2006/relationships" name="Content Drafts" sheetId="11" r:id="R418ccca113294ec1"/>
  </x:sheets>
</x:workbook>
</file>

<file path=xl/comments1.xml><?xml version="1.0" encoding="utf-8"?>
<x:comments xmlns:x="http://schemas.openxmlformats.org/spreadsheetml/2006/main">
  <x:authors>
    <x:author>tc={E9DD923C-F04C-168C-E879-2B8705C57699}</x:author>
  </x:authors>
  <x:commentList>
    <x:comment ref="K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QBO A/R snapshot dated 2026-07-13. Refresh same day before collections. Balance may include payments, credits, disputes, or bad debt.</x:t>
        </x:r>
      </x:text>
    </x:comment>
  </x:commentList>
</x:comments>
</file>

<file path=xl/comments2.xml><?xml version="1.0" encoding="utf-8"?>
<x:comments xmlns:x="http://schemas.openxmlformats.org/spreadsheetml/2006/main">
  <x:authors>
    <x:author>tc={45578BE8-F739-2EFA-14AC-AD7A2B718EC5}</x:author>
    <x:author>tc={F7D9C793-C120-6997-4D8B-7DD84AD23F2F}</x:author>
  </x:authors>
  <x:commentList>
    <x:comment ref="J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five parallel audits of the AIOS Memory Bank and Creative Alternatives workspace, completed 2026-07-17. Scenario inputs are ranges, not statistical forecasts.</x:t>
        </x:r>
      </x:text>
    </x:comment>
    <x:comment ref="J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A/R collections are cash recovery, not new revenue. All scenario revenue cells are intentionally zero; use the separate cash-lane KPI after a same-day QBO refresh.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0"/>
    <x:numFmt numFmtId="202" formatCode="yyyy-mm-dd"/>
    <x:numFmt numFmtId="203" formatCode="$#,##0.00"/>
  </x:numFmts>
  <x:fonts count="13">
    <x:font>
      <x:sz val="11"/>
      <x:name val="Carlito"/>
    </x:font>
    <x:font>
      <x:b/>
      <x:sz val="22"/>
      <x:color rgb="FFFFFFFF"/>
      <x:name val="Georgia"/>
    </x:font>
    <x:font>
      <x:i/>
      <x:sz val="10"/>
      <x:color rgb="FF5F6B68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color rgb="FF10231F"/>
      <x:name val="Carlito"/>
    </x:font>
    <x:font>
      <x:b/>
      <x:sz val="11"/>
      <x:color rgb="FFB5473C"/>
      <x:name val="Carlito"/>
    </x:font>
    <x:font>
      <x:sz val="10"/>
      <x:color rgb="FF10231F"/>
      <x:name val="Carlito"/>
    </x:font>
    <x:font>
      <x:sz val="11"/>
      <x:color rgb="FF10231F"/>
      <x:name val="Carlito"/>
    </x:font>
    <x:font>
      <x:b/>
      <x:sz val="15"/>
      <x:color rgb="FF0F766E"/>
      <x:name val="Carlito"/>
    </x:font>
    <x:font>
      <x:b/>
      <x:sz val="15"/>
      <x:color rgb="FF36669D"/>
      <x:name val="Carlito"/>
    </x:font>
    <x:font>
      <x:b/>
      <x:sz val="15"/>
      <x:color rgb="FFD99522"/>
      <x:name val="Carlito"/>
    </x:font>
    <x:font>
      <x:b/>
      <x:sz val="12"/>
      <x:color rgb="FFB5473C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0231F"/>
      </x:patternFill>
    </x:fill>
    <x:fill>
      <x:patternFill patternType="solid">
        <x:fgColor rgb="FFF7F5F0"/>
      </x:patternFill>
    </x:fill>
    <x:fill>
      <x:patternFill patternType="solid">
        <x:fgColor rgb="FF0F766E"/>
      </x:patternFill>
    </x:fill>
    <x:fill>
      <x:patternFill patternType="solid">
        <x:fgColor rgb="FFFFF0C2"/>
      </x:patternFill>
    </x:fill>
    <x:fill>
      <x:patternFill patternType="solid">
        <x:fgColor rgb="FFE3EDF8"/>
      </x:patternFill>
    </x:fill>
    <x:fill>
      <x:patternFill patternType="solid">
        <x:fgColor rgb="FFDDF3EE"/>
      </x:patternFill>
    </x:fill>
    <x:fill>
      <x:patternFill patternType="solid">
        <x:fgColor rgb="FFFBE1DE"/>
      </x:patternFill>
    </x:fill>
    <x:fill>
      <x:patternFill patternType="solid">
        <x:fgColor rgb="FFE8ECEA"/>
      </x:patternFill>
    </x:fill>
    <x:fill>
      <x:patternFill patternType="solid">
        <x:fgColor rgb="FFFFFFFF"/>
      </x:patternFill>
    </x:fill>
  </x:fills>
  <x:borders count="13">
    <x:border/>
    <x:border>
      <x:right style="thin">
        <x:color rgb="FFCBD5D1"/>
      </x:right>
    </x:border>
    <x:border>
      <x:left style="thin">
        <x:color rgb="FFCBD5D1"/>
      </x:left>
      <x:right style="thin">
        <x:color rgb="FFCBD5D1"/>
      </x:right>
    </x:border>
    <x:border>
      <x:left style="thin">
        <x:color rgb="FFCBD5D1"/>
      </x:left>
    </x:border>
    <x:border>
      <x:bottom style="thin">
        <x:color rgb="FFE8ECEA"/>
      </x:bottom>
    </x:border>
    <x:border>
      <x:top style="medium">
        <x:color rgb="FF0F766E"/>
      </x:top>
    </x:border>
    <x:border>
      <x:bottom style="medium">
        <x:color rgb="FFCBD5D1"/>
      </x:bottom>
    </x:border>
    <x:border>
      <x:left style="thin">
        <x:color rgb="FFCBD5D1"/>
      </x:left>
      <x:top style="thin">
        <x:color rgb="FFCBD5D1"/>
      </x:top>
    </x:border>
    <x:border>
      <x:top style="thin">
        <x:color rgb="FFCBD5D1"/>
      </x:top>
    </x:border>
    <x:border>
      <x:right style="thin">
        <x:color rgb="FFCBD5D1"/>
      </x:right>
      <x:top style="thin">
        <x:color rgb="FFCBD5D1"/>
      </x:top>
    </x:border>
    <x:border>
      <x:left style="thin">
        <x:color rgb="FFCBD5D1"/>
      </x:left>
      <x:bottom style="thin">
        <x:color rgb="FFCBD5D1"/>
      </x:bottom>
    </x:border>
    <x:border>
      <x:bottom style="thin">
        <x:color rgb="FFCBD5D1"/>
      </x:bottom>
    </x:border>
    <x:border>
      <x:right style="thin">
        <x:color rgb="FFCBD5D1"/>
      </x:right>
      <x:bottom style="thin">
        <x:color rgb="FFCBD5D1"/>
      </x:bottom>
    </x:border>
  </x:borders>
  <x:cellStyleXfs count="1">
    <x:xf numFmtId="0" fontId="0" fillId="0" borderId="0"/>
  </x:cellStyleXfs>
  <x:cellXfs count="1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2" xfId="0" applyNumberFormat="1" applyFont="1" applyFill="1" applyBorder="1" applyAlignment="1">
      <x:alignment horizontal="left" wrapText="1"/>
    </x:xf>
    <x:xf numFmtId="0" fontId="3" fillId="4" borderId="3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201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200" fontId="0" fillId="5" borderId="4" xfId="0" applyNumberFormat="1" applyFont="1" applyFill="1" applyBorder="1" applyAlignment="1">
      <x:alignment vertical="top" wrapText="1"/>
    </x:xf>
    <x:xf numFmtId="201" fontId="0" fillId="6" borderId="0" xfId="0" applyNumberFormat="1" applyFont="1" applyFill="1" applyBorder="1" applyAlignment="1">
      <x:alignment vertical="top" wrapText="1"/>
    </x:xf>
    <x:xf numFmtId="201" fontId="0" fillId="6" borderId="4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4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5" xfId="0" applyNumberFormat="1" applyFont="1" applyFill="1" applyBorder="1"/>
    <x:xf numFmtId="200" fontId="4" fillId="2" borderId="5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4" xfId="0" applyNumberFormat="1" applyFont="1" applyFill="1" applyBorder="1"/>
    <x:xf numFmtId="200" fontId="0" fillId="5" borderId="4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200" fontId="0" fillId="5" borderId="4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2" fontId="0" fillId="0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200" fontId="0" fillId="5" borderId="4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/>
    <x:xf numFmtId="202" fontId="0" fillId="5" borderId="4" xfId="0" applyNumberFormat="1" applyFont="1" applyFill="1" applyBorder="1"/>
    <x:xf numFmtId="202" fontId="0" fillId="5" borderId="0" xfId="0" applyNumberFormat="1" applyFont="1" applyFill="1" applyBorder="1" applyAlignment="1">
      <x:alignment wrapText="1"/>
    </x:xf>
    <x:xf numFmtId="202" fontId="0" fillId="5" borderId="4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vertical="top" wrapText="1"/>
    </x:xf>
    <x:xf numFmtId="202" fontId="0" fillId="5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6" xfId="0" applyNumberFormat="1" applyFont="1" applyFill="1" applyBorder="1"/>
    <x:xf numFmtId="0" fontId="5" fillId="7" borderId="6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0" fontId="5" fillId="6" borderId="6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/>
    <x:xf numFmtId="0" fontId="5" fillId="5" borderId="6" xfId="0" applyNumberFormat="1" applyFont="1" applyFill="1" applyBorder="1"/>
    <x:xf numFmtId="0" fontId="5" fillId="5" borderId="6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6" xfId="0" applyNumberFormat="1" applyFont="1" applyFill="1" applyBorder="1"/>
    <x:xf numFmtId="0" fontId="6" fillId="8" borderId="6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6" xfId="0" applyNumberFormat="1" applyFont="1" applyFill="1" applyBorder="1"/>
    <x:xf numFmtId="0" fontId="5" fillId="9" borderId="6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4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4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4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200" fontId="0" fillId="10" borderId="0" xfId="0" applyNumberFormat="1" applyFont="1" applyFill="1" applyBorder="1"/>
    <x:xf numFmtId="201" fontId="0" fillId="10" borderId="0" xfId="0" applyNumberFormat="1" applyFont="1" applyFill="1" applyBorder="1"/>
    <x:xf numFmtId="203" fontId="0" fillId="10" borderId="0" xfId="0" applyNumberFormat="1" applyFont="1" applyFill="1" applyBorder="1"/>
    <x:xf numFmtId="0" fontId="8" fillId="10" borderId="0" xfId="0" applyNumberFormat="1" applyFont="1" applyFill="1" applyBorder="1"/>
    <x:xf numFmtId="200" fontId="8" fillId="10" borderId="0" xfId="0" applyNumberFormat="1" applyFont="1" applyFill="1" applyBorder="1"/>
    <x:xf numFmtId="201" fontId="8" fillId="10" borderId="0" xfId="0" applyNumberFormat="1" applyFont="1" applyFill="1" applyBorder="1"/>
    <x:xf numFmtId="203" fontId="8" fillId="10" borderId="0" xfId="0" applyNumberFormat="1" applyFont="1" applyFill="1" applyBorder="1"/>
    <x:xf numFmtId="0" fontId="8" fillId="10" borderId="7" xfId="0" applyNumberFormat="1" applyFont="1" applyFill="1" applyBorder="1"/>
    <x:xf numFmtId="200" fontId="8" fillId="10" borderId="8" xfId="0" applyNumberFormat="1" applyFont="1" applyFill="1" applyBorder="1"/>
    <x:xf numFmtId="0" fontId="8" fillId="10" borderId="8" xfId="0" applyNumberFormat="1" applyFont="1" applyFill="1" applyBorder="1"/>
    <x:xf numFmtId="201" fontId="8" fillId="10" borderId="8" xfId="0" applyNumberFormat="1" applyFont="1" applyFill="1" applyBorder="1"/>
    <x:xf numFmtId="203" fontId="8" fillId="10" borderId="8" xfId="0" applyNumberFormat="1" applyFont="1" applyFill="1" applyBorder="1"/>
    <x:xf numFmtId="0" fontId="8" fillId="10" borderId="9" xfId="0" applyNumberFormat="1" applyFont="1" applyFill="1" applyBorder="1"/>
    <x:xf numFmtId="0" fontId="8" fillId="10" borderId="3" xfId="0" applyNumberFormat="1" applyFont="1" applyFill="1" applyBorder="1"/>
    <x:xf numFmtId="0" fontId="8" fillId="10" borderId="1" xfId="0" applyNumberFormat="1" applyFont="1" applyFill="1" applyBorder="1"/>
    <x:xf numFmtId="0" fontId="8" fillId="10" borderId="10" xfId="0" applyNumberFormat="1" applyFont="1" applyFill="1" applyBorder="1"/>
    <x:xf numFmtId="200" fontId="8" fillId="10" borderId="11" xfId="0" applyNumberFormat="1" applyFont="1" applyFill="1" applyBorder="1"/>
    <x:xf numFmtId="0" fontId="8" fillId="10" borderId="11" xfId="0" applyNumberFormat="1" applyFont="1" applyFill="1" applyBorder="1"/>
    <x:xf numFmtId="201" fontId="8" fillId="10" borderId="11" xfId="0" applyNumberFormat="1" applyFont="1" applyFill="1" applyBorder="1"/>
    <x:xf numFmtId="0" fontId="8" fillId="10" borderId="12" xfId="0" applyNumberFormat="1" applyFont="1" applyFill="1" applyBorder="1"/>
    <x:xf numFmtId="0" fontId="8" fillId="10" borderId="7" xfId="0" applyNumberFormat="1" applyFont="1" applyFill="1" applyBorder="1" applyAlignment="1">
      <x:alignment vertical="center"/>
    </x:xf>
    <x:xf numFmtId="200" fontId="8" fillId="10" borderId="8" xfId="0" applyNumberFormat="1" applyFont="1" applyFill="1" applyBorder="1" applyAlignment="1">
      <x:alignment vertical="center"/>
    </x:xf>
    <x:xf numFmtId="0" fontId="8" fillId="10" borderId="8" xfId="0" applyNumberFormat="1" applyFont="1" applyFill="1" applyBorder="1" applyAlignment="1">
      <x:alignment vertical="center"/>
    </x:xf>
    <x:xf numFmtId="201" fontId="8" fillId="10" borderId="8" xfId="0" applyNumberFormat="1" applyFont="1" applyFill="1" applyBorder="1" applyAlignment="1">
      <x:alignment vertical="center"/>
    </x:xf>
    <x:xf numFmtId="203" fontId="8" fillId="10" borderId="8" xfId="0" applyNumberFormat="1" applyFont="1" applyFill="1" applyBorder="1" applyAlignment="1">
      <x:alignment vertical="center"/>
    </x:xf>
    <x:xf numFmtId="0" fontId="8" fillId="10" borderId="9" xfId="0" applyNumberFormat="1" applyFont="1" applyFill="1" applyBorder="1" applyAlignment="1">
      <x:alignment vertical="center"/>
    </x:xf>
    <x:xf numFmtId="0" fontId="8" fillId="10" borderId="3" xfId="0" applyNumberFormat="1" applyFont="1" applyFill="1" applyBorder="1" applyAlignment="1">
      <x:alignment vertical="center"/>
    </x:xf>
    <x:xf numFmtId="200" fontId="8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201" fontId="8" fillId="10" borderId="0" xfId="0" applyNumberFormat="1" applyFont="1" applyFill="1" applyBorder="1" applyAlignment="1">
      <x:alignment vertical="center"/>
    </x:xf>
    <x:xf numFmtId="0" fontId="8" fillId="10" borderId="1" xfId="0" applyNumberFormat="1" applyFont="1" applyFill="1" applyBorder="1" applyAlignment="1">
      <x:alignment vertical="center"/>
    </x:xf>
    <x:xf numFmtId="0" fontId="8" fillId="10" borderId="10" xfId="0" applyNumberFormat="1" applyFont="1" applyFill="1" applyBorder="1" applyAlignment="1">
      <x:alignment vertical="center"/>
    </x:xf>
    <x:xf numFmtId="200" fontId="8" fillId="10" borderId="11" xfId="0" applyNumberFormat="1" applyFont="1" applyFill="1" applyBorder="1" applyAlignment="1">
      <x:alignment vertical="center"/>
    </x:xf>
    <x:xf numFmtId="0" fontId="8" fillId="10" borderId="11" xfId="0" applyNumberFormat="1" applyFont="1" applyFill="1" applyBorder="1" applyAlignment="1">
      <x:alignment vertical="center"/>
    </x:xf>
    <x:xf numFmtId="201" fontId="8" fillId="10" borderId="11" xfId="0" applyNumberFormat="1" applyFont="1" applyFill="1" applyBorder="1" applyAlignment="1">
      <x:alignment vertical="center"/>
    </x:xf>
    <x:xf numFmtId="0" fontId="8" fillId="10" borderId="12" xfId="0" applyNumberFormat="1" applyFont="1" applyFill="1" applyBorder="1" applyAlignment="1">
      <x:alignment vertical="center"/>
    </x:xf>
    <x:xf numFmtId="200" fontId="9" fillId="10" borderId="8" xfId="0" applyNumberFormat="1" applyFont="1" applyFill="1" applyBorder="1" applyAlignment="1">
      <x:alignment vertical="center"/>
    </x:xf>
    <x:xf numFmtId="200" fontId="9" fillId="10" borderId="0" xfId="0" applyNumberFormat="1" applyFont="1" applyFill="1" applyBorder="1" applyAlignment="1">
      <x:alignment vertical="center"/>
    </x:xf>
    <x:xf numFmtId="200" fontId="9" fillId="10" borderId="11" xfId="0" applyNumberFormat="1" applyFont="1" applyFill="1" applyBorder="1" applyAlignment="1">
      <x:alignment vertical="center"/>
    </x:xf>
    <x:xf numFmtId="200" fontId="10" fillId="10" borderId="8" xfId="0" applyNumberFormat="1" applyFont="1" applyFill="1" applyBorder="1" applyAlignment="1">
      <x:alignment vertical="center"/>
    </x:xf>
    <x:xf numFmtId="200" fontId="10" fillId="10" borderId="0" xfId="0" applyNumberFormat="1" applyFont="1" applyFill="1" applyBorder="1" applyAlignment="1">
      <x:alignment vertical="center"/>
    </x:xf>
    <x:xf numFmtId="200" fontId="10" fillId="10" borderId="11" xfId="0" applyNumberFormat="1" applyFont="1" applyFill="1" applyBorder="1" applyAlignment="1">
      <x:alignment vertical="center"/>
    </x:xf>
    <x:xf numFmtId="201" fontId="11" fillId="10" borderId="8" xfId="0" applyNumberFormat="1" applyFont="1" applyFill="1" applyBorder="1" applyAlignment="1">
      <x:alignment vertical="center"/>
    </x:xf>
    <x:xf numFmtId="201" fontId="11" fillId="10" borderId="0" xfId="0" applyNumberFormat="1" applyFont="1" applyFill="1" applyBorder="1" applyAlignment="1">
      <x:alignment vertical="center"/>
    </x:xf>
    <x:xf numFmtId="201" fontId="11" fillId="10" borderId="11" xfId="0" applyNumberFormat="1" applyFont="1" applyFill="1" applyBorder="1" applyAlignment="1">
      <x:alignment vertical="center"/>
    </x:xf>
    <x:xf numFmtId="203" fontId="12" fillId="10" borderId="8" xfId="0" applyNumberFormat="1" applyFont="1" applyFill="1" applyBorder="1" applyAlignment="1">
      <x:alignment vertical="center"/>
    </x:xf>
    <x:xf numFmtId="0" fontId="12" fillId="10" borderId="0" xfId="0" applyNumberFormat="1" applyFont="1" applyFill="1" applyBorder="1" applyAlignment="1">
      <x:alignment vertical="center"/>
    </x:xf>
    <x:xf numFmtId="0" fontId="12" fillId="10" borderId="11" xfId="0" applyNumberFormat="1" applyFont="1" applyFill="1" applyBorder="1" applyAlignment="1">
      <x:alignment vertical="center"/>
    </x:xf>
  </x:cellXfs>
  <x:cellStyles count="1">
    <x:cellStyle name="Normal" xfId="0"/>
  </x:cellStyles>
  <x:dxfs count="40">
    <x:dxf>
      <x:font>
        <x:b/>
        <x:color rgb="FF7A4B00"/>
      </x:font>
      <x:fill>
        <x:patternFill patternType="solid">
          <x:bgColor rgb="FFFFF0C2"/>
        </x:patternFill>
      </x:fill>
    </x:dxf>
    <x:dxf>
      <x:font>
        <x:b/>
        <x:color rgb="FF2F855A"/>
      </x:font>
      <x:fill>
        <x:patternFill patternType="solid">
          <x:bgColor rgb="FFDFF2E5"/>
        </x:patternFill>
      </x:fill>
    </x:dxf>
    <x:dxf>
      <x:font>
        <x:b/>
        <x:color rgb="FF2F855A"/>
      </x:font>
      <x:fill>
        <x:patternFill patternType="solid">
          <x:bgColor rgb="FFDFF2E5"/>
        </x:patternFill>
      </x:fill>
    </x:dxf>
    <x:dxf>
      <x:font>
        <x:b/>
        <x:color rgb="FFB5473C"/>
      </x:font>
      <x:fill>
        <x:patternFill patternType="solid">
          <x:bgColor rgb="FFFBE1DE"/>
        </x:patternFill>
      </x:fill>
    </x:dxf>
    <x:dxf>
      <x:font>
        <x:b/>
        <x:color rgb="FFB5473C"/>
      </x:font>
      <x:fill>
        <x:patternFill patternType="solid">
          <x:bgColor rgb="FFFBE1DE"/>
        </x:patternFill>
      </x:fill>
    </x:dxf>
    <x:dxf>
      <x:font>
        <x:b/>
        <x:color rgb="FF7A4B00"/>
      </x:font>
      <x:fill>
        <x:patternFill patternType="solid">
          <x:bgColor rgb="FFFFF0C2"/>
        </x:patternFill>
      </x:fill>
    </x:dxf>
    <x:dxf>
      <x:font>
        <x:b/>
        <x:color rgb="FF2F855A"/>
      </x:font>
      <x:fill>
        <x:patternFill patternType="solid">
          <x:bgColor rgb="FFDFF2E5"/>
        </x:patternFill>
      </x:fill>
    </x:dxf>
    <x:dxf>
      <x:font>
        <x:b/>
        <x:color rgb="FF2F855A"/>
      </x:font>
      <x:fill>
        <x:patternFill patternType="solid">
          <x:bgColor rgb="FFDFF2E5"/>
        </x:patternFill>
      </x:fill>
    </x:dxf>
    <x:dxf>
      <x:font>
        <x:b/>
        <x:color rgb="FFB5473C"/>
      </x:font>
      <x:fill>
        <x:patternFill patternType="solid">
          <x:bgColor rgb="FFFBE1DE"/>
        </x:patternFill>
      </x:fill>
    </x:dxf>
    <x:dxf>
      <x:font>
        <x:b/>
        <x:color rgb="FFB5473C"/>
      </x:font>
      <x:fill>
        <x:patternFill patternType="solid">
          <x:bgColor rgb="FFFBE1DE"/>
        </x:patternFill>
      </x:fill>
    </x:dxf>
    <x:dxf>
      <x:font>
        <x:b/>
        <x:color rgb="FF7A4B00"/>
      </x:font>
      <x:fill>
        <x:patternFill patternType="solid">
          <x:bgColor rgb="FFFFF0C2"/>
        </x:patternFill>
      </x:fill>
    </x:dxf>
    <x:dxf>
      <x:font>
        <x:b/>
        <x:color rgb="FF2F855A"/>
      </x:font>
      <x:fill>
        <x:patternFill patternType="solid">
          <x:bgColor rgb="FFDFF2E5"/>
        </x:patternFill>
      </x:fill>
    </x:dxf>
    <x:dxf>
      <x:font>
        <x:b/>
        <x:color rgb="FF2F855A"/>
      </x:font>
      <x:fill>
        <x:patternFill patternType="solid">
          <x:bgColor rgb="FFDFF2E5"/>
        </x:patternFill>
      </x:fill>
    </x:dxf>
    <x:dxf>
      <x:font>
        <x:b/>
        <x:color rgb="FFB5473C"/>
      </x:font>
      <x:fill>
        <x:patternFill patternType="solid">
          <x:bgColor rgb="FFFBE1DE"/>
        </x:patternFill>
      </x:fill>
    </x:dxf>
    <x:dxf>
      <x:font>
        <x:b/>
        <x:color rgb="FFB5473C"/>
      </x:font>
      <x:fill>
        <x:patternFill patternType="solid">
          <x:bgColor rgb="FFFBE1DE"/>
        </x:patternFill>
      </x:fill>
    </x:dxf>
    <x:dxf>
      <x:font>
        <x:b/>
        <x:color rgb="FF7A4B00"/>
      </x:font>
      <x:fill>
        <x:patternFill patternType="solid">
          <x:bgColor rgb="FFFFF0C2"/>
        </x:patternFill>
      </x:fill>
    </x:dxf>
    <x:dxf>
      <x:font>
        <x:b/>
        <x:color rgb="FF2F855A"/>
      </x:font>
      <x:fill>
        <x:patternFill patternType="solid">
          <x:bgColor rgb="FFDFF2E5"/>
        </x:patternFill>
      </x:fill>
    </x:dxf>
    <x:dxf>
      <x:font>
        <x:b/>
        <x:color rgb="FF2F855A"/>
      </x:font>
      <x:fill>
        <x:patternFill patternType="solid">
          <x:bgColor rgb="FFDFF2E5"/>
        </x:patternFill>
      </x:fill>
    </x:dxf>
    <x:dxf>
      <x:font>
        <x:b/>
        <x:color rgb="FFB5473C"/>
      </x:font>
      <x:fill>
        <x:patternFill patternType="solid">
          <x:bgColor rgb="FFFBE1DE"/>
        </x:patternFill>
      </x:fill>
    </x:dxf>
    <x:dxf>
      <x:font>
        <x:b/>
        <x:color rgb="FFB5473C"/>
      </x:font>
      <x:fill>
        <x:patternFill patternType="solid">
          <x:bgColor rgb="FFFBE1DE"/>
        </x:patternFill>
      </x:fill>
    </x:dxf>
    <x:dxf>
      <x:font>
        <x:b/>
        <x:color rgb="FF7A4B00"/>
      </x:font>
      <x:fill>
        <x:patternFill patternType="solid">
          <x:bgColor rgb="FFFFF0C2"/>
        </x:patternFill>
      </x:fill>
    </x:dxf>
    <x:dxf>
      <x:font>
        <x:b/>
        <x:color rgb="FF2F855A"/>
      </x:font>
      <x:fill>
        <x:patternFill patternType="solid">
          <x:bgColor rgb="FFDFF2E5"/>
        </x:patternFill>
      </x:fill>
    </x:dxf>
    <x:dxf>
      <x:font>
        <x:b/>
        <x:color rgb="FF2F855A"/>
      </x:font>
      <x:fill>
        <x:patternFill patternType="solid">
          <x:bgColor rgb="FFDFF2E5"/>
        </x:patternFill>
      </x:fill>
    </x:dxf>
    <x:dxf>
      <x:font>
        <x:b/>
        <x:color rgb="FFB5473C"/>
      </x:font>
      <x:fill>
        <x:patternFill patternType="solid">
          <x:bgColor rgb="FFFBE1DE"/>
        </x:patternFill>
      </x:fill>
    </x:dxf>
    <x:dxf>
      <x:font>
        <x:b/>
        <x:color rgb="FFB5473C"/>
      </x:font>
      <x:fill>
        <x:patternFill patternType="solid">
          <x:bgColor rgb="FFFBE1DE"/>
        </x:patternFill>
      </x:fill>
    </x:dxf>
    <x:dxf>
      <x:font>
        <x:b/>
        <x:color rgb="FF7A4B00"/>
      </x:font>
      <x:fill>
        <x:patternFill patternType="solid">
          <x:bgColor rgb="FFFFF0C2"/>
        </x:patternFill>
      </x:fill>
    </x:dxf>
    <x:dxf>
      <x:font>
        <x:b/>
        <x:color rgb="FF2F855A"/>
      </x:font>
      <x:fill>
        <x:patternFill patternType="solid">
          <x:bgColor rgb="FFDFF2E5"/>
        </x:patternFill>
      </x:fill>
    </x:dxf>
    <x:dxf>
      <x:font>
        <x:b/>
        <x:color rgb="FF2F855A"/>
      </x:font>
      <x:fill>
        <x:patternFill patternType="solid">
          <x:bgColor rgb="FFDFF2E5"/>
        </x:patternFill>
      </x:fill>
    </x:dxf>
    <x:dxf>
      <x:font>
        <x:b/>
        <x:color rgb="FFB5473C"/>
      </x:font>
      <x:fill>
        <x:patternFill patternType="solid">
          <x:bgColor rgb="FFFBE1DE"/>
        </x:patternFill>
      </x:fill>
    </x:dxf>
    <x:dxf>
      <x:font>
        <x:b/>
        <x:color rgb="FFB5473C"/>
      </x:font>
      <x:fill>
        <x:patternFill patternType="solid">
          <x:bgColor rgb="FFFBE1DE"/>
        </x:patternFill>
      </x:fill>
    </x:dxf>
    <x:dxf>
      <x:font>
        <x:b/>
        <x:color rgb="FF7A4B00"/>
      </x:font>
      <x:fill>
        <x:patternFill patternType="solid">
          <x:bgColor rgb="FFFFF0C2"/>
        </x:patternFill>
      </x:fill>
    </x:dxf>
    <x:dxf>
      <x:font>
        <x:b/>
        <x:color rgb="FF2F855A"/>
      </x:font>
      <x:fill>
        <x:patternFill patternType="solid">
          <x:bgColor rgb="FFDFF2E5"/>
        </x:patternFill>
      </x:fill>
    </x:dxf>
    <x:dxf>
      <x:font>
        <x:b/>
        <x:color rgb="FF2F855A"/>
      </x:font>
      <x:fill>
        <x:patternFill patternType="solid">
          <x:bgColor rgb="FFDFF2E5"/>
        </x:patternFill>
      </x:fill>
    </x:dxf>
    <x:dxf>
      <x:font>
        <x:b/>
        <x:color rgb="FFB5473C"/>
      </x:font>
      <x:fill>
        <x:patternFill patternType="solid">
          <x:bgColor rgb="FFFBE1DE"/>
        </x:patternFill>
      </x:fill>
    </x:dxf>
    <x:dxf>
      <x:font>
        <x:b/>
        <x:color rgb="FFB5473C"/>
      </x:font>
      <x:fill>
        <x:patternFill patternType="solid">
          <x:bgColor rgb="FFFBE1DE"/>
        </x:patternFill>
      </x:fill>
    </x:dxf>
    <x:dxf>
      <x:font>
        <x:b/>
        <x:color rgb="FF7A4B00"/>
      </x:font>
      <x:fill>
        <x:patternFill patternType="solid">
          <x:bgColor rgb="FFFFF0C2"/>
        </x:patternFill>
      </x:fill>
    </x:dxf>
    <x:dxf>
      <x:font>
        <x:b/>
        <x:color rgb="FF2F855A"/>
      </x:font>
      <x:fill>
        <x:patternFill patternType="solid">
          <x:bgColor rgb="FFDFF2E5"/>
        </x:patternFill>
      </x:fill>
    </x:dxf>
    <x:dxf>
      <x:font>
        <x:b/>
        <x:color rgb="FF2F855A"/>
      </x:font>
      <x:fill>
        <x:patternFill patternType="solid">
          <x:bgColor rgb="FFDFF2E5"/>
        </x:patternFill>
      </x:fill>
    </x:dxf>
    <x:dxf>
      <x:font>
        <x:b/>
        <x:color rgb="FFB5473C"/>
      </x:font>
      <x:fill>
        <x:patternFill patternType="solid">
          <x:bgColor rgb="FFFBE1DE"/>
        </x:patternFill>
      </x:fill>
    </x:dxf>
    <x:dxf>
      <x:font>
        <x:b/>
        <x:color rgb="FFB5473C"/>
      </x:font>
      <x:fill>
        <x:patternFill patternType="solid">
          <x:bgColor rgb="FFFBE1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5781605554a69" /><Relationship Type="http://schemas.openxmlformats.org/officeDocument/2006/relationships/theme" Target="/xl/theme/theme1.xml" Id="Rf56ce9c49c164cbc" /><Relationship Type="http://schemas.openxmlformats.org/officeDocument/2006/relationships/sharedStrings" Target="/xl/sharedStrings.xml" Id="R7f38782c0a4343b6" /><Relationship Type="http://schemas.openxmlformats.org/officeDocument/2006/relationships/worksheet" Target="/xl/worksheets/sheet1.xml" Id="R4ee9cdccf5914ec7" /><Relationship Type="http://schemas.openxmlformats.org/officeDocument/2006/relationships/worksheet" Target="/xl/worksheets/sheet2.xml" Id="R33ef63d3dedf4dc3" /><Relationship Type="http://schemas.openxmlformats.org/officeDocument/2006/relationships/worksheet" Target="/xl/worksheets/sheet3.xml" Id="Rdd250316086d489b" /><Relationship Type="http://schemas.openxmlformats.org/officeDocument/2006/relationships/worksheet" Target="/xl/worksheets/sheet4.xml" Id="Rdd1d5776ff57413c" /><Relationship Type="http://schemas.openxmlformats.org/officeDocument/2006/relationships/worksheet" Target="/xl/worksheets/sheet5.xml" Id="R00801ca5141f4f73" /><Relationship Type="http://schemas.openxmlformats.org/officeDocument/2006/relationships/worksheet" Target="/xl/worksheets/sheet6.xml" Id="Rf4efaba958a04a2e" /><Relationship Type="http://schemas.openxmlformats.org/officeDocument/2006/relationships/worksheet" Target="/xl/worksheets/sheet7.xml" Id="Rec85f73fbfb9460d" /><Relationship Type="http://schemas.openxmlformats.org/officeDocument/2006/relationships/worksheet" Target="/xl/worksheets/sheet8.xml" Id="R3b1bc3c9d312465f" /><Relationship Type="http://schemas.openxmlformats.org/officeDocument/2006/relationships/worksheet" Target="/xl/worksheets/sheet9.xml" Id="R0b1383c2ea7c454c" /><Relationship Type="http://schemas.openxmlformats.org/officeDocument/2006/relationships/worksheet" Target="/xl/worksheets/sheet10.xml" Id="R05494ba6928a44b1" /><Relationship Type="http://schemas.openxmlformats.org/officeDocument/2006/relationships/worksheet" Target="/xl/worksheets/sheet11.xml" Id="R418ccca113294ec1" /><Relationship Type="http://schemas.microsoft.com/office/2017/10/relationships/person" Target="/xl/persons/person.xml" Id="Ree1a33a949f448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e1e6dbb40945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Selected Actions: 30-Day Revenue Scenarios ($)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Conservative</c:v>
          </c:tx>
          <c:cat>
            <c:strRef>
              <c:f>'Dashboard'!$J$11:$J$13</c:f>
              <c:strCache>
                <c:ptCount val="0"/>
              </c:strCache>
            </c:strRef>
          </c:cat>
          <c:val>
            <c:numRef>
              <c:f>'Dashboard'!$K$11:$K$13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Base</c:v>
          </c:tx>
          <c:cat>
            <c:strRef>
              <c:f>'Dashboard'!$J$11:$J$13</c:f>
              <c:strCache>
                <c:ptCount val="0"/>
              </c:strCache>
            </c:strRef>
          </c:cat>
          <c:val>
            <c:numRef>
              <c:f>'Dashboard'!$L$11:$L$13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Upside</c:v>
          </c:tx>
          <c:cat>
            <c:strRef>
              <c:f>'Dashboard'!$J$11:$J$13</c:f>
              <c:strCache>
                <c:ptCount val="0"/>
              </c:strCache>
            </c:strRef>
          </c:cat>
          <c:val>
            <c:numRef>
              <c:f>'Dashboard'!$M$11:$M$13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9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e1e6dbb409457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Ryan Tydingco" id="{6E578C07-CC3E-43C7-A15F-70DACD60F7C6}"/>
</xltc:personList>
</file>

<file path=xl/tables/table1.xml><?xml version="1.0" encoding="utf-8"?>
<x:table xmlns:x="http://schemas.openxmlformats.org/spreadsheetml/2006/main" id="1" name="OpportunityRankingTable" displayName="OpportunityRankingTable" ref="A4:P12" headerRowCount="1" totalsRowCount="0" totalsRowShown="0">
  <x:tableColumns count="16">
    <x:tableColumn id="1" name="Rank"/>
    <x:tableColumn id="2" name="Opportunity"/>
    <x:tableColumn id="3" name="Score"/>
    <x:tableColumn id="4" name="Revenue proximity (30)"/>
    <x:tableColumn id="5" name="Evidence (20)"/>
    <x:tableColumn id="6" name="Ease (15)"/>
    <x:tableColumn id="7" name="Speed (15)"/>
    <x:tableColumn id="8" name="Strategic value (10)"/>
    <x:tableColumn id="9" name="Operator control (10)"/>
    <x:tableColumn id="10" name="Conservative"/>
    <x:tableColumn id="11" name="Base"/>
    <x:tableColumn id="12" name="Upside"/>
    <x:tableColumn id="13" name="Evidence strength"/>
    <x:tableColumn id="14" name="Effort"/>
    <x:tableColumn id="15" name="Time to launch"/>
    <x:tableColumn id="16" name="De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ExecutionQueueTable" displayName="DailyExecutionQueueTable" ref="A4:J29" headerRowCount="1" totalsRowCount="0" totalsRowShown="0">
  <x:tableColumns count="10">
    <x:tableColumn id="1" name="Date"/>
    <x:tableColumn id="2" name="Day"/>
    <x:tableColumn id="3" name="Lane"/>
    <x:tableColumn id="4" name="Action"/>
    <x:tableColumn id="5" name="Owner"/>
    <x:tableColumn id="6" name="Approval gate"/>
    <x:tableColumn id="7" name="Status"/>
    <x:tableColumn id="8" name="Outcome / evidence"/>
    <x:tableColumn id="9" name="Booked revenue"/>
    <x:tableColumn id="10" name="Cash collect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ilyRevenueScorecardTable" displayName="DailyRevenueScorecardTable" ref="A4:Y11" headerRowCount="1" totalsRowCount="0" totalsRowShown="0">
  <x:tableColumns count="25">
    <x:tableColumn id="1" name="Date"/>
    <x:tableColumn id="2" name="Day"/>
    <x:tableColumn id="3" name="CA follow-up attempts"/>
    <x:tableColumn id="4" name="CA conversations"/>
    <x:tableColumn id="5" name="CA mockups approved"/>
    <x:tableColumn id="6" name="CA packages sent"/>
    <x:tableColumn id="7" name="CA quotes sent"/>
    <x:tableColumn id="8" name="CA orders booked"/>
    <x:tableColumn id="9" name="CA booked revenue"/>
    <x:tableColumn id="10" name="CA invoiced revenue"/>
    <x:tableColumn id="11" name="CA cash collected"/>
    <x:tableColumn id="12" name="Reorder attempts"/>
    <x:tableColumn id="13" name="DT follow-ups"/>
    <x:tableColumn id="14" name="DT meetings booked"/>
    <x:tableColumn id="15" name="DT meetings held"/>
    <x:tableColumn id="16" name="DT trials booked"/>
    <x:tableColumn id="17" name="DT booked revenue"/>
    <x:tableColumn id="18" name="DT invoiced revenue"/>
    <x:tableColumn id="19" name="DT cash collected"/>
    <x:tableColumn id="20" name="DT MRR"/>
    <x:tableColumn id="21" name="Content recorded"/>
    <x:tableColumn id="22" name="Publish approved"/>
    <x:tableColumn id="23" name="Fulfillment misses"/>
    <x:tableColumn id="24" name="Hours"/>
    <x:tableColumn id="2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umanApprovalsTable" displayName="HumanApprovalsTable" ref="A4:H12" headerRowCount="1" totalsRowCount="0" totalsRowShown="0">
  <x:tableColumns count="8">
    <x:tableColumn id="1" name="Priority"/>
    <x:tableColumn id="2" name="Decision"/>
    <x:tableColumn id="3" name="Required approval"/>
    <x:tableColumn id="4" name="Approver"/>
    <x:tableColumn id="5" name="Status"/>
    <x:tableColumn id="6" name="Evidence / gate"/>
    <x:tableColumn id="7" name="Last reviewed"/>
    <x:tableColumn id="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FreshnessTable" displayName="SourcesFreshnessTable" ref="A4:F14" headerRowCount="1" totalsRowCount="0" totalsRowShown="0">
  <x:tableColumns count="6">
    <x:tableColumn id="1" name="Source"/>
    <x:tableColumn id="2" name="Location"/>
    <x:tableColumn id="3" name="Captured / dated"/>
    <x:tableColumn id="4" name="Use"/>
    <x:tableColumn id="5" name="Freshness gate"/>
    <x:tableColumn id="6" name="Conf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MockupCloseQueueTable" displayName="CAMockupCloseQueueTable" ref="A1:R11" headerRowCount="1" totalsRowCount="0" totalsRowShown="0">
  <x:tableColumns count="18">
    <x:tableColumn id="1" name="priority"/>
    <x:tableColumn id="2" name="account"/>
    <x:tableColumn id="3" name="verified_signal"/>
    <x:tableColumn id="4" name="asset_status"/>
    <x:tableColumn id="5" name="required_action"/>
    <x:tableColumn id="6" name="owner"/>
    <x:tableColumn id="7" name="pricing_approval"/>
    <x:tableColumn id="8" name="relationship_approval"/>
    <x:tableColumn id="9" name="send_approval"/>
    <x:tableColumn id="10" name="current_stage"/>
    <x:tableColumn id="11" name="next_action_date"/>
    <x:tableColumn id="12" name="estimated_low"/>
    <x:tableColumn id="13" name="estimated_high"/>
    <x:tableColumn id="14" name="booked_revenue"/>
    <x:tableColumn id="15" name="invoice_id"/>
    <x:tableColumn id="16" name="cash_collected"/>
    <x:tableColumn id="17" name="proof_permission"/>
    <x:tableColumn id="1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ReorderTop25Table" displayName="CAReorderTop25Table" ref="A1:T26" headerRowCount="1" totalsRowCount="0" totalsRowShown="0">
  <x:tableColumns count="20">
    <x:tableColumn id="1" name="priority"/>
    <x:tableColumn id="2" name="account"/>
    <x:tableColumn id="3" name="segment"/>
    <x:tableColumn id="4" name="prior_2025_revenue"/>
    <x:tableColumn id="5" name="relationship_route"/>
    <x:tableColumn id="6" name="live_qbo_checked"/>
    <x:tableColumn id="7" name="no_2026_order"/>
    <x:tableColumn id="8" name="open_ar_reviewed"/>
    <x:tableColumn id="9" name="open_quote_reviewed"/>
    <x:tableColumn id="10" name="contact_verified"/>
    <x:tableColumn id="11" name="relationship_approved"/>
    <x:tableColumn id="12" name="approval_status"/>
    <x:tableColumn id="13" name="owner"/>
    <x:tableColumn id="14" name="next_action"/>
    <x:tableColumn id="15" name="outcome"/>
    <x:tableColumn id="16" name="booked_revenue"/>
    <x:tableColumn id="17" name="invoice_id"/>
    <x:tableColumn id="18" name="cash_collected"/>
    <x:tableColumn id="19" name="lost_reason"/>
    <x:tableColumn id="20" name="Column20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AugustNo2026Table" displayName="CAAugustNo2026Table" ref="A1:R19" headerRowCount="1" totalsRowCount="0" totalsRowShown="0">
  <x:tableColumns count="18">
    <x:tableColumn id="1" name="priority"/>
    <x:tableColumn id="2" name="account"/>
    <x:tableColumn id="3" name="august_2025_revenue"/>
    <x:tableColumn id="4" name="prior_order_summary"/>
    <x:tableColumn id="5" name="relationship_route"/>
    <x:tableColumn id="6" name="live_qbo_rechecked"/>
    <x:tableColumn id="7" name="open_ar_reviewed"/>
    <x:tableColumn id="8" name="open_quote_reviewed"/>
    <x:tableColumn id="9" name="contact_verified"/>
    <x:tableColumn id="10" name="relationship_approved"/>
    <x:tableColumn id="11" name="approval_status"/>
    <x:tableColumn id="12" name="owner"/>
    <x:tableColumn id="13" name="next_action"/>
    <x:tableColumn id="14" name="outcome"/>
    <x:tableColumn id="15" name="booked_revenue"/>
    <x:tableColumn id="16" name="invoice_id"/>
    <x:tableColumn id="17" name="cash_collected"/>
    <x:tableColumn id="18" name="lost_rea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althreadsWarmQueueTable" displayName="DealthreadsWarmQueueTable" ref="A1:O9" headerRowCount="1" totalsRowCount="0" totalsRowShown="0">
  <x:tableColumns count="15">
    <x:tableColumn id="1" name="priority"/>
    <x:tableColumn id="2" name="prospect"/>
    <x:tableColumn id="3" name="company"/>
    <x:tableColumn id="4" name="current_evidence"/>
    <x:tableColumn id="5" name="asset_status"/>
    <x:tableColumn id="6" name="delivery_confirmed"/>
    <x:tableColumn id="7" name="required_action"/>
    <x:tableColumn id="8" name="approval_status"/>
    <x:tableColumn id="9" name="next_action_date"/>
    <x:tableColumn id="10" name="current_stage"/>
    <x:tableColumn id="11" name="trial_value"/>
    <x:tableColumn id="12" name="cash_collected"/>
    <x:tableColumn id="13" name="mrr"/>
    <x:tableColumn id="14" name="lost_reason"/>
    <x:tableColumn id="1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ntentDraftQueueTable" displayName="ContentDraftQueueTable" ref="A1:M8" headerRowCount="1" totalsRowCount="0" totalsRowShown="0">
  <x:tableColumns count="13">
    <x:tableColumn id="1" name="date"/>
    <x:tableColumn id="2" name="channel"/>
    <x:tableColumn id="3" name="asset"/>
    <x:tableColumn id="4" name="audience"/>
    <x:tableColumn id="5" name="hook"/>
    <x:tableColumn id="6" name="cta"/>
    <x:tableColumn id="7" name="proof_gate"/>
    <x:tableColumn id="8" name="status"/>
    <x:tableColumn id="9" name="leads"/>
    <x:tableColumn id="10" name="meetings"/>
    <x:tableColumn id="11" name="booked_revenue"/>
    <x:tableColumn id="12" name="cash_collected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K5" dT="2026-07-17T19:35:27.941" personId="{6E578C07-CC3E-43C7-A15F-70DACD60F7C6}" id="{E9DD923C-F04C-168C-E879-2B8705C57699}">
    <xltc:text>Source: QBO A/R snapshot dated 2026-07-13. Refresh same day before collections. Balance may include payments, credits, disputes, or bad debt.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J5" dT="2026-07-17T19:35:27.883" personId="{6E578C07-CC3E-43C7-A15F-70DACD60F7C6}" id="{45578BE8-F739-2EFA-14AC-AD7A2B718EC5}">
    <xltc:text>Source: five parallel audits of the AIOS Memory Bank and Creative Alternatives workspace, completed 2026-07-17. Scenario inputs are ranges, not statistical forecasts.</xltc:text>
  </xltc:threadedComment>
  <xltc:threadedComment ref="J8" dT="2026-07-17T19:35:27.885" personId="{6E578C07-CC3E-43C7-A15F-70DACD60F7C6}" id="{F7D9C793-C120-6997-4D8B-7DD84AD23F2F}">
    <xltc:text>A/R collections are cash recovery, not new revenue. All scenario revenue cells are intentionally zero; use the separate cash-lane KPI after a same-day QBO refresh.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e5255db9e604569" /><Relationship Type="http://schemas.openxmlformats.org/officeDocument/2006/relationships/vmlDrawing" Target="/xl/drawings/vmldrawing.vml" Id="R37f24c6107cb4a26" /><Relationship Type="http://schemas.microsoft.com/office/2017/10/relationships/threadedComment" Target="/xl/threadedcomments/threadedcomment.xml" Id="Rc7234c0f27db48d9" /><Relationship Type="http://schemas.openxmlformats.org/officeDocument/2006/relationships/drawing" Target="/xl/drawings/drawing1.xml" Id="Rc269ed5ab1f044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656f892f181548b4" /><Relationship Type="http://schemas.openxmlformats.org/officeDocument/2006/relationships/vmlDrawing" Target="/xl/drawings/vmldrawing2.vml" Id="R98aaeacdecb24e9e" /><Relationship Type="http://schemas.microsoft.com/office/2017/10/relationships/threadedComment" Target="/xl/threadedcomments/threadedcomment2.xml" Id="Rc11385993612474f" /><Relationship Type="http://schemas.openxmlformats.org/officeDocument/2006/relationships/table" Target="/xl/tables/table1.xml" Id="R4001d2b53d1441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dc4c96eb1b46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87c9313b084d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ed87a279f247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4dc27e85bd43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b9a3f9290a46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ccccdc22ee44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26c36bd43b420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6206800fb7a46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0caf38a0f064f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0" hidden="0" customWidth="1"/>
    <x:col min="4" max="4" width="15" hidden="0" customWidth="1"/>
    <x:col min="5" max="5" width="15" hidden="0" customWidth="1"/>
    <x:col min="6" max="6" width="15" hidden="0" customWidth="1"/>
    <x:col min="7" max="7" width="23" hidden="0" customWidth="1"/>
    <x:col min="8" max="8" width="19" hidden="0" customWidth="1"/>
    <x:col min="9" max="9" width="3" hidden="0" customWidth="1"/>
    <x:col min="10" max="10" width="19" hidden="0" customWidth="1"/>
    <x:col min="11" max="11" width="16" hidden="0" customWidth="1"/>
    <x:col min="12" max="12" width="18" hidden="0" customWidth="1"/>
    <x:col min="13" max="13" width="16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Creative Alternatives + Dealthreads Revenue Sprint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34" customHeight="1">
      <x:c r="A3" s="8" t="str">
        <x:v>7-day operating control tower | 2026-07-18 to 2026-07-24 | Human approval required before any external action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</x:row>
    <x:row r="4">
      <x:c r="A4" s="81" t="str">
        <x:v>30-Day Scenario (selected actions)</x:v>
      </x:c>
      <x:c r="B4" s="81"/>
      <x:c r="C4" s="81"/>
      <x:c r="D4" s="85" t="str">
        <x:v>Sprint Actuals</x:v>
      </x:c>
      <x:c r="E4" s="85"/>
      <x:c r="F4" s="85"/>
      <x:c r="G4" s="88" t="str">
        <x:v>Launch Control</x:v>
      </x:c>
      <x:c r="H4" s="88"/>
      <x:c r="I4" s="88"/>
      <x:c r="J4" s="92" t="str">
        <x:v>Separate Cash Lane</x:v>
      </x:c>
      <x:c r="K4" s="92"/>
      <x:c r="L4" s="92"/>
    </x:row>
    <x:row r="5">
      <x:c r="A5" s="130" t="str">
        <x:v>Conservative</x:v>
      </x:c>
      <x:c r="B5" s="146" t="n">
        <x:f>SUM('Opportunity Ranking'!J5:J7)</x:f>
        <x:v>7600</x:v>
      </x:c>
      <x:c r="C5" s="132"/>
      <x:c r="D5" s="132" t="str">
        <x:v>Booked</x:v>
      </x:c>
      <x:c r="E5" s="149" t="n">
        <x:f>SUM('Daily Scorecard'!I5:I11)+SUM('Daily Scorecard'!Q5:Q11)</x:f>
        <x:v>0</x:v>
      </x:c>
      <x:c r="F5" s="132"/>
      <x:c r="G5" s="132" t="str">
        <x:v>Approvals open</x:v>
      </x:c>
      <x:c r="H5" s="152" t="n">
        <x:f>COUNTIF('Approvals'!E5:E12,"Pending")+COUNTIF('Approvals'!E5:E12,"Hold")</x:f>
        <x:v>8</x:v>
      </x:c>
      <x:c r="I5" s="132"/>
      <x:c r="J5" s="132" t="str">
        <x:v>A/R aged 31+</x:v>
      </x:c>
      <x:c r="K5" s="155" t="n">
        <x:v>237869.33</x:v>
      </x:c>
      <x:c r="L5" s="135"/>
    </x:row>
    <x:row r="6">
      <x:c r="A6" s="136" t="str">
        <x:v>Base</x:v>
      </x:c>
      <x:c r="B6" s="147" t="n">
        <x:f>SUM('Opportunity Ranking'!K5:K7)</x:f>
        <x:v>20000</x:v>
      </x:c>
      <x:c r="C6" s="138"/>
      <x:c r="D6" s="138" t="str">
        <x:v>Invoiced</x:v>
      </x:c>
      <x:c r="E6" s="150" t="n">
        <x:f>SUM('Daily Scorecard'!J5:J11)+SUM('Daily Scorecard'!R5:R11)</x:f>
        <x:v>0</x:v>
      </x:c>
      <x:c r="F6" s="138"/>
      <x:c r="G6" s="138" t="str">
        <x:v>Reorders ready</x:v>
      </x:c>
      <x:c r="H6" s="153" t="n">
        <x:f>COUNTIFS('CA Reorders'!F2:F26,"Yes",'CA Reorders'!G2:G26,"Yes",'CA Reorders'!H2:H26,"Yes",'CA Reorders'!I2:I26,"Yes",'CA Reorders'!J2:J26,"Yes",'CA Reorders'!K2:K26,"Yes",'CA Reorders'!L2:L26,"Approved")</x:f>
        <x:v>0</x:v>
      </x:c>
      <x:c r="I6" s="138"/>
      <x:c r="J6" s="138" t="str">
        <x:v>Snapshot</x:v>
      </x:c>
      <x:c r="K6" s="156" t="str">
        <x:v>2026-07-13</x:v>
      </x:c>
      <x:c r="L6" s="140"/>
    </x:row>
    <x:row r="7">
      <x:c r="A7" s="141" t="str">
        <x:v>Upside</x:v>
      </x:c>
      <x:c r="B7" s="148" t="n">
        <x:f>SUM('Opportunity Ranking'!L5:L7)</x:f>
        <x:v>40500</x:v>
      </x:c>
      <x:c r="C7" s="143"/>
      <x:c r="D7" s="143" t="str">
        <x:v>Cash collected</x:v>
      </x:c>
      <x:c r="E7" s="151" t="n">
        <x:f>SUM('Daily Scorecard'!K5:K11)+SUM('Daily Scorecard'!S5:S11)</x:f>
        <x:v>0</x:v>
      </x:c>
      <x:c r="F7" s="143"/>
      <x:c r="G7" s="143" t="str">
        <x:v>DT decisions open</x:v>
      </x:c>
      <x:c r="H7" s="154" t="n">
        <x:f>COUNTIF('DT Warm'!H2:H9,"Pending")</x:f>
        <x:v>4</x:v>
      </x:c>
      <x:c r="I7" s="143"/>
      <x:c r="J7" s="143" t="str">
        <x:v>Treatment</x:v>
      </x:c>
      <x:c r="K7" s="157" t="str">
        <x:v>Cash only; not revenue</x:v>
      </x:c>
      <x:c r="L7" s="145"/>
    </x:row>
    <x:row r="9">
      <x:c r="A9" s="97" t="str">
        <x:v>Selected Revenue Actions</x:v>
      </x:c>
      <x:c r="B9" s="97"/>
      <x:c r="C9" s="97"/>
      <x:c r="D9" s="97"/>
      <x:c r="E9" s="97"/>
      <x:c r="F9" s="97"/>
      <x:c r="G9" s="97"/>
      <x:c r="H9" s="97"/>
      <x:c r="J9" s="97" t="str">
        <x:v>30-Day Revenue Scenarios</x:v>
      </x:c>
      <x:c r="K9" s="97"/>
      <x:c r="L9" s="97"/>
      <x:c r="M9" s="97"/>
    </x:row>
    <x:row r="10" ht="32" customHeight="1">
      <x:c r="A10" s="20" t="str">
        <x:v>Rank</x:v>
      </x:c>
      <x:c r="B10" s="21" t="str">
        <x:v>Action</x:v>
      </x:c>
      <x:c r="C10" s="21" t="str">
        <x:v>Score</x:v>
      </x:c>
      <x:c r="D10" s="21" t="str">
        <x:v>Conservative</x:v>
      </x:c>
      <x:c r="E10" s="21" t="str">
        <x:v>Base</x:v>
      </x:c>
      <x:c r="F10" s="21" t="str">
        <x:v>Upside</x:v>
      </x:c>
      <x:c r="G10" s="21" t="str">
        <x:v>First gate</x:v>
      </x:c>
      <x:c r="H10" s="22" t="str">
        <x:v>Decision</x:v>
      </x:c>
      <x:c r="J10" s="20" t="str">
        <x:v>Action</x:v>
      </x:c>
      <x:c r="K10" s="21" t="str">
        <x:v>Conservative</x:v>
      </x:c>
      <x:c r="L10" s="21" t="str">
        <x:v>Base</x:v>
      </x:c>
      <x:c r="M10" s="22" t="str">
        <x:v>Upside</x:v>
      </x:c>
    </x:row>
    <x:row r="11" ht="45" customHeight="1">
      <x:c r="A11" s="35" t="n">
        <x:f>'Opportunity Ranking'!A5</x:f>
        <x:v>1</x:v>
      </x:c>
      <x:c r="B11" s="35" t="str">
        <x:f>'Opportunity Ranking'!B5</x:f>
        <x:v>CA high-intent mockup + quote close</x:v>
      </x:c>
      <x:c r="C11" s="35" t="n">
        <x:f>'Opportunity Ranking'!C5</x:f>
        <x:v>92</x:v>
      </x:c>
      <x:c r="D11" s="37" t="n">
        <x:f>'Opportunity Ranking'!J5</x:f>
        <x:v>4000</x:v>
      </x:c>
      <x:c r="E11" s="37" t="n">
        <x:f>'Opportunity Ranking'!K5</x:f>
        <x:v>8000</x:v>
      </x:c>
      <x:c r="F11" s="37" t="n">
        <x:f>'Opportunity Ranking'!L5</x:f>
        <x:v>15000</x:v>
      </x:c>
      <x:c r="G11" s="35" t="str">
        <x:f>'Opportunity Ranking'!O5</x:f>
        <x:v>&lt;24h to approvals</x:v>
      </x:c>
      <x:c r="H11" s="35" t="str">
        <x:f>'Opportunity Ranking'!P5</x:f>
        <x:v>Execute now</x:v>
      </x:c>
      <x:c r="J11" t="str">
        <x:f>'Opportunity Ranking'!B5</x:f>
        <x:v>CA high-intent mockup + quote close</x:v>
      </x:c>
      <x:c r="K11" s="23" t="n">
        <x:f>'Opportunity Ranking'!J5</x:f>
        <x:v>4000</x:v>
      </x:c>
      <x:c r="L11" s="23" t="n">
        <x:f>'Opportunity Ranking'!K5</x:f>
        <x:v>8000</x:v>
      </x:c>
      <x:c r="M11" s="23" t="n">
        <x:f>'Opportunity Ranking'!L5</x:f>
        <x:v>15000</x:v>
      </x:c>
    </x:row>
    <x:row r="12" ht="45" customHeight="1">
      <x:c r="A12" s="35" t="n">
        <x:f>'Opportunity Ranking'!A6</x:f>
        <x:v>2</x:v>
      </x:c>
      <x:c r="B12" s="35" t="str">
        <x:f>'Opportunity Ranking'!B6</x:f>
        <x:v>CA reorder rescue: top 25 + corrected August</x:v>
      </x:c>
      <x:c r="C12" s="35" t="n">
        <x:f>'Opportunity Ranking'!C6</x:f>
        <x:v>88</x:v>
      </x:c>
      <x:c r="D12" s="37" t="n">
        <x:f>'Opportunity Ranking'!J6</x:f>
        <x:v>3600</x:v>
      </x:c>
      <x:c r="E12" s="37" t="n">
        <x:f>'Opportunity Ranking'!K6</x:f>
        <x:v>10000</x:v>
      </x:c>
      <x:c r="F12" s="37" t="n">
        <x:f>'Opportunity Ranking'!L6</x:f>
        <x:v>17500</x:v>
      </x:c>
      <x:c r="G12" s="35" t="str">
        <x:f>'Opportunity Ranking'!O6</x:f>
        <x:v>24-48h</x:v>
      </x:c>
      <x:c r="H12" s="35" t="str">
        <x:f>'Opportunity Ranking'!P6</x:f>
        <x:v>Execute after gate</x:v>
      </x:c>
      <x:c r="J12" t="str">
        <x:f>'Opportunity Ranking'!B6</x:f>
        <x:v>CA reorder rescue: top 25 + corrected August</x:v>
      </x:c>
      <x:c r="K12" s="23" t="n">
        <x:f>'Opportunity Ranking'!J6</x:f>
        <x:v>3600</x:v>
      </x:c>
      <x:c r="L12" s="23" t="n">
        <x:f>'Opportunity Ranking'!K6</x:f>
        <x:v>10000</x:v>
      </x:c>
      <x:c r="M12" s="23" t="n">
        <x:f>'Opportunity Ranking'!L6</x:f>
        <x:v>17500</x:v>
      </x:c>
    </x:row>
    <x:row r="13" ht="45" customHeight="1">
      <x:c r="A13" s="38" t="n">
        <x:f>'Opportunity Ranking'!A7</x:f>
        <x:v>3</x:v>
      </x:c>
      <x:c r="B13" s="38" t="str">
        <x:f>'Opportunity Ranking'!B7</x:f>
        <x:v>Dealthreads four-positive conversion</x:v>
      </x:c>
      <x:c r="C13" s="38" t="n">
        <x:f>'Opportunity Ranking'!C7</x:f>
        <x:v>84</x:v>
      </x:c>
      <x:c r="D13" s="40" t="n">
        <x:f>'Opportunity Ranking'!J7</x:f>
        <x:v>0</x:v>
      </x:c>
      <x:c r="E13" s="40" t="n">
        <x:f>'Opportunity Ranking'!K7</x:f>
        <x:v>2000</x:v>
      </x:c>
      <x:c r="F13" s="40" t="n">
        <x:f>'Opportunity Ranking'!L7</x:f>
        <x:v>8000</x:v>
      </x:c>
      <x:c r="G13" s="38" t="str">
        <x:f>'Opportunity Ranking'!O7</x:f>
        <x:v>&lt;24h</x:v>
      </x:c>
      <x:c r="H13" s="38" t="str">
        <x:f>'Opportunity Ranking'!P7</x:f>
        <x:v>Execute now</x:v>
      </x:c>
      <x:c r="J13" t="str">
        <x:f>'Opportunity Ranking'!B7</x:f>
        <x:v>Dealthreads four-positive conversion</x:v>
      </x:c>
      <x:c r="K13" s="23" t="n">
        <x:f>'Opportunity Ranking'!J7</x:f>
        <x:v>0</x:v>
      </x:c>
      <x:c r="L13" s="23" t="n">
        <x:f>'Opportunity Ranking'!K7</x:f>
        <x:v>2000</x:v>
      </x:c>
      <x:c r="M13" s="23" t="n">
        <x:f>'Opportunity Ranking'!L7</x:f>
        <x:v>8000</x:v>
      </x:c>
    </x:row>
    <x:row r="16">
      <x:c r="J16" s="92" t="str">
        <x:v>Non-Negotiable Gates</x:v>
      </x:c>
      <x:c r="K16" s="92"/>
      <x:c r="L16" s="92"/>
      <x:c r="M16" s="92"/>
      <x:c r="N16" s="92"/>
      <x:c r="O16" s="92"/>
      <x:c r="P16" s="92"/>
    </x:row>
    <x:row r="17" ht="34" customHeight="1">
      <x:c r="J17" s="102" t="str">
        <x:v>No external action without named human approval.</x:v>
      </x:c>
      <x:c r="K17" s="102"/>
      <x:c r="L17" s="102"/>
      <x:c r="M17" s="102"/>
      <x:c r="N17" s="102"/>
      <x:c r="O17" s="102"/>
      <x:c r="P17" s="102"/>
    </x:row>
    <x:row r="18" ht="34" customHeight="1">
      <x:c r="J18" s="102" t="str">
        <x:v>Fresh QBO order, A/R, quote, contact, and relationship checks before reorder contact.</x:v>
      </x:c>
      <x:c r="K18" s="102"/>
      <x:c r="L18" s="102"/>
      <x:c r="M18" s="102"/>
      <x:c r="N18" s="102"/>
      <x:c r="O18" s="102"/>
      <x:c r="P18" s="102"/>
    </x:row>
    <x:row r="19" ht="34" customHeight="1">
      <x:c r="J19" s="102" t="str">
        <x:v>Real SKU, decoration, landed cost, margin, and timing before any CA quote.</x:v>
      </x:c>
      <x:c r="K19" s="102"/>
      <x:c r="L19" s="102"/>
      <x:c r="M19" s="102"/>
      <x:c r="N19" s="102"/>
      <x:c r="O19" s="102"/>
      <x:c r="P19" s="102"/>
    </x:row>
    <x:row r="20" ht="34" customHeight="1">
      <x:c r="J20" s="102" t="str">
        <x:v>No new Dealthreads volume until current positives are fully dispositioned.</x:v>
      </x:c>
      <x:c r="K20" s="102"/>
      <x:c r="L20" s="102"/>
      <x:c r="M20" s="102"/>
      <x:c r="N20" s="102"/>
      <x:c r="O20" s="102"/>
      <x:c r="P20" s="102"/>
    </x:row>
    <x:row r="21" ht="34" customHeight="1">
      <x:c r="J21" s="102" t="str">
        <x:v>No customer identity, logo, reply, screenshot, or financial detail in public content without permission.</x:v>
      </x:c>
      <x:c r="K21" s="102"/>
      <x:c r="L21" s="102"/>
      <x:c r="M21" s="102"/>
      <x:c r="N21" s="102"/>
      <x:c r="O21" s="102"/>
      <x:c r="P21" s="102"/>
    </x:row>
    <x:row r="22" ht="34" customHeight="1">
      <x:c r="J22" s="103" t="str">
        <x:v>Inquiry is not a sale; pipeline is not booked revenue; collections are not new revenue.</x:v>
      </x:c>
      <x:c r="K22" s="103"/>
      <x:c r="L22" s="103"/>
      <x:c r="M22" s="103"/>
      <x:c r="N22" s="103"/>
      <x:c r="O22" s="103"/>
      <x:c r="P22" s="103"/>
    </x:row>
    <x:row r="24">
      <x:c r="J24" s="85" t="str">
        <x:v>Source Freshness</x:v>
      </x:c>
      <x:c r="K24" s="85"/>
      <x:c r="L24" s="85"/>
      <x:c r="M24" s="85"/>
      <x:c r="N24" s="85"/>
      <x:c r="O24" s="85"/>
      <x:c r="P24" s="85"/>
    </x:row>
    <x:row r="25" ht="28" customHeight="1">
      <x:c r="J25" s="105" t="str">
        <x:v>SmartLead: 2026-07-17 14:27 ET</x:v>
      </x:c>
      <x:c r="K25" s="105"/>
      <x:c r="L25" s="105"/>
      <x:c r="M25" s="105"/>
      <x:c r="N25" s="105"/>
      <x:c r="O25" s="105"/>
      <x:c r="P25" s="105"/>
    </x:row>
    <x:row r="26" ht="28" customHeight="1">
      <x:c r="J26" s="105" t="str">
        <x:v>QBO A/R snapshot: 2026-07-13; refresh before collections</x:v>
      </x:c>
      <x:c r="K26" s="105"/>
      <x:c r="L26" s="105"/>
      <x:c r="M26" s="105"/>
      <x:c r="N26" s="105"/>
      <x:c r="O26" s="105"/>
      <x:c r="P26" s="105"/>
    </x:row>
    <x:row r="27" ht="28" customHeight="1">
      <x:c r="J27" s="105" t="str">
        <x:v>QuickBooks customer/year export: loaded 2026-07-17; live-check high-value rows</x:v>
      </x:c>
      <x:c r="K27" s="105"/>
      <x:c r="L27" s="105"/>
      <x:c r="M27" s="105"/>
      <x:c r="N27" s="105"/>
      <x:c r="O27" s="105"/>
      <x:c r="P27" s="105"/>
    </x:row>
    <x:row r="28" ht="28" customHeight="1">
      <x:c r="J28" s="105" t="str">
        <x:v>Dealthreads campaign launched 2026-07-16; evidence is early</x:v>
      </x:c>
      <x:c r="K28" s="105"/>
      <x:c r="L28" s="105"/>
      <x:c r="M28" s="105"/>
      <x:c r="N28" s="105"/>
      <x:c r="O28" s="105"/>
      <x:c r="P28" s="105"/>
    </x:row>
    <x:row r="34">
      <x:c r="A34" s="108" t="str">
        <x:v>Operating rule: convert existing demand first. Content supports trust but is not counted as forecast revenue. All scenario values remain editable on Opportunity Ranking.</x:v>
      </x:c>
      <x:c r="B34" s="108"/>
      <x:c r="C34" s="108"/>
      <x:c r="D34" s="108"/>
      <x:c r="E34" s="108"/>
      <x:c r="F34" s="108"/>
      <x:c r="G34" s="108"/>
      <x:c r="H34" s="108"/>
      <x:c r="I34" s="108"/>
      <x:c r="J34" s="108"/>
      <x:c r="K34" s="108"/>
      <x:c r="L34" s="108"/>
      <x:c r="M34" s="108"/>
      <x:c r="N34" s="108"/>
      <x:c r="O34" s="108"/>
      <x:c r="P34" s="108"/>
    </x:row>
    <x:row r="35">
      <x:c r="A35" s="108"/>
      <x:c r="B35" s="108"/>
      <x:c r="C35" s="108"/>
      <x:c r="D35" s="108"/>
      <x:c r="E35" s="108"/>
      <x:c r="F35" s="108"/>
      <x:c r="G35" s="108"/>
      <x:c r="H35" s="108"/>
      <x:c r="I35" s="108"/>
      <x:c r="J35" s="108"/>
      <x:c r="K35" s="108"/>
      <x:c r="L35" s="108"/>
      <x:c r="M35" s="108"/>
      <x:c r="N35" s="108"/>
      <x:c r="O35" s="108"/>
      <x:c r="P35" s="108"/>
    </x:row>
  </x:sheetData>
  <x:mergeCells>
    <x:mergeCell ref="A1:P2"/>
    <x:mergeCell ref="A3:P3"/>
    <x:mergeCell ref="A4:C4"/>
    <x:mergeCell ref="D4:F4"/>
    <x:mergeCell ref="G4:I4"/>
    <x:mergeCell ref="J4:L4"/>
    <x:mergeCell ref="A9:H9"/>
    <x:mergeCell ref="J9:M9"/>
    <x:mergeCell ref="J16:P16"/>
    <x:mergeCell ref="J17:P17"/>
    <x:mergeCell ref="J18:P18"/>
    <x:mergeCell ref="J19:P19"/>
    <x:mergeCell ref="J20:P20"/>
    <x:mergeCell ref="J21:P21"/>
    <x:mergeCell ref="J22:P22"/>
    <x:mergeCell ref="J24:P24"/>
    <x:mergeCell ref="J25:P25"/>
    <x:mergeCell ref="J26:P26"/>
    <x:mergeCell ref="J27:P27"/>
    <x:mergeCell ref="J28:P28"/>
    <x:mergeCell ref="A34:P35"/>
  </x:mergeCells>
  <x:pageMargins left="0.7" right="0.7" top="0.75" bottom="0.75" header="0.3" footer="0.3"/>
  <x:drawing xmlns:r="http://schemas.openxmlformats.org/officeDocument/2006/relationships" r:id="Rc269ed5ab1f0443c"/>
  <x:legacyDrawing xmlns:r="http://schemas.openxmlformats.org/officeDocument/2006/relationships" r:id="R37f24c6107cb4a2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3" hidden="0" customWidth="1"/>
    <x:col min="3" max="3" width="10" hidden="0" customWidth="1"/>
    <x:col min="4" max="4" width="13" hidden="0" customWidth="1"/>
    <x:col min="5" max="5" width="11" hidden="0" customWidth="1"/>
    <x:col min="6" max="6" width="9" hidden="0" customWidth="1"/>
    <x:col min="7" max="7" width="9" hidden="0" customWidth="1"/>
    <x:col min="8" max="8" width="12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24" hidden="0" customWidth="1"/>
    <x:col min="14" max="14" width="14" hidden="0" customWidth="1"/>
    <x:col min="15" max="15" width="17" hidden="0" customWidth="1"/>
    <x:col min="16" max="16" width="20" hidden="0" customWidth="1"/>
  </x:cols>
  <x:sheetData>
    <x:row r="1" ht="30" customHeight="1">
      <x:c r="A1" s="4" t="str">
        <x:v>Opportunity Ranking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34" customHeight="1">
      <x:c r="A3" s="8" t="str">
        <x:v>Scenario values are planning inputs, not forecasts. Yellow cells are editable assumptions; score components are formula-auditable.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</x:row>
    <x:row r="4" ht="32" customHeight="1">
      <x:c r="A4" s="20" t="str">
        <x:v>Rank</x:v>
      </x:c>
      <x:c r="B4" s="21" t="str">
        <x:v>Opportunity</x:v>
      </x:c>
      <x:c r="C4" s="21" t="str">
        <x:v>Score</x:v>
      </x:c>
      <x:c r="D4" s="21" t="str">
        <x:v>Revenue proximity (30)</x:v>
      </x:c>
      <x:c r="E4" s="21" t="str">
        <x:v>Evidence (20)</x:v>
      </x:c>
      <x:c r="F4" s="21" t="str">
        <x:v>Ease (15)</x:v>
      </x:c>
      <x:c r="G4" s="21" t="str">
        <x:v>Speed (15)</x:v>
      </x:c>
      <x:c r="H4" s="21" t="str">
        <x:v>Strategic value (10)</x:v>
      </x:c>
      <x:c r="I4" s="21" t="str">
        <x:v>Operator control (10)</x:v>
      </x:c>
      <x:c r="J4" s="21" t="str">
        <x:v>Conservative</x:v>
      </x:c>
      <x:c r="K4" s="21" t="str">
        <x:v>Base</x:v>
      </x:c>
      <x:c r="L4" s="21" t="str">
        <x:v>Upside</x:v>
      </x:c>
      <x:c r="M4" s="21" t="str">
        <x:v>Evidence strength</x:v>
      </x:c>
      <x:c r="N4" s="21" t="str">
        <x:v>Effort</x:v>
      </x:c>
      <x:c r="O4" s="21" t="str">
        <x:v>Time to launch</x:v>
      </x:c>
      <x:c r="P4" s="22" t="str">
        <x:v>Decision</x:v>
      </x:c>
    </x:row>
    <x:row r="5" ht="45" customHeight="1">
      <x:c r="A5" s="35" t="n">
        <x:v>1</x:v>
      </x:c>
      <x:c r="B5" s="35" t="str">
        <x:v>CA high-intent mockup + quote close</x:v>
      </x:c>
      <x:c r="C5" s="35" t="n">
        <x:f>SUM(D5:I5)</x:f>
        <x:v>92</x:v>
      </x:c>
      <x:c r="D5" s="43" t="n">
        <x:v>29</x:v>
      </x:c>
      <x:c r="E5" s="43" t="n">
        <x:v>18</x:v>
      </x:c>
      <x:c r="F5" s="43" t="n">
        <x:v>13</x:v>
      </x:c>
      <x:c r="G5" s="43" t="n">
        <x:v>15</x:v>
      </x:c>
      <x:c r="H5" s="43" t="n">
        <x:v>9</x:v>
      </x:c>
      <x:c r="I5" s="43" t="n">
        <x:v>8</x:v>
      </x:c>
      <x:c r="J5" s="41" t="n">
        <x:v>4000</x:v>
      </x:c>
      <x:c r="K5" s="41" t="n">
        <x:v>8000</x:v>
      </x:c>
      <x:c r="L5" s="41" t="n">
        <x:v>15000</x:v>
      </x:c>
      <x:c r="M5" s="35" t="str">
        <x:v>High</x:v>
      </x:c>
      <x:c r="N5" s="35" t="str">
        <x:v>Medium</x:v>
      </x:c>
      <x:c r="O5" s="35" t="str">
        <x:v>&lt;24h to approvals</x:v>
      </x:c>
      <x:c r="P5" s="35" t="str">
        <x:v>Execute now</x:v>
      </x:c>
    </x:row>
    <x:row r="6" ht="45" customHeight="1">
      <x:c r="A6" s="35" t="n">
        <x:v>2</x:v>
      </x:c>
      <x:c r="B6" s="35" t="str">
        <x:v>CA reorder rescue: top 25 + corrected August</x:v>
      </x:c>
      <x:c r="C6" s="35" t="n">
        <x:f>SUM(D6:I6)</x:f>
        <x:v>88</x:v>
      </x:c>
      <x:c r="D6" s="43" t="n">
        <x:v>28</x:v>
      </x:c>
      <x:c r="E6" s="43" t="n">
        <x:v>18</x:v>
      </x:c>
      <x:c r="F6" s="43" t="n">
        <x:v>12</x:v>
      </x:c>
      <x:c r="G6" s="43" t="n">
        <x:v>13</x:v>
      </x:c>
      <x:c r="H6" s="43" t="n">
        <x:v>9</x:v>
      </x:c>
      <x:c r="I6" s="43" t="n">
        <x:v>8</x:v>
      </x:c>
      <x:c r="J6" s="41" t="n">
        <x:v>3600</x:v>
      </x:c>
      <x:c r="K6" s="41" t="n">
        <x:v>10000</x:v>
      </x:c>
      <x:c r="L6" s="41" t="n">
        <x:v>17500</x:v>
      </x:c>
      <x:c r="M6" s="35" t="str">
        <x:v>High after live QBO gate</x:v>
      </x:c>
      <x:c r="N6" s="35" t="str">
        <x:v>Medium</x:v>
      </x:c>
      <x:c r="O6" s="35" t="str">
        <x:v>24-48h</x:v>
      </x:c>
      <x:c r="P6" s="35" t="str">
        <x:v>Execute after gate</x:v>
      </x:c>
    </x:row>
    <x:row r="7" ht="45" customHeight="1">
      <x:c r="A7" s="35" t="n">
        <x:v>3</x:v>
      </x:c>
      <x:c r="B7" s="35" t="str">
        <x:v>Dealthreads four-positive conversion</x:v>
      </x:c>
      <x:c r="C7" s="35" t="n">
        <x:f>SUM(D7:I7)</x:f>
        <x:v>84</x:v>
      </x:c>
      <x:c r="D7" s="43" t="n">
        <x:v>22</x:v>
      </x:c>
      <x:c r="E7" s="43" t="n">
        <x:v>17</x:v>
      </x:c>
      <x:c r="F7" s="43" t="n">
        <x:v>13</x:v>
      </x:c>
      <x:c r="G7" s="43" t="n">
        <x:v>15</x:v>
      </x:c>
      <x:c r="H7" s="43" t="n">
        <x:v>8</x:v>
      </x:c>
      <x:c r="I7" s="43" t="n">
        <x:v>9</x:v>
      </x:c>
      <x:c r="J7" s="41" t="n">
        <x:v>0</x:v>
      </x:c>
      <x:c r="K7" s="41" t="n">
        <x:v>2000</x:v>
      </x:c>
      <x:c r="L7" s="41" t="n">
        <x:v>8000</x:v>
      </x:c>
      <x:c r="M7" s="35" t="str">
        <x:v>Medium-high</x:v>
      </x:c>
      <x:c r="N7" s="35" t="str">
        <x:v>Low</x:v>
      </x:c>
      <x:c r="O7" s="35" t="str">
        <x:v>&lt;24h</x:v>
      </x:c>
      <x:c r="P7" s="35" t="str">
        <x:v>Execute now</x:v>
      </x:c>
    </x:row>
    <x:row r="8" ht="45" customHeight="1">
      <x:c r="A8" s="35" t="n">
        <x:v>4</x:v>
      </x:c>
      <x:c r="B8" s="35" t="str">
        <x:v>CA invoice collection workflow</x:v>
      </x:c>
      <x:c r="C8" s="35" t="n">
        <x:f>SUM(D8:I8)</x:f>
        <x:v>82</x:v>
      </x:c>
      <x:c r="D8" s="43" t="n">
        <x:v>30</x:v>
      </x:c>
      <x:c r="E8" s="43" t="n">
        <x:v>19</x:v>
      </x:c>
      <x:c r="F8" s="43" t="n">
        <x:v>12</x:v>
      </x:c>
      <x:c r="G8" s="43" t="n">
        <x:v>15</x:v>
      </x:c>
      <x:c r="H8" s="43" t="n">
        <x:v>4</x:v>
      </x:c>
      <x:c r="I8" s="43" t="n">
        <x:v>2</x:v>
      </x:c>
      <x:c r="J8" s="41" t="n">
        <x:v>0</x:v>
      </x:c>
      <x:c r="K8" s="41" t="n">
        <x:v>0</x:v>
      </x:c>
      <x:c r="L8" s="41" t="n">
        <x:v>0</x:v>
      </x:c>
      <x:c r="M8" s="35" t="str">
        <x:v>High balance; collectibility unknown</x:v>
      </x:c>
      <x:c r="N8" s="35" t="str">
        <x:v>Medium</x:v>
      </x:c>
      <x:c r="O8" s="35" t="str">
        <x:v>&lt;24h after refresh</x:v>
      </x:c>
      <x:c r="P8" s="35" t="str">
        <x:v>Separate cash lane</x:v>
      </x:c>
    </x:row>
    <x:row r="9" ht="45" customHeight="1">
      <x:c r="A9" s="35" t="n">
        <x:v>5</x:v>
      </x:c>
      <x:c r="B9" s="35" t="str">
        <x:v>Law-firm free-mockup campaign expansion</x:v>
      </x:c>
      <x:c r="C9" s="35" t="n">
        <x:f>SUM(D9:I9)</x:f>
        <x:v>66</x:v>
      </x:c>
      <x:c r="D9" s="43" t="n">
        <x:v>15</x:v>
      </x:c>
      <x:c r="E9" s="43" t="n">
        <x:v>15</x:v>
      </x:c>
      <x:c r="F9" s="43" t="n">
        <x:v>10</x:v>
      </x:c>
      <x:c r="G9" s="43" t="n">
        <x:v>8</x:v>
      </x:c>
      <x:c r="H9" s="43" t="n">
        <x:v>10</x:v>
      </x:c>
      <x:c r="I9" s="43" t="n">
        <x:v>8</x:v>
      </x:c>
      <x:c r="J9" s="41" t="n">
        <x:v>0</x:v>
      </x:c>
      <x:c r="K9" s="41" t="n">
        <x:v>0</x:v>
      </x:c>
      <x:c r="L9" s="41" t="n">
        <x:v>0</x:v>
      </x:c>
      <x:c r="M9" s="35" t="str">
        <x:v>Medium</x:v>
      </x:c>
      <x:c r="N9" s="35" t="str">
        <x:v>Medium-high</x:v>
      </x:c>
      <x:c r="O9" s="35" t="str">
        <x:v>After backlog</x:v>
      </x:c>
      <x:c r="P9" s="35" t="str">
        <x:v>Fulfill first</x:v>
      </x:c>
    </x:row>
    <x:row r="10" ht="45" customHeight="1">
      <x:c r="A10" s="35" t="n">
        <x:v>6</x:v>
      </x:c>
      <x:c r="B10" s="35" t="str">
        <x:v>Content-to-revenue proof episode</x:v>
      </x:c>
      <x:c r="C10" s="35" t="n">
        <x:f>SUM(D10:I10)</x:f>
        <x:v>62</x:v>
      </x:c>
      <x:c r="D10" s="43" t="n">
        <x:v>5</x:v>
      </x:c>
      <x:c r="E10" s="43" t="n">
        <x:v>16</x:v>
      </x:c>
      <x:c r="F10" s="43" t="n">
        <x:v>12</x:v>
      </x:c>
      <x:c r="G10" s="43" t="n">
        <x:v>10</x:v>
      </x:c>
      <x:c r="H10" s="43" t="n">
        <x:v>10</x:v>
      </x:c>
      <x:c r="I10" s="43" t="n">
        <x:v>9</x:v>
      </x:c>
      <x:c r="J10" s="41" t="n">
        <x:v>0</x:v>
      </x:c>
      <x:c r="K10" s="41" t="n">
        <x:v>0</x:v>
      </x:c>
      <x:c r="L10" s="41" t="n">
        <x:v>0</x:v>
      </x:c>
      <x:c r="M10" s="35" t="str">
        <x:v>Medium; no attribution baseline</x:v>
      </x:c>
      <x:c r="N10" s="35" t="str">
        <x:v>Low</x:v>
      </x:c>
      <x:c r="O10" s="35" t="str">
        <x:v>&lt;24h to record</x:v>
      </x:c>
      <x:c r="P10" s="35" t="str">
        <x:v>Record, hold draft</x:v>
      </x:c>
    </x:row>
    <x:row r="11" ht="45" customHeight="1">
      <x:c r="A11" s="35" t="n">
        <x:v>7</x:v>
      </x:c>
      <x:c r="B11" s="35" t="str">
        <x:v>Broad 981-record reactivation</x:v>
      </x:c>
      <x:c r="C11" s="35" t="n">
        <x:f>SUM(D11:I11)</x:f>
        <x:v>48</x:v>
      </x:c>
      <x:c r="D11" s="43" t="n">
        <x:v>12</x:v>
      </x:c>
      <x:c r="E11" s="43" t="n">
        <x:v>7</x:v>
      </x:c>
      <x:c r="F11" s="43" t="n">
        <x:v>7</x:v>
      </x:c>
      <x:c r="G11" s="43" t="n">
        <x:v>5</x:v>
      </x:c>
      <x:c r="H11" s="43" t="n">
        <x:v>9</x:v>
      </x:c>
      <x:c r="I11" s="43" t="n">
        <x:v>8</x:v>
      </x:c>
      <x:c r="J11" s="41" t="n">
        <x:v>0</x:v>
      </x:c>
      <x:c r="K11" s="41" t="n">
        <x:v>0</x:v>
      </x:c>
      <x:c r="L11" s="41" t="n">
        <x:v>0</x:v>
      </x:c>
      <x:c r="M11" s="35" t="str">
        <x:v>Low until identity/recency cleanup</x:v>
      </x:c>
      <x:c r="N11" s="35" t="str">
        <x:v>High</x:v>
      </x:c>
      <x:c r="O11" s="35" t="str">
        <x:v>&gt;7 days</x:v>
      </x:c>
      <x:c r="P11" s="35" t="str">
        <x:v>Defer and clean</x:v>
      </x:c>
    </x:row>
    <x:row r="12" ht="45" customHeight="1">
      <x:c r="A12" s="38" t="n">
        <x:v>8</x:v>
      </x:c>
      <x:c r="B12" s="38" t="str">
        <x:v>New CA cold verticals</x:v>
      </x:c>
      <x:c r="C12" s="38" t="n">
        <x:f>SUM(D12:I12)</x:f>
        <x:v>34</x:v>
      </x:c>
      <x:c r="D12" s="44" t="n">
        <x:v>6</x:v>
      </x:c>
      <x:c r="E12" s="44" t="n">
        <x:v>5</x:v>
      </x:c>
      <x:c r="F12" s="44" t="n">
        <x:v>7</x:v>
      </x:c>
      <x:c r="G12" s="44" t="n">
        <x:v>4</x:v>
      </x:c>
      <x:c r="H12" s="44" t="n">
        <x:v>6</x:v>
      </x:c>
      <x:c r="I12" s="44" t="n">
        <x:v>6</x:v>
      </x:c>
      <x:c r="J12" s="42" t="n">
        <x:v>0</x:v>
      </x:c>
      <x:c r="K12" s="42" t="n">
        <x:v>0</x:v>
      </x:c>
      <x:c r="L12" s="42" t="n">
        <x:v>0</x:v>
      </x:c>
      <x:c r="M12" s="38" t="str">
        <x:v>Low; construction has 0 interested</x:v>
      </x:c>
      <x:c r="N12" s="38" t="str">
        <x:v>Medium</x:v>
      </x:c>
      <x:c r="O12" s="38" t="str">
        <x:v>&gt;7 days</x:v>
      </x:c>
      <x:c r="P12" s="38" t="str">
        <x:v>Pause</x:v>
      </x:c>
    </x:row>
  </x:sheetData>
  <x:mergeCells>
    <x:mergeCell ref="A1:P2"/>
    <x:mergeCell ref="A3:P3"/>
  </x:mergeCells>
  <x:conditionalFormatting sqref="C5:C12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{348AC0D1-9F50-2464-468A-39AFE9464A6A}</x14:id>
        </x:ext>
      </x:extLst>
    </x:cfRule>
  </x:conditionalFormatting>
  <x:conditionalFormatting sqref="P5:P12">
    <x:cfRule type="containsText" dxfId="0" priority="2" operator="containsText" text="Pending"/>
    <x:cfRule type="containsText" dxfId="1" priority="3" operator="containsText" text="Approved"/>
    <x:cfRule type="containsText" dxfId="2" priority="4" operator="containsText" text="Completed"/>
    <x:cfRule type="containsText" dxfId="3" priority="5" operator="containsText" text="Hold"/>
    <x:cfRule type="containsText" dxfId="4" priority="6" operator="containsText" text="Suppressed"/>
  </x:conditionalFormatting>
  <x:dataValidations count="1">
    <x:dataValidation type="list" sqref="P5:P12">
      <x:formula1>"Execute now,Execute after gate,Separate cash lane,Fulfill first,Record, hold draft,Defer and clean,Pause"</x:formula1>
    </x:dataValidation>
  </x:dataValidations>
  <x:pageMargins left="0.7" right="0.7" top="0.75" bottom="0.75" header="0.3" footer="0.3"/>
  <x:legacyDrawing xmlns:r="http://schemas.openxmlformats.org/officeDocument/2006/relationships" r:id="R98aaeacdecb24e9e"/>
  <x:tableParts count="1">
    <x:tablePart xmlns:r="http://schemas.openxmlformats.org/officeDocument/2006/relationships" r:id="R4001d2b53d14412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48AC0D1-9F50-2464-468A-39AFE9464A6A}">
            <x14:dataBar gradient="0">
              <x14:cfvo type="min"/>
              <x14:cfvo type="max"/>
              <x14:fillColor rgb="FF0F766E"/>
            </x14:dataBar>
          </x14:cfRule>
          <xm:sqref>C5:C12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16" hidden="0" customWidth="1"/>
    <x:col min="4" max="4" width="50" hidden="0" customWidth="1"/>
    <x:col min="5" max="5" width="20" hidden="0" customWidth="1"/>
    <x:col min="6" max="6" width="28" hidden="0" customWidth="1"/>
    <x:col min="7" max="7" width="14" hidden="0" customWidth="1"/>
    <x:col min="8" max="8" width="34" hidden="0" customWidth="1"/>
    <x:col min="9" max="9" width="15" hidden="0" customWidth="1"/>
    <x:col min="10" max="10" width="15" hidden="0" customWidth="1"/>
  </x:cols>
  <x:sheetData>
    <x:row r="1" ht="30" customHeight="1">
      <x:c r="A1" s="4" t="str">
        <x:v>7-Day Execution Queue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34" customHeight="1">
      <x:c r="A3" s="8" t="str">
        <x:v>Change Status only after the named gate is satisfied. No row authorizes an automatic send, call, quote, CRM edit, or publication.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4" ht="32" customHeight="1">
      <x:c r="A4" s="20" t="str">
        <x:v>Date</x:v>
      </x:c>
      <x:c r="B4" s="21" t="str">
        <x:v>Day</x:v>
      </x:c>
      <x:c r="C4" s="21" t="str">
        <x:v>Lane</x:v>
      </x:c>
      <x:c r="D4" s="21" t="str">
        <x:v>Action</x:v>
      </x:c>
      <x:c r="E4" s="21" t="str">
        <x:v>Owner</x:v>
      </x:c>
      <x:c r="F4" s="21" t="str">
        <x:v>Approval gate</x:v>
      </x:c>
      <x:c r="G4" s="21" t="str">
        <x:v>Status</x:v>
      </x:c>
      <x:c r="H4" s="21" t="str">
        <x:v>Outcome / evidence</x:v>
      </x:c>
      <x:c r="I4" s="21" t="str">
        <x:v>Booked revenue</x:v>
      </x:c>
      <x:c r="J4" s="22" t="str">
        <x:v>Cash collected</x:v>
      </x:c>
    </x:row>
    <x:row r="5" ht="38" customHeight="1">
      <x:c r="A5" s="49" t="n">
        <x:v>46221.5</x:v>
      </x:c>
      <x:c r="B5" s="35" t="str">
        <x:v>Day 1</x:v>
      </x:c>
      <x:c r="C5" s="35" t="str">
        <x:v>Dealthreads</x:v>
      </x:c>
      <x:c r="D5" s="35" t="str">
        <x:v>Verify delivery for Angel, Luke, Dane, and Mandy</x:v>
      </x:c>
      <x:c r="E5" s="35" t="str">
        <x:v>Ryan</x:v>
      </x:c>
      <x:c r="F5" s="35" t="str">
        <x:v>Thread/package evidence</x:v>
      </x:c>
      <x:c r="G5" s="35" t="str">
        <x:v>Pending</x:v>
      </x:c>
      <x:c r="H5" s="51" t="str"/>
      <x:c r="I5" s="41" t="n">
        <x:v>0</x:v>
      </x:c>
      <x:c r="J5" s="41" t="n">
        <x:v>0</x:v>
      </x:c>
    </x:row>
    <x:row r="6" ht="38" customHeight="1">
      <x:c r="A6" s="49" t="n">
        <x:v>46221.5</x:v>
      </x:c>
      <x:c r="B6" s="35" t="str">
        <x:v>Day 1</x:v>
      </x:c>
      <x:c r="C6" s="35" t="str">
        <x:v>Dealthreads</x:v>
      </x:c>
      <x:c r="D6" s="35" t="str">
        <x:v>Approve Shine Hire exception and working payment path</x:v>
      </x:c>
      <x:c r="E6" s="35" t="str">
        <x:v>Ryan</x:v>
      </x:c>
      <x:c r="F6" s="35" t="str">
        <x:v>Level A</x:v>
      </x:c>
      <x:c r="G6" s="35" t="str">
        <x:v>Pending</x:v>
      </x:c>
      <x:c r="H6" s="51" t="str"/>
      <x:c r="I6" s="41" t="n">
        <x:v>0</x:v>
      </x:c>
      <x:c r="J6" s="41" t="n">
        <x:v>0</x:v>
      </x:c>
    </x:row>
    <x:row r="7" ht="38" customHeight="1">
      <x:c r="A7" s="49" t="n">
        <x:v>46221.5</x:v>
      </x:c>
      <x:c r="B7" s="35" t="str">
        <x:v>Day 1</x:v>
      </x:c>
      <x:c r="C7" s="35" t="str">
        <x:v>CA Mockups</x:v>
      </x:c>
      <x:c r="D7" s="35" t="str">
        <x:v>Resolve Miller Johnson SKU, decoration, freight, and margin</x:v>
      </x:c>
      <x:c r="E7" s="35" t="str">
        <x:v>Kenny</x:v>
      </x:c>
      <x:c r="F7" s="35" t="str">
        <x:v>Level C</x:v>
      </x:c>
      <x:c r="G7" s="35" t="str">
        <x:v>Pending</x:v>
      </x:c>
      <x:c r="H7" s="51" t="str"/>
      <x:c r="I7" s="41" t="n">
        <x:v>0</x:v>
      </x:c>
      <x:c r="J7" s="41" t="n">
        <x:v>0</x:v>
      </x:c>
    </x:row>
    <x:row r="8" ht="38" customHeight="1">
      <x:c r="A8" s="49" t="n">
        <x:v>46221.5</x:v>
      </x:c>
      <x:c r="B8" s="35" t="str">
        <x:v>Day 1</x:v>
      </x:c>
      <x:c r="C8" s="35" t="str">
        <x:v>CA Mockups</x:v>
      </x:c>
      <x:c r="D8" s="35" t="str">
        <x:v>Review Nirenstein, Joseph, Skyer, and INVST status</x:v>
      </x:c>
      <x:c r="E8" s="35" t="str">
        <x:v>Ryan / Maclaine</x:v>
      </x:c>
      <x:c r="F8" s="35" t="str">
        <x:v>Level B</x:v>
      </x:c>
      <x:c r="G8" s="35" t="str">
        <x:v>Pending</x:v>
      </x:c>
      <x:c r="H8" s="51" t="str"/>
      <x:c r="I8" s="41" t="n">
        <x:v>0</x:v>
      </x:c>
      <x:c r="J8" s="41" t="n">
        <x:v>0</x:v>
      </x:c>
    </x:row>
    <x:row r="9" ht="38" customHeight="1">
      <x:c r="A9" s="49" t="n">
        <x:v>46221.5</x:v>
      </x:c>
      <x:c r="B9" s="35" t="str">
        <x:v>Day 1</x:v>
      </x:c>
      <x:c r="C9" s="35" t="str">
        <x:v>Content</x:v>
      </x:c>
      <x:c r="D9" s="35" t="str">
        <x:v>Record privacy-safe mockup-machine episode; keep draft</x:v>
      </x:c>
      <x:c r="E9" s="35" t="str">
        <x:v>Ryan</x:v>
      </x:c>
      <x:c r="F9" s="35" t="str">
        <x:v>No publication</x:v>
      </x:c>
      <x:c r="G9" s="35" t="str">
        <x:v>Pending</x:v>
      </x:c>
      <x:c r="H9" s="51" t="str"/>
      <x:c r="I9" s="41" t="n">
        <x:v>0</x:v>
      </x:c>
      <x:c r="J9" s="41" t="n">
        <x:v>0</x:v>
      </x:c>
    </x:row>
    <x:row r="10" ht="38" customHeight="1">
      <x:c r="A10" s="49" t="n">
        <x:v>46222.5</x:v>
      </x:c>
      <x:c r="B10" s="35" t="str">
        <x:v>Day 2</x:v>
      </x:c>
      <x:c r="C10" s="35" t="str">
        <x:v>CA Reorders</x:v>
      </x:c>
      <x:c r="D10" s="35" t="str">
        <x:v>Live-QBO check top 25: order, A/R, quote, owner</x:v>
      </x:c>
      <x:c r="E10" s="35" t="str">
        <x:v>Maclaine / Kenny</x:v>
      </x:c>
      <x:c r="F10" s="35" t="str">
        <x:v>Levels B + C</x:v>
      </x:c>
      <x:c r="G10" s="35" t="str">
        <x:v>Pending</x:v>
      </x:c>
      <x:c r="H10" s="51" t="str"/>
      <x:c r="I10" s="41" t="n">
        <x:v>0</x:v>
      </x:c>
      <x:c r="J10" s="41" t="n">
        <x:v>0</x:v>
      </x:c>
    </x:row>
    <x:row r="11" ht="38" customHeight="1">
      <x:c r="A11" s="49" t="n">
        <x:v>46222.5</x:v>
      </x:c>
      <x:c r="B11" s="35" t="str">
        <x:v>Day 2</x:v>
      </x:c>
      <x:c r="C11" s="35" t="str">
        <x:v>CA Reorders</x:v>
      </x:c>
      <x:c r="D11" s="35" t="str">
        <x:v>Approve first 10 surviving rows; hold all others</x:v>
      </x:c>
      <x:c r="E11" s="35" t="str">
        <x:v>Maclaine / Kenny</x:v>
      </x:c>
      <x:c r="F11" s="35" t="str">
        <x:v>Every row gate = Yes</x:v>
      </x:c>
      <x:c r="G11" s="35" t="str">
        <x:v>Pending</x:v>
      </x:c>
      <x:c r="H11" s="51" t="str"/>
      <x:c r="I11" s="41" t="n">
        <x:v>0</x:v>
      </x:c>
      <x:c r="J11" s="41" t="n">
        <x:v>0</x:v>
      </x:c>
    </x:row>
    <x:row r="12" ht="38" customHeight="1">
      <x:c r="A12" s="49" t="n">
        <x:v>46222.5</x:v>
      </x:c>
      <x:c r="B12" s="35" t="str">
        <x:v>Day 2</x:v>
      </x:c>
      <x:c r="C12" s="35" t="str">
        <x:v>CA Mockups</x:v>
      </x:c>
      <x:c r="D12" s="35" t="str">
        <x:v>Final-QC Joseph Hollander and INVST packages</x:v>
      </x:c>
      <x:c r="E12" s="35" t="str">
        <x:v>Maclaine</x:v>
      </x:c>
      <x:c r="F12" s="35" t="str">
        <x:v>Logo, PDF, SKU, link</x:v>
      </x:c>
      <x:c r="G12" s="35" t="str">
        <x:v>Pending</x:v>
      </x:c>
      <x:c r="H12" s="51" t="str"/>
      <x:c r="I12" s="41" t="n">
        <x:v>0</x:v>
      </x:c>
      <x:c r="J12" s="41" t="n">
        <x:v>0</x:v>
      </x:c>
    </x:row>
    <x:row r="13" ht="38" customHeight="1">
      <x:c r="A13" s="49" t="n">
        <x:v>46222.5</x:v>
      </x:c>
      <x:c r="B13" s="35" t="str">
        <x:v>Day 2</x:v>
      </x:c>
      <x:c r="C13" s="35" t="str">
        <x:v>CA Mockups</x:v>
      </x:c>
      <x:c r="D13" s="35" t="str">
        <x:v>Prepare Nirenstein meeting pack and Skyer brief</x:v>
      </x:c>
      <x:c r="E13" s="35" t="str">
        <x:v>Ryan / Maclaine</x:v>
      </x:c>
      <x:c r="F13" s="35" t="str">
        <x:v>Level B; C for promises</x:v>
      </x:c>
      <x:c r="G13" s="35" t="str">
        <x:v>Pending</x:v>
      </x:c>
      <x:c r="H13" s="51" t="str"/>
      <x:c r="I13" s="41" t="n">
        <x:v>0</x:v>
      </x:c>
      <x:c r="J13" s="41" t="n">
        <x:v>0</x:v>
      </x:c>
    </x:row>
    <x:row r="14" ht="38" customHeight="1">
      <x:c r="A14" s="49" t="n">
        <x:v>46223.5</x:v>
      </x:c>
      <x:c r="B14" s="35" t="str">
        <x:v>Day 3</x:v>
      </x:c>
      <x:c r="C14" s="35" t="str">
        <x:v>Dealthreads</x:v>
      </x:c>
      <x:c r="D14" s="35" t="str">
        <x:v>Human sends approved Shine Hire follow-up</x:v>
      </x:c>
      <x:c r="E14" s="35" t="str">
        <x:v>Ryan</x:v>
      </x:c>
      <x:c r="F14" s="35" t="str">
        <x:v>Exact draft + link approved</x:v>
      </x:c>
      <x:c r="G14" s="35" t="str">
        <x:v>Pending</x:v>
      </x:c>
      <x:c r="H14" s="51" t="str"/>
      <x:c r="I14" s="41" t="n">
        <x:v>0</x:v>
      </x:c>
      <x:c r="J14" s="41" t="n">
        <x:v>0</x:v>
      </x:c>
    </x:row>
    <x:row r="15" ht="38" customHeight="1">
      <x:c r="A15" s="49" t="n">
        <x:v>46223.5</x:v>
      </x:c>
      <x:c r="B15" s="35" t="str">
        <x:v>Day 3</x:v>
      </x:c>
      <x:c r="C15" s="35" t="str">
        <x:v>Dealthreads</x:v>
      </x:c>
      <x:c r="D15" s="35" t="str">
        <x:v>Call Luke, Dane, and Mandy after delivery check</x:v>
      </x:c>
      <x:c r="E15" s="35" t="str">
        <x:v>Ryan</x:v>
      </x:c>
      <x:c r="F15" s="35" t="str">
        <x:v>Level A</x:v>
      </x:c>
      <x:c r="G15" s="35" t="str">
        <x:v>Pending</x:v>
      </x:c>
      <x:c r="H15" s="51" t="str"/>
      <x:c r="I15" s="41" t="n">
        <x:v>0</x:v>
      </x:c>
      <x:c r="J15" s="41" t="n">
        <x:v>0</x:v>
      </x:c>
    </x:row>
    <x:row r="16" ht="38" customHeight="1">
      <x:c r="A16" s="49" t="n">
        <x:v>46223.5</x:v>
      </x:c>
      <x:c r="B16" s="35" t="str">
        <x:v>Day 3</x:v>
      </x:c>
      <x:c r="C16" s="35" t="str">
        <x:v>CA Mockups</x:v>
      </x:c>
      <x:c r="D16" s="35" t="str">
        <x:v>Complete approved high-intent sends/calls</x:v>
      </x:c>
      <x:c r="E16" s="35" t="str">
        <x:v>Kenny / Maclaine</x:v>
      </x:c>
      <x:c r="F16" s="35" t="str">
        <x:v>Levels B + C</x:v>
      </x:c>
      <x:c r="G16" s="35" t="str">
        <x:v>Pending</x:v>
      </x:c>
      <x:c r="H16" s="51" t="str"/>
      <x:c r="I16" s="41" t="n">
        <x:v>0</x:v>
      </x:c>
      <x:c r="J16" s="41" t="n">
        <x:v>0</x:v>
      </x:c>
    </x:row>
    <x:row r="17" ht="38" customHeight="1">
      <x:c r="A17" s="49" t="n">
        <x:v>46223.5</x:v>
      </x:c>
      <x:c r="B17" s="35" t="str">
        <x:v>Day 3</x:v>
      </x:c>
      <x:c r="C17" s="35" t="str">
        <x:v>CA Reorders</x:v>
      </x:c>
      <x:c r="D17" s="35" t="str">
        <x:v>Work approved rows 1-5 phone-first</x:v>
      </x:c>
      <x:c r="E17" s="35" t="str">
        <x:v>Maclaine / Kenny</x:v>
      </x:c>
      <x:c r="F17" s="35" t="str">
        <x:v>Every row gate = Yes</x:v>
      </x:c>
      <x:c r="G17" s="35" t="str">
        <x:v>Pending</x:v>
      </x:c>
      <x:c r="H17" s="51" t="str"/>
      <x:c r="I17" s="41" t="n">
        <x:v>0</x:v>
      </x:c>
      <x:c r="J17" s="41" t="n">
        <x:v>0</x:v>
      </x:c>
    </x:row>
    <x:row r="18" ht="38" customHeight="1">
      <x:c r="A18" s="49" t="n">
        <x:v>46224.5</x:v>
      </x:c>
      <x:c r="B18" s="35" t="str">
        <x:v>Day 4</x:v>
      </x:c>
      <x:c r="C18" s="35" t="str">
        <x:v>CA Reorders</x:v>
      </x:c>
      <x:c r="D18" s="35" t="str">
        <x:v>Work approved rows 6-10</x:v>
      </x:c>
      <x:c r="E18" s="35" t="str">
        <x:v>Maclaine / Kenny</x:v>
      </x:c>
      <x:c r="F18" s="35" t="str">
        <x:v>Every row gate = Yes</x:v>
      </x:c>
      <x:c r="G18" s="35" t="str">
        <x:v>Pending</x:v>
      </x:c>
      <x:c r="H18" s="51" t="str"/>
      <x:c r="I18" s="41" t="n">
        <x:v>0</x:v>
      </x:c>
      <x:c r="J18" s="41" t="n">
        <x:v>0</x:v>
      </x:c>
    </x:row>
    <x:row r="19" ht="38" customHeight="1">
      <x:c r="A19" s="49" t="n">
        <x:v>46224.5</x:v>
      </x:c>
      <x:c r="B19" s="35" t="str">
        <x:v>Day 4</x:v>
      </x:c>
      <x:c r="C19" s="35" t="str">
        <x:v>Fulfillment</x:v>
      </x:c>
      <x:c r="D19" s="35" t="str">
        <x:v>Draft every positive response same business day</x:v>
      </x:c>
      <x:c r="E19" s="35" t="str">
        <x:v>Ryan / Maclaine</x:v>
      </x:c>
      <x:c r="F19" s="35" t="str">
        <x:v>Human approval before send</x:v>
      </x:c>
      <x:c r="G19" s="35" t="str">
        <x:v>Pending</x:v>
      </x:c>
      <x:c r="H19" s="51" t="str"/>
      <x:c r="I19" s="41" t="n">
        <x:v>0</x:v>
      </x:c>
      <x:c r="J19" s="41" t="n">
        <x:v>0</x:v>
      </x:c>
    </x:row>
    <x:row r="20" ht="38" customHeight="1">
      <x:c r="A20" s="49" t="n">
        <x:v>46224.5</x:v>
      </x:c>
      <x:c r="B20" s="35" t="str">
        <x:v>Day 4</x:v>
      </x:c>
      <x:c r="C20" s="35" t="str">
        <x:v>Dealthreads</x:v>
      </x:c>
      <x:c r="D20" s="35" t="str">
        <x:v>Review replies and enforce suppressions</x:v>
      </x:c>
      <x:c r="E20" s="35" t="str">
        <x:v>Ryan</x:v>
      </x:c>
      <x:c r="F20" s="35" t="str">
        <x:v>Level A</x:v>
      </x:c>
      <x:c r="G20" s="35" t="str">
        <x:v>Pending</x:v>
      </x:c>
      <x:c r="H20" s="51" t="str"/>
      <x:c r="I20" s="41" t="n">
        <x:v>0</x:v>
      </x:c>
      <x:c r="J20" s="41" t="n">
        <x:v>0</x:v>
      </x:c>
    </x:row>
    <x:row r="21" ht="38" customHeight="1">
      <x:c r="A21" s="49" t="n">
        <x:v>46225.5</x:v>
      </x:c>
      <x:c r="B21" s="35" t="str">
        <x:v>Day 5</x:v>
      </x:c>
      <x:c r="C21" s="35" t="str">
        <x:v>CA Mockups</x:v>
      </x:c>
      <x:c r="D21" s="35" t="str">
        <x:v>Send approved quotes or document blocker + date</x:v>
      </x:c>
      <x:c r="E21" s="35" t="str">
        <x:v>Kenny / Maclaine</x:v>
      </x:c>
      <x:c r="F21" s="35" t="str">
        <x:v>Levels B + C</x:v>
      </x:c>
      <x:c r="G21" s="35" t="str">
        <x:v>Pending</x:v>
      </x:c>
      <x:c r="H21" s="51" t="str"/>
      <x:c r="I21" s="41" t="n">
        <x:v>0</x:v>
      </x:c>
      <x:c r="J21" s="41" t="n">
        <x:v>0</x:v>
      </x:c>
    </x:row>
    <x:row r="22" ht="38" customHeight="1">
      <x:c r="A22" s="49" t="n">
        <x:v>46225.5</x:v>
      </x:c>
      <x:c r="B22" s="35" t="str">
        <x:v>Day 5</x:v>
      </x:c>
      <x:c r="C22" s="35" t="str">
        <x:v>Dealthreads</x:v>
      </x:c>
      <x:c r="D22" s="35" t="str">
        <x:v>Direct trial ask for engaged sample recipients</x:v>
      </x:c>
      <x:c r="E22" s="35" t="str">
        <x:v>Ryan</x:v>
      </x:c>
      <x:c r="F22" s="35" t="str">
        <x:v>Scope + payment approved</x:v>
      </x:c>
      <x:c r="G22" s="35" t="str">
        <x:v>Pending</x:v>
      </x:c>
      <x:c r="H22" s="51" t="str"/>
      <x:c r="I22" s="41" t="n">
        <x:v>0</x:v>
      </x:c>
      <x:c r="J22" s="41" t="n">
        <x:v>0</x:v>
      </x:c>
    </x:row>
    <x:row r="23" ht="38" customHeight="1">
      <x:c r="A23" s="49" t="n">
        <x:v>46225.5</x:v>
      </x:c>
      <x:c r="B23" s="35" t="str">
        <x:v>Day 5</x:v>
      </x:c>
      <x:c r="C23" s="35" t="str">
        <x:v>Control</x:v>
      </x:c>
      <x:c r="D23" s="35" t="str">
        <x:v>Hold new volume if fulfillment/suppression is behind</x:v>
      </x:c>
      <x:c r="E23" s="35" t="str">
        <x:v>Ryan</x:v>
      </x:c>
      <x:c r="F23" s="35" t="str">
        <x:v>Scorecard review</x:v>
      </x:c>
      <x:c r="G23" s="35" t="str">
        <x:v>Pending</x:v>
      </x:c>
      <x:c r="H23" s="51" t="str"/>
      <x:c r="I23" s="41" t="n">
        <x:v>0</x:v>
      </x:c>
      <x:c r="J23" s="41" t="n">
        <x:v>0</x:v>
      </x:c>
    </x:row>
    <x:row r="24" ht="38" customHeight="1">
      <x:c r="A24" s="49" t="n">
        <x:v>46226.5</x:v>
      </x:c>
      <x:c r="B24" s="35" t="str">
        <x:v>Day 6</x:v>
      </x:c>
      <x:c r="C24" s="35" t="str">
        <x:v>CA Reorders</x:v>
      </x:c>
      <x:c r="D24" s="35" t="str">
        <x:v>Work next five approved rows only if logging is clean</x:v>
      </x:c>
      <x:c r="E24" s="35" t="str">
        <x:v>Maclaine / Kenny</x:v>
      </x:c>
      <x:c r="F24" s="35" t="str">
        <x:v>Every row gate = Yes</x:v>
      </x:c>
      <x:c r="G24" s="35" t="str">
        <x:v>Pending</x:v>
      </x:c>
      <x:c r="H24" s="51" t="str"/>
      <x:c r="I24" s="41" t="n">
        <x:v>0</x:v>
      </x:c>
      <x:c r="J24" s="41" t="n">
        <x:v>0</x:v>
      </x:c>
    </x:row>
    <x:row r="25" ht="38" customHeight="1">
      <x:c r="A25" s="49" t="n">
        <x:v>46226.5</x:v>
      </x:c>
      <x:c r="B25" s="35" t="str">
        <x:v>Day 6</x:v>
      </x:c>
      <x:c r="C25" s="35" t="str">
        <x:v>Revenue Ops</x:v>
      </x:c>
      <x:c r="D25" s="35" t="str">
        <x:v>Update orders, invoices, cash, dates, and hours</x:v>
      </x:c>
      <x:c r="E25" s="35" t="str">
        <x:v>Ryan / Maclaine</x:v>
      </x:c>
      <x:c r="F25" s="35" t="str">
        <x:v>Source evidence</x:v>
      </x:c>
      <x:c r="G25" s="35" t="str">
        <x:v>Pending</x:v>
      </x:c>
      <x:c r="H25" s="51" t="str"/>
      <x:c r="I25" s="41" t="n">
        <x:v>0</x:v>
      </x:c>
      <x:c r="J25" s="41" t="n">
        <x:v>0</x:v>
      </x:c>
    </x:row>
    <x:row r="26" ht="38" customHeight="1">
      <x:c r="A26" s="49" t="n">
        <x:v>46226.5</x:v>
      </x:c>
      <x:c r="B26" s="35" t="str">
        <x:v>Day 6</x:v>
      </x:c>
      <x:c r="C26" s="35" t="str">
        <x:v>CA Campaign</x:v>
      </x:c>
      <x:c r="D26" s="35" t="str">
        <x:v>Decide whether law-firm expansion can reopen</x:v>
      </x:c>
      <x:c r="E26" s="35" t="str">
        <x:v>Ryan / Maclaine</x:v>
      </x:c>
      <x:c r="F26" s="35" t="str">
        <x:v>Backlog cleared</x:v>
      </x:c>
      <x:c r="G26" s="35" t="str">
        <x:v>Pending</x:v>
      </x:c>
      <x:c r="H26" s="51" t="str"/>
      <x:c r="I26" s="41" t="n">
        <x:v>0</x:v>
      </x:c>
      <x:c r="J26" s="41" t="n">
        <x:v>0</x:v>
      </x:c>
    </x:row>
    <x:row r="27" ht="38" customHeight="1">
      <x:c r="A27" s="49" t="n">
        <x:v>46227.5</x:v>
      </x:c>
      <x:c r="B27" s="35" t="str">
        <x:v>Day 7</x:v>
      </x:c>
      <x:c r="C27" s="35" t="str">
        <x:v>Scorecard</x:v>
      </x:c>
      <x:c r="D27" s="35" t="str">
        <x:v>Reconcile booked, invoiced, cash, MRR, and pipeline</x:v>
      </x:c>
      <x:c r="E27" s="35" t="str">
        <x:v>Ryan</x:v>
      </x:c>
      <x:c r="F27" s="35" t="str">
        <x:v>Invoice/payment evidence</x:v>
      </x:c>
      <x:c r="G27" s="35" t="str">
        <x:v>Pending</x:v>
      </x:c>
      <x:c r="H27" s="51" t="str"/>
      <x:c r="I27" s="41" t="n">
        <x:v>0</x:v>
      </x:c>
      <x:c r="J27" s="41" t="n">
        <x:v>0</x:v>
      </x:c>
    </x:row>
    <x:row r="28" ht="38" customHeight="1">
      <x:c r="A28" s="49" t="n">
        <x:v>46227.5</x:v>
      </x:c>
      <x:c r="B28" s="35" t="str">
        <x:v>Day 7</x:v>
      </x:c>
      <x:c r="C28" s="35" t="str">
        <x:v>Learning</x:v>
      </x:c>
      <x:c r="D28" s="35" t="str">
        <x:v>Log wins, losses, blockers, and next experiment</x:v>
      </x:c>
      <x:c r="E28" s="35" t="str">
        <x:v>Ryan</x:v>
      </x:c>
      <x:c r="F28" s="35" t="str">
        <x:v>Complete dispositions</x:v>
      </x:c>
      <x:c r="G28" s="35" t="str">
        <x:v>Pending</x:v>
      </x:c>
      <x:c r="H28" s="51" t="str"/>
      <x:c r="I28" s="41" t="n">
        <x:v>0</x:v>
      </x:c>
      <x:c r="J28" s="41" t="n">
        <x:v>0</x:v>
      </x:c>
    </x:row>
    <x:row r="29" ht="38" customHeight="1">
      <x:c r="A29" s="50" t="n">
        <x:v>46227.5</x:v>
      </x:c>
      <x:c r="B29" s="38" t="str">
        <x:v>Day 7</x:v>
      </x:c>
      <x:c r="C29" s="38" t="str">
        <x:v>Content</x:v>
      </x:c>
      <x:c r="D29" s="38" t="str">
        <x:v>Approve publication only with proof permission</x:v>
      </x:c>
      <x:c r="E29" s="38" t="str">
        <x:v>Ryan + customer</x:v>
      </x:c>
      <x:c r="F29" s="38" t="str">
        <x:v>Levels A + P</x:v>
      </x:c>
      <x:c r="G29" s="38" t="str">
        <x:v>Hold</x:v>
      </x:c>
      <x:c r="H29" s="52" t="str"/>
      <x:c r="I29" s="42" t="n">
        <x:v>0</x:v>
      </x:c>
      <x:c r="J29" s="42" t="n">
        <x:v>0</x:v>
      </x:c>
    </x:row>
  </x:sheetData>
  <x:mergeCells>
    <x:mergeCell ref="A1:J2"/>
    <x:mergeCell ref="A3:J3"/>
  </x:mergeCells>
  <x:conditionalFormatting sqref="G5:G29">
    <x:cfRule type="containsText" dxfId="5" priority="1" operator="containsText" text="Pending"/>
    <x:cfRule type="containsText" dxfId="6" priority="2" operator="containsText" text="Approved"/>
    <x:cfRule type="containsText" dxfId="7" priority="3" operator="containsText" text="Completed"/>
    <x:cfRule type="containsText" dxfId="8" priority="4" operator="containsText" text="Hold"/>
    <x:cfRule type="containsText" dxfId="9" priority="5" operator="containsText" text="Suppressed"/>
  </x:conditionalFormatting>
  <x:dataValidations count="1">
    <x:dataValidation type="list" sqref="G5:G29">
      <x:formula1>"Pending,Approved,In Progress,Completed,Hold,Blocked"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dc4c96eb1b46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5" hidden="0" customWidth="1"/>
    <x:col min="10" max="10" width="15" hidden="0" customWidth="1"/>
    <x:col min="11" max="11" width="15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3" hidden="0" customWidth="1"/>
    <x:col min="22" max="22" width="13" hidden="0" customWidth="1"/>
    <x:col min="23" max="23" width="13" hidden="0" customWidth="1"/>
    <x:col min="24" max="24" width="10" hidden="0" customWidth="1"/>
    <x:col min="25" max="25" width="36" hidden="0" customWidth="1"/>
  </x:cols>
  <x:sheetData>
    <x:row r="1" ht="30" customHeight="1">
      <x:c r="A1" s="4" t="str">
        <x:v>Daily Revenue Scorecard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 ht="34" customHeight="1">
      <x:c r="A3" s="8" t="str">
        <x:v>Yellow cells are human inputs. Enter booked value only after acceptance; invoice and cash require linked evidence. A/R collections stay outside new revenue.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</x:row>
    <x:row r="4" ht="32" customHeight="1">
      <x:c r="A4" s="20" t="str">
        <x:v>Date</x:v>
      </x:c>
      <x:c r="B4" s="21" t="str">
        <x:v>Day</x:v>
      </x:c>
      <x:c r="C4" s="21" t="str">
        <x:v>CA follow-up attempts</x:v>
      </x:c>
      <x:c r="D4" s="21" t="str">
        <x:v>CA conversations</x:v>
      </x:c>
      <x:c r="E4" s="21" t="str">
        <x:v>CA mockups approved</x:v>
      </x:c>
      <x:c r="F4" s="21" t="str">
        <x:v>CA packages sent</x:v>
      </x:c>
      <x:c r="G4" s="21" t="str">
        <x:v>CA quotes sent</x:v>
      </x:c>
      <x:c r="H4" s="21" t="str">
        <x:v>CA orders booked</x:v>
      </x:c>
      <x:c r="I4" s="21" t="str">
        <x:v>CA booked revenue</x:v>
      </x:c>
      <x:c r="J4" s="21" t="str">
        <x:v>CA invoiced revenue</x:v>
      </x:c>
      <x:c r="K4" s="21" t="str">
        <x:v>CA cash collected</x:v>
      </x:c>
      <x:c r="L4" s="21" t="str">
        <x:v>Reorder attempts</x:v>
      </x:c>
      <x:c r="M4" s="21" t="str">
        <x:v>DT follow-ups</x:v>
      </x:c>
      <x:c r="N4" s="21" t="str">
        <x:v>DT meetings booked</x:v>
      </x:c>
      <x:c r="O4" s="21" t="str">
        <x:v>DT meetings held</x:v>
      </x:c>
      <x:c r="P4" s="21" t="str">
        <x:v>DT trials booked</x:v>
      </x:c>
      <x:c r="Q4" s="21" t="str">
        <x:v>DT booked revenue</x:v>
      </x:c>
      <x:c r="R4" s="21" t="str">
        <x:v>DT invoiced revenue</x:v>
      </x:c>
      <x:c r="S4" s="21" t="str">
        <x:v>DT cash collected</x:v>
      </x:c>
      <x:c r="T4" s="21" t="str">
        <x:v>DT MRR</x:v>
      </x:c>
      <x:c r="U4" s="21" t="str">
        <x:v>Content recorded</x:v>
      </x:c>
      <x:c r="V4" s="21" t="str">
        <x:v>Publish approved</x:v>
      </x:c>
      <x:c r="W4" s="21" t="str">
        <x:v>Fulfillment misses</x:v>
      </x:c>
      <x:c r="X4" s="21" t="str">
        <x:v>Hours</x:v>
      </x:c>
      <x:c r="Y4" s="22" t="str">
        <x:v>Notes</x:v>
      </x:c>
    </x:row>
    <x:row r="5" ht="42" customHeight="1">
      <x:c r="A5" s="64" t="n">
        <x:v>46221.5</x:v>
      </x:c>
      <x:c r="B5" s="65" t="str">
        <x:v>Saturday</x:v>
      </x:c>
      <x:c r="C5" s="66" t="n">
        <x:v>0</x:v>
      </x:c>
      <x:c r="D5" s="66" t="n">
        <x:v>0</x:v>
      </x:c>
      <x:c r="E5" s="66" t="n">
        <x:v>0</x:v>
      </x:c>
      <x:c r="F5" s="66" t="n">
        <x:v>0</x:v>
      </x:c>
      <x:c r="G5" s="66" t="n">
        <x:v>0</x:v>
      </x:c>
      <x:c r="H5" s="66" t="n">
        <x:v>0</x:v>
      </x:c>
      <x:c r="I5" s="67" t="n">
        <x:v>0</x:v>
      </x:c>
      <x:c r="J5" s="67" t="n">
        <x:v>0</x:v>
      </x:c>
      <x:c r="K5" s="67" t="n">
        <x:v>0</x:v>
      </x:c>
      <x:c r="L5" s="66" t="n">
        <x:v>0</x:v>
      </x:c>
      <x:c r="M5" s="66" t="n">
        <x:v>0</x:v>
      </x:c>
      <x:c r="N5" s="66" t="n">
        <x:v>0</x:v>
      </x:c>
      <x:c r="O5" s="66" t="n">
        <x:v>0</x:v>
      </x:c>
      <x:c r="P5" s="66" t="n">
        <x:v>0</x:v>
      </x:c>
      <x:c r="Q5" s="67" t="n">
        <x:v>0</x:v>
      </x:c>
      <x:c r="R5" s="67" t="n">
        <x:v>0</x:v>
      </x:c>
      <x:c r="S5" s="67" t="n">
        <x:v>0</x:v>
      </x:c>
      <x:c r="T5" s="67" t="n">
        <x:v>0</x:v>
      </x:c>
      <x:c r="U5" s="66" t="n">
        <x:v>0</x:v>
      </x:c>
      <x:c r="V5" s="66" t="n">
        <x:v>0</x:v>
      </x:c>
      <x:c r="W5" s="66" t="n">
        <x:v>0</x:v>
      </x:c>
      <x:c r="X5" s="66" t="n">
        <x:v>0</x:v>
      </x:c>
      <x:c r="Y5" s="65" t="str"/>
    </x:row>
    <x:row r="6" ht="42" customHeight="1">
      <x:c r="A6" s="64" t="n">
        <x:v>46222.5</x:v>
      </x:c>
      <x:c r="B6" s="65" t="str">
        <x:v>Sunday</x:v>
      </x:c>
      <x:c r="C6" s="66" t="n">
        <x:v>0</x:v>
      </x:c>
      <x:c r="D6" s="66" t="n">
        <x:v>0</x:v>
      </x:c>
      <x:c r="E6" s="66" t="n">
        <x:v>0</x:v>
      </x:c>
      <x:c r="F6" s="66" t="n">
        <x:v>0</x:v>
      </x:c>
      <x:c r="G6" s="66" t="n">
        <x:v>0</x:v>
      </x:c>
      <x:c r="H6" s="66" t="n">
        <x:v>0</x:v>
      </x:c>
      <x:c r="I6" s="67" t="n">
        <x:v>0</x:v>
      </x:c>
      <x:c r="J6" s="67" t="n">
        <x:v>0</x:v>
      </x:c>
      <x:c r="K6" s="67" t="n">
        <x:v>0</x:v>
      </x:c>
      <x:c r="L6" s="66" t="n">
        <x:v>0</x:v>
      </x:c>
      <x:c r="M6" s="66" t="n">
        <x:v>0</x:v>
      </x:c>
      <x:c r="N6" s="66" t="n">
        <x:v>0</x:v>
      </x:c>
      <x:c r="O6" s="66" t="n">
        <x:v>0</x:v>
      </x:c>
      <x:c r="P6" s="66" t="n">
        <x:v>0</x:v>
      </x:c>
      <x:c r="Q6" s="67" t="n">
        <x:v>0</x:v>
      </x:c>
      <x:c r="R6" s="67" t="n">
        <x:v>0</x:v>
      </x:c>
      <x:c r="S6" s="67" t="n">
        <x:v>0</x:v>
      </x:c>
      <x:c r="T6" s="67" t="n">
        <x:v>0</x:v>
      </x:c>
      <x:c r="U6" s="66" t="n">
        <x:v>0</x:v>
      </x:c>
      <x:c r="V6" s="66" t="n">
        <x:v>0</x:v>
      </x:c>
      <x:c r="W6" s="66" t="n">
        <x:v>0</x:v>
      </x:c>
      <x:c r="X6" s="66" t="n">
        <x:v>0</x:v>
      </x:c>
      <x:c r="Y6" s="65" t="str"/>
    </x:row>
    <x:row r="7" ht="42" customHeight="1">
      <x:c r="A7" s="64" t="n">
        <x:v>46223.5</x:v>
      </x:c>
      <x:c r="B7" s="65" t="str">
        <x:v>Monday</x:v>
      </x:c>
      <x:c r="C7" s="66" t="n">
        <x:v>0</x:v>
      </x:c>
      <x:c r="D7" s="66" t="n">
        <x:v>0</x:v>
      </x:c>
      <x:c r="E7" s="66" t="n">
        <x:v>0</x:v>
      </x:c>
      <x:c r="F7" s="66" t="n">
        <x:v>0</x:v>
      </x:c>
      <x:c r="G7" s="66" t="n">
        <x:v>0</x:v>
      </x:c>
      <x:c r="H7" s="66" t="n">
        <x:v>0</x:v>
      </x:c>
      <x:c r="I7" s="67" t="n">
        <x:v>0</x:v>
      </x:c>
      <x:c r="J7" s="67" t="n">
        <x:v>0</x:v>
      </x:c>
      <x:c r="K7" s="67" t="n">
        <x:v>0</x:v>
      </x:c>
      <x:c r="L7" s="66" t="n">
        <x:v>0</x:v>
      </x:c>
      <x:c r="M7" s="66" t="n">
        <x:v>0</x:v>
      </x:c>
      <x:c r="N7" s="66" t="n">
        <x:v>0</x:v>
      </x:c>
      <x:c r="O7" s="66" t="n">
        <x:v>0</x:v>
      </x:c>
      <x:c r="P7" s="66" t="n">
        <x:v>0</x:v>
      </x:c>
      <x:c r="Q7" s="67" t="n">
        <x:v>0</x:v>
      </x:c>
      <x:c r="R7" s="67" t="n">
        <x:v>0</x:v>
      </x:c>
      <x:c r="S7" s="67" t="n">
        <x:v>0</x:v>
      </x:c>
      <x:c r="T7" s="67" t="n">
        <x:v>0</x:v>
      </x:c>
      <x:c r="U7" s="66" t="n">
        <x:v>0</x:v>
      </x:c>
      <x:c r="V7" s="66" t="n">
        <x:v>0</x:v>
      </x:c>
      <x:c r="W7" s="66" t="n">
        <x:v>0</x:v>
      </x:c>
      <x:c r="X7" s="66" t="n">
        <x:v>0</x:v>
      </x:c>
      <x:c r="Y7" s="65" t="str"/>
    </x:row>
    <x:row r="8" ht="42" customHeight="1">
      <x:c r="A8" s="64" t="n">
        <x:v>46224.5</x:v>
      </x:c>
      <x:c r="B8" s="65" t="str">
        <x:v>Tuesday</x:v>
      </x:c>
      <x:c r="C8" s="66" t="n">
        <x:v>0</x:v>
      </x:c>
      <x:c r="D8" s="66" t="n">
        <x:v>0</x:v>
      </x:c>
      <x:c r="E8" s="66" t="n">
        <x:v>0</x:v>
      </x:c>
      <x:c r="F8" s="66" t="n">
        <x:v>0</x:v>
      </x:c>
      <x:c r="G8" s="66" t="n">
        <x:v>0</x:v>
      </x:c>
      <x:c r="H8" s="66" t="n">
        <x:v>0</x:v>
      </x:c>
      <x:c r="I8" s="67" t="n">
        <x:v>0</x:v>
      </x:c>
      <x:c r="J8" s="67" t="n">
        <x:v>0</x:v>
      </x:c>
      <x:c r="K8" s="67" t="n">
        <x:v>0</x:v>
      </x:c>
      <x:c r="L8" s="66" t="n">
        <x:v>0</x:v>
      </x:c>
      <x:c r="M8" s="66" t="n">
        <x:v>0</x:v>
      </x:c>
      <x:c r="N8" s="66" t="n">
        <x:v>0</x:v>
      </x:c>
      <x:c r="O8" s="66" t="n">
        <x:v>0</x:v>
      </x:c>
      <x:c r="P8" s="66" t="n">
        <x:v>0</x:v>
      </x:c>
      <x:c r="Q8" s="67" t="n">
        <x:v>0</x:v>
      </x:c>
      <x:c r="R8" s="67" t="n">
        <x:v>0</x:v>
      </x:c>
      <x:c r="S8" s="67" t="n">
        <x:v>0</x:v>
      </x:c>
      <x:c r="T8" s="67" t="n">
        <x:v>0</x:v>
      </x:c>
      <x:c r="U8" s="66" t="n">
        <x:v>0</x:v>
      </x:c>
      <x:c r="V8" s="66" t="n">
        <x:v>0</x:v>
      </x:c>
      <x:c r="W8" s="66" t="n">
        <x:v>0</x:v>
      </x:c>
      <x:c r="X8" s="66" t="n">
        <x:v>0</x:v>
      </x:c>
      <x:c r="Y8" s="65" t="str"/>
    </x:row>
    <x:row r="9" ht="42" customHeight="1">
      <x:c r="A9" s="64" t="n">
        <x:v>46225.5</x:v>
      </x:c>
      <x:c r="B9" s="65" t="str">
        <x:v>Wednesday</x:v>
      </x:c>
      <x:c r="C9" s="66" t="n">
        <x:v>0</x:v>
      </x:c>
      <x:c r="D9" s="66" t="n">
        <x:v>0</x:v>
      </x:c>
      <x:c r="E9" s="66" t="n">
        <x:v>0</x:v>
      </x:c>
      <x:c r="F9" s="66" t="n">
        <x:v>0</x:v>
      </x:c>
      <x:c r="G9" s="66" t="n">
        <x:v>0</x:v>
      </x:c>
      <x:c r="H9" s="66" t="n">
        <x:v>0</x:v>
      </x:c>
      <x:c r="I9" s="67" t="n">
        <x:v>0</x:v>
      </x:c>
      <x:c r="J9" s="67" t="n">
        <x:v>0</x:v>
      </x:c>
      <x:c r="K9" s="67" t="n">
        <x:v>0</x:v>
      </x:c>
      <x:c r="L9" s="66" t="n">
        <x:v>0</x:v>
      </x:c>
      <x:c r="M9" s="66" t="n">
        <x:v>0</x:v>
      </x:c>
      <x:c r="N9" s="66" t="n">
        <x:v>0</x:v>
      </x:c>
      <x:c r="O9" s="66" t="n">
        <x:v>0</x:v>
      </x:c>
      <x:c r="P9" s="66" t="n">
        <x:v>0</x:v>
      </x:c>
      <x:c r="Q9" s="67" t="n">
        <x:v>0</x:v>
      </x:c>
      <x:c r="R9" s="67" t="n">
        <x:v>0</x:v>
      </x:c>
      <x:c r="S9" s="67" t="n">
        <x:v>0</x:v>
      </x:c>
      <x:c r="T9" s="67" t="n">
        <x:v>0</x:v>
      </x:c>
      <x:c r="U9" s="66" t="n">
        <x:v>0</x:v>
      </x:c>
      <x:c r="V9" s="66" t="n">
        <x:v>0</x:v>
      </x:c>
      <x:c r="W9" s="66" t="n">
        <x:v>0</x:v>
      </x:c>
      <x:c r="X9" s="66" t="n">
        <x:v>0</x:v>
      </x:c>
      <x:c r="Y9" s="65" t="str"/>
    </x:row>
    <x:row r="10" ht="42" customHeight="1">
      <x:c r="A10" s="64" t="n">
        <x:v>46226.5</x:v>
      </x:c>
      <x:c r="B10" s="65" t="str">
        <x:v>Thursday</x:v>
      </x:c>
      <x:c r="C10" s="66" t="n">
        <x:v>0</x:v>
      </x:c>
      <x:c r="D10" s="66" t="n">
        <x:v>0</x:v>
      </x:c>
      <x:c r="E10" s="66" t="n">
        <x:v>0</x:v>
      </x:c>
      <x:c r="F10" s="66" t="n">
        <x:v>0</x:v>
      </x:c>
      <x:c r="G10" s="66" t="n">
        <x:v>0</x:v>
      </x:c>
      <x:c r="H10" s="66" t="n">
        <x:v>0</x:v>
      </x:c>
      <x:c r="I10" s="67" t="n">
        <x:v>0</x:v>
      </x:c>
      <x:c r="J10" s="67" t="n">
        <x:v>0</x:v>
      </x:c>
      <x:c r="K10" s="67" t="n">
        <x:v>0</x:v>
      </x:c>
      <x:c r="L10" s="66" t="n">
        <x:v>0</x:v>
      </x:c>
      <x:c r="M10" s="66" t="n">
        <x:v>0</x:v>
      </x:c>
      <x:c r="N10" s="66" t="n">
        <x:v>0</x:v>
      </x:c>
      <x:c r="O10" s="66" t="n">
        <x:v>0</x:v>
      </x:c>
      <x:c r="P10" s="66" t="n">
        <x:v>0</x:v>
      </x:c>
      <x:c r="Q10" s="67" t="n">
        <x:v>0</x:v>
      </x:c>
      <x:c r="R10" s="67" t="n">
        <x:v>0</x:v>
      </x:c>
      <x:c r="S10" s="67" t="n">
        <x:v>0</x:v>
      </x:c>
      <x:c r="T10" s="67" t="n">
        <x:v>0</x:v>
      </x:c>
      <x:c r="U10" s="66" t="n">
        <x:v>0</x:v>
      </x:c>
      <x:c r="V10" s="66" t="n">
        <x:v>0</x:v>
      </x:c>
      <x:c r="W10" s="66" t="n">
        <x:v>0</x:v>
      </x:c>
      <x:c r="X10" s="66" t="n">
        <x:v>0</x:v>
      </x:c>
      <x:c r="Y10" s="65" t="str"/>
    </x:row>
    <x:row r="11" ht="42" customHeight="1">
      <x:c r="A11" s="68" t="n">
        <x:v>46227.5</x:v>
      </x:c>
      <x:c r="B11" s="69" t="str">
        <x:v>Friday</x:v>
      </x:c>
      <x:c r="C11" s="70" t="n">
        <x:v>0</x:v>
      </x:c>
      <x:c r="D11" s="70" t="n">
        <x:v>0</x:v>
      </x:c>
      <x:c r="E11" s="70" t="n">
        <x:v>0</x:v>
      </x:c>
      <x:c r="F11" s="70" t="n">
        <x:v>0</x:v>
      </x:c>
      <x:c r="G11" s="70" t="n">
        <x:v>0</x:v>
      </x:c>
      <x:c r="H11" s="70" t="n">
        <x:v>0</x:v>
      </x:c>
      <x:c r="I11" s="71" t="n">
        <x:v>0</x:v>
      </x:c>
      <x:c r="J11" s="71" t="n">
        <x:v>0</x:v>
      </x:c>
      <x:c r="K11" s="71" t="n">
        <x:v>0</x:v>
      </x:c>
      <x:c r="L11" s="70" t="n">
        <x:v>0</x:v>
      </x:c>
      <x:c r="M11" s="70" t="n">
        <x:v>0</x:v>
      </x:c>
      <x:c r="N11" s="70" t="n">
        <x:v>0</x:v>
      </x:c>
      <x:c r="O11" s="70" t="n">
        <x:v>0</x:v>
      </x:c>
      <x:c r="P11" s="70" t="n">
        <x:v>0</x:v>
      </x:c>
      <x:c r="Q11" s="71" t="n">
        <x:v>0</x:v>
      </x:c>
      <x:c r="R11" s="71" t="n">
        <x:v>0</x:v>
      </x:c>
      <x:c r="S11" s="71" t="n">
        <x:v>0</x:v>
      </x:c>
      <x:c r="T11" s="71" t="n">
        <x:v>0</x:v>
      </x:c>
      <x:c r="U11" s="70" t="n">
        <x:v>0</x:v>
      </x:c>
      <x:c r="V11" s="70" t="n">
        <x:v>0</x:v>
      </x:c>
      <x:c r="W11" s="70" t="n">
        <x:v>0</x:v>
      </x:c>
      <x:c r="X11" s="70" t="n">
        <x:v>0</x:v>
      </x:c>
      <x:c r="Y11" s="69" t="str"/>
    </x:row>
    <x:row r="12">
      <x:c r="I12" s="23"/>
      <x:c r="J12" s="23"/>
      <x:c r="K12" s="23"/>
      <x:c r="Q12" s="23"/>
      <x:c r="R12" s="23"/>
      <x:c r="S12" s="23"/>
      <x:c r="T12" s="23"/>
    </x:row>
    <x:row r="13">
      <x:c r="A13" s="54" t="str">
        <x:v>Sprint Total</x:v>
      </x:c>
      <x:c r="B13" s="54"/>
      <x:c r="C13" s="54" t="n">
        <x:f>SUM(C5:C11)</x:f>
        <x:v>0</x:v>
      </x:c>
      <x:c r="D13" s="54" t="n">
        <x:f>SUM(D5:D11)</x:f>
        <x:v>0</x:v>
      </x:c>
      <x:c r="E13" s="54" t="n">
        <x:f>SUM(E5:E11)</x:f>
        <x:v>0</x:v>
      </x:c>
      <x:c r="F13" s="54" t="n">
        <x:f>SUM(F5:F11)</x:f>
        <x:v>0</x:v>
      </x:c>
      <x:c r="G13" s="54" t="n">
        <x:f>SUM(G5:G11)</x:f>
        <x:v>0</x:v>
      </x:c>
      <x:c r="H13" s="54" t="n">
        <x:f>SUM(H5:H11)</x:f>
        <x:v>0</x:v>
      </x:c>
      <x:c r="I13" s="55" t="n">
        <x:f>SUM(I5:I11)</x:f>
        <x:v>0</x:v>
      </x:c>
      <x:c r="J13" s="55" t="n">
        <x:f>SUM(J5:J11)</x:f>
        <x:v>0</x:v>
      </x:c>
      <x:c r="K13" s="55" t="n">
        <x:f>SUM(K5:K11)</x:f>
        <x:v>0</x:v>
      </x:c>
      <x:c r="L13" s="54" t="n">
        <x:f>SUM(L5:L11)</x:f>
        <x:v>0</x:v>
      </x:c>
      <x:c r="M13" s="54" t="n">
        <x:f>SUM(M5:M11)</x:f>
        <x:v>0</x:v>
      </x:c>
      <x:c r="N13" s="54" t="n">
        <x:f>SUM(N5:N11)</x:f>
        <x:v>0</x:v>
      </x:c>
      <x:c r="O13" s="54" t="n">
        <x:f>SUM(O5:O11)</x:f>
        <x:v>0</x:v>
      </x:c>
      <x:c r="P13" s="54" t="n">
        <x:f>SUM(P5:P11)</x:f>
        <x:v>0</x:v>
      </x:c>
      <x:c r="Q13" s="55" t="n">
        <x:f>SUM(Q5:Q11)</x:f>
        <x:v>0</x:v>
      </x:c>
      <x:c r="R13" s="55" t="n">
        <x:f>SUM(R5:R11)</x:f>
        <x:v>0</x:v>
      </x:c>
      <x:c r="S13" s="55" t="n">
        <x:f>SUM(S5:S11)</x:f>
        <x:v>0</x:v>
      </x:c>
      <x:c r="T13" s="55" t="n">
        <x:f>SUM(T5:T11)</x:f>
        <x:v>0</x:v>
      </x:c>
      <x:c r="U13" s="54" t="n">
        <x:f>SUM(U5:U11)</x:f>
        <x:v>0</x:v>
      </x:c>
      <x:c r="V13" s="54" t="n">
        <x:f>SUM(V5:V11)</x:f>
        <x:v>0</x:v>
      </x:c>
      <x:c r="W13" s="54" t="n">
        <x:f>SUM(W5:W11)</x:f>
        <x:v>0</x:v>
      </x:c>
      <x:c r="X13" s="54" t="n">
        <x:f>SUM(X5:X11)</x:f>
        <x:v>0</x:v>
      </x:c>
      <x:c r="Y13" s="54" t="str">
        <x:v>Update Friday after evidence reconciliation</x:v>
      </x:c>
    </x:row>
  </x:sheetData>
  <x:mergeCells>
    <x:mergeCell ref="A1:Y2"/>
    <x:mergeCell ref="A3:Y3"/>
    <x:mergeCell ref="A13:B13"/>
  </x:mergeCells>
  <x:dataValidations count="1">
    <x:dataValidation type="decimal" operator="greaterThanOrEqual" sqref="C5:X1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87c9313b084d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5" hidden="0" customWidth="1"/>
    <x:col min="3" max="3" width="25" hidden="0" customWidth="1"/>
    <x:col min="4" max="4" width="23" hidden="0" customWidth="1"/>
    <x:col min="5" max="5" width="14" hidden="0" customWidth="1"/>
    <x:col min="6" max="6" width="40" hidden="0" customWidth="1"/>
    <x:col min="7" max="7" width="15" hidden="0" customWidth="1"/>
    <x:col min="8" max="8" width="42" hidden="0" customWidth="1"/>
  </x:cols>
  <x:sheetData>
    <x:row r="1" ht="30" customHeight="1">
      <x:c r="A1" s="4" t="str">
        <x:v>Human Approval Queue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3" ht="34" customHeight="1">
      <x:c r="A3" s="8" t="str">
        <x:v>Approved means the exact action may be performed manually. It never triggers a send, call, quote, system change, or publication.</x:v>
      </x:c>
      <x:c r="B3" s="8"/>
      <x:c r="C3" s="8"/>
      <x:c r="D3" s="8"/>
      <x:c r="E3" s="8"/>
      <x:c r="F3" s="8"/>
      <x:c r="G3" s="8"/>
      <x:c r="H3" s="8"/>
    </x:row>
    <x:row r="4" ht="32" customHeight="1">
      <x:c r="A4" s="20" t="str">
        <x:v>Priority</x:v>
      </x:c>
      <x:c r="B4" s="21" t="str">
        <x:v>Decision</x:v>
      </x:c>
      <x:c r="C4" s="21" t="str">
        <x:v>Required approval</x:v>
      </x:c>
      <x:c r="D4" s="21" t="str">
        <x:v>Approver</x:v>
      </x:c>
      <x:c r="E4" s="21" t="str">
        <x:v>Status</x:v>
      </x:c>
      <x:c r="F4" s="21" t="str">
        <x:v>Evidence / gate</x:v>
      </x:c>
      <x:c r="G4" s="21" t="str">
        <x:v>Last reviewed</x:v>
      </x:c>
      <x:c r="H4" s="22" t="str">
        <x:v>Notes</x:v>
      </x:c>
    </x:row>
    <x:row r="5" ht="42" customHeight="1">
      <x:c r="A5" s="35" t="n">
        <x:v>1</x:v>
      </x:c>
      <x:c r="B5" s="35" t="str">
        <x:v>Miller Johnson SKU and quote</x:v>
      </x:c>
      <x:c r="C5" s="35" t="str">
        <x:v>C then B</x:v>
      </x:c>
      <x:c r="D5" s="35" t="str">
        <x:v>Kenny / Maclaine</x:v>
      </x:c>
      <x:c r="E5" s="51" t="str">
        <x:v>Pending</x:v>
      </x:c>
      <x:c r="F5" s="51" t="str">
        <x:v>Real SKU, loaded cost, margin, delivery</x:v>
      </x:c>
      <x:c r="G5" s="76"/>
      <x:c r="H5" s="51" t="str">
        <x:v>Padfolio visual needs correction</x:v>
      </x:c>
    </x:row>
    <x:row r="6" ht="42" customHeight="1">
      <x:c r="A6" s="35" t="n">
        <x:v>2</x:v>
      </x:c>
      <x:c r="B6" s="35" t="str">
        <x:v>Nirenstein meeting response + concept</x:v>
      </x:c>
      <x:c r="C6" s="35" t="str">
        <x:v>B; C for price/promises</x:v>
      </x:c>
      <x:c r="D6" s="35" t="str">
        <x:v>Maclaine / Kenny</x:v>
      </x:c>
      <x:c r="E6" s="51" t="str">
        <x:v>Pending</x:v>
      </x:c>
      <x:c r="F6" s="51" t="str">
        <x:v>Meeting owner, date, headcount, purpose</x:v>
      </x:c>
      <x:c r="G6" s="76"/>
      <x:c r="H6" s="51" t="str">
        <x:v>No guarantee language</x:v>
      </x:c>
    </x:row>
    <x:row r="7" ht="42" customHeight="1">
      <x:c r="A7" s="35" t="n">
        <x:v>3</x:v>
      </x:c>
      <x:c r="B7" s="35" t="str">
        <x:v>Joseph Hollander package</x:v>
      </x:c>
      <x:c r="C7" s="35" t="str">
        <x:v>B + final QC</x:v>
      </x:c>
      <x:c r="D7" s="35" t="str">
        <x:v>Maclaine</x:v>
      </x:c>
      <x:c r="E7" s="51" t="str">
        <x:v>Pending</x:v>
      </x:c>
      <x:c r="F7" s="51" t="str">
        <x:v>Full-logo source, PDF, links, SKU mapping</x:v>
      </x:c>
      <x:c r="G7" s="76"/>
      <x:c r="H7" s="51" t="str">
        <x:v>Small PDF and favicon source require review</x:v>
      </x:c>
    </x:row>
    <x:row r="8" ht="42" customHeight="1">
      <x:c r="A8" s="35" t="n">
        <x:v>4</x:v>
      </x:c>
      <x:c r="B8" s="35" t="str">
        <x:v>Skyer package build</x:v>
      </x:c>
      <x:c r="C8" s="35" t="str">
        <x:v>B; C before product promise</x:v>
      </x:c>
      <x:c r="D8" s="35" t="str">
        <x:v>Maclaine / Kenny</x:v>
      </x:c>
      <x:c r="E8" s="51" t="str">
        <x:v>Pending</x:v>
      </x:c>
      <x:c r="F8" s="51" t="str">
        <x:v>Logo, occasion, SKU mapping</x:v>
      </x:c>
      <x:c r="G8" s="76"/>
      <x:c r="H8" s="51" t="str">
        <x:v>No complete package found</x:v>
      </x:c>
    </x:row>
    <x:row r="9" ht="42" customHeight="1">
      <x:c r="A9" s="35" t="n">
        <x:v>5</x:v>
      </x:c>
      <x:c r="B9" s="35" t="str">
        <x:v>INVST package delivery</x:v>
      </x:c>
      <x:c r="C9" s="35" t="str">
        <x:v>B + link/PDF recheck</x:v>
      </x:c>
      <x:c r="D9" s="35" t="str">
        <x:v>Maclaine</x:v>
      </x:c>
      <x:c r="E9" s="51" t="str">
        <x:v>Pending</x:v>
      </x:c>
      <x:c r="F9" s="51" t="str">
        <x:v>Thread state and durable assets</x:v>
      </x:c>
      <x:c r="G9" s="76"/>
      <x:c r="H9" s="51" t="str">
        <x:v>Delivery status unknown</x:v>
      </x:c>
    </x:row>
    <x:row r="10" ht="42" customHeight="1">
      <x:c r="A10" s="35" t="n">
        <x:v>6</x:v>
      </x:c>
      <x:c r="B10" s="35" t="str">
        <x:v>Shine Hire exception</x:v>
      </x:c>
      <x:c r="C10" s="35" t="str">
        <x:v>A</x:v>
      </x:c>
      <x:c r="D10" s="35" t="str">
        <x:v>Ryan</x:v>
      </x:c>
      <x:c r="E10" s="51" t="str">
        <x:v>Pending</x:v>
      </x:c>
      <x:c r="F10" s="51" t="str">
        <x:v>Scope, fee, payment link, 14-day cap</x:v>
      </x:c>
      <x:c r="G10" s="76"/>
      <x:c r="H10" s="51" t="str">
        <x:v>Founder exception; not public offer</x:v>
      </x:c>
    </x:row>
    <x:row r="11" ht="42" customHeight="1">
      <x:c r="A11" s="35" t="n">
        <x:v>7</x:v>
      </x:c>
      <x:c r="B11" s="35" t="str">
        <x:v>Reorder first ten</x:v>
      </x:c>
      <x:c r="C11" s="35" t="str">
        <x:v>B + C per row</x:v>
      </x:c>
      <x:c r="D11" s="35" t="str">
        <x:v>Maclaine / Kenny</x:v>
      </x:c>
      <x:c r="E11" s="51" t="str">
        <x:v>Pending</x:v>
      </x:c>
      <x:c r="F11" s="51" t="str">
        <x:v>All six row gates = Yes</x:v>
      </x:c>
      <x:c r="G11" s="76"/>
      <x:c r="H11" s="51" t="str">
        <x:v>Phone-first</x:v>
      </x:c>
    </x:row>
    <x:row r="12" ht="42" customHeight="1">
      <x:c r="A12" s="38" t="n">
        <x:v>8</x:v>
      </x:c>
      <x:c r="B12" s="38" t="str">
        <x:v>Mockup-machine video publication</x:v>
      </x:c>
      <x:c r="C12" s="38" t="str">
        <x:v>A + P</x:v>
      </x:c>
      <x:c r="D12" s="38" t="str">
        <x:v>Ryan + customer</x:v>
      </x:c>
      <x:c r="E12" s="52" t="str">
        <x:v>Hold</x:v>
      </x:c>
      <x:c r="F12" s="52" t="str">
        <x:v>Written proof permission or full anonymization</x:v>
      </x:c>
      <x:c r="G12" s="77"/>
      <x:c r="H12" s="52" t="str">
        <x:v>Record only</x:v>
      </x:c>
    </x:row>
  </x:sheetData>
  <x:mergeCells>
    <x:mergeCell ref="A1:H2"/>
    <x:mergeCell ref="A3:H3"/>
  </x:mergeCells>
  <x:conditionalFormatting sqref="E5:E12">
    <x:cfRule type="containsText" dxfId="10" priority="1" operator="containsText" text="Pending"/>
    <x:cfRule type="containsText" dxfId="11" priority="2" operator="containsText" text="Approved"/>
    <x:cfRule type="containsText" dxfId="12" priority="3" operator="containsText" text="Completed"/>
    <x:cfRule type="containsText" dxfId="13" priority="4" operator="containsText" text="Hold"/>
    <x:cfRule type="containsText" dxfId="14" priority="5" operator="containsText" text="Suppressed"/>
  </x:conditionalFormatting>
  <x:dataValidations count="1">
    <x:dataValidation type="list" sqref="E5:E12">
      <x:formula1>"Pending,Approved,Hold,Rejected,Completed"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ed87a279f247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5" hidden="0" customWidth="1"/>
    <x:col min="3" max="3" width="21" hidden="0" customWidth="1"/>
    <x:col min="4" max="4" width="33" hidden="0" customWidth="1"/>
    <x:col min="5" max="5" width="34" hidden="0" customWidth="1"/>
    <x:col min="6" max="6" width="28" hidden="0" customWidth="1"/>
  </x:cols>
  <x:sheetData>
    <x:row r="1" ht="30" customHeight="1">
      <x:c r="A1" s="4" t="str">
        <x:v>Sources and Freshness</x:v>
      </x:c>
      <x:c r="B1" s="4"/>
      <x:c r="C1" s="4"/>
      <x:c r="D1" s="4"/>
      <x:c r="E1" s="4"/>
      <x:c r="F1" s="4"/>
    </x:row>
    <x:row r="2" ht="30" customHeight="1">
      <x:c r="A2" s="4"/>
      <x:c r="B2" s="4"/>
      <x:c r="C2" s="4"/>
      <x:c r="D2" s="4"/>
      <x:c r="E2" s="4"/>
      <x:c r="F2" s="4"/>
    </x:row>
    <x:row r="3" ht="34" customHeight="1">
      <x:c r="A3" s="8" t="str">
        <x:v>Local paths are retained as plain text for auditability. Refresh any operational source at the gate shown before external action.</x:v>
      </x:c>
      <x:c r="B3" s="8"/>
      <x:c r="C3" s="8"/>
      <x:c r="D3" s="8"/>
      <x:c r="E3" s="8"/>
      <x:c r="F3" s="8"/>
    </x:row>
    <x:row r="4" ht="32" customHeight="1">
      <x:c r="A4" s="20" t="str">
        <x:v>Source</x:v>
      </x:c>
      <x:c r="B4" s="21" t="str">
        <x:v>Location</x:v>
      </x:c>
      <x:c r="C4" s="21" t="str">
        <x:v>Captured / dated</x:v>
      </x:c>
      <x:c r="D4" s="21" t="str">
        <x:v>Use</x:v>
      </x:c>
      <x:c r="E4" s="21" t="str">
        <x:v>Freshness gate</x:v>
      </x:c>
      <x:c r="F4" s="22" t="str">
        <x:v>Confidence</x:v>
      </x:c>
    </x:row>
    <x:row r="5" ht="45" customHeight="1">
      <x:c r="A5" s="35" t="str">
        <x:v>SmartLead live database</x:v>
      </x:c>
      <x:c r="B5" s="35" t="str">
        <x:v>/Users/ryantydingco/Documents/Creative-Alternatives-AIOS/data/data.db</x:v>
      </x:c>
      <x:c r="C5" s="35" t="str">
        <x:v>2026-07-17 14:27 ET</x:v>
      </x:c>
      <x:c r="D5" s="35" t="str">
        <x:v>Outbound events and current campaign performance</x:v>
      </x:c>
      <x:c r="E5" s="35" t="str">
        <x:v>Refresh before scale decision</x:v>
      </x:c>
      <x:c r="F5" s="35" t="str">
        <x:v>High for events</x:v>
      </x:c>
    </x:row>
    <x:row r="6" ht="45" customHeight="1">
      <x:c r="A6" s="35" t="str">
        <x:v>CA reply watcher</x:v>
      </x:c>
      <x:c r="B6" s="35" t="str">
        <x:v>/Users/ryantydingco/Documents/Creative-Alternatives-AIOS/pillars/2-customer-acquisition/reply-watcher/tasks.md</x:v>
      </x:c>
      <x:c r="C6" s="35" t="str">
        <x:v>Reviewed 2026-07-17</x:v>
      </x:c>
      <x:c r="D6" s="35" t="str">
        <x:v>Human demand and fulfillment state</x:v>
      </x:c>
      <x:c r="E6" s="35" t="str">
        <x:v>Open original thread before action</x:v>
      </x:c>
      <x:c r="F6" s="35" t="str">
        <x:v>Medium-high</x:v>
      </x:c>
    </x:row>
    <x:row r="7" ht="45" customHeight="1">
      <x:c r="A7" s="35" t="str">
        <x:v>CA inbox queue</x:v>
      </x:c>
      <x:c r="B7" s="35" t="str">
        <x:v>/Users/ryantydingco/Documents/Creative-Alternatives-AIOS/queue/inbox/</x:v>
      </x:c>
      <x:c r="C7" s="35" t="str">
        <x:v>Reviewed 2026-07-17</x:v>
      </x:c>
      <x:c r="D7" s="35" t="str">
        <x:v>Prospect packages and reply drafts</x:v>
      </x:c>
      <x:c r="E7" s="35" t="str">
        <x:v>Open every asset before delivery</x:v>
      </x:c>
      <x:c r="F7" s="35" t="str">
        <x:v>Medium-high</x:v>
      </x:c>
    </x:row>
    <x:row r="8" ht="45" customHeight="1">
      <x:c r="A8" s="35" t="str">
        <x:v>Reorder rescue queue</x:v>
      </x:c>
      <x:c r="B8" s="35" t="str">
        <x:v>/Users/ryantydingco/Documents/Creative-Alternatives-AIOS/outputs/gtm-sprint-2026-07-06/reorder-rescue-call-list.csv</x:v>
      </x:c>
      <x:c r="C8" s="35" t="str">
        <x:v>Built 2026-07-06</x:v>
      </x:c>
      <x:c r="D8" s="35" t="str">
        <x:v>Prior-year customer queue</x:v>
      </x:c>
      <x:c r="E8" s="35" t="str">
        <x:v>Live QBO order/A/R/quote check</x:v>
      </x:c>
      <x:c r="F8" s="35" t="str">
        <x:v>Medium</x:v>
      </x:c>
    </x:row>
    <x:row r="9" ht="45" customHeight="1">
      <x:c r="A9" s="35" t="str">
        <x:v>August customer cohort</x:v>
      </x:c>
      <x:c r="B9" s="35" t="str">
        <x:v>/Users/ryantydingco/Documents/Creative-Alternatives-AIOS/outputs/reactivation/2026-07-17-august-2025-anniversary/august-2025-customers.csv</x:v>
      </x:c>
      <x:c r="C9" s="35" t="str">
        <x:v>Built 2026-07-17</x:v>
      </x:c>
      <x:c r="D9" s="35" t="str">
        <x:v>Seasonal reorder candidates</x:v>
      </x:c>
      <x:c r="E9" s="35" t="str">
        <x:v>Live QBO check before contact</x:v>
      </x:c>
      <x:c r="F9" s="35" t="str">
        <x:v>Medium-high</x:v>
      </x:c>
    </x:row>
    <x:row r="10" ht="45" customHeight="1">
      <x:c r="A10" s="35" t="str">
        <x:v>QBO A/R snapshot</x:v>
      </x:c>
      <x:c r="B10" s="35" t="str">
        <x:v>/Users/ryantydingco/Documents/Creative-Alternatives-AIOS/</x:v>
      </x:c>
      <x:c r="C10" s="35" t="str">
        <x:v>2026-07-13</x:v>
      </x:c>
      <x:c r="D10" s="35" t="str">
        <x:v>Cash collection lane</x:v>
      </x:c>
      <x:c r="E10" s="35" t="str">
        <x:v>Same-day refresh required</x:v>
      </x:c>
      <x:c r="F10" s="35" t="str">
        <x:v>High balance; collectibility unknown</x:v>
      </x:c>
    </x:row>
    <x:row r="11" ht="45" customHeight="1">
      <x:c r="A11" s="35" t="str">
        <x:v>Dealthreads fulfillment</x:v>
      </x:c>
      <x:c r="B11" s="35" t="str">
        <x:v>/Users/ryantydingco/Documents/AIOS-Memory-Bank/Dealthreads Outbound Engine/reply-fulfillment-2026-07-16.md</x:v>
      </x:c>
      <x:c r="C11" s="35" t="str">
        <x:v>2026-07-16</x:v>
      </x:c>
      <x:c r="D11" s="35" t="str">
        <x:v>Warm prospect packages</x:v>
      </x:c>
      <x:c r="E11" s="35" t="str">
        <x:v>Confirm thread delivery</x:v>
      </x:c>
      <x:c r="F11" s="35" t="str">
        <x:v>Medium-high</x:v>
      </x:c>
    </x:row>
    <x:row r="12" ht="45" customHeight="1">
      <x:c r="A12" s="35" t="str">
        <x:v>Shine Hire transcript</x:v>
      </x:c>
      <x:c r="B12" s="35" t="str">
        <x:v>/Users/ryantydingco/Documents/AIOS-Memory-Bank/Dealthreads Outbound Engine/angel-meeting-transcript-2026-07-17.md</x:v>
      </x:c>
      <x:c r="C12" s="35" t="str">
        <x:v>2026-07-17</x:v>
      </x:c>
      <x:c r="D12" s="35" t="str">
        <x:v>Pilot objections and terms</x:v>
      </x:c>
      <x:c r="E12" s="35" t="str">
        <x:v>Ryan approves any exception</x:v>
      </x:c>
      <x:c r="F12" s="35" t="str">
        <x:v>High</x:v>
      </x:c>
    </x:row>
    <x:row r="13" ht="45" customHeight="1">
      <x:c r="A13" s="35" t="str">
        <x:v>Sprint measurement SOP</x:v>
      </x:c>
      <x:c r="B13" s="35" t="str">
        <x:v>/Users/ryantydingco/Documents/AIOS-Memory-Bank/Revenue Sprints/2026-07-17 - CA + Dealthreads/08 - Measurement and Attribution SOP.md</x:v>
      </x:c>
      <x:c r="C13" s="35" t="str">
        <x:v>2026-07-17</x:v>
      </x:c>
      <x:c r="D13" s="35" t="str">
        <x:v>Funnel and revenue definitions</x:v>
      </x:c>
      <x:c r="E13" s="35" t="str">
        <x:v>Use for Friday reconciliation</x:v>
      </x:c>
      <x:c r="F13" s="35" t="str">
        <x:v>High</x:v>
      </x:c>
    </x:row>
    <x:row r="14" ht="45" customHeight="1">
      <x:c r="A14" s="38" t="str">
        <x:v>Final scorecard</x:v>
      </x:c>
      <x:c r="B14" s="38" t="str">
        <x:v>/Users/ryantydingco/Documents/AIOS-Memory-Bank/Revenue Sprints/2026-07-17 - CA + Dealthreads/09 - Final Revenue Scorecard.md</x:v>
      </x:c>
      <x:c r="C14" s="38" t="str">
        <x:v>2026-07-17</x:v>
      </x:c>
      <x:c r="D14" s="38" t="str">
        <x:v>Day 0 scenario and closeout rules</x:v>
      </x:c>
      <x:c r="E14" s="38" t="str">
        <x:v>Reconcile to workbook Friday</x:v>
      </x:c>
      <x:c r="F14" s="38" t="str">
        <x:v>High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a74dc27e85bd43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7" hidden="0" customWidth="1"/>
    <x:col min="3" max="3" width="43" hidden="0" customWidth="1"/>
    <x:col min="4" max="4" width="28" hidden="0" customWidth="1"/>
    <x:col min="5" max="5" width="43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5" hidden="0" customWidth="1"/>
    <x:col min="12" max="12" width="13" hidden="0" customWidth="1"/>
    <x:col min="13" max="13" width="13" hidden="0" customWidth="1"/>
    <x:col min="14" max="14" width="15" hidden="0" customWidth="1"/>
    <x:col min="15" max="15" width="15" hidden="0" customWidth="1"/>
    <x:col min="16" max="16" width="15" hidden="0" customWidth="1"/>
    <x:col min="17" max="17" width="16" hidden="0" customWidth="1"/>
    <x:col min="18" max="18" width="48" hidden="0" customWidth="1"/>
  </x:cols>
  <x:sheetData>
    <x:row r="1" ht="32" customHeight="1">
      <x:c r="A1" s="20" t="str">
        <x:v>priority</x:v>
      </x:c>
      <x:c r="B1" s="21" t="str">
        <x:v>account</x:v>
      </x:c>
      <x:c r="C1" s="21" t="str">
        <x:v>verified_signal</x:v>
      </x:c>
      <x:c r="D1" s="21" t="str">
        <x:v>asset_status</x:v>
      </x:c>
      <x:c r="E1" s="21" t="str">
        <x:v>required_action</x:v>
      </x:c>
      <x:c r="F1" s="21" t="str">
        <x:v>owner</x:v>
      </x:c>
      <x:c r="G1" s="21" t="str">
        <x:v>pricing_approval</x:v>
      </x:c>
      <x:c r="H1" s="21" t="str">
        <x:v>relationship_approval</x:v>
      </x:c>
      <x:c r="I1" s="21" t="str">
        <x:v>send_approval</x:v>
      </x:c>
      <x:c r="J1" s="21" t="str">
        <x:v>current_stage</x:v>
      </x:c>
      <x:c r="K1" s="21" t="str">
        <x:v>next_action_date</x:v>
      </x:c>
      <x:c r="L1" s="21" t="str">
        <x:v>estimated_low</x:v>
      </x:c>
      <x:c r="M1" s="21" t="str">
        <x:v>estimated_high</x:v>
      </x:c>
      <x:c r="N1" s="21" t="str">
        <x:v>booked_revenue</x:v>
      </x:c>
      <x:c r="O1" s="21" t="str">
        <x:v>invoice_id</x:v>
      </x:c>
      <x:c r="P1" s="21" t="str">
        <x:v>cash_collected</x:v>
      </x:c>
      <x:c r="Q1" s="21" t="str">
        <x:v>proof_permission</x:v>
      </x:c>
      <x:c r="R1" s="22" t="str">
        <x:v>notes</x:v>
      </x:c>
    </x:row>
    <x:row r="2" ht="42" customHeight="1">
      <x:c r="A2" s="35" t="str">
        <x:v>1</x:v>
      </x:c>
      <x:c r="B2" s="35" t="str">
        <x:v>Miller Johnson</x:v>
      </x:c>
      <x:c r="C2" s="35" t="str">
        <x:v>Requested 60 mugs and 60 sticky-note padfolios for September retreat</x:v>
      </x:c>
      <x:c r="D2" s="35" t="str">
        <x:v>Concepts and proof exist</x:v>
      </x:c>
      <x:c r="E2" s="35" t="str">
        <x:v>Map real SKUs; rebuild padfolio visual; approve quote</x:v>
      </x:c>
      <x:c r="F2" s="35" t="str">
        <x:v>Kenny</x:v>
      </x:c>
      <x:c r="G2" s="51" t="str">
        <x:v>Pending</x:v>
      </x:c>
      <x:c r="H2" s="51" t="str">
        <x:v>Pending</x:v>
      </x:c>
      <x:c r="I2" s="51" t="str">
        <x:v>Pending</x:v>
      </x:c>
      <x:c r="J2" s="35" t="str">
        <x:v>Pricing blocked</x:v>
      </x:c>
      <x:c r="K2" s="49" t="str">
        <x:v>2026-07-20</x:v>
      </x:c>
      <x:c r="L2" s="37" t="str">
        <x:v>3500</x:v>
      </x:c>
      <x:c r="M2" s="37" t="str">
        <x:v>6000</x:v>
      </x:c>
      <x:c r="N2" s="37" t="str"/>
      <x:c r="O2" s="35" t="str"/>
      <x:c r="P2" s="37" t="str"/>
      <x:c r="Q2" s="35" t="str">
        <x:v>Not requested</x:v>
      </x:c>
      <x:c r="R2" s="35" t="str">
        <x:v>Do not claim order; compare against AnyPromo only with verified facts</x:v>
      </x:c>
    </x:row>
    <x:row r="3" ht="42" customHeight="1">
      <x:c r="A3" s="35" t="str">
        <x:v>2</x:v>
      </x:c>
      <x:c r="B3" s="35" t="str">
        <x:v>Nirenstein Horowitz &amp; Associates</x:v>
      </x:c>
      <x:c r="C3" s="35" t="str">
        <x:v>Operations Manager asked for meeting this week or next</x:v>
      </x:c>
      <x:c r="D3" s="35" t="str">
        <x:v>No complete package found</x:v>
      </x:c>
      <x:c r="E3" s="35" t="str">
        <x:v>Approve response; prepare retreat concept; book meeting</x:v>
      </x:c>
      <x:c r="F3" s="35" t="str">
        <x:v>Ryan/Maclaine</x:v>
      </x:c>
      <x:c r="G3" s="51" t="str">
        <x:v>Hold</x:v>
      </x:c>
      <x:c r="H3" s="51" t="str">
        <x:v>Pending</x:v>
      </x:c>
      <x:c r="I3" s="51" t="str">
        <x:v>Pending</x:v>
      </x:c>
      <x:c r="J3" s="35" t="str">
        <x:v>Meeting requested</x:v>
      </x:c>
      <x:c r="K3" s="49" t="str">
        <x:v>2026-07-20</x:v>
      </x:c>
      <x:c r="L3" s="37" t="str">
        <x:v>3000</x:v>
      </x:c>
      <x:c r="M3" s="37" t="str">
        <x:v>8000</x:v>
      </x:c>
      <x:c r="N3" s="37" t="str"/>
      <x:c r="O3" s="35" t="str"/>
      <x:c r="P3" s="37" t="str"/>
      <x:c r="Q3" s="35" t="str">
        <x:v>Not requested</x:v>
      </x:c>
      <x:c r="R3" s="35" t="str">
        <x:v>No guarantee or discount language without Kenny</x:v>
      </x:c>
    </x:row>
    <x:row r="4" ht="42" customHeight="1">
      <x:c r="A4" s="35" t="str">
        <x:v>3</x:v>
      </x:c>
      <x:c r="B4" s="35" t="str">
        <x:v>Joseph Hollander &amp; Craft</x:v>
      </x:c>
      <x:c r="C4" s="35" t="str">
        <x:v>Asked to receive mockups</x:v>
      </x:c>
      <x:c r="D4" s="35" t="str">
        <x:v>Images lookbook proof page and draft exist</x:v>
      </x:c>
      <x:c r="E4" s="35" t="str">
        <x:v>Recheck PDF/logo/links/SKUs; approve delivery</x:v>
      </x:c>
      <x:c r="F4" s="35" t="str">
        <x:v>Ryan/Maclaine</x:v>
      </x:c>
      <x:c r="G4" s="51" t="str">
        <x:v>Hold</x:v>
      </x:c>
      <x:c r="H4" s="51" t="str">
        <x:v>Pending</x:v>
      </x:c>
      <x:c r="I4" s="51" t="str">
        <x:v>Pending</x:v>
      </x:c>
      <x:c r="J4" s="35" t="str">
        <x:v>Package ready</x:v>
      </x:c>
      <x:c r="K4" s="49" t="str">
        <x:v>2026-07-20</x:v>
      </x:c>
      <x:c r="L4" s="37" t="str">
        <x:v>2000</x:v>
      </x:c>
      <x:c r="M4" s="37" t="str">
        <x:v>6000</x:v>
      </x:c>
      <x:c r="N4" s="37" t="str"/>
      <x:c r="O4" s="35" t="str"/>
      <x:c r="P4" s="37" t="str"/>
      <x:c r="Q4" s="35" t="str">
        <x:v>Not requested</x:v>
      </x:c>
      <x:c r="R4" s="35" t="str">
        <x:v>Favicon-based logo and small PDF require extra QC</x:v>
      </x:c>
    </x:row>
    <x:row r="5" ht="42" customHeight="1">
      <x:c r="A5" s="35" t="str">
        <x:v>4</x:v>
      </x:c>
      <x:c r="B5" s="35" t="str">
        <x:v>Skyer Law</x:v>
      </x:c>
      <x:c r="C5" s="35" t="str">
        <x:v>Happy to review a mockup</x:v>
      </x:c>
      <x:c r="D5" s="35" t="str">
        <x:v>No package found</x:v>
      </x:c>
      <x:c r="E5" s="35" t="str">
        <x:v>Verify logo and occasion; build three-item visual concept</x:v>
      </x:c>
      <x:c r="F5" s="35" t="str">
        <x:v>Ryan/Maclaine</x:v>
      </x:c>
      <x:c r="G5" s="51" t="str">
        <x:v>Hold</x:v>
      </x:c>
      <x:c r="H5" s="51" t="str">
        <x:v>Pending</x:v>
      </x:c>
      <x:c r="I5" s="51" t="str">
        <x:v>Pending</x:v>
      </x:c>
      <x:c r="J5" s="35" t="str">
        <x:v>Build required</x:v>
      </x:c>
      <x:c r="K5" s="49" t="str">
        <x:v>2026-07-21</x:v>
      </x:c>
      <x:c r="L5" s="37" t="str">
        <x:v>2000</x:v>
      </x:c>
      <x:c r="M5" s="37" t="str">
        <x:v>5000</x:v>
      </x:c>
      <x:c r="N5" s="37" t="str"/>
      <x:c r="O5" s="35" t="str"/>
      <x:c r="P5" s="37" t="str"/>
      <x:c r="Q5" s="35" t="str">
        <x:v>Not requested</x:v>
      </x:c>
      <x:c r="R5" s="35" t="str">
        <x:v>Concept only; no product or deadline promise before SKU review</x:v>
      </x:c>
    </x:row>
    <x:row r="6" ht="42" customHeight="1">
      <x:c r="A6" s="35" t="str">
        <x:v>5</x:v>
      </x:c>
      <x:c r="B6" s="35" t="str">
        <x:v>INVST</x:v>
      </x:c>
      <x:c r="C6" s="35" t="str">
        <x:v>Said to send mockups</x:v>
      </x:c>
      <x:c r="D6" s="35" t="str">
        <x:v>Three mockups lookbook and draft exist</x:v>
      </x:c>
      <x:c r="E6" s="35" t="str">
        <x:v>Revalidate links/PDF; approve in-thread delivery</x:v>
      </x:c>
      <x:c r="F6" s="35" t="str">
        <x:v>Ryan/Maclaine</x:v>
      </x:c>
      <x:c r="G6" s="51" t="str">
        <x:v>Hold</x:v>
      </x:c>
      <x:c r="H6" s="51" t="str">
        <x:v>Pending</x:v>
      </x:c>
      <x:c r="I6" s="51" t="str">
        <x:v>Pending</x:v>
      </x:c>
      <x:c r="J6" s="35" t="str">
        <x:v>Package ready</x:v>
      </x:c>
      <x:c r="K6" s="49" t="str">
        <x:v>2026-07-20</x:v>
      </x:c>
      <x:c r="L6" s="37" t="str">
        <x:v>2000</x:v>
      </x:c>
      <x:c r="M6" s="37" t="str">
        <x:v>5000</x:v>
      </x:c>
      <x:c r="N6" s="37" t="str"/>
      <x:c r="O6" s="35" t="str"/>
      <x:c r="P6" s="37" t="str"/>
      <x:c r="Q6" s="35" t="str">
        <x:v>Not requested</x:v>
      </x:c>
      <x:c r="R6" s="35" t="str">
        <x:v>Confirm no prior send; current delay is approximately 11 days</x:v>
      </x:c>
    </x:row>
    <x:row r="7" ht="42" customHeight="1">
      <x:c r="A7" s="35" t="str">
        <x:v>6</x:v>
      </x:c>
      <x:c r="B7" s="35" t="str">
        <x:v>Harbor Haven</x:v>
      </x:c>
      <x:c r="C7" s="35" t="str">
        <x:v>Interested in managed camp store and bulk pricing</x:v>
      </x:c>
      <x:c r="D7" s="35" t="str">
        <x:v>Relationship active</x:v>
      </x:c>
      <x:c r="E7" s="35" t="str">
        <x:v>Confirm store build and bulk shirt pricing</x:v>
      </x:c>
      <x:c r="F7" s="35" t="str">
        <x:v>Kenny</x:v>
      </x:c>
      <x:c r="G7" s="51" t="str">
        <x:v>Pending</x:v>
      </x:c>
      <x:c r="H7" s="51" t="str">
        <x:v>Pending</x:v>
      </x:c>
      <x:c r="I7" s="51" t="str">
        <x:v>Pending</x:v>
      </x:c>
      <x:c r="J7" s="35" t="str">
        <x:v>Verbal yes/proofing</x:v>
      </x:c>
      <x:c r="K7" s="49" t="str">
        <x:v>2026-07-20</x:v>
      </x:c>
      <x:c r="L7" s="37" t="str">
        <x:v>0</x:v>
      </x:c>
      <x:c r="M7" s="37" t="str">
        <x:v>3000</x:v>
      </x:c>
      <x:c r="N7" s="37" t="str"/>
      <x:c r="O7" s="35" t="str"/>
      <x:c r="P7" s="37" t="str"/>
      <x:c r="Q7" s="35" t="str">
        <x:v>Not requested</x:v>
      </x:c>
      <x:c r="R7" s="35" t="str">
        <x:v>Rough pipeline value only</x:v>
      </x:c>
    </x:row>
    <x:row r="8" ht="42" customHeight="1">
      <x:c r="A8" s="35" t="str">
        <x:v>7</x:v>
      </x:c>
      <x:c r="B8" s="35" t="str">
        <x:v>Woodcraft Camps</x:v>
      </x:c>
      <x:c r="C8" s="35" t="str">
        <x:v>Asked for pricing and typical camp markup</x:v>
      </x:c>
      <x:c r="D8" s="35" t="str">
        <x:v>Pricing request</x:v>
      </x:c>
      <x:c r="E8" s="35" t="str">
        <x:v>Build margin-approved response</x:v>
      </x:c>
      <x:c r="F8" s="35" t="str">
        <x:v>Kenny</x:v>
      </x:c>
      <x:c r="G8" s="51" t="str">
        <x:v>Pending</x:v>
      </x:c>
      <x:c r="H8" s="51" t="str">
        <x:v>Pending</x:v>
      </x:c>
      <x:c r="I8" s="51" t="str">
        <x:v>Pending</x:v>
      </x:c>
      <x:c r="J8" s="35" t="str">
        <x:v>Pricing blocked</x:v>
      </x:c>
      <x:c r="K8" s="49" t="str">
        <x:v>2026-07-20</x:v>
      </x:c>
      <x:c r="L8" s="37" t="str">
        <x:v>0</x:v>
      </x:c>
      <x:c r="M8" s="37" t="str">
        <x:v>2000</x:v>
      </x:c>
      <x:c r="N8" s="37" t="str"/>
      <x:c r="O8" s="35" t="str"/>
      <x:c r="P8" s="37" t="str"/>
      <x:c r="Q8" s="35" t="str">
        <x:v>Not requested</x:v>
      </x:c>
      <x:c r="R8" s="35" t="str">
        <x:v>Do not publish or promise typical markup without approved margin data</x:v>
      </x:c>
    </x:row>
    <x:row r="9" ht="42" customHeight="1">
      <x:c r="A9" s="35" t="str">
        <x:v>8</x:v>
      </x:c>
      <x:c r="B9" s="35" t="str">
        <x:v>Camp Lilac</x:v>
      </x:c>
      <x:c r="C9" s="35" t="str">
        <x:v>Asked for pricing list</x:v>
      </x:c>
      <x:c r="D9" s="35" t="str">
        <x:v>Pricing request</x:v>
      </x:c>
      <x:c r="E9" s="35" t="str">
        <x:v>Build and approve pricing response</x:v>
      </x:c>
      <x:c r="F9" s="35" t="str">
        <x:v>Kenny</x:v>
      </x:c>
      <x:c r="G9" s="51" t="str">
        <x:v>Pending</x:v>
      </x:c>
      <x:c r="H9" s="51" t="str">
        <x:v>Pending</x:v>
      </x:c>
      <x:c r="I9" s="51" t="str">
        <x:v>Pending</x:v>
      </x:c>
      <x:c r="J9" s="35" t="str">
        <x:v>Pricing blocked</x:v>
      </x:c>
      <x:c r="K9" s="49" t="str">
        <x:v>2026-07-20</x:v>
      </x:c>
      <x:c r="L9" s="37" t="str">
        <x:v>0</x:v>
      </x:c>
      <x:c r="M9" s="37" t="str">
        <x:v>2000</x:v>
      </x:c>
      <x:c r="N9" s="37" t="str"/>
      <x:c r="O9" s="35" t="str"/>
      <x:c r="P9" s="37" t="str"/>
      <x:c r="Q9" s="35" t="str">
        <x:v>Not requested</x:v>
      </x:c>
      <x:c r="R9" s="35" t="str">
        <x:v>Rough pipeline value only</x:v>
      </x:c>
    </x:row>
    <x:row r="10" ht="42" customHeight="1">
      <x:c r="A10" s="35" t="str">
        <x:v>9</x:v>
      </x:c>
      <x:c r="B10" s="35" t="str">
        <x:v>SquashSmarts</x:v>
      </x:c>
      <x:c r="C10" s="35" t="str">
        <x:v>Meeting had been scheduled</x:v>
      </x:c>
      <x:c r="D10" s="35" t="str">
        <x:v>Status unclear</x:v>
      </x:c>
      <x:c r="E10" s="35" t="str">
        <x:v>Confirm whether meeting occurred and log outcome</x:v>
      </x:c>
      <x:c r="F10" s="35" t="str">
        <x:v>Maclaine</x:v>
      </x:c>
      <x:c r="G10" s="51" t="str">
        <x:v>Hold</x:v>
      </x:c>
      <x:c r="H10" s="51" t="str">
        <x:v>Pending</x:v>
      </x:c>
      <x:c r="I10" s="51" t="str">
        <x:v>Pending</x:v>
      </x:c>
      <x:c r="J10" s="35" t="str">
        <x:v>Re-engaged</x:v>
      </x:c>
      <x:c r="K10" s="49" t="str">
        <x:v>2026-07-20</x:v>
      </x:c>
      <x:c r="L10" s="37" t="str">
        <x:v>0</x:v>
      </x:c>
      <x:c r="M10" s="37" t="str">
        <x:v>1500</x:v>
      </x:c>
      <x:c r="N10" s="37" t="str"/>
      <x:c r="O10" s="35" t="str"/>
      <x:c r="P10" s="37" t="str"/>
      <x:c r="Q10" s="35" t="str">
        <x:v>Not requested</x:v>
      </x:c>
      <x:c r="R10" s="35" t="str">
        <x:v>Do not send a new pitch before checking thread/call history</x:v>
      </x:c>
    </x:row>
    <x:row r="11" ht="42" customHeight="1">
      <x:c r="A11" s="38" t="str">
        <x:v>10</x:v>
      </x:c>
      <x:c r="B11" s="38" t="str">
        <x:v>Wilmington CC</x:v>
      </x:c>
      <x:c r="C11" s="38" t="str">
        <x:v>Interested; incumbent vendor known</x:v>
      </x:c>
      <x:c r="D11" s="38" t="str">
        <x:v>Status unclear</x:v>
      </x:c>
      <x:c r="E11" s="38" t="str">
        <x:v>Kenny follow-up call and disposition</x:v>
      </x:c>
      <x:c r="F11" s="38" t="str">
        <x:v>Kenny</x:v>
      </x:c>
      <x:c r="G11" s="52" t="str">
        <x:v>Hold</x:v>
      </x:c>
      <x:c r="H11" s="52" t="str">
        <x:v>Pending</x:v>
      </x:c>
      <x:c r="I11" s="52" t="str">
        <x:v>Pending</x:v>
      </x:c>
      <x:c r="J11" s="38" t="str">
        <x:v>Re-engaged</x:v>
      </x:c>
      <x:c r="K11" s="50" t="str">
        <x:v>2026-07-20</x:v>
      </x:c>
      <x:c r="L11" s="40" t="str">
        <x:v>0</x:v>
      </x:c>
      <x:c r="M11" s="40" t="str">
        <x:v>1500</x:v>
      </x:c>
      <x:c r="N11" s="40" t="str"/>
      <x:c r="O11" s="38" t="str"/>
      <x:c r="P11" s="40" t="str"/>
      <x:c r="Q11" s="38" t="str">
        <x:v>Not requested</x:v>
      </x:c>
      <x:c r="R11" s="38" t="str">
        <x:v>Rough pipeline value only</x:v>
      </x:c>
    </x:row>
  </x:sheetData>
  <x:conditionalFormatting sqref="I2:I11">
    <x:cfRule type="containsText" dxfId="15" priority="1" operator="containsText" text="Pending"/>
    <x:cfRule type="containsText" dxfId="16" priority="2" operator="containsText" text="Approved"/>
    <x:cfRule type="containsText" dxfId="17" priority="3" operator="containsText" text="Completed"/>
    <x:cfRule type="containsText" dxfId="18" priority="4" operator="containsText" text="Hold"/>
    <x:cfRule type="containsText" dxfId="19" priority="5" operator="containsText" text="Suppressed"/>
  </x:conditionalFormatting>
  <x:dataValidations count="1">
    <x:dataValidation type="list" sqref="I2:I11">
      <x:formula1>"Pending,Approved,In Progress,Completed,Hold,Suppressed,Rejected"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b9a3f9290a46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3" hidden="0" customWidth="1"/>
    <x:col min="4" max="4" width="15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14" hidden="0" customWidth="1"/>
    <x:col min="13" max="13" width="16" hidden="0" customWidth="1"/>
    <x:col min="14" max="14" width="17" hidden="0" customWidth="1"/>
    <x:col min="15" max="15" width="18" hidden="0" customWidth="1"/>
    <x:col min="16" max="16" width="15" hidden="0" customWidth="1"/>
    <x:col min="17" max="17" width="15" hidden="0" customWidth="1"/>
    <x:col min="18" max="18" width="15" hidden="0" customWidth="1"/>
    <x:col min="19" max="19" width="24" hidden="0" customWidth="1"/>
  </x:cols>
  <x:sheetData>
    <x:row r="1" ht="32" customHeight="1">
      <x:c r="A1" s="20" t="str">
        <x:v>priority</x:v>
      </x:c>
      <x:c r="B1" s="21" t="str">
        <x:v>account</x:v>
      </x:c>
      <x:c r="C1" s="21" t="str">
        <x:v>segment</x:v>
      </x:c>
      <x:c r="D1" s="21" t="str">
        <x:v>prior_2025_revenue</x:v>
      </x:c>
      <x:c r="E1" s="21" t="str">
        <x:v>relationship_route</x:v>
      </x:c>
      <x:c r="F1" s="21" t="str">
        <x:v>live_qbo_checked</x:v>
      </x:c>
      <x:c r="G1" s="21" t="str">
        <x:v>no_2026_order</x:v>
      </x:c>
      <x:c r="H1" s="21" t="str">
        <x:v>open_ar_reviewed</x:v>
      </x:c>
      <x:c r="I1" s="21" t="str">
        <x:v>open_quote_reviewed</x:v>
      </x:c>
      <x:c r="J1" s="21" t="str">
        <x:v>contact_verified</x:v>
      </x:c>
      <x:c r="K1" s="21" t="str">
        <x:v>relationship_approved</x:v>
      </x:c>
      <x:c r="L1" s="21" t="str">
        <x:v>approval_status</x:v>
      </x:c>
      <x:c r="M1" s="21" t="str">
        <x:v>owner</x:v>
      </x:c>
      <x:c r="N1" s="21" t="str">
        <x:v>next_action</x:v>
      </x:c>
      <x:c r="O1" s="21" t="str">
        <x:v>outcome</x:v>
      </x:c>
      <x:c r="P1" s="21" t="str">
        <x:v>booked_revenue</x:v>
      </x:c>
      <x:c r="Q1" s="21" t="str">
        <x:v>invoice_id</x:v>
      </x:c>
      <x:c r="R1" s="21" t="str">
        <x:v>cash_collected</x:v>
      </x:c>
      <x:c r="S1" s="21" t="str">
        <x:v>lost_reason</x:v>
      </x:c>
      <x:c r="T1" s="22" t="str"/>
    </x:row>
    <x:row r="2" ht="42" customHeight="1">
      <x:c r="A2" s="35" t="str">
        <x:v>1</x:v>
      </x:c>
      <x:c r="B2" s="35" t="str">
        <x:v>CLC DAY CAMP</x:v>
      </x:c>
      <x:c r="C2" s="35" t="str">
        <x:v>camp</x:v>
      </x:c>
      <x:c r="D2" s="37" t="str">
        <x:v>35181.50</x:v>
      </x:c>
      <x:c r="E2" s="35" t="str">
        <x:v>Direct review</x:v>
      </x:c>
      <x:c r="F2" s="51" t="str">
        <x:v>No</x:v>
      </x:c>
      <x:c r="G2" s="51" t="str">
        <x:v>Unknown</x:v>
      </x:c>
      <x:c r="H2" s="51" t="str">
        <x:v>No</x:v>
      </x:c>
      <x:c r="I2" s="51" t="str">
        <x:v>No</x:v>
      </x:c>
      <x:c r="J2" s="51" t="str">
        <x:v>No</x:v>
      </x:c>
      <x:c r="K2" s="51" t="str">
        <x:v>No</x:v>
      </x:c>
      <x:c r="L2" s="51" t="str">
        <x:v>Pending</x:v>
      </x:c>
      <x:c r="M2" s="35" t="str">
        <x:v>Maclaine</x:v>
      </x:c>
      <x:c r="N2" s="35" t="str">
        <x:v>call_then_email</x:v>
      </x:c>
      <x:c r="O2" s="35" t="str"/>
      <x:c r="P2" s="37" t="str"/>
      <x:c r="Q2" s="35" t="str"/>
      <x:c r="R2" s="37" t="str"/>
      <x:c r="S2" s="35" t="str"/>
      <x:c r="T2" s="35" t="str"/>
    </x:row>
    <x:row r="3" ht="42" customHeight="1">
      <x:c r="A3" s="35" t="str">
        <x:v>2</x:v>
      </x:c>
      <x:c r="B3" s="35" t="str">
        <x:v>Camp Coniston</x:v>
      </x:c>
      <x:c r="C3" s="35" t="str">
        <x:v>camp</x:v>
      </x:c>
      <x:c r="D3" s="37" t="str">
        <x:v>21424.00</x:v>
      </x:c>
      <x:c r="E3" s="35" t="str">
        <x:v>Todd route</x:v>
      </x:c>
      <x:c r="F3" s="51" t="str">
        <x:v>No</x:v>
      </x:c>
      <x:c r="G3" s="51" t="str">
        <x:v>Unknown</x:v>
      </x:c>
      <x:c r="H3" s="51" t="str">
        <x:v>No</x:v>
      </x:c>
      <x:c r="I3" s="51" t="str">
        <x:v>No</x:v>
      </x:c>
      <x:c r="J3" s="51" t="str">
        <x:v>No</x:v>
      </x:c>
      <x:c r="K3" s="51" t="str">
        <x:v>No</x:v>
      </x:c>
      <x:c r="L3" s="51" t="str">
        <x:v>Pending</x:v>
      </x:c>
      <x:c r="M3" s="35" t="str">
        <x:v>Maclaine</x:v>
      </x:c>
      <x:c r="N3" s="35" t="str">
        <x:v>call_then_email</x:v>
      </x:c>
      <x:c r="O3" s="35" t="str"/>
      <x:c r="P3" s="37" t="str"/>
      <x:c r="Q3" s="35" t="str"/>
      <x:c r="R3" s="37" t="str"/>
      <x:c r="S3" s="35" t="str"/>
      <x:c r="T3" s="35" t="str"/>
    </x:row>
    <x:row r="4" ht="42" customHeight="1">
      <x:c r="A4" s="35" t="str">
        <x:v>3</x:v>
      </x:c>
      <x:c r="B4" s="35" t="str">
        <x:v>Joseph Freedman Company</x:v>
      </x:c>
      <x:c r="C4" s="35" t="str">
        <x:v>other</x:v>
      </x:c>
      <x:c r="D4" s="37" t="str">
        <x:v>15043.00</x:v>
      </x:c>
      <x:c r="E4" s="35" t="str">
        <x:v>Todd route</x:v>
      </x:c>
      <x:c r="F4" s="51" t="str">
        <x:v>No</x:v>
      </x:c>
      <x:c r="G4" s="51" t="str">
        <x:v>Unknown</x:v>
      </x:c>
      <x:c r="H4" s="51" t="str">
        <x:v>No</x:v>
      </x:c>
      <x:c r="I4" s="51" t="str">
        <x:v>No</x:v>
      </x:c>
      <x:c r="J4" s="51" t="str">
        <x:v>No</x:v>
      </x:c>
      <x:c r="K4" s="51" t="str">
        <x:v>No</x:v>
      </x:c>
      <x:c r="L4" s="51" t="str">
        <x:v>Pending</x:v>
      </x:c>
      <x:c r="M4" s="35" t="str">
        <x:v>Maclaine</x:v>
      </x:c>
      <x:c r="N4" s="35" t="str">
        <x:v>call_then_email</x:v>
      </x:c>
      <x:c r="O4" s="35" t="str"/>
      <x:c r="P4" s="37" t="str"/>
      <x:c r="Q4" s="35" t="str"/>
      <x:c r="R4" s="37" t="str"/>
      <x:c r="S4" s="35" t="str"/>
      <x:c r="T4" s="35" t="str"/>
    </x:row>
    <x:row r="5" ht="42" customHeight="1">
      <x:c r="A5" s="35" t="str">
        <x:v>4</x:v>
      </x:c>
      <x:c r="B5" s="35" t="str">
        <x:v>Upper Right Management</x:v>
      </x:c>
      <x:c r="C5" s="35" t="str">
        <x:v>other</x:v>
      </x:c>
      <x:c r="D5" s="37" t="str">
        <x:v>13964.32</x:v>
      </x:c>
      <x:c r="E5" s="35" t="str">
        <x:v>Direct review</x:v>
      </x:c>
      <x:c r="F5" s="51" t="str">
        <x:v>No</x:v>
      </x:c>
      <x:c r="G5" s="51" t="str">
        <x:v>Unknown</x:v>
      </x:c>
      <x:c r="H5" s="51" t="str">
        <x:v>No</x:v>
      </x:c>
      <x:c r="I5" s="51" t="str">
        <x:v>No</x:v>
      </x:c>
      <x:c r="J5" s="51" t="str">
        <x:v>No</x:v>
      </x:c>
      <x:c r="K5" s="51" t="str">
        <x:v>No</x:v>
      </x:c>
      <x:c r="L5" s="51" t="str">
        <x:v>Pending</x:v>
      </x:c>
      <x:c r="M5" s="35" t="str">
        <x:v>Maclaine</x:v>
      </x:c>
      <x:c r="N5" s="35" t="str">
        <x:v>call_then_email</x:v>
      </x:c>
      <x:c r="O5" s="35" t="str"/>
      <x:c r="P5" s="37" t="str"/>
      <x:c r="Q5" s="35" t="str"/>
      <x:c r="R5" s="37" t="str"/>
      <x:c r="S5" s="35" t="str"/>
      <x:c r="T5" s="35" t="str"/>
    </x:row>
    <x:row r="6" ht="42" customHeight="1">
      <x:c r="A6" s="35" t="str">
        <x:v>5</x:v>
      </x:c>
      <x:c r="B6" s="35" t="str">
        <x:v>Kiwi Country Day</x:v>
      </x:c>
      <x:c r="C6" s="35" t="str">
        <x:v>other</x:v>
      </x:c>
      <x:c r="D6" s="37" t="str">
        <x:v>12176.00</x:v>
      </x:c>
      <x:c r="E6" s="35" t="str">
        <x:v>Todd route</x:v>
      </x:c>
      <x:c r="F6" s="51" t="str">
        <x:v>No</x:v>
      </x:c>
      <x:c r="G6" s="51" t="str">
        <x:v>Unknown</x:v>
      </x:c>
      <x:c r="H6" s="51" t="str">
        <x:v>No</x:v>
      </x:c>
      <x:c r="I6" s="51" t="str">
        <x:v>No</x:v>
      </x:c>
      <x:c r="J6" s="51" t="str">
        <x:v>No</x:v>
      </x:c>
      <x:c r="K6" s="51" t="str">
        <x:v>No</x:v>
      </x:c>
      <x:c r="L6" s="51" t="str">
        <x:v>Pending</x:v>
      </x:c>
      <x:c r="M6" s="35" t="str">
        <x:v>Maclaine</x:v>
      </x:c>
      <x:c r="N6" s="35" t="str">
        <x:v>call_then_email</x:v>
      </x:c>
      <x:c r="O6" s="35" t="str"/>
      <x:c r="P6" s="37" t="str"/>
      <x:c r="Q6" s="35" t="str"/>
      <x:c r="R6" s="37" t="str"/>
      <x:c r="S6" s="35" t="str"/>
      <x:c r="T6" s="35" t="str"/>
    </x:row>
    <x:row r="7" ht="42" customHeight="1">
      <x:c r="A7" s="35" t="str">
        <x:v>6</x:v>
      </x:c>
      <x:c r="B7" s="35" t="str">
        <x:v>Camp Burgess &amp; Hayward</x:v>
      </x:c>
      <x:c r="C7" s="35" t="str">
        <x:v>camp</x:v>
      </x:c>
      <x:c r="D7" s="37" t="str">
        <x:v>10430.50</x:v>
      </x:c>
      <x:c r="E7" s="35" t="str">
        <x:v>Todd route</x:v>
      </x:c>
      <x:c r="F7" s="51" t="str">
        <x:v>No</x:v>
      </x:c>
      <x:c r="G7" s="51" t="str">
        <x:v>Unknown</x:v>
      </x:c>
      <x:c r="H7" s="51" t="str">
        <x:v>No</x:v>
      </x:c>
      <x:c r="I7" s="51" t="str">
        <x:v>No</x:v>
      </x:c>
      <x:c r="J7" s="51" t="str">
        <x:v>No</x:v>
      </x:c>
      <x:c r="K7" s="51" t="str">
        <x:v>No</x:v>
      </x:c>
      <x:c r="L7" s="51" t="str">
        <x:v>Pending</x:v>
      </x:c>
      <x:c r="M7" s="35" t="str">
        <x:v>Maclaine</x:v>
      </x:c>
      <x:c r="N7" s="35" t="str">
        <x:v>call_then_email</x:v>
      </x:c>
      <x:c r="O7" s="35" t="str"/>
      <x:c r="P7" s="37" t="str"/>
      <x:c r="Q7" s="35" t="str"/>
      <x:c r="R7" s="37" t="str"/>
      <x:c r="S7" s="35" t="str"/>
      <x:c r="T7" s="35" t="str"/>
    </x:row>
    <x:row r="8" ht="42" customHeight="1">
      <x:c r="A8" s="35" t="str">
        <x:v>7</x:v>
      </x:c>
      <x:c r="B8" s="35" t="str">
        <x:v>Wildcat Booster Club</x:v>
      </x:c>
      <x:c r="C8" s="35" t="str">
        <x:v>racquet/squash</x:v>
      </x:c>
      <x:c r="D8" s="37" t="str">
        <x:v>7080.00</x:v>
      </x:c>
      <x:c r="E8" s="35" t="str">
        <x:v>Direct review</x:v>
      </x:c>
      <x:c r="F8" s="51" t="str">
        <x:v>No</x:v>
      </x:c>
      <x:c r="G8" s="51" t="str">
        <x:v>Unknown</x:v>
      </x:c>
      <x:c r="H8" s="51" t="str">
        <x:v>No</x:v>
      </x:c>
      <x:c r="I8" s="51" t="str">
        <x:v>No</x:v>
      </x:c>
      <x:c r="J8" s="51" t="str">
        <x:v>No</x:v>
      </x:c>
      <x:c r="K8" s="51" t="str">
        <x:v>No</x:v>
      </x:c>
      <x:c r="L8" s="51" t="str">
        <x:v>Pending</x:v>
      </x:c>
      <x:c r="M8" s="35" t="str">
        <x:v>Maclaine</x:v>
      </x:c>
      <x:c r="N8" s="35" t="str">
        <x:v>call_then_email</x:v>
      </x:c>
      <x:c r="O8" s="35" t="str"/>
      <x:c r="P8" s="37" t="str"/>
      <x:c r="Q8" s="35" t="str"/>
      <x:c r="R8" s="37" t="str"/>
      <x:c r="S8" s="35" t="str"/>
      <x:c r="T8" s="35" t="str"/>
    </x:row>
    <x:row r="9" ht="42" customHeight="1">
      <x:c r="A9" s="35" t="str">
        <x:v>8</x:v>
      </x:c>
      <x:c r="B9" s="35" t="str">
        <x:v>Transportation Alternatives</x:v>
      </x:c>
      <x:c r="C9" s="35" t="str">
        <x:v>other</x:v>
      </x:c>
      <x:c r="D9" s="37" t="str">
        <x:v>6946.00</x:v>
      </x:c>
      <x:c r="E9" s="35" t="str">
        <x:v>Direct review</x:v>
      </x:c>
      <x:c r="F9" s="51" t="str">
        <x:v>No</x:v>
      </x:c>
      <x:c r="G9" s="51" t="str">
        <x:v>Unknown</x:v>
      </x:c>
      <x:c r="H9" s="51" t="str">
        <x:v>No</x:v>
      </x:c>
      <x:c r="I9" s="51" t="str">
        <x:v>No</x:v>
      </x:c>
      <x:c r="J9" s="51" t="str">
        <x:v>No</x:v>
      </x:c>
      <x:c r="K9" s="51" t="str">
        <x:v>No</x:v>
      </x:c>
      <x:c r="L9" s="51" t="str">
        <x:v>Pending</x:v>
      </x:c>
      <x:c r="M9" s="35" t="str">
        <x:v>Maclaine</x:v>
      </x:c>
      <x:c r="N9" s="35" t="str">
        <x:v>call_then_email</x:v>
      </x:c>
      <x:c r="O9" s="35" t="str"/>
      <x:c r="P9" s="37" t="str"/>
      <x:c r="Q9" s="35" t="str"/>
      <x:c r="R9" s="37" t="str"/>
      <x:c r="S9" s="35" t="str"/>
      <x:c r="T9" s="35" t="str"/>
    </x:row>
    <x:row r="10" ht="42" customHeight="1">
      <x:c r="A10" s="35" t="str">
        <x:v>9</x:v>
      </x:c>
      <x:c r="B10" s="35" t="str">
        <x:v>Roger Arjoon</x:v>
      </x:c>
      <x:c r="C10" s="35" t="str">
        <x:v>other</x:v>
      </x:c>
      <x:c r="D10" s="37" t="str">
        <x:v>6728.21</x:v>
      </x:c>
      <x:c r="E10" s="35" t="str">
        <x:v>Direct review</x:v>
      </x:c>
      <x:c r="F10" s="51" t="str">
        <x:v>No</x:v>
      </x:c>
      <x:c r="G10" s="51" t="str">
        <x:v>Unknown</x:v>
      </x:c>
      <x:c r="H10" s="51" t="str">
        <x:v>No</x:v>
      </x:c>
      <x:c r="I10" s="51" t="str">
        <x:v>No</x:v>
      </x:c>
      <x:c r="J10" s="51" t="str">
        <x:v>No</x:v>
      </x:c>
      <x:c r="K10" s="51" t="str">
        <x:v>No</x:v>
      </x:c>
      <x:c r="L10" s="51" t="str">
        <x:v>Pending</x:v>
      </x:c>
      <x:c r="M10" s="35" t="str">
        <x:v>Maclaine</x:v>
      </x:c>
      <x:c r="N10" s="35" t="str">
        <x:v>call_then_email</x:v>
      </x:c>
      <x:c r="O10" s="35" t="str"/>
      <x:c r="P10" s="37" t="str"/>
      <x:c r="Q10" s="35" t="str"/>
      <x:c r="R10" s="37" t="str"/>
      <x:c r="S10" s="35" t="str"/>
      <x:c r="T10" s="35" t="str"/>
    </x:row>
    <x:row r="11" ht="42" customHeight="1">
      <x:c r="A11" s="35" t="str">
        <x:v>10</x:v>
      </x:c>
      <x:c r="B11" s="35" t="str">
        <x:v>Atlantic Avenue Local Dev</x:v>
      </x:c>
      <x:c r="C11" s="35" t="str">
        <x:v>other</x:v>
      </x:c>
      <x:c r="D11" s="37" t="str">
        <x:v>5622.00</x:v>
      </x:c>
      <x:c r="E11" s="35" t="str">
        <x:v>Direct review</x:v>
      </x:c>
      <x:c r="F11" s="51" t="str">
        <x:v>No</x:v>
      </x:c>
      <x:c r="G11" s="51" t="str">
        <x:v>Unknown</x:v>
      </x:c>
      <x:c r="H11" s="51" t="str">
        <x:v>No</x:v>
      </x:c>
      <x:c r="I11" s="51" t="str">
        <x:v>No</x:v>
      </x:c>
      <x:c r="J11" s="51" t="str">
        <x:v>No</x:v>
      </x:c>
      <x:c r="K11" s="51" t="str">
        <x:v>No</x:v>
      </x:c>
      <x:c r="L11" s="51" t="str">
        <x:v>Pending</x:v>
      </x:c>
      <x:c r="M11" s="35" t="str">
        <x:v>Maclaine</x:v>
      </x:c>
      <x:c r="N11" s="35" t="str">
        <x:v>call_then_email</x:v>
      </x:c>
      <x:c r="O11" s="35" t="str"/>
      <x:c r="P11" s="37" t="str"/>
      <x:c r="Q11" s="35" t="str"/>
      <x:c r="R11" s="37" t="str"/>
      <x:c r="S11" s="35" t="str"/>
      <x:c r="T11" s="35" t="str"/>
    </x:row>
    <x:row r="12" ht="42" customHeight="1">
      <x:c r="A12" s="35" t="str">
        <x:v>11</x:v>
      </x:c>
      <x:c r="B12" s="35" t="str">
        <x:v>Trust for Governors Island</x:v>
      </x:c>
      <x:c r="C12" s="35" t="str">
        <x:v>other</x:v>
      </x:c>
      <x:c r="D12" s="37" t="str">
        <x:v>5355.00</x:v>
      </x:c>
      <x:c r="E12" s="35" t="str">
        <x:v>Missing contact</x:v>
      </x:c>
      <x:c r="F12" s="51" t="str">
        <x:v>No</x:v>
      </x:c>
      <x:c r="G12" s="51" t="str">
        <x:v>Unknown</x:v>
      </x:c>
      <x:c r="H12" s="51" t="str">
        <x:v>No</x:v>
      </x:c>
      <x:c r="I12" s="51" t="str">
        <x:v>No</x:v>
      </x:c>
      <x:c r="J12" s="51" t="str">
        <x:v>No</x:v>
      </x:c>
      <x:c r="K12" s="51" t="str">
        <x:v>No</x:v>
      </x:c>
      <x:c r="L12" s="51" t="str">
        <x:v>Hold</x:v>
      </x:c>
      <x:c r="M12" s="35" t="str">
        <x:v>Maclaine</x:v>
      </x:c>
      <x:c r="N12" s="35" t="str">
        <x:v>verify_contact</x:v>
      </x:c>
      <x:c r="O12" s="35" t="str"/>
      <x:c r="P12" s="37" t="str"/>
      <x:c r="Q12" s="35" t="str"/>
      <x:c r="R12" s="37" t="str"/>
      <x:c r="S12" s="35" t="str"/>
      <x:c r="T12" s="35" t="str"/>
    </x:row>
    <x:row r="13" ht="42" customHeight="1">
      <x:c r="A13" s="35" t="str">
        <x:v>12</x:v>
      </x:c>
      <x:c r="B13" s="35" t="str">
        <x:v>The Heights Racquet &amp; Social Club</x:v>
      </x:c>
      <x:c r="C13" s="35" t="str">
        <x:v>racquet/squash</x:v>
      </x:c>
      <x:c r="D13" s="37" t="str">
        <x:v>5025.00</x:v>
      </x:c>
      <x:c r="E13" s="35" t="str">
        <x:v>Direct review</x:v>
      </x:c>
      <x:c r="F13" s="51" t="str">
        <x:v>No</x:v>
      </x:c>
      <x:c r="G13" s="51" t="str">
        <x:v>Unknown</x:v>
      </x:c>
      <x:c r="H13" s="51" t="str">
        <x:v>No</x:v>
      </x:c>
      <x:c r="I13" s="51" t="str">
        <x:v>No</x:v>
      </x:c>
      <x:c r="J13" s="51" t="str">
        <x:v>No</x:v>
      </x:c>
      <x:c r="K13" s="51" t="str">
        <x:v>No</x:v>
      </x:c>
      <x:c r="L13" s="51" t="str">
        <x:v>Pending</x:v>
      </x:c>
      <x:c r="M13" s="35" t="str">
        <x:v>Maclaine</x:v>
      </x:c>
      <x:c r="N13" s="35" t="str">
        <x:v>call_then_email</x:v>
      </x:c>
      <x:c r="O13" s="35" t="str"/>
      <x:c r="P13" s="37" t="str"/>
      <x:c r="Q13" s="35" t="str"/>
      <x:c r="R13" s="37" t="str"/>
      <x:c r="S13" s="35" t="str"/>
      <x:c r="T13" s="35" t="str"/>
    </x:row>
    <x:row r="14" ht="42" customHeight="1">
      <x:c r="A14" s="35" t="str">
        <x:v>13</x:v>
      </x:c>
      <x:c r="B14" s="35" t="str">
        <x:v>Oasis Day Spa</x:v>
      </x:c>
      <x:c r="C14" s="35" t="str">
        <x:v>other</x:v>
      </x:c>
      <x:c r="D14" s="37" t="str">
        <x:v>4948.00</x:v>
      </x:c>
      <x:c r="E14" s="35" t="str">
        <x:v>Direct review</x:v>
      </x:c>
      <x:c r="F14" s="51" t="str">
        <x:v>No</x:v>
      </x:c>
      <x:c r="G14" s="51" t="str">
        <x:v>Unknown</x:v>
      </x:c>
      <x:c r="H14" s="51" t="str">
        <x:v>No</x:v>
      </x:c>
      <x:c r="I14" s="51" t="str">
        <x:v>No</x:v>
      </x:c>
      <x:c r="J14" s="51" t="str">
        <x:v>No</x:v>
      </x:c>
      <x:c r="K14" s="51" t="str">
        <x:v>No</x:v>
      </x:c>
      <x:c r="L14" s="51" t="str">
        <x:v>Pending</x:v>
      </x:c>
      <x:c r="M14" s="35" t="str">
        <x:v>Maclaine</x:v>
      </x:c>
      <x:c r="N14" s="35" t="str">
        <x:v>call_then_email</x:v>
      </x:c>
      <x:c r="O14" s="35" t="str"/>
      <x:c r="P14" s="37" t="str"/>
      <x:c r="Q14" s="35" t="str"/>
      <x:c r="R14" s="37" t="str"/>
      <x:c r="S14" s="35" t="str"/>
      <x:c r="T14" s="35" t="str"/>
    </x:row>
    <x:row r="15" ht="42" customHeight="1">
      <x:c r="A15" s="35" t="str">
        <x:v>14</x:v>
      </x:c>
      <x:c r="B15" s="35" t="str">
        <x:v>Berry Hill Elementary</x:v>
      </x:c>
      <x:c r="C15" s="35" t="str">
        <x:v>other</x:v>
      </x:c>
      <x:c r="D15" s="37" t="str">
        <x:v>4842.50</x:v>
      </x:c>
      <x:c r="E15" s="35" t="str">
        <x:v>Direct review</x:v>
      </x:c>
      <x:c r="F15" s="51" t="str">
        <x:v>No</x:v>
      </x:c>
      <x:c r="G15" s="51" t="str">
        <x:v>Unknown</x:v>
      </x:c>
      <x:c r="H15" s="51" t="str">
        <x:v>No</x:v>
      </x:c>
      <x:c r="I15" s="51" t="str">
        <x:v>No</x:v>
      </x:c>
      <x:c r="J15" s="51" t="str">
        <x:v>No</x:v>
      </x:c>
      <x:c r="K15" s="51" t="str">
        <x:v>No</x:v>
      </x:c>
      <x:c r="L15" s="51" t="str">
        <x:v>Pending</x:v>
      </x:c>
      <x:c r="M15" s="35" t="str">
        <x:v>Maclaine</x:v>
      </x:c>
      <x:c r="N15" s="35" t="str">
        <x:v>call_then_email</x:v>
      </x:c>
      <x:c r="O15" s="35" t="str"/>
      <x:c r="P15" s="37" t="str"/>
      <x:c r="Q15" s="35" t="str"/>
      <x:c r="R15" s="37" t="str"/>
      <x:c r="S15" s="35" t="str"/>
      <x:c r="T15" s="35" t="str"/>
    </x:row>
    <x:row r="16" ht="42" customHeight="1">
      <x:c r="A16" s="35" t="str">
        <x:v>15</x:v>
      </x:c>
      <x:c r="B16" s="35" t="str">
        <x:v>Hills East</x:v>
      </x:c>
      <x:c r="C16" s="35" t="str">
        <x:v>other</x:v>
      </x:c>
      <x:c r="D16" s="37" t="str">
        <x:v>4656.00</x:v>
      </x:c>
      <x:c r="E16" s="35" t="str">
        <x:v>Direct review</x:v>
      </x:c>
      <x:c r="F16" s="51" t="str">
        <x:v>No</x:v>
      </x:c>
      <x:c r="G16" s="51" t="str">
        <x:v>Unknown</x:v>
      </x:c>
      <x:c r="H16" s="51" t="str">
        <x:v>No</x:v>
      </x:c>
      <x:c r="I16" s="51" t="str">
        <x:v>No</x:v>
      </x:c>
      <x:c r="J16" s="51" t="str">
        <x:v>No</x:v>
      </x:c>
      <x:c r="K16" s="51" t="str">
        <x:v>No</x:v>
      </x:c>
      <x:c r="L16" s="51" t="str">
        <x:v>Pending</x:v>
      </x:c>
      <x:c r="M16" s="35" t="str">
        <x:v>Maclaine</x:v>
      </x:c>
      <x:c r="N16" s="35" t="str">
        <x:v>call_then_email</x:v>
      </x:c>
      <x:c r="O16" s="35" t="str"/>
      <x:c r="P16" s="37" t="str"/>
      <x:c r="Q16" s="35" t="str"/>
      <x:c r="R16" s="37" t="str"/>
      <x:c r="S16" s="35" t="str"/>
      <x:c r="T16" s="35" t="str"/>
    </x:row>
    <x:row r="17" ht="42" customHeight="1">
      <x:c r="A17" s="35" t="str">
        <x:v>16</x:v>
      </x:c>
      <x:c r="B17" s="35" t="str">
        <x:v>Cayman Islands National Squash Assn</x:v>
      </x:c>
      <x:c r="C17" s="35" t="str">
        <x:v>racquet/squash</x:v>
      </x:c>
      <x:c r="D17" s="37" t="str">
        <x:v>4262.00</x:v>
      </x:c>
      <x:c r="E17" s="35" t="str">
        <x:v>Direct review</x:v>
      </x:c>
      <x:c r="F17" s="51" t="str">
        <x:v>No</x:v>
      </x:c>
      <x:c r="G17" s="51" t="str">
        <x:v>Unknown</x:v>
      </x:c>
      <x:c r="H17" s="51" t="str">
        <x:v>No</x:v>
      </x:c>
      <x:c r="I17" s="51" t="str">
        <x:v>No</x:v>
      </x:c>
      <x:c r="J17" s="51" t="str">
        <x:v>No</x:v>
      </x:c>
      <x:c r="K17" s="51" t="str">
        <x:v>No</x:v>
      </x:c>
      <x:c r="L17" s="51" t="str">
        <x:v>Pending</x:v>
      </x:c>
      <x:c r="M17" s="35" t="str">
        <x:v>Maclaine</x:v>
      </x:c>
      <x:c r="N17" s="35" t="str">
        <x:v>call_then_email</x:v>
      </x:c>
      <x:c r="O17" s="35" t="str"/>
      <x:c r="P17" s="37" t="str"/>
      <x:c r="Q17" s="35" t="str"/>
      <x:c r="R17" s="37" t="str"/>
      <x:c r="S17" s="35" t="str"/>
      <x:c r="T17" s="35" t="str"/>
    </x:row>
    <x:row r="18" ht="42" customHeight="1">
      <x:c r="A18" s="35" t="str">
        <x:v>17</x:v>
      </x:c>
      <x:c r="B18" s="35" t="str">
        <x:v>Knickerbocker Field Club</x:v>
      </x:c>
      <x:c r="C18" s="35" t="str">
        <x:v>racquet/squash</x:v>
      </x:c>
      <x:c r="D18" s="37" t="str">
        <x:v>4211.00</x:v>
      </x:c>
      <x:c r="E18" s="35" t="str">
        <x:v>Direct review</x:v>
      </x:c>
      <x:c r="F18" s="51" t="str">
        <x:v>No</x:v>
      </x:c>
      <x:c r="G18" s="51" t="str">
        <x:v>Unknown</x:v>
      </x:c>
      <x:c r="H18" s="51" t="str">
        <x:v>No</x:v>
      </x:c>
      <x:c r="I18" s="51" t="str">
        <x:v>No</x:v>
      </x:c>
      <x:c r="J18" s="51" t="str">
        <x:v>No</x:v>
      </x:c>
      <x:c r="K18" s="51" t="str">
        <x:v>No</x:v>
      </x:c>
      <x:c r="L18" s="51" t="str">
        <x:v>Pending</x:v>
      </x:c>
      <x:c r="M18" s="35" t="str">
        <x:v>Maclaine</x:v>
      </x:c>
      <x:c r="N18" s="35" t="str">
        <x:v>call_then_email</x:v>
      </x:c>
      <x:c r="O18" s="35" t="str"/>
      <x:c r="P18" s="37" t="str"/>
      <x:c r="Q18" s="35" t="str"/>
      <x:c r="R18" s="37" t="str"/>
      <x:c r="S18" s="35" t="str"/>
      <x:c r="T18" s="35" t="str"/>
    </x:row>
    <x:row r="19" ht="42" customHeight="1">
      <x:c r="A19" s="35" t="str">
        <x:v>18</x:v>
      </x:c>
      <x:c r="B19" s="35" t="str">
        <x:v>Burrito Bar</x:v>
      </x:c>
      <x:c r="C19" s="35" t="str">
        <x:v>other</x:v>
      </x:c>
      <x:c r="D19" s="37" t="str">
        <x:v>4170.00</x:v>
      </x:c>
      <x:c r="E19" s="35" t="str">
        <x:v>A/R hold</x:v>
      </x:c>
      <x:c r="F19" s="51" t="str">
        <x:v>No</x:v>
      </x:c>
      <x:c r="G19" s="51" t="str">
        <x:v>Unknown</x:v>
      </x:c>
      <x:c r="H19" s="51" t="str">
        <x:v>No</x:v>
      </x:c>
      <x:c r="I19" s="51" t="str">
        <x:v>No</x:v>
      </x:c>
      <x:c r="J19" s="51" t="str">
        <x:v>No</x:v>
      </x:c>
      <x:c r="K19" s="51" t="str">
        <x:v>No</x:v>
      </x:c>
      <x:c r="L19" s="51" t="str">
        <x:v>Hold</x:v>
      </x:c>
      <x:c r="M19" s="35" t="str">
        <x:v>Maclaine</x:v>
      </x:c>
      <x:c r="N19" s="35" t="str">
        <x:v>route_to_invoice_chase</x:v>
      </x:c>
      <x:c r="O19" s="35" t="str"/>
      <x:c r="P19" s="37" t="str"/>
      <x:c r="Q19" s="35" t="str"/>
      <x:c r="R19" s="37" t="str"/>
      <x:c r="S19" s="35" t="str"/>
      <x:c r="T19" s="35" t="str"/>
    </x:row>
    <x:row r="20" ht="42" customHeight="1">
      <x:c r="A20" s="35" t="str">
        <x:v>19</x:v>
      </x:c>
      <x:c r="B20" s="35" t="str">
        <x:v>Little Cat Lodge</x:v>
      </x:c>
      <x:c r="C20" s="35" t="str">
        <x:v>other</x:v>
      </x:c>
      <x:c r="D20" s="37" t="str">
        <x:v>4043.00</x:v>
      </x:c>
      <x:c r="E20" s="35" t="str">
        <x:v>Direct review</x:v>
      </x:c>
      <x:c r="F20" s="51" t="str">
        <x:v>No</x:v>
      </x:c>
      <x:c r="G20" s="51" t="str">
        <x:v>Unknown</x:v>
      </x:c>
      <x:c r="H20" s="51" t="str">
        <x:v>No</x:v>
      </x:c>
      <x:c r="I20" s="51" t="str">
        <x:v>No</x:v>
      </x:c>
      <x:c r="J20" s="51" t="str">
        <x:v>No</x:v>
      </x:c>
      <x:c r="K20" s="51" t="str">
        <x:v>No</x:v>
      </x:c>
      <x:c r="L20" s="51" t="str">
        <x:v>Pending</x:v>
      </x:c>
      <x:c r="M20" s="35" t="str">
        <x:v>Maclaine</x:v>
      </x:c>
      <x:c r="N20" s="35" t="str">
        <x:v>call_then_email</x:v>
      </x:c>
      <x:c r="O20" s="35" t="str"/>
      <x:c r="P20" s="37" t="str"/>
      <x:c r="Q20" s="35" t="str"/>
      <x:c r="R20" s="37" t="str"/>
      <x:c r="S20" s="35" t="str"/>
      <x:c r="T20" s="35" t="str"/>
    </x:row>
    <x:row r="21" ht="42" customHeight="1">
      <x:c r="A21" s="35" t="str">
        <x:v>20</x:v>
      </x:c>
      <x:c r="B21" s="35" t="str">
        <x:v>Bridgeport National Bindery</x:v>
      </x:c>
      <x:c r="C21" s="35" t="str">
        <x:v>other</x:v>
      </x:c>
      <x:c r="D21" s="37" t="str">
        <x:v>3871.00</x:v>
      </x:c>
      <x:c r="E21" s="35" t="str">
        <x:v>Todd route</x:v>
      </x:c>
      <x:c r="F21" s="51" t="str">
        <x:v>No</x:v>
      </x:c>
      <x:c r="G21" s="51" t="str">
        <x:v>Unknown</x:v>
      </x:c>
      <x:c r="H21" s="51" t="str">
        <x:v>No</x:v>
      </x:c>
      <x:c r="I21" s="51" t="str">
        <x:v>No</x:v>
      </x:c>
      <x:c r="J21" s="51" t="str">
        <x:v>No</x:v>
      </x:c>
      <x:c r="K21" s="51" t="str">
        <x:v>No</x:v>
      </x:c>
      <x:c r="L21" s="51" t="str">
        <x:v>Pending</x:v>
      </x:c>
      <x:c r="M21" s="35" t="str">
        <x:v>Maclaine</x:v>
      </x:c>
      <x:c r="N21" s="35" t="str">
        <x:v>call_then_email</x:v>
      </x:c>
      <x:c r="O21" s="35" t="str"/>
      <x:c r="P21" s="37" t="str"/>
      <x:c r="Q21" s="35" t="str"/>
      <x:c r="R21" s="37" t="str"/>
      <x:c r="S21" s="35" t="str"/>
      <x:c r="T21" s="35" t="str"/>
    </x:row>
    <x:row r="22" ht="42" customHeight="1">
      <x:c r="A22" s="35" t="str">
        <x:v>21</x:v>
      </x:c>
      <x:c r="B22" s="35" t="str">
        <x:v>Germantown Cricket Club</x:v>
      </x:c>
      <x:c r="C22" s="35" t="str">
        <x:v>racquet/squash</x:v>
      </x:c>
      <x:c r="D22" s="37" t="str">
        <x:v>3806.00</x:v>
      </x:c>
      <x:c r="E22" s="35" t="str">
        <x:v>Direct review</x:v>
      </x:c>
      <x:c r="F22" s="51" t="str">
        <x:v>No</x:v>
      </x:c>
      <x:c r="G22" s="51" t="str">
        <x:v>Unknown</x:v>
      </x:c>
      <x:c r="H22" s="51" t="str">
        <x:v>No</x:v>
      </x:c>
      <x:c r="I22" s="51" t="str">
        <x:v>No</x:v>
      </x:c>
      <x:c r="J22" s="51" t="str">
        <x:v>No</x:v>
      </x:c>
      <x:c r="K22" s="51" t="str">
        <x:v>No</x:v>
      </x:c>
      <x:c r="L22" s="51" t="str">
        <x:v>Pending</x:v>
      </x:c>
      <x:c r="M22" s="35" t="str">
        <x:v>Maclaine</x:v>
      </x:c>
      <x:c r="N22" s="35" t="str">
        <x:v>call_then_email</x:v>
      </x:c>
      <x:c r="O22" s="35" t="str"/>
      <x:c r="P22" s="37" t="str"/>
      <x:c r="Q22" s="35" t="str"/>
      <x:c r="R22" s="37" t="str"/>
      <x:c r="S22" s="35" t="str"/>
      <x:c r="T22" s="35" t="str"/>
    </x:row>
    <x:row r="23" ht="42" customHeight="1">
      <x:c r="A23" s="35" t="str">
        <x:v>22</x:v>
      </x:c>
      <x:c r="B23" s="35" t="str">
        <x:v>Brownstoners of Bed-Stuy Inc</x:v>
      </x:c>
      <x:c r="C23" s="35" t="str">
        <x:v>other</x:v>
      </x:c>
      <x:c r="D23" s="37" t="str">
        <x:v>3717.50</x:v>
      </x:c>
      <x:c r="E23" s="35" t="str">
        <x:v>Direct review</x:v>
      </x:c>
      <x:c r="F23" s="51" t="str">
        <x:v>No</x:v>
      </x:c>
      <x:c r="G23" s="51" t="str">
        <x:v>Unknown</x:v>
      </x:c>
      <x:c r="H23" s="51" t="str">
        <x:v>No</x:v>
      </x:c>
      <x:c r="I23" s="51" t="str">
        <x:v>No</x:v>
      </x:c>
      <x:c r="J23" s="51" t="str">
        <x:v>No</x:v>
      </x:c>
      <x:c r="K23" s="51" t="str">
        <x:v>No</x:v>
      </x:c>
      <x:c r="L23" s="51" t="str">
        <x:v>Pending</x:v>
      </x:c>
      <x:c r="M23" s="35" t="str">
        <x:v>Maclaine</x:v>
      </x:c>
      <x:c r="N23" s="35" t="str">
        <x:v>call_then_email</x:v>
      </x:c>
      <x:c r="O23" s="35" t="str"/>
      <x:c r="P23" s="37" t="str"/>
      <x:c r="Q23" s="35" t="str"/>
      <x:c r="R23" s="37" t="str"/>
      <x:c r="S23" s="35" t="str"/>
      <x:c r="T23" s="35" t="str"/>
    </x:row>
    <x:row r="24" ht="42" customHeight="1">
      <x:c r="A24" s="35" t="str">
        <x:v>23</x:v>
      </x:c>
      <x:c r="B24" s="35" t="str">
        <x:v>Empire Environmental Services</x:v>
      </x:c>
      <x:c r="C24" s="35" t="str">
        <x:v>other</x:v>
      </x:c>
      <x:c r="D24" s="37" t="str">
        <x:v>3660.00</x:v>
      </x:c>
      <x:c r="E24" s="35" t="str">
        <x:v>Direct review</x:v>
      </x:c>
      <x:c r="F24" s="51" t="str">
        <x:v>No</x:v>
      </x:c>
      <x:c r="G24" s="51" t="str">
        <x:v>Unknown</x:v>
      </x:c>
      <x:c r="H24" s="51" t="str">
        <x:v>No</x:v>
      </x:c>
      <x:c r="I24" s="51" t="str">
        <x:v>No</x:v>
      </x:c>
      <x:c r="J24" s="51" t="str">
        <x:v>No</x:v>
      </x:c>
      <x:c r="K24" s="51" t="str">
        <x:v>No</x:v>
      </x:c>
      <x:c r="L24" s="51" t="str">
        <x:v>Pending</x:v>
      </x:c>
      <x:c r="M24" s="35" t="str">
        <x:v>Maclaine</x:v>
      </x:c>
      <x:c r="N24" s="35" t="str">
        <x:v>call_then_email</x:v>
      </x:c>
      <x:c r="O24" s="35" t="str"/>
      <x:c r="P24" s="37" t="str"/>
      <x:c r="Q24" s="35" t="str"/>
      <x:c r="R24" s="37" t="str"/>
      <x:c r="S24" s="35" t="str"/>
      <x:c r="T24" s="35" t="str"/>
    </x:row>
    <x:row r="25" ht="42" customHeight="1">
      <x:c r="A25" s="35" t="str">
        <x:v>24</x:v>
      </x:c>
      <x:c r="B25" s="35" t="str">
        <x:v>NYC iSCHOOL</x:v>
      </x:c>
      <x:c r="C25" s="35" t="str">
        <x:v>other</x:v>
      </x:c>
      <x:c r="D25" s="37" t="str">
        <x:v>3635.00</x:v>
      </x:c>
      <x:c r="E25" s="35" t="str">
        <x:v>Direct review</x:v>
      </x:c>
      <x:c r="F25" s="51" t="str">
        <x:v>No</x:v>
      </x:c>
      <x:c r="G25" s="51" t="str">
        <x:v>Unknown</x:v>
      </x:c>
      <x:c r="H25" s="51" t="str">
        <x:v>No</x:v>
      </x:c>
      <x:c r="I25" s="51" t="str">
        <x:v>No</x:v>
      </x:c>
      <x:c r="J25" s="51" t="str">
        <x:v>No</x:v>
      </x:c>
      <x:c r="K25" s="51" t="str">
        <x:v>No</x:v>
      </x:c>
      <x:c r="L25" s="51" t="str">
        <x:v>Pending</x:v>
      </x:c>
      <x:c r="M25" s="35" t="str">
        <x:v>Maclaine</x:v>
      </x:c>
      <x:c r="N25" s="35" t="str">
        <x:v>call_then_email</x:v>
      </x:c>
      <x:c r="O25" s="35" t="str"/>
      <x:c r="P25" s="37" t="str"/>
      <x:c r="Q25" s="35" t="str"/>
      <x:c r="R25" s="37" t="str"/>
      <x:c r="S25" s="35" t="str"/>
      <x:c r="T25" s="35" t="str"/>
    </x:row>
    <x:row r="26" ht="42" customHeight="1">
      <x:c r="A26" s="38" t="str">
        <x:v>25</x:v>
      </x:c>
      <x:c r="B26" s="38" t="str">
        <x:v>Greater Waterbury YMCA</x:v>
      </x:c>
      <x:c r="C26" s="38" t="str">
        <x:v>camp</x:v>
      </x:c>
      <x:c r="D26" s="40" t="str">
        <x:v>3606.63</x:v>
      </x:c>
      <x:c r="E26" s="38" t="str">
        <x:v>Todd route</x:v>
      </x:c>
      <x:c r="F26" s="52" t="str">
        <x:v>No</x:v>
      </x:c>
      <x:c r="G26" s="52" t="str">
        <x:v>Unknown</x:v>
      </x:c>
      <x:c r="H26" s="52" t="str">
        <x:v>No</x:v>
      </x:c>
      <x:c r="I26" s="52" t="str">
        <x:v>No</x:v>
      </x:c>
      <x:c r="J26" s="52" t="str">
        <x:v>No</x:v>
      </x:c>
      <x:c r="K26" s="52" t="str">
        <x:v>No</x:v>
      </x:c>
      <x:c r="L26" s="52" t="str">
        <x:v>Pending</x:v>
      </x:c>
      <x:c r="M26" s="38" t="str">
        <x:v>Maclaine</x:v>
      </x:c>
      <x:c r="N26" s="38" t="str">
        <x:v>call_then_email</x:v>
      </x:c>
      <x:c r="O26" s="38" t="str"/>
      <x:c r="P26" s="40" t="str"/>
      <x:c r="Q26" s="38" t="str"/>
      <x:c r="R26" s="40" t="str"/>
      <x:c r="S26" s="38" t="str"/>
      <x:c r="T26" s="38" t="str"/>
    </x:row>
  </x:sheetData>
  <x:conditionalFormatting sqref="L2:L26">
    <x:cfRule type="containsText" dxfId="20" priority="1" operator="containsText" text="Pending"/>
    <x:cfRule type="containsText" dxfId="21" priority="2" operator="containsText" text="Approved"/>
    <x:cfRule type="containsText" dxfId="22" priority="3" operator="containsText" text="Completed"/>
    <x:cfRule type="containsText" dxfId="23" priority="4" operator="containsText" text="Hold"/>
    <x:cfRule type="containsText" dxfId="24" priority="5" operator="containsText" text="Suppressed"/>
  </x:conditionalFormatting>
  <x:dataValidations count="1">
    <x:dataValidation type="list" sqref="L2:L26">
      <x:formula1>"Pending,Approved,In Progress,Completed,Hold,Suppressed,Rejected"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ccccdc22ee44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5" hidden="0" customWidth="1"/>
    <x:col min="4" max="4" width="45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14" hidden="0" customWidth="1"/>
    <x:col min="12" max="12" width="16" hidden="0" customWidth="1"/>
    <x:col min="13" max="13" width="17" hidden="0" customWidth="1"/>
    <x:col min="14" max="14" width="18" hidden="0" customWidth="1"/>
    <x:col min="15" max="15" width="15" hidden="0" customWidth="1"/>
    <x:col min="16" max="16" width="15" hidden="0" customWidth="1"/>
    <x:col min="17" max="17" width="15" hidden="0" customWidth="1"/>
    <x:col min="18" max="18" width="24" hidden="0" customWidth="1"/>
  </x:cols>
  <x:sheetData>
    <x:row r="1" ht="32" customHeight="1">
      <x:c r="A1" s="20" t="str">
        <x:v>priority</x:v>
      </x:c>
      <x:c r="B1" s="21" t="str">
        <x:v>account</x:v>
      </x:c>
      <x:c r="C1" s="21" t="str">
        <x:v>august_2025_revenue</x:v>
      </x:c>
      <x:c r="D1" s="21" t="str">
        <x:v>prior_order_summary</x:v>
      </x:c>
      <x:c r="E1" s="21" t="str">
        <x:v>relationship_route</x:v>
      </x:c>
      <x:c r="F1" s="21" t="str">
        <x:v>live_qbo_rechecked</x:v>
      </x:c>
      <x:c r="G1" s="21" t="str">
        <x:v>open_ar_reviewed</x:v>
      </x:c>
      <x:c r="H1" s="21" t="str">
        <x:v>open_quote_reviewed</x:v>
      </x:c>
      <x:c r="I1" s="21" t="str">
        <x:v>contact_verified</x:v>
      </x:c>
      <x:c r="J1" s="21" t="str">
        <x:v>relationship_approved</x:v>
      </x:c>
      <x:c r="K1" s="21" t="str">
        <x:v>approval_status</x:v>
      </x:c>
      <x:c r="L1" s="21" t="str">
        <x:v>owner</x:v>
      </x:c>
      <x:c r="M1" s="21" t="str">
        <x:v>next_action</x:v>
      </x:c>
      <x:c r="N1" s="21" t="str">
        <x:v>outcome</x:v>
      </x:c>
      <x:c r="O1" s="21" t="str">
        <x:v>booked_revenue</x:v>
      </x:c>
      <x:c r="P1" s="21" t="str">
        <x:v>invoice_id</x:v>
      </x:c>
      <x:c r="Q1" s="21" t="str">
        <x:v>cash_collected</x:v>
      </x:c>
      <x:c r="R1" s="22" t="str">
        <x:v>lost_reason</x:v>
      </x:c>
    </x:row>
    <x:row r="2" ht="42" customHeight="1">
      <x:c r="A2" s="35" t="str">
        <x:v>1</x:v>
      </x:c>
      <x:c r="B2" s="35" t="str">
        <x:v>Roger Arjoon</x:v>
      </x:c>
      <x:c r="C2" s="37" t="str">
        <x:v>6728.21</x:v>
      </x:c>
      <x:c r="D2" s="35" t="str">
        <x:v>9 Products Arjoon / Cookies Key &amp; Lip Balm</x:v>
      </x:c>
      <x:c r="E2" s="35" t="str">
        <x:v>Direct review</x:v>
      </x:c>
      <x:c r="F2" s="51" t="str">
        <x:v>No</x:v>
      </x:c>
      <x:c r="G2" s="51" t="str">
        <x:v>No</x:v>
      </x:c>
      <x:c r="H2" s="51" t="str">
        <x:v>No</x:v>
      </x:c>
      <x:c r="I2" s="51" t="str">
        <x:v>No</x:v>
      </x:c>
      <x:c r="J2" s="51" t="str">
        <x:v>No</x:v>
      </x:c>
      <x:c r="K2" s="51" t="str">
        <x:v>Pending</x:v>
      </x:c>
      <x:c r="L2" s="35" t="str">
        <x:v>Maclaine</x:v>
      </x:c>
      <x:c r="M2" s="35" t="str">
        <x:v>call_then_email</x:v>
      </x:c>
      <x:c r="N2" s="35" t="str"/>
      <x:c r="O2" s="37" t="str"/>
      <x:c r="P2" s="35" t="str"/>
      <x:c r="Q2" s="37" t="str"/>
      <x:c r="R2" s="35" t="str"/>
    </x:row>
    <x:row r="3" ht="42" customHeight="1">
      <x:c r="A3" s="35" t="str">
        <x:v>2</x:v>
      </x:c>
      <x:c r="B3" s="35" t="str">
        <x:v>Camp Coniston</x:v>
      </x:c>
      <x:c r="C3" s="37" t="str">
        <x:v>5920.00</x:v>
      </x:c>
      <x:c r="D3" s="35" t="str">
        <x:v>Asst</x:v>
      </x:c>
      <x:c r="E3" s="35" t="str">
        <x:v>Todd route</x:v>
      </x:c>
      <x:c r="F3" s="51" t="str">
        <x:v>No</x:v>
      </x:c>
      <x:c r="G3" s="51" t="str">
        <x:v>No</x:v>
      </x:c>
      <x:c r="H3" s="51" t="str">
        <x:v>No</x:v>
      </x:c>
      <x:c r="I3" s="51" t="str">
        <x:v>No</x:v>
      </x:c>
      <x:c r="J3" s="51" t="str">
        <x:v>No</x:v>
      </x:c>
      <x:c r="K3" s="51" t="str">
        <x:v>Pending</x:v>
      </x:c>
      <x:c r="L3" s="35" t="str">
        <x:v>Maclaine</x:v>
      </x:c>
      <x:c r="M3" s="35" t="str">
        <x:v>call_then_email</x:v>
      </x:c>
      <x:c r="N3" s="35" t="str"/>
      <x:c r="O3" s="37" t="str"/>
      <x:c r="P3" s="35" t="str"/>
      <x:c r="Q3" s="37" t="str"/>
      <x:c r="R3" s="35" t="str"/>
    </x:row>
    <x:row r="4" ht="42" customHeight="1">
      <x:c r="A4" s="35" t="str">
        <x:v>3</x:v>
      </x:c>
      <x:c r="B4" s="35" t="str">
        <x:v>Irish Sweeps Chimney</x:v>
      </x:c>
      <x:c r="C4" s="37" t="str">
        <x:v>1609.00</x:v>
      </x:c>
      <x:c r="D4" s="35" t="str">
        <x:v>2025 Asst Order</x:v>
      </x:c>
      <x:c r="E4" s="35" t="str">
        <x:v>Direct review</x:v>
      </x:c>
      <x:c r="F4" s="51" t="str">
        <x:v>No</x:v>
      </x:c>
      <x:c r="G4" s="51" t="str">
        <x:v>No</x:v>
      </x:c>
      <x:c r="H4" s="51" t="str">
        <x:v>No</x:v>
      </x:c>
      <x:c r="I4" s="51" t="str">
        <x:v>No</x:v>
      </x:c>
      <x:c r="J4" s="51" t="str">
        <x:v>No</x:v>
      </x:c>
      <x:c r="K4" s="51" t="str">
        <x:v>Pending</x:v>
      </x:c>
      <x:c r="L4" s="35" t="str">
        <x:v>Maclaine</x:v>
      </x:c>
      <x:c r="M4" s="35" t="str">
        <x:v>call_then_email</x:v>
      </x:c>
      <x:c r="N4" s="35" t="str"/>
      <x:c r="O4" s="37" t="str"/>
      <x:c r="P4" s="35" t="str"/>
      <x:c r="Q4" s="37" t="str"/>
      <x:c r="R4" s="35" t="str"/>
    </x:row>
    <x:row r="5" ht="42" customHeight="1">
      <x:c r="A5" s="35" t="str">
        <x:v>4</x:v>
      </x:c>
      <x:c r="B5" s="35" t="str">
        <x:v>St. Louis Racquet Club</x:v>
      </x:c>
      <x:c r="C5" s="37" t="str">
        <x:v>1400.00</x:v>
      </x:c>
      <x:c r="D5" s="35" t="str">
        <x:v>3 Flags</x:v>
      </x:c>
      <x:c r="E5" s="35" t="str">
        <x:v>Direct review</x:v>
      </x:c>
      <x:c r="F5" s="51" t="str">
        <x:v>No</x:v>
      </x:c>
      <x:c r="G5" s="51" t="str">
        <x:v>No</x:v>
      </x:c>
      <x:c r="H5" s="51" t="str">
        <x:v>No</x:v>
      </x:c>
      <x:c r="I5" s="51" t="str">
        <x:v>No</x:v>
      </x:c>
      <x:c r="J5" s="51" t="str">
        <x:v>No</x:v>
      </x:c>
      <x:c r="K5" s="51" t="str">
        <x:v>Pending</x:v>
      </x:c>
      <x:c r="L5" s="35" t="str">
        <x:v>Maclaine</x:v>
      </x:c>
      <x:c r="M5" s="35" t="str">
        <x:v>call_then_email</x:v>
      </x:c>
      <x:c r="N5" s="35" t="str"/>
      <x:c r="O5" s="37" t="str"/>
      <x:c r="P5" s="35" t="str"/>
      <x:c r="Q5" s="37" t="str"/>
      <x:c r="R5" s="35" t="str"/>
    </x:row>
    <x:row r="6" ht="42" customHeight="1">
      <x:c r="A6" s="35" t="str">
        <x:v>5</x:v>
      </x:c>
      <x:c r="B6" s="35" t="str">
        <x:v>Camp Nesher</x:v>
      </x:c>
      <x:c r="C6" s="37" t="str">
        <x:v>1200.00</x:v>
      </x:c>
      <x:c r="D6" s="35" t="str">
        <x:v>Navy Fleece Jackets</x:v>
      </x:c>
      <x:c r="E6" s="35" t="str">
        <x:v>Direct review</x:v>
      </x:c>
      <x:c r="F6" s="51" t="str">
        <x:v>No</x:v>
      </x:c>
      <x:c r="G6" s="51" t="str">
        <x:v>No</x:v>
      </x:c>
      <x:c r="H6" s="51" t="str">
        <x:v>No</x:v>
      </x:c>
      <x:c r="I6" s="51" t="str">
        <x:v>No</x:v>
      </x:c>
      <x:c r="J6" s="51" t="str">
        <x:v>No</x:v>
      </x:c>
      <x:c r="K6" s="51" t="str">
        <x:v>Pending</x:v>
      </x:c>
      <x:c r="L6" s="35" t="str">
        <x:v>Maclaine</x:v>
      </x:c>
      <x:c r="M6" s="35" t="str">
        <x:v>call_then_email</x:v>
      </x:c>
      <x:c r="N6" s="35" t="str"/>
      <x:c r="O6" s="37" t="str"/>
      <x:c r="P6" s="35" t="str"/>
      <x:c r="Q6" s="37" t="str"/>
      <x:c r="R6" s="35" t="str"/>
    </x:row>
    <x:row r="7" ht="42" customHeight="1">
      <x:c r="A7" s="35" t="str">
        <x:v>6</x:v>
      </x:c>
      <x:c r="B7" s="35" t="str">
        <x:v>Oasis Day Spa</x:v>
      </x:c>
      <x:c r="C7" s="37" t="str">
        <x:v>998.00</x:v>
      </x:c>
      <x:c r="D7" s="35" t="str">
        <x:v>84 Black Tees</x:v>
      </x:c>
      <x:c r="E7" s="35" t="str">
        <x:v>Direct review</x:v>
      </x:c>
      <x:c r="F7" s="51" t="str">
        <x:v>No</x:v>
      </x:c>
      <x:c r="G7" s="51" t="str">
        <x:v>No</x:v>
      </x:c>
      <x:c r="H7" s="51" t="str">
        <x:v>No</x:v>
      </x:c>
      <x:c r="I7" s="51" t="str">
        <x:v>No</x:v>
      </x:c>
      <x:c r="J7" s="51" t="str">
        <x:v>No</x:v>
      </x:c>
      <x:c r="K7" s="51" t="str">
        <x:v>Pending</x:v>
      </x:c>
      <x:c r="L7" s="35" t="str">
        <x:v>Maclaine</x:v>
      </x:c>
      <x:c r="M7" s="35" t="str">
        <x:v>call_then_email</x:v>
      </x:c>
      <x:c r="N7" s="35" t="str"/>
      <x:c r="O7" s="37" t="str"/>
      <x:c r="P7" s="35" t="str"/>
      <x:c r="Q7" s="37" t="str"/>
      <x:c r="R7" s="35" t="str"/>
    </x:row>
    <x:row r="8" ht="42" customHeight="1">
      <x:c r="A8" s="35" t="str">
        <x:v>7</x:v>
      </x:c>
      <x:c r="B8" s="35" t="str">
        <x:v>Petie Bradley Real Estate</x:v>
      </x:c>
      <x:c r="C8" s="37" t="str">
        <x:v>800.00</x:v>
      </x:c>
      <x:c r="D8" s="35" t="str">
        <x:v>Bottle Openers</x:v>
      </x:c>
      <x:c r="E8" s="35" t="str">
        <x:v>Direct review</x:v>
      </x:c>
      <x:c r="F8" s="51" t="str">
        <x:v>No</x:v>
      </x:c>
      <x:c r="G8" s="51" t="str">
        <x:v>No</x:v>
      </x:c>
      <x:c r="H8" s="51" t="str">
        <x:v>No</x:v>
      </x:c>
      <x:c r="I8" s="51" t="str">
        <x:v>No</x:v>
      </x:c>
      <x:c r="J8" s="51" t="str">
        <x:v>No</x:v>
      </x:c>
      <x:c r="K8" s="51" t="str">
        <x:v>Pending</x:v>
      </x:c>
      <x:c r="L8" s="35" t="str">
        <x:v>Maclaine</x:v>
      </x:c>
      <x:c r="M8" s="35" t="str">
        <x:v>call_then_email</x:v>
      </x:c>
      <x:c r="N8" s="35" t="str"/>
      <x:c r="O8" s="37" t="str"/>
      <x:c r="P8" s="35" t="str"/>
      <x:c r="Q8" s="37" t="str"/>
      <x:c r="R8" s="35" t="str"/>
    </x:row>
    <x:row r="9" ht="42" customHeight="1">
      <x:c r="A9" s="35" t="str">
        <x:v>8</x:v>
      </x:c>
      <x:c r="B9" s="35" t="str">
        <x:v>Jelly Belly's Pools &amp; Spas</x:v>
      </x:c>
      <x:c r="C9" s="37" t="str">
        <x:v>595.00</x:v>
      </x:c>
      <x:c r="D9" s="35" t="str">
        <x:v>Golf shirts</x:v>
      </x:c>
      <x:c r="E9" s="35" t="str">
        <x:v>Direct review</x:v>
      </x:c>
      <x:c r="F9" s="51" t="str">
        <x:v>No</x:v>
      </x:c>
      <x:c r="G9" s="51" t="str">
        <x:v>No</x:v>
      </x:c>
      <x:c r="H9" s="51" t="str">
        <x:v>No</x:v>
      </x:c>
      <x:c r="I9" s="51" t="str">
        <x:v>No</x:v>
      </x:c>
      <x:c r="J9" s="51" t="str">
        <x:v>No</x:v>
      </x:c>
      <x:c r="K9" s="51" t="str">
        <x:v>Pending</x:v>
      </x:c>
      <x:c r="L9" s="35" t="str">
        <x:v>Maclaine</x:v>
      </x:c>
      <x:c r="M9" s="35" t="str">
        <x:v>call_then_email</x:v>
      </x:c>
      <x:c r="N9" s="35" t="str"/>
      <x:c r="O9" s="37" t="str"/>
      <x:c r="P9" s="35" t="str"/>
      <x:c r="Q9" s="37" t="str"/>
      <x:c r="R9" s="35" t="str"/>
    </x:row>
    <x:row r="10" ht="42" customHeight="1">
      <x:c r="A10" s="35" t="str">
        <x:v>9</x:v>
      </x:c>
      <x:c r="B10" s="35" t="str">
        <x:v>Cestra's Bakery</x:v>
      </x:c>
      <x:c r="C10" s="37" t="str">
        <x:v>575.00</x:v>
      </x:c>
      <x:c r="D10" s="35" t="str">
        <x:v>Black Tees/Hoodies</x:v>
      </x:c>
      <x:c r="E10" s="35" t="str">
        <x:v>Direct review</x:v>
      </x:c>
      <x:c r="F10" s="51" t="str">
        <x:v>No</x:v>
      </x:c>
      <x:c r="G10" s="51" t="str">
        <x:v>No</x:v>
      </x:c>
      <x:c r="H10" s="51" t="str">
        <x:v>No</x:v>
      </x:c>
      <x:c r="I10" s="51" t="str">
        <x:v>No</x:v>
      </x:c>
      <x:c r="J10" s="51" t="str">
        <x:v>No</x:v>
      </x:c>
      <x:c r="K10" s="51" t="str">
        <x:v>Pending</x:v>
      </x:c>
      <x:c r="L10" s="35" t="str">
        <x:v>Maclaine</x:v>
      </x:c>
      <x:c r="M10" s="35" t="str">
        <x:v>call_then_email</x:v>
      </x:c>
      <x:c r="N10" s="35" t="str"/>
      <x:c r="O10" s="37" t="str"/>
      <x:c r="P10" s="35" t="str"/>
      <x:c r="Q10" s="37" t="str"/>
      <x:c r="R10" s="35" t="str"/>
    </x:row>
    <x:row r="11" ht="42" customHeight="1">
      <x:c r="A11" s="35" t="str">
        <x:v>10</x:v>
      </x:c>
      <x:c r="B11" s="35" t="str">
        <x:v>Gray Collegiate</x:v>
      </x:c>
      <x:c r="C11" s="37" t="str">
        <x:v>500.00</x:v>
      </x:c>
      <x:c r="D11" s="35" t="str">
        <x:v>Rally Towels</x:v>
      </x:c>
      <x:c r="E11" s="35" t="str">
        <x:v>Direct review</x:v>
      </x:c>
      <x:c r="F11" s="51" t="str">
        <x:v>No</x:v>
      </x:c>
      <x:c r="G11" s="51" t="str">
        <x:v>No</x:v>
      </x:c>
      <x:c r="H11" s="51" t="str">
        <x:v>No</x:v>
      </x:c>
      <x:c r="I11" s="51" t="str">
        <x:v>No</x:v>
      </x:c>
      <x:c r="J11" s="51" t="str">
        <x:v>No</x:v>
      </x:c>
      <x:c r="K11" s="51" t="str">
        <x:v>Pending</x:v>
      </x:c>
      <x:c r="L11" s="35" t="str">
        <x:v>Maclaine</x:v>
      </x:c>
      <x:c r="M11" s="35" t="str">
        <x:v>call_then_email</x:v>
      </x:c>
      <x:c r="N11" s="35" t="str"/>
      <x:c r="O11" s="37" t="str"/>
      <x:c r="P11" s="35" t="str"/>
      <x:c r="Q11" s="37" t="str"/>
      <x:c r="R11" s="35" t="str"/>
    </x:row>
    <x:row r="12" ht="42" customHeight="1">
      <x:c r="A12" s="35" t="str">
        <x:v>11</x:v>
      </x:c>
      <x:c r="B12" s="35" t="str">
        <x:v>Little Cat Lodge</x:v>
      </x:c>
      <x:c r="C12" s="37" t="str">
        <x:v>490.00</x:v>
      </x:c>
      <x:c r="D12" s="35" t="str">
        <x:v>Black Mugs</x:v>
      </x:c>
      <x:c r="E12" s="35" t="str">
        <x:v>Direct review</x:v>
      </x:c>
      <x:c r="F12" s="51" t="str">
        <x:v>No</x:v>
      </x:c>
      <x:c r="G12" s="51" t="str">
        <x:v>No</x:v>
      </x:c>
      <x:c r="H12" s="51" t="str">
        <x:v>No</x:v>
      </x:c>
      <x:c r="I12" s="51" t="str">
        <x:v>No</x:v>
      </x:c>
      <x:c r="J12" s="51" t="str">
        <x:v>No</x:v>
      </x:c>
      <x:c r="K12" s="51" t="str">
        <x:v>Pending</x:v>
      </x:c>
      <x:c r="L12" s="35" t="str">
        <x:v>Maclaine</x:v>
      </x:c>
      <x:c r="M12" s="35" t="str">
        <x:v>call_then_email</x:v>
      </x:c>
      <x:c r="N12" s="35" t="str"/>
      <x:c r="O12" s="37" t="str"/>
      <x:c r="P12" s="35" t="str"/>
      <x:c r="Q12" s="37" t="str"/>
      <x:c r="R12" s="35" t="str"/>
    </x:row>
    <x:row r="13" ht="42" customHeight="1">
      <x:c r="A13" s="35" t="str">
        <x:v>12</x:v>
      </x:c>
      <x:c r="B13" s="35" t="str">
        <x:v>Connie Barnes</x:v>
      </x:c>
      <x:c r="C13" s="37" t="str">
        <x:v>440.00</x:v>
      </x:c>
      <x:c r="D13" s="35" t="str">
        <x:v>Jeremy Barnes Shirt</x:v>
      </x:c>
      <x:c r="E13" s="35" t="str">
        <x:v>Direct review</x:v>
      </x:c>
      <x:c r="F13" s="51" t="str">
        <x:v>No</x:v>
      </x:c>
      <x:c r="G13" s="51" t="str">
        <x:v>No</x:v>
      </x:c>
      <x:c r="H13" s="51" t="str">
        <x:v>No</x:v>
      </x:c>
      <x:c r="I13" s="51" t="str">
        <x:v>No</x:v>
      </x:c>
      <x:c r="J13" s="51" t="str">
        <x:v>No</x:v>
      </x:c>
      <x:c r="K13" s="51" t="str">
        <x:v>Pending</x:v>
      </x:c>
      <x:c r="L13" s="35" t="str">
        <x:v>Maclaine</x:v>
      </x:c>
      <x:c r="M13" s="35" t="str">
        <x:v>call_then_email</x:v>
      </x:c>
      <x:c r="N13" s="35" t="str"/>
      <x:c r="O13" s="37" t="str"/>
      <x:c r="P13" s="35" t="str"/>
      <x:c r="Q13" s="37" t="str"/>
      <x:c r="R13" s="35" t="str"/>
    </x:row>
    <x:row r="14" ht="42" customHeight="1">
      <x:c r="A14" s="35" t="str">
        <x:v>13</x:v>
      </x:c>
      <x:c r="B14" s="35" t="str">
        <x:v>Max Dorazio</x:v>
      </x:c>
      <x:c r="C14" s="37" t="str">
        <x:v>390.00</x:v>
      </x:c>
      <x:c r="D14" s="35" t="str">
        <x:v>13 Navy Tees for Eagles</x:v>
      </x:c>
      <x:c r="E14" s="35" t="str">
        <x:v>Direct review</x:v>
      </x:c>
      <x:c r="F14" s="51" t="str">
        <x:v>No</x:v>
      </x:c>
      <x:c r="G14" s="51" t="str">
        <x:v>No</x:v>
      </x:c>
      <x:c r="H14" s="51" t="str">
        <x:v>No</x:v>
      </x:c>
      <x:c r="I14" s="51" t="str">
        <x:v>No</x:v>
      </x:c>
      <x:c r="J14" s="51" t="str">
        <x:v>No</x:v>
      </x:c>
      <x:c r="K14" s="51" t="str">
        <x:v>Pending</x:v>
      </x:c>
      <x:c r="L14" s="35" t="str">
        <x:v>Maclaine</x:v>
      </x:c>
      <x:c r="M14" s="35" t="str">
        <x:v>call_then_email</x:v>
      </x:c>
      <x:c r="N14" s="35" t="str"/>
      <x:c r="O14" s="37" t="str"/>
      <x:c r="P14" s="35" t="str"/>
      <x:c r="Q14" s="37" t="str"/>
      <x:c r="R14" s="35" t="str"/>
    </x:row>
    <x:row r="15" ht="42" customHeight="1">
      <x:c r="A15" s="35" t="str">
        <x:v>14</x:v>
      </x:c>
      <x:c r="B15" s="35" t="str">
        <x:v>Jessica Kalmaer</x:v>
      </x:c>
      <x:c r="C15" s="37" t="str">
        <x:v>360.00</x:v>
      </x:c>
      <x:c r="D15" s="35" t="str"/>
      <x:c r="E15" s="35" t="str">
        <x:v>Direct review</x:v>
      </x:c>
      <x:c r="F15" s="51" t="str">
        <x:v>No</x:v>
      </x:c>
      <x:c r="G15" s="51" t="str">
        <x:v>No</x:v>
      </x:c>
      <x:c r="H15" s="51" t="str">
        <x:v>No</x:v>
      </x:c>
      <x:c r="I15" s="51" t="str">
        <x:v>No</x:v>
      </x:c>
      <x:c r="J15" s="51" t="str">
        <x:v>No</x:v>
      </x:c>
      <x:c r="K15" s="51" t="str">
        <x:v>Pending</x:v>
      </x:c>
      <x:c r="L15" s="35" t="str">
        <x:v>Maclaine</x:v>
      </x:c>
      <x:c r="M15" s="35" t="str">
        <x:v>verify_prior_order</x:v>
      </x:c>
      <x:c r="N15" s="35" t="str"/>
      <x:c r="O15" s="37" t="str"/>
      <x:c r="P15" s="35" t="str"/>
      <x:c r="Q15" s="37" t="str"/>
      <x:c r="R15" s="35" t="str"/>
    </x:row>
    <x:row r="16" ht="42" customHeight="1">
      <x:c r="A16" s="35" t="str">
        <x:v>15</x:v>
      </x:c>
      <x:c r="B16" s="35" t="str">
        <x:v>Jaco Plumbing</x:v>
      </x:c>
      <x:c r="C16" s="37" t="str">
        <x:v>300.00</x:v>
      </x:c>
      <x:c r="D16" s="35" t="str">
        <x:v>Jaco Tees</x:v>
      </x:c>
      <x:c r="E16" s="35" t="str">
        <x:v>Direct review</x:v>
      </x:c>
      <x:c r="F16" s="51" t="str">
        <x:v>No</x:v>
      </x:c>
      <x:c r="G16" s="51" t="str">
        <x:v>No</x:v>
      </x:c>
      <x:c r="H16" s="51" t="str">
        <x:v>No</x:v>
      </x:c>
      <x:c r="I16" s="51" t="str">
        <x:v>No</x:v>
      </x:c>
      <x:c r="J16" s="51" t="str">
        <x:v>No</x:v>
      </x:c>
      <x:c r="K16" s="51" t="str">
        <x:v>Pending</x:v>
      </x:c>
      <x:c r="L16" s="35" t="str">
        <x:v>Maclaine</x:v>
      </x:c>
      <x:c r="M16" s="35" t="str">
        <x:v>call_then_email</x:v>
      </x:c>
      <x:c r="N16" s="35" t="str"/>
      <x:c r="O16" s="37" t="str"/>
      <x:c r="P16" s="35" t="str"/>
      <x:c r="Q16" s="37" t="str"/>
      <x:c r="R16" s="35" t="str"/>
    </x:row>
    <x:row r="17" ht="42" customHeight="1">
      <x:c r="A17" s="35" t="str">
        <x:v>16</x:v>
      </x:c>
      <x:c r="B17" s="35" t="str">
        <x:v>Oasis Children's Services Downtown</x:v>
      </x:c>
      <x:c r="C17" s="37" t="str">
        <x:v>200.00</x:v>
      </x:c>
      <x:c r="D17" s="35" t="str">
        <x:v>Freight 10 Boxes</x:v>
      </x:c>
      <x:c r="E17" s="35" t="str">
        <x:v>Direct review</x:v>
      </x:c>
      <x:c r="F17" s="51" t="str">
        <x:v>No</x:v>
      </x:c>
      <x:c r="G17" s="51" t="str">
        <x:v>No</x:v>
      </x:c>
      <x:c r="H17" s="51" t="str">
        <x:v>No</x:v>
      </x:c>
      <x:c r="I17" s="51" t="str">
        <x:v>No</x:v>
      </x:c>
      <x:c r="J17" s="51" t="str">
        <x:v>No</x:v>
      </x:c>
      <x:c r="K17" s="51" t="str">
        <x:v>Hold</x:v>
      </x:c>
      <x:c r="L17" s="35" t="str">
        <x:v>Maclaine</x:v>
      </x:c>
      <x:c r="M17" s="35" t="str">
        <x:v>verify_real_product_order</x:v>
      </x:c>
      <x:c r="N17" s="35" t="str"/>
      <x:c r="O17" s="37" t="str"/>
      <x:c r="P17" s="35" t="str"/>
      <x:c r="Q17" s="37" t="str"/>
      <x:c r="R17" s="35" t="str"/>
    </x:row>
    <x:row r="18" ht="42" customHeight="1">
      <x:c r="A18" s="35" t="str">
        <x:v>17</x:v>
      </x:c>
      <x:c r="B18" s="35" t="str">
        <x:v>City Enterprise</x:v>
      </x:c>
      <x:c r="C18" s="37" t="str">
        <x:v>128.00</x:v>
      </x:c>
      <x:c r="D18" s="35" t="str">
        <x:v>White Golf Dress in XXXL</x:v>
      </x:c>
      <x:c r="E18" s="35" t="str">
        <x:v>Direct review</x:v>
      </x:c>
      <x:c r="F18" s="51" t="str">
        <x:v>No</x:v>
      </x:c>
      <x:c r="G18" s="51" t="str">
        <x:v>No</x:v>
      </x:c>
      <x:c r="H18" s="51" t="str">
        <x:v>No</x:v>
      </x:c>
      <x:c r="I18" s="51" t="str">
        <x:v>No</x:v>
      </x:c>
      <x:c r="J18" s="51" t="str">
        <x:v>No</x:v>
      </x:c>
      <x:c r="K18" s="51" t="str">
        <x:v>Pending</x:v>
      </x:c>
      <x:c r="L18" s="35" t="str">
        <x:v>Maclaine</x:v>
      </x:c>
      <x:c r="M18" s="35" t="str">
        <x:v>call_then_email</x:v>
      </x:c>
      <x:c r="N18" s="35" t="str"/>
      <x:c r="O18" s="37" t="str"/>
      <x:c r="P18" s="35" t="str"/>
      <x:c r="Q18" s="37" t="str"/>
      <x:c r="R18" s="35" t="str"/>
    </x:row>
    <x:row r="19" ht="42" customHeight="1">
      <x:c r="A19" s="38" t="str">
        <x:v>18</x:v>
      </x:c>
      <x:c r="B19" s="38" t="str">
        <x:v>Knickerbocker Field Club</x:v>
      </x:c>
      <x:c r="C19" s="40" t="str">
        <x:v>122.00</x:v>
      </x:c>
      <x:c r="D19" s="38" t="str">
        <x:v>T-shirts</x:v>
      </x:c>
      <x:c r="E19" s="38" t="str">
        <x:v>Direct review</x:v>
      </x:c>
      <x:c r="F19" s="52" t="str">
        <x:v>No</x:v>
      </x:c>
      <x:c r="G19" s="52" t="str">
        <x:v>No</x:v>
      </x:c>
      <x:c r="H19" s="52" t="str">
        <x:v>No</x:v>
      </x:c>
      <x:c r="I19" s="52" t="str">
        <x:v>No</x:v>
      </x:c>
      <x:c r="J19" s="52" t="str">
        <x:v>No</x:v>
      </x:c>
      <x:c r="K19" s="52" t="str">
        <x:v>Pending</x:v>
      </x:c>
      <x:c r="L19" s="38" t="str">
        <x:v>Maclaine</x:v>
      </x:c>
      <x:c r="M19" s="38" t="str">
        <x:v>call_then_email</x:v>
      </x:c>
      <x:c r="N19" s="38" t="str"/>
      <x:c r="O19" s="40" t="str"/>
      <x:c r="P19" s="38" t="str"/>
      <x:c r="Q19" s="40" t="str"/>
      <x:c r="R19" s="38" t="str"/>
    </x:row>
  </x:sheetData>
  <x:conditionalFormatting sqref="K2:K19">
    <x:cfRule type="containsText" dxfId="25" priority="1" operator="containsText" text="Pending"/>
    <x:cfRule type="containsText" dxfId="26" priority="2" operator="containsText" text="Approved"/>
    <x:cfRule type="containsText" dxfId="27" priority="3" operator="containsText" text="Completed"/>
    <x:cfRule type="containsText" dxfId="28" priority="4" operator="containsText" text="Hold"/>
    <x:cfRule type="containsText" dxfId="29" priority="5" operator="containsText" text="Suppressed"/>
  </x:conditionalFormatting>
  <x:dataValidations count="1">
    <x:dataValidation type="list" sqref="K2:K19">
      <x:formula1>"Pending,Approved,In Progress,Completed,Hold,Suppressed,Rejected"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26c36bd43b42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25" hidden="0" customWidth="1"/>
    <x:col min="4" max="4" width="48" hidden="0" customWidth="1"/>
    <x:col min="5" max="5" width="30" hidden="0" customWidth="1"/>
    <x:col min="6" max="6" width="16" hidden="0" customWidth="1"/>
    <x:col min="7" max="7" width="48" hidden="0" customWidth="1"/>
    <x:col min="8" max="8" width="14" hidden="0" customWidth="1"/>
    <x:col min="9" max="9" width="15" hidden="0" customWidth="1"/>
    <x:col min="10" max="10" width="20" hidden="0" customWidth="1"/>
    <x:col min="11" max="11" width="15" hidden="0" customWidth="1"/>
    <x:col min="12" max="12" width="15" hidden="0" customWidth="1"/>
    <x:col min="13" max="13" width="15" hidden="0" customWidth="1"/>
    <x:col min="14" max="14" width="22" hidden="0" customWidth="1"/>
    <x:col min="15" max="15" width="50" hidden="0" customWidth="1"/>
  </x:cols>
  <x:sheetData>
    <x:row r="1" ht="32" customHeight="1">
      <x:c r="A1" s="20" t="str">
        <x:v>priority</x:v>
      </x:c>
      <x:c r="B1" s="21" t="str">
        <x:v>prospect</x:v>
      </x:c>
      <x:c r="C1" s="21" t="str">
        <x:v>company</x:v>
      </x:c>
      <x:c r="D1" s="21" t="str">
        <x:v>current_evidence</x:v>
      </x:c>
      <x:c r="E1" s="21" t="str">
        <x:v>asset_status</x:v>
      </x:c>
      <x:c r="F1" s="21" t="str">
        <x:v>delivery_confirmed</x:v>
      </x:c>
      <x:c r="G1" s="21" t="str">
        <x:v>required_action</x:v>
      </x:c>
      <x:c r="H1" s="21" t="str">
        <x:v>approval_status</x:v>
      </x:c>
      <x:c r="I1" s="21" t="str">
        <x:v>next_action_date</x:v>
      </x:c>
      <x:c r="J1" s="21" t="str">
        <x:v>current_stage</x:v>
      </x:c>
      <x:c r="K1" s="21" t="str">
        <x:v>trial_value</x:v>
      </x:c>
      <x:c r="L1" s="21" t="str">
        <x:v>cash_collected</x:v>
      </x:c>
      <x:c r="M1" s="21" t="str">
        <x:v>mrr</x:v>
      </x:c>
      <x:c r="N1" s="21" t="str">
        <x:v>lost_reason</x:v>
      </x:c>
      <x:c r="O1" s="22" t="str">
        <x:v>notes</x:v>
      </x:c>
    </x:row>
    <x:row r="2" ht="42" customHeight="1">
      <x:c r="A2" s="35" t="str">
        <x:v>1</x:v>
      </x:c>
      <x:c r="B2" s="35" t="str">
        <x:v>Angel</x:v>
      </x:c>
      <x:c r="C2" s="35" t="str">
        <x:v>Shine Hire</x:v>
      </x:c>
      <x:c r="D2" s="35" t="str">
        <x:v>Held meeting; explicit fit; liquidity blocker</x:v>
      </x:c>
      <x:c r="E2" s="35" t="str">
        <x:v>Enriched list and follow-up draft exist</x:v>
      </x:c>
      <x:c r="F2" s="51" t="str">
        <x:v>Yes</x:v>
      </x:c>
      <x:c r="G2" s="51" t="str">
        <x:v>Approve fixed exception; attach list; send manually; ask directly</x:v>
      </x:c>
      <x:c r="H2" s="51" t="str">
        <x:v>Pending</x:v>
      </x:c>
      <x:c r="I2" s="49" t="str">
        <x:v>2026-07-18</x:v>
      </x:c>
      <x:c r="J2" s="35" t="str">
        <x:v>Proposal due</x:v>
      </x:c>
      <x:c r="K2" s="37" t="str">
        <x:v>2000</x:v>
      </x:c>
      <x:c r="L2" s="37" t="str">
        <x:v>0</x:v>
      </x:c>
      <x:c r="M2" s="37" t="str">
        <x:v>0</x:v>
      </x:c>
      <x:c r="N2" s="35" t="str"/>
      <x:c r="O2" s="35" t="str">
        <x:v>Recommended total remains $2000 with split payment and 14-day cap</x:v>
      </x:c>
    </x:row>
    <x:row r="3" ht="42" customHeight="1">
      <x:c r="A3" s="35" t="str">
        <x:v>2</x:v>
      </x:c>
      <x:c r="B3" s="35" t="str">
        <x:v>Luke</x:v>
      </x:c>
      <x:c r="C3" s="35" t="str">
        <x:v>Spyglass Partners</x:v>
      </x:c>
      <x:c r="D3" s="35" t="str">
        <x:v>Human yes and follow-up questions</x:v>
      </x:c>
      <x:c r="E3" s="35" t="str">
        <x:v>Sample and deck exist</x:v>
      </x:c>
      <x:c r="F3" s="51" t="str">
        <x:v>Unknown</x:v>
      </x:c>
      <x:c r="G3" s="51" t="str">
        <x:v>Confirm delivery; call; ask for trial decision conversation</x:v>
      </x:c>
      <x:c r="H3" s="51" t="str">
        <x:v>Pending</x:v>
      </x:c>
      <x:c r="I3" s="49" t="str">
        <x:v>2026-07-20</x:v>
      </x:c>
      <x:c r="J3" s="35" t="str">
        <x:v>Engaged</x:v>
      </x:c>
      <x:c r="K3" s="37" t="str">
        <x:v>2000</x:v>
      </x:c>
      <x:c r="L3" s="37" t="str">
        <x:v>0</x:v>
      </x:c>
      <x:c r="M3" s="37" t="str">
        <x:v>0</x:v>
      </x:c>
      <x:c r="N3" s="35" t="str"/>
      <x:c r="O3" s="35" t="str">
        <x:v>Do not resend until thread state confirmed</x:v>
      </x:c>
    </x:row>
    <x:row r="4" ht="42" customHeight="1">
      <x:c r="A4" s="35" t="str">
        <x:v>3</x:v>
      </x:c>
      <x:c r="B4" s="35" t="str">
        <x:v>Dane</x:v>
      </x:c>
      <x:c r="C4" s="35" t="str">
        <x:v>Hire Energy</x:v>
      </x:c>
      <x:c r="D4" s="35" t="str">
        <x:v>Human high-intent reply</x:v>
      </x:c>
      <x:c r="E4" s="35" t="str">
        <x:v>Sample and draft exist</x:v>
      </x:c>
      <x:c r="F4" s="51" t="str">
        <x:v>Unknown</x:v>
      </x:c>
      <x:c r="G4" s="51" t="str">
        <x:v>Confirm delivery; call CEO; ask for working-session date</x:v>
      </x:c>
      <x:c r="H4" s="51" t="str">
        <x:v>Pending</x:v>
      </x:c>
      <x:c r="I4" s="49" t="str">
        <x:v>2026-07-20</x:v>
      </x:c>
      <x:c r="J4" s="35" t="str">
        <x:v>Package ready</x:v>
      </x:c>
      <x:c r="K4" s="37" t="str">
        <x:v>2000</x:v>
      </x:c>
      <x:c r="L4" s="37" t="str">
        <x:v>0</x:v>
      </x:c>
      <x:c r="M4" s="37" t="str">
        <x:v>0</x:v>
      </x:c>
      <x:c r="N4" s="35" t="str"/>
      <x:c r="O4" s="35" t="str">
        <x:v>CEO-calibrated direct follow-up</x:v>
      </x:c>
    </x:row>
    <x:row r="5" ht="42" customHeight="1">
      <x:c r="A5" s="35" t="str">
        <x:v>4</x:v>
      </x:c>
      <x:c r="B5" s="35" t="str">
        <x:v>Mandy</x:v>
      </x:c>
      <x:c r="C5" s="35" t="str">
        <x:v>Corporate Resources</x:v>
      </x:c>
      <x:c r="D5" s="35" t="str">
        <x:v>Human quality-bar question</x:v>
      </x:c>
      <x:c r="E5" s="35" t="str">
        <x:v>Selective sample and draft exist</x:v>
      </x:c>
      <x:c r="F5" s="51" t="str">
        <x:v>Unknown</x:v>
      </x:c>
      <x:c r="G5" s="51" t="str">
        <x:v>Confirm delivery; ask her to correct quality bar; ask for trial</x:v>
      </x:c>
      <x:c r="H5" s="51" t="str">
        <x:v>Pending</x:v>
      </x:c>
      <x:c r="I5" s="49" t="str">
        <x:v>2026-07-20</x:v>
      </x:c>
      <x:c r="J5" s="35" t="str">
        <x:v>Package ready</x:v>
      </x:c>
      <x:c r="K5" s="37" t="str">
        <x:v>2000</x:v>
      </x:c>
      <x:c r="L5" s="37" t="str">
        <x:v>0</x:v>
      </x:c>
      <x:c r="M5" s="37" t="str">
        <x:v>0</x:v>
      </x:c>
      <x:c r="N5" s="35" t="str"/>
      <x:c r="O5" s="35" t="str">
        <x:v>Lead with selectivity not volume</x:v>
      </x:c>
    </x:row>
    <x:row r="6" ht="42" customHeight="1">
      <x:c r="A6" s="35" t="str">
        <x:v>5</x:v>
      </x:c>
      <x:c r="B6" s="35" t="str">
        <x:v>Bradley</x:v>
      </x:c>
      <x:c r="C6" s="35" t="str">
        <x:v>Eleven Recruiting</x:v>
      </x:c>
      <x:c r="D6" s="35" t="str">
        <x:v>Reply intent not verified</x:v>
      </x:c>
      <x:c r="E6" s="35" t="str">
        <x:v>Sample exists</x:v>
      </x:c>
      <x:c r="F6" s="51" t="str">
        <x:v>No</x:v>
      </x:c>
      <x:c r="G6" s="51" t="str">
        <x:v>Verify actual reply before any action</x:v>
      </x:c>
      <x:c r="H6" s="51" t="str">
        <x:v>Hold</x:v>
      </x:c>
      <x:c r="I6" s="49" t="str">
        <x:v>2026-07-20</x:v>
      </x:c>
      <x:c r="J6" s="35" t="str">
        <x:v>Intent verification</x:v>
      </x:c>
      <x:c r="K6" s="37" t="str">
        <x:v>2000</x:v>
      </x:c>
      <x:c r="L6" s="37" t="str">
        <x:v>0</x:v>
      </x:c>
      <x:c r="M6" s="37" t="str">
        <x:v>0</x:v>
      </x:c>
      <x:c r="N6" s="35" t="str"/>
      <x:c r="O6" s="35" t="str"/>
    </x:row>
    <x:row r="7" ht="42" customHeight="1">
      <x:c r="A7" s="35" t="str">
        <x:v>6</x:v>
      </x:c>
      <x:c r="B7" s="35" t="str">
        <x:v>David</x:v>
      </x:c>
      <x:c r="C7" s="35" t="str">
        <x:v>Rock Coast Personnel</x:v>
      </x:c>
      <x:c r="D7" s="35" t="str">
        <x:v>Reply intent not verified</x:v>
      </x:c>
      <x:c r="E7" s="35" t="str">
        <x:v>Sample exists</x:v>
      </x:c>
      <x:c r="F7" s="51" t="str">
        <x:v>No</x:v>
      </x:c>
      <x:c r="G7" s="51" t="str">
        <x:v>Verify actual reply before any action</x:v>
      </x:c>
      <x:c r="H7" s="51" t="str">
        <x:v>Hold</x:v>
      </x:c>
      <x:c r="I7" s="49" t="str">
        <x:v>2026-07-20</x:v>
      </x:c>
      <x:c r="J7" s="35" t="str">
        <x:v>Intent verification</x:v>
      </x:c>
      <x:c r="K7" s="37" t="str">
        <x:v>2000</x:v>
      </x:c>
      <x:c r="L7" s="37" t="str">
        <x:v>0</x:v>
      </x:c>
      <x:c r="M7" s="37" t="str">
        <x:v>0</x:v>
      </x:c>
      <x:c r="N7" s="35" t="str"/>
      <x:c r="O7" s="35" t="str"/>
    </x:row>
    <x:row r="8" ht="42" customHeight="1">
      <x:c r="A8" s="35" t="str">
        <x:v>7</x:v>
      </x:c>
      <x:c r="B8" s="35" t="str">
        <x:v>Jennifer</x:v>
      </x:c>
      <x:c r="C8" s="35" t="str">
        <x:v>The Hiring Source</x:v>
      </x:c>
      <x:c r="D8" s="35" t="str">
        <x:v>Unsubscribe</x:v>
      </x:c>
      <x:c r="E8" s="35" t="str">
        <x:v>Sample exists</x:v>
      </x:c>
      <x:c r="F8" s="51" t="str">
        <x:v>No</x:v>
      </x:c>
      <x:c r="G8" s="51" t="str">
        <x:v>Suppress across every channel; no contact</x:v>
      </x:c>
      <x:c r="H8" s="51" t="str">
        <x:v>Suppressed</x:v>
      </x:c>
      <x:c r="I8" s="49" t="str">
        <x:v>2026-07-18</x:v>
      </x:c>
      <x:c r="J8" s="35" t="str">
        <x:v>Closed lost</x:v>
      </x:c>
      <x:c r="K8" s="37" t="str">
        <x:v>0</x:v>
      </x:c>
      <x:c r="L8" s="37" t="str">
        <x:v>0</x:v>
      </x:c>
      <x:c r="M8" s="37" t="str">
        <x:v>0</x:v>
      </x:c>
      <x:c r="N8" s="35" t="str">
        <x:v>Unsubscribe</x:v>
      </x:c>
      <x:c r="O8" s="35" t="str"/>
    </x:row>
    <x:row r="9" ht="42" customHeight="1">
      <x:c r="A9" s="38" t="str">
        <x:v>8</x:v>
      </x:c>
      <x:c r="B9" s="38" t="str">
        <x:v>Travis</x:v>
      </x:c>
      <x:c r="C9" s="38" t="str">
        <x:v>Veriant Solutions</x:v>
      </x:c>
      <x:c r="D9" s="38" t="str">
        <x:v>Unsubscribe</x:v>
      </x:c>
      <x:c r="E9" s="38" t="str">
        <x:v>None</x:v>
      </x:c>
      <x:c r="F9" s="52" t="str">
        <x:v>No</x:v>
      </x:c>
      <x:c r="G9" s="52" t="str">
        <x:v>Suppress across every channel; no contact</x:v>
      </x:c>
      <x:c r="H9" s="52" t="str">
        <x:v>Suppressed</x:v>
      </x:c>
      <x:c r="I9" s="50" t="str">
        <x:v>2026-07-18</x:v>
      </x:c>
      <x:c r="J9" s="38" t="str">
        <x:v>Closed lost</x:v>
      </x:c>
      <x:c r="K9" s="40" t="str">
        <x:v>0</x:v>
      </x:c>
      <x:c r="L9" s="40" t="str">
        <x:v>0</x:v>
      </x:c>
      <x:c r="M9" s="40" t="str">
        <x:v>0</x:v>
      </x:c>
      <x:c r="N9" s="38" t="str">
        <x:v>Unsubscribe</x:v>
      </x:c>
      <x:c r="O9" s="38" t="str"/>
    </x:row>
  </x:sheetData>
  <x:conditionalFormatting sqref="H2:H9">
    <x:cfRule type="containsText" dxfId="30" priority="1" operator="containsText" text="Pending"/>
    <x:cfRule type="containsText" dxfId="31" priority="2" operator="containsText" text="Approved"/>
    <x:cfRule type="containsText" dxfId="32" priority="3" operator="containsText" text="Completed"/>
    <x:cfRule type="containsText" dxfId="33" priority="4" operator="containsText" text="Hold"/>
    <x:cfRule type="containsText" dxfId="34" priority="5" operator="containsText" text="Suppressed"/>
  </x:conditionalFormatting>
  <x:dataValidations count="1">
    <x:dataValidation type="list" sqref="H2:H9">
      <x:formula1>"Pending,Approved,In Progress,Completed,Hold,Suppressed,Rejected"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206800fb7a462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9" hidden="0" customWidth="1"/>
    <x:col min="4" max="4" width="32" hidden="0" customWidth="1"/>
    <x:col min="5" max="5" width="55" hidden="0" customWidth="1"/>
    <x:col min="6" max="6" width="30" hidden="0" customWidth="1"/>
    <x:col min="7" max="7" width="45" hidden="0" customWidth="1"/>
    <x:col min="8" max="8" width="14" hidden="0" customWidth="1"/>
    <x:col min="9" max="9" width="10" hidden="0" customWidth="1"/>
    <x:col min="10" max="10" width="10" hidden="0" customWidth="1"/>
    <x:col min="11" max="11" width="15" hidden="0" customWidth="1"/>
    <x:col min="12" max="12" width="15" hidden="0" customWidth="1"/>
    <x:col min="13" max="13" width="44" hidden="0" customWidth="1"/>
  </x:cols>
  <x:sheetData>
    <x:row r="1" ht="32" customHeight="1">
      <x:c r="A1" s="20" t="str">
        <x:v>date</x:v>
      </x:c>
      <x:c r="B1" s="21" t="str">
        <x:v>channel</x:v>
      </x:c>
      <x:c r="C1" s="21" t="str">
        <x:v>asset</x:v>
      </x:c>
      <x:c r="D1" s="21" t="str">
        <x:v>audience</x:v>
      </x:c>
      <x:c r="E1" s="21" t="str">
        <x:v>hook</x:v>
      </x:c>
      <x:c r="F1" s="21" t="str">
        <x:v>cta</x:v>
      </x:c>
      <x:c r="G1" s="21" t="str">
        <x:v>proof_gate</x:v>
      </x:c>
      <x:c r="H1" s="21" t="str">
        <x:v>status</x:v>
      </x:c>
      <x:c r="I1" s="21" t="str">
        <x:v>leads</x:v>
      </x:c>
      <x:c r="J1" s="21" t="str">
        <x:v>meetings</x:v>
      </x:c>
      <x:c r="K1" s="21" t="str">
        <x:v>booked_revenue</x:v>
      </x:c>
      <x:c r="L1" s="21" t="str">
        <x:v>cash_collected</x:v>
      </x:c>
      <x:c r="M1" s="22" t="str">
        <x:v>notes</x:v>
      </x:c>
    </x:row>
    <x:row r="2" ht="42" customHeight="1">
      <x:c r="A2" s="49" t="str">
        <x:v>2026-07-18</x:v>
      </x:c>
      <x:c r="B2" s="35" t="str">
        <x:v>YouTube</x:v>
      </x:c>
      <x:c r="C2" s="35" t="str">
        <x:v>Mockup machine case study</x:v>
      </x:c>
      <x:c r="D2" s="35" t="str">
        <x:v>Law-firm operations and retreat planners</x:v>
      </x:c>
      <x:c r="E2" s="35" t="str">
        <x:v>We made the merch before asking for the meeting</x:v>
      </x:c>
      <x:c r="F2" s="35" t="str">
        <x:v>Free three-item visual concept</x:v>
      </x:c>
      <x:c r="G2" s="35" t="str">
        <x:v>Written permission or full anonymization</x:v>
      </x:c>
      <x:c r="H2" s="51" t="str">
        <x:v>Draft</x:v>
      </x:c>
      <x:c r="I2" s="35" t="str">
        <x:v>0</x:v>
      </x:c>
      <x:c r="J2" s="35" t="str">
        <x:v>0</x:v>
      </x:c>
      <x:c r="K2" s="37" t="str">
        <x:v>0</x:v>
      </x:c>
      <x:c r="L2" s="37" t="str">
        <x:v>0</x:v>
      </x:c>
      <x:c r="M2" s="35" t="str">
        <x:v>Record only</x:v>
      </x:c>
    </x:row>
    <x:row r="3" ht="42" customHeight="1">
      <x:c r="A3" s="49" t="str">
        <x:v>2026-07-19</x:v>
      </x:c>
      <x:c r="B3" s="35" t="str">
        <x:v>Short</x:v>
      </x:c>
      <x:c r="C3" s="35" t="str">
        <x:v>120-piece inquiry</x:v>
      </x:c>
      <x:c r="D3" s="35" t="str">
        <x:v>Law-firm operations</x:v>
      </x:c>
      <x:c r="E3" s="35" t="str">
        <x:v>One inquiry became a question about two 60-unit products</x:v>
      </x:c>
      <x:c r="F3" s="35" t="str">
        <x:v>Send logo and retreat date</x:v>
      </x:c>
      <x:c r="G3" s="35" t="str">
        <x:v>Do not call it a sale; anonymize</x:v>
      </x:c>
      <x:c r="H3" s="51" t="str">
        <x:v>Draft</x:v>
      </x:c>
      <x:c r="I3" s="35" t="str">
        <x:v>0</x:v>
      </x:c>
      <x:c r="J3" s="35" t="str">
        <x:v>0</x:v>
      </x:c>
      <x:c r="K3" s="37" t="str">
        <x:v>0</x:v>
      </x:c>
      <x:c r="L3" s="37" t="str">
        <x:v>0</x:v>
      </x:c>
      <x:c r="M3" s="35" t="str"/>
    </x:row>
    <x:row r="4" ht="42" customHeight="1">
      <x:c r="A4" s="49" t="str">
        <x:v>2026-07-20</x:v>
      </x:c>
      <x:c r="B4" s="35" t="str">
        <x:v>LinkedIn</x:v>
      </x:c>
      <x:c r="C4" s="35" t="str">
        <x:v>Artifact-first outbound</x:v>
      </x:c>
      <x:c r="D4" s="35" t="str">
        <x:v>B2B operators</x:v>
      </x:c>
      <x:c r="E4" s="35" t="str">
        <x:v>Make the first deliverable before the pitch</x:v>
      </x:c>
      <x:c r="F4" s="35" t="str">
        <x:v>Dealthreads diagnostic</x:v>
      </x:c>
      <x:c r="G4" s="35" t="str">
        <x:v>No customer identity; verified mechanism only</x:v>
      </x:c>
      <x:c r="H4" s="51" t="str">
        <x:v>Draft</x:v>
      </x:c>
      <x:c r="I4" s="35" t="str">
        <x:v>0</x:v>
      </x:c>
      <x:c r="J4" s="35" t="str">
        <x:v>0</x:v>
      </x:c>
      <x:c r="K4" s="37" t="str">
        <x:v>0</x:v>
      </x:c>
      <x:c r="L4" s="37" t="str">
        <x:v>0</x:v>
      </x:c>
      <x:c r="M4" s="35" t="str"/>
    </x:row>
    <x:row r="5" ht="42" customHeight="1">
      <x:c r="A5" s="49" t="str">
        <x:v>2026-07-21</x:v>
      </x:c>
      <x:c r="B5" s="35" t="str">
        <x:v>Carousel</x:v>
      </x:c>
      <x:c r="C5" s="35" t="str">
        <x:v>Three retreat concept directions</x:v>
      </x:c>
      <x:c r="D5" s="35" t="str">
        <x:v>CA buyers</x:v>
      </x:c>
      <x:c r="E5" s="35" t="str">
        <x:v>Three useful directions before opening a catalog</x:v>
      </x:c>
      <x:c r="F5" s="35" t="str">
        <x:v>Free three-item visual concept</x:v>
      </x:c>
      <x:c r="G5" s="35" t="str">
        <x:v>Approved visual assets only</x:v>
      </x:c>
      <x:c r="H5" s="51" t="str">
        <x:v>Draft</x:v>
      </x:c>
      <x:c r="I5" s="35" t="str">
        <x:v>0</x:v>
      </x:c>
      <x:c r="J5" s="35" t="str">
        <x:v>0</x:v>
      </x:c>
      <x:c r="K5" s="37" t="str">
        <x:v>0</x:v>
      </x:c>
      <x:c r="L5" s="37" t="str">
        <x:v>0</x:v>
      </x:c>
      <x:c r="M5" s="35" t="str"/>
    </x:row>
    <x:row r="6" ht="42" customHeight="1">
      <x:c r="A6" s="49" t="str">
        <x:v>2026-07-22</x:v>
      </x:c>
      <x:c r="B6" s="35" t="str">
        <x:v>Short</x:v>
      </x:c>
      <x:c r="C6" s="35" t="str">
        <x:v>AI logo QC</x:v>
      </x:c>
      <x:c r="D6" s="35" t="str">
        <x:v>CA buyers and operators</x:v>
      </x:c>
      <x:c r="E6" s="35" t="str">
        <x:v>Why AI is not allowed to draw the final logo</x:v>
      </x:c>
      <x:c r="F6" s="35" t="str">
        <x:v>Reviewed visual concept</x:v>
      </x:c>
      <x:c r="G6" s="35" t="str">
        <x:v>Use a non-customer or approved example</x:v>
      </x:c>
      <x:c r="H6" s="51" t="str">
        <x:v>Draft</x:v>
      </x:c>
      <x:c r="I6" s="35" t="str">
        <x:v>0</x:v>
      </x:c>
      <x:c r="J6" s="35" t="str">
        <x:v>0</x:v>
      </x:c>
      <x:c r="K6" s="37" t="str">
        <x:v>0</x:v>
      </x:c>
      <x:c r="L6" s="37" t="str">
        <x:v>0</x:v>
      </x:c>
      <x:c r="M6" s="35" t="str"/>
    </x:row>
    <x:row r="7" ht="42" customHeight="1">
      <x:c r="A7" s="49" t="str">
        <x:v>2026-07-23</x:v>
      </x:c>
      <x:c r="B7" s="35" t="str">
        <x:v>LinkedIn</x:v>
      </x:c>
      <x:c r="C7" s="35" t="str">
        <x:v>Camp campaign teardown</x:v>
      </x:c>
      <x:c r="D7" s="35" t="str">
        <x:v>Camp buyers and B2B operators</x:v>
      </x:c>
      <x:c r="E7" s="35" t="str">
        <x:v>10.1% raw replies was only 1.2% positive replies</x:v>
      </x:c>
      <x:c r="F7" s="35" t="str">
        <x:v>Camp concept or campaign audit</x:v>
      </x:c>
      <x:c r="G7" s="35" t="str">
        <x:v>Explain denominator; no won-revenue claim</x:v>
      </x:c>
      <x:c r="H7" s="51" t="str">
        <x:v>Draft</x:v>
      </x:c>
      <x:c r="I7" s="35" t="str">
        <x:v>0</x:v>
      </x:c>
      <x:c r="J7" s="35" t="str">
        <x:v>0</x:v>
      </x:c>
      <x:c r="K7" s="37" t="str">
        <x:v>0</x:v>
      </x:c>
      <x:c r="L7" s="37" t="str">
        <x:v>0</x:v>
      </x:c>
      <x:c r="M7" s="35" t="str"/>
    </x:row>
    <x:row r="8" ht="42" customHeight="1">
      <x:c r="A8" s="50" t="str">
        <x:v>2026-07-24</x:v>
      </x:c>
      <x:c r="B8" s="38" t="str">
        <x:v>LinkedIn</x:v>
      </x:c>
      <x:c r="C8" s="38" t="str">
        <x:v>Sprint scorecard</x:v>
      </x:c>
      <x:c r="D8" s="38" t="str">
        <x:v>Operators</x:v>
      </x:c>
      <x:c r="E8" s="38" t="str">
        <x:v>What seven days of working existing demand produced</x:v>
      </x:c>
      <x:c r="F8" s="38" t="str">
        <x:v>One audience-specific CTA</x:v>
      </x:c>
      <x:c r="G8" s="38" t="str">
        <x:v>Only invoiced and collected outcomes</x:v>
      </x:c>
      <x:c r="H8" s="52" t="str">
        <x:v>Draft</x:v>
      </x:c>
      <x:c r="I8" s="38" t="str">
        <x:v>0</x:v>
      </x:c>
      <x:c r="J8" s="38" t="str">
        <x:v>0</x:v>
      </x:c>
      <x:c r="K8" s="40" t="str">
        <x:v>0</x:v>
      </x:c>
      <x:c r="L8" s="40" t="str">
        <x:v>0</x:v>
      </x:c>
      <x:c r="M8" s="38" t="str"/>
    </x:row>
  </x:sheetData>
  <x:conditionalFormatting sqref="H2:H8">
    <x:cfRule type="containsText" dxfId="35" priority="1" operator="containsText" text="Pending"/>
    <x:cfRule type="containsText" dxfId="36" priority="2" operator="containsText" text="Approved"/>
    <x:cfRule type="containsText" dxfId="37" priority="3" operator="containsText" text="Completed"/>
    <x:cfRule type="containsText" dxfId="38" priority="4" operator="containsText" text="Hold"/>
    <x:cfRule type="containsText" dxfId="39" priority="5" operator="containsText" text="Suppressed"/>
  </x:conditionalFormatting>
  <x:dataValidations count="1">
    <x:dataValidation type="list" sqref="H2:H8">
      <x:formula1>"Pending,Approved,In Progress,Completed,Hold,Suppressed,Rejected"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caf38a0f064f93"/>
  </x:tableParts>
</x:worksheet>
</file>