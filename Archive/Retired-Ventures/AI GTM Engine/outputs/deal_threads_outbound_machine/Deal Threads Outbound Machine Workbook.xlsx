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04847e1dd54584" /></Relationships>
</file>

<file path=xl/workbook.xml><?xml version="1.0" encoding="utf-8"?>
<x:workbook xmlns:x="http://schemas.openxmlformats.org/spreadsheetml/2006/main">
  <x:sheets>
    <x:sheet xmlns:r="http://schemas.openxmlformats.org/officeDocument/2006/relationships" name="Command Center" sheetId="1" r:id="Rbae4e72191154e7d"/>
    <x:sheet xmlns:r="http://schemas.openxmlformats.org/officeDocument/2006/relationships" name="Targets" sheetId="2" r:id="R4463406bd3df419b"/>
    <x:sheet xmlns:r="http://schemas.openxmlformats.org/officeDocument/2006/relationships" name="Daily Queue" sheetId="3" r:id="R6f5adce6e17048fd"/>
    <x:sheet xmlns:r="http://schemas.openxmlformats.org/officeDocument/2006/relationships" name="Outcome Tracker" sheetId="4" r:id="R332778a46fc246ae"/>
    <x:sheet xmlns:r="http://schemas.openxmlformats.org/officeDocument/2006/relationships" name="30-Day Plan" sheetId="5" r:id="R310efe0ad7954234"/>
    <x:sheet xmlns:r="http://schemas.openxmlformats.org/officeDocument/2006/relationships" name="Sequences" sheetId="6" r:id="R715436b0c1604601"/>
    <x:sheet xmlns:r="http://schemas.openxmlformats.org/officeDocument/2006/relationships" name="Reply Router" sheetId="7" r:id="R0f37255f3fcc428f"/>
    <x:sheet xmlns:r="http://schemas.openxmlformats.org/officeDocument/2006/relationships" name="Weekly Review" sheetId="8" r:id="Rb537e281c1f043bf"/>
    <x:sheet xmlns:r="http://schemas.openxmlformats.org/officeDocument/2006/relationships" name="Automation" sheetId="9" r:id="Ra7745fc1613740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0%"/>
    <x:numFmt numFmtId="203" formatCode="@"/>
  </x:numFmts>
  <x:fonts count="18">
    <x:font>
      <x:sz val="11"/>
      <x:name val="Carlito"/>
    </x:font>
    <x:font>
      <x:b/>
      <x:sz val="16"/>
      <x:color rgb="FFFFFFFF"/>
      <x:name val="Carlito"/>
    </x:font>
    <x:font>
      <x:b/>
      <x:sz val="11"/>
      <x:color rgb="FFFFFFFF"/>
      <x:name val="Carlito"/>
    </x:font>
    <x:font>
      <x:b/>
      <x:sz val="11"/>
      <x:color rgb="FF92400E"/>
      <x:name val="Carlito"/>
    </x:font>
    <x:font>
      <x:b/>
      <x:sz val="10"/>
      <x:color rgb="FF5B6770"/>
      <x:name val="Carlito"/>
    </x:font>
    <x:font>
      <x:b/>
      <x:sz val="14"/>
      <x:color rgb="FF12242E"/>
      <x:name val="Carlito"/>
    </x:font>
    <x:font>
      <x:b/>
      <x:sz val="11"/>
      <x:color rgb="FF172026"/>
      <x:name val="Carlito"/>
    </x:font>
    <x:font>
      <x:sz val="11"/>
      <x:color rgb="FF172026"/>
      <x:name val="Carlito"/>
    </x:font>
    <x:font>
      <x:sz val="11"/>
      <x:color rgb="FFFFFFFF"/>
      <x:name val="Carlito"/>
    </x:font>
    <x:font>
      <x:b/>
      <x:sz val="16"/>
      <x:color rgb="FFFFFFFF"/>
      <x:name val="Aptos"/>
    </x:font>
    <x:font>
      <x:sz val="11"/>
      <x:name val="Aptos"/>
    </x:font>
    <x:font>
      <x:b/>
      <x:sz val="11"/>
      <x:color rgb="FFFFFFFF"/>
      <x:name val="Aptos"/>
    </x:font>
    <x:font>
      <x:sz val="11"/>
      <x:color rgb="FFFFFFFF"/>
      <x:name val="Aptos"/>
    </x:font>
    <x:font>
      <x:b/>
      <x:sz val="10"/>
      <x:color rgb="FF5B6770"/>
      <x:name val="Aptos"/>
    </x:font>
    <x:font>
      <x:b/>
      <x:sz val="14"/>
      <x:color rgb="FF12242E"/>
      <x:name val="Aptos"/>
    </x:font>
    <x:font>
      <x:b/>
      <x:sz val="11"/>
      <x:color rgb="FF172026"/>
      <x:name val="Aptos"/>
    </x:font>
    <x:font>
      <x:sz val="11"/>
      <x:color rgb="FF172026"/>
      <x:name val="Aptos"/>
    </x:font>
    <x:font>
      <x:b/>
      <x:sz val="11"/>
      <x:color rgb="FF92400E"/>
      <x:name val="Aptos"/>
    </x:font>
  </x:fonts>
  <x:fills count="8">
    <x:fill>
      <x:patternFill patternType="none"/>
    </x:fill>
    <x:fill>
      <x:patternFill patternType="gray125"/>
    </x:fill>
    <x:fill>
      <x:patternFill patternType="solid">
        <x:fgColor rgb="FF12242E"/>
      </x:patternFill>
    </x:fill>
    <x:fill>
      <x:patternFill patternType="solid">
        <x:fgColor rgb="FF0F766E"/>
      </x:patternFill>
    </x:fill>
    <x:fill>
      <x:patternFill patternType="solid">
        <x:fgColor rgb="FFFFF1CC"/>
      </x:patternFill>
    </x:fill>
    <x:fill>
      <x:patternFill patternType="solid">
        <x:fgColor rgb="FFEAF3F8"/>
      </x:patternFill>
    </x:fill>
    <x:fill>
      <x:patternFill patternType="solid">
        <x:fgColor rgb="FFFFFFFF"/>
      </x:patternFill>
    </x:fill>
    <x:fill>
      <x:patternFill patternType="solid">
        <x:fgColor rgb="FFF4F6F8"/>
      </x:patternFill>
    </x:fill>
  </x:fills>
  <x:borders count="11">
    <x:border/>
    <x:border>
      <x:right/>
      <x:bottom/>
    </x:border>
    <x:border>
      <x:left/>
      <x:right/>
      <x:bottom/>
    </x:border>
    <x:border>
      <x:left/>
      <x:bottom/>
    </x:border>
    <x:border>
      <x:right/>
      <x:top/>
      <x:bottom/>
    </x:border>
    <x:border>
      <x:left/>
      <x:right/>
      <x:top/>
      <x:bottom/>
    </x:border>
    <x:border>
      <x:left/>
      <x:top/>
      <x:bottom/>
    </x:border>
    <x:border>
      <x:right/>
      <x:top/>
    </x:border>
    <x:border>
      <x:left/>
      <x:right/>
      <x:top/>
    </x:border>
    <x:border>
      <x:left/>
      <x:top/>
    </x:border>
    <x:border>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200" fontId="0" fillId="0"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5" xfId="0" applyNumberFormat="1" applyFont="1" applyFill="1" applyBorder="1" applyAlignment="1">
      <x:alignment wrapText="1"/>
    </x:xf>
    <x:xf numFmtId="0" fontId="3" fillId="4" borderId="5" xfId="0" applyNumberFormat="1" applyFont="1" applyFill="1" applyBorder="1" applyAlignment="1">
      <x:alignment horizontal="center"/>
    </x:xf>
    <x:xf numFmtId="200" fontId="0" fillId="0" borderId="5"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x:xf numFmtId="0" fontId="0" fillId="0" borderId="8" xfId="0" applyNumberFormat="1" applyFont="1" applyFill="1" applyBorder="1"/>
    <x:xf numFmtId="0" fontId="0" fillId="0" borderId="8" xfId="0" applyNumberFormat="1" applyFont="1" applyFill="1" applyBorder="1" applyAlignment="1">
      <x:alignment wrapText="1"/>
    </x:xf>
    <x:xf numFmtId="0" fontId="3" fillId="4" borderId="8" xfId="0" applyNumberFormat="1" applyFont="1" applyFill="1" applyBorder="1" applyAlignment="1">
      <x:alignment horizontal="center"/>
    </x:xf>
    <x:xf numFmtId="200" fontId="0" fillId="0" borderId="8" xfId="0" applyNumberFormat="1" applyFont="1" applyFill="1" applyBorder="1"/>
    <x:xf numFmtId="0" fontId="0" fillId="0" borderId="9" xfId="0" applyNumberFormat="1" applyFont="1" applyFill="1" applyBorder="1" applyAlignment="1">
      <x:alignment wrapText="1"/>
    </x:xf>
    <x:xf numFmtId="200" fontId="0" fillId="0" borderId="4" xfId="0" applyNumberFormat="1" applyFont="1" applyFill="1" applyBorder="1"/>
    <x:xf numFmtId="200" fontId="0" fillId="0" borderId="7"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3" borderId="0" xfId="0" applyNumberFormat="1" applyFont="1" applyFill="1" applyBorder="1" applyAlignment="1">
      <x:alignment horizontal="left"/>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10" xfId="0" applyNumberFormat="1" applyFont="1" applyFill="1" applyBorder="1"/>
    <x:xf numFmtId="0" fontId="5" fillId="6" borderId="10" xfId="0" applyNumberFormat="1" applyFont="1" applyFill="1" applyBorder="1" applyAlignment="1">
      <x:alignment horizontal="center"/>
    </x:xf>
    <x:xf numFmtId="0" fontId="5" fillId="6" borderId="10" xfId="0" applyNumberFormat="1" applyFont="1" applyFill="1" applyBorder="1" applyAlignment="1">
      <x:alignment horizontal="center" vertical="center"/>
    </x:xf>
    <x:xf numFmtId="201" fontId="5" fillId="6" borderId="10" xfId="0" applyNumberFormat="1" applyFont="1" applyFill="1" applyBorder="1" applyAlignment="1">
      <x:alignment horizontal="center" vertical="center"/>
    </x:xf>
    <x:xf numFmtId="202" fontId="5" fillId="6" borderId="10" xfId="0" applyNumberFormat="1" applyFont="1" applyFill="1" applyBorder="1" applyAlignment="1">
      <x:alignment horizontal="center" vertical="center"/>
    </x:xf>
    <x:xf numFmtId="203" fontId="5" fillId="6" borderId="10" xfId="0" applyNumberFormat="1" applyFont="1" applyFill="1" applyBorder="1" applyAlignment="1">
      <x:alignment horizontal="center" vertical="center"/>
    </x:xf>
    <x:xf numFmtId="0" fontId="0" fillId="0" borderId="6" xfId="0" applyNumberFormat="1" applyFont="1" applyFill="1" applyBorder="1"/>
    <x:xf numFmtId="0" fontId="0" fillId="0" borderId="9"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6" fillId="5" borderId="4"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6" xfId="0" applyNumberFormat="1" applyFont="1" applyFill="1" applyBorder="1" applyAlignment="1">
      <x:alignment wrapText="1"/>
    </x:xf>
    <x:xf numFmtId="0" fontId="6" fillId="5" borderId="7" xfId="0" applyNumberFormat="1" applyFont="1" applyFill="1" applyBorder="1" applyAlignment="1">
      <x:alignment wrapText="1"/>
    </x:xf>
    <x:xf numFmtId="0" fontId="7" fillId="7" borderId="8" xfId="0" applyNumberFormat="1" applyFont="1" applyFill="1" applyBorder="1" applyAlignment="1">
      <x:alignment wrapText="1"/>
    </x:xf>
    <x:xf numFmtId="0" fontId="7" fillId="7" borderId="9" xfId="0" applyNumberFormat="1" applyFont="1" applyFill="1" applyBorder="1" applyAlignment="1">
      <x:alignment wrapText="1"/>
    </x:xf>
    <x:xf numFmtId="0" fontId="7" fillId="7" borderId="0" xfId="0" applyNumberFormat="1" applyFont="1" applyFill="1" applyBorder="1" applyAlignment="1">
      <x:alignment vertical="top" wrapText="1"/>
    </x:xf>
    <x:xf numFmtId="0" fontId="8" fillId="6" borderId="0" xfId="0" applyNumberFormat="1" applyFont="1" applyFill="1" applyBorder="1"/>
    <x:xf numFmtId="0" fontId="9" fillId="2" borderId="0" xfId="0" applyNumberFormat="1" applyFont="1" applyFill="1" applyBorder="1" applyAlignment="1">
      <x:alignment horizontal="left" vertical="center" wrapText="1"/>
    </x:xf>
    <x:xf numFmtId="0" fontId="10" fillId="0" borderId="0" xfId="0" applyNumberFormat="1" applyFont="1" applyFill="1" applyBorder="1"/>
    <x:xf numFmtId="0" fontId="11" fillId="3" borderId="0" xfId="0" applyNumberFormat="1" applyFont="1" applyFill="1" applyBorder="1" applyAlignment="1">
      <x:alignment horizontal="left"/>
    </x:xf>
    <x:xf numFmtId="0" fontId="12" fillId="6" borderId="0" xfId="0" applyNumberFormat="1" applyFont="1" applyFill="1" applyBorder="1"/>
    <x:xf numFmtId="0" fontId="13" fillId="5" borderId="0" xfId="0" applyNumberFormat="1" applyFont="1" applyFill="1" applyBorder="1" applyAlignment="1">
      <x:alignment horizontal="center" vertical="center"/>
    </x:xf>
    <x:xf numFmtId="201" fontId="14" fillId="6" borderId="10" xfId="0" applyNumberFormat="1" applyFont="1" applyFill="1" applyBorder="1" applyAlignment="1">
      <x:alignment horizontal="center" vertical="center"/>
    </x:xf>
    <x:xf numFmtId="202" fontId="14" fillId="6" borderId="10" xfId="0" applyNumberFormat="1" applyFont="1" applyFill="1" applyBorder="1" applyAlignment="1">
      <x:alignment horizontal="center" vertical="center"/>
    </x:xf>
    <x:xf numFmtId="203" fontId="14" fillId="6" borderId="10" xfId="0" applyNumberFormat="1" applyFont="1" applyFill="1" applyBorder="1" applyAlignment="1">
      <x:alignment horizontal="center" vertical="center"/>
    </x:xf>
    <x:xf numFmtId="0" fontId="11" fillId="2" borderId="1" xfId="0" applyNumberFormat="1" applyFont="1" applyFill="1" applyBorder="1" applyAlignment="1">
      <x:alignment horizontal="center" vertical="center" wrapText="1"/>
    </x:xf>
    <x:xf numFmtId="0" fontId="11" fillId="2" borderId="2" xfId="0" applyNumberFormat="1" applyFont="1" applyFill="1" applyBorder="1" applyAlignment="1">
      <x:alignment horizontal="center" vertical="center" wrapText="1"/>
    </x:xf>
    <x:xf numFmtId="0" fontId="11" fillId="2" borderId="3" xfId="0" applyNumberFormat="1" applyFont="1" applyFill="1" applyBorder="1" applyAlignment="1">
      <x:alignment horizontal="center" vertical="center" wrapText="1"/>
    </x:xf>
    <x:xf numFmtId="0" fontId="10" fillId="0" borderId="4" xfId="0" applyNumberFormat="1" applyFont="1" applyFill="1" applyBorder="1"/>
    <x:xf numFmtId="0" fontId="10" fillId="0" borderId="5" xfId="0" applyNumberFormat="1" applyFont="1" applyFill="1" applyBorder="1"/>
    <x:xf numFmtId="0" fontId="10" fillId="0" borderId="5" xfId="0" applyNumberFormat="1" applyFont="1" applyFill="1" applyBorder="1" applyAlignment="1">
      <x:alignment wrapText="1"/>
    </x:xf>
    <x:xf numFmtId="0" fontId="10" fillId="0" borderId="6" xfId="0" applyNumberFormat="1" applyFont="1" applyFill="1" applyBorder="1"/>
    <x:xf numFmtId="0" fontId="15" fillId="5" borderId="4" xfId="0" applyNumberFormat="1" applyFont="1" applyFill="1" applyBorder="1" applyAlignment="1">
      <x:alignment wrapText="1"/>
    </x:xf>
    <x:xf numFmtId="0" fontId="16" fillId="7" borderId="5" xfId="0" applyNumberFormat="1" applyFont="1" applyFill="1" applyBorder="1" applyAlignment="1">
      <x:alignment wrapText="1"/>
    </x:xf>
    <x:xf numFmtId="0" fontId="16" fillId="7" borderId="6" xfId="0" applyNumberFormat="1" applyFont="1" applyFill="1" applyBorder="1" applyAlignment="1">
      <x:alignment wrapText="1"/>
    </x:xf>
    <x:xf numFmtId="0" fontId="10" fillId="0" borderId="7" xfId="0" applyNumberFormat="1" applyFont="1" applyFill="1" applyBorder="1"/>
    <x:xf numFmtId="0" fontId="10" fillId="0" borderId="8" xfId="0" applyNumberFormat="1" applyFont="1" applyFill="1" applyBorder="1"/>
    <x:xf numFmtId="0" fontId="10" fillId="0" borderId="8" xfId="0" applyNumberFormat="1" applyFont="1" applyFill="1" applyBorder="1" applyAlignment="1">
      <x:alignment wrapText="1"/>
    </x:xf>
    <x:xf numFmtId="0" fontId="10" fillId="0" borderId="9" xfId="0" applyNumberFormat="1" applyFont="1" applyFill="1" applyBorder="1"/>
    <x:xf numFmtId="0" fontId="15" fillId="5" borderId="7" xfId="0" applyNumberFormat="1" applyFont="1" applyFill="1" applyBorder="1" applyAlignment="1">
      <x:alignment wrapText="1"/>
    </x:xf>
    <x:xf numFmtId="0" fontId="16" fillId="7" borderId="8" xfId="0" applyNumberFormat="1" applyFont="1" applyFill="1" applyBorder="1" applyAlignment="1">
      <x:alignment wrapText="1"/>
    </x:xf>
    <x:xf numFmtId="0" fontId="16" fillId="7" borderId="9" xfId="0" applyNumberFormat="1" applyFont="1" applyFill="1" applyBorder="1" applyAlignment="1">
      <x:alignment wrapText="1"/>
    </x:xf>
    <x:xf numFmtId="0" fontId="16" fillId="7" borderId="0" xfId="0" applyNumberFormat="1" applyFont="1" applyFill="1" applyBorder="1" applyAlignment="1">
      <x:alignment vertical="top" wrapText="1"/>
    </x:xf>
    <x:xf numFmtId="0" fontId="11" fillId="3" borderId="1" xfId="0" applyNumberFormat="1" applyFont="1" applyFill="1" applyBorder="1" applyAlignment="1">
      <x:alignment horizontal="center" vertical="center" wrapText="1"/>
    </x:xf>
    <x:xf numFmtId="0" fontId="11" fillId="3" borderId="2" xfId="0" applyNumberFormat="1" applyFont="1" applyFill="1" applyBorder="1" applyAlignment="1">
      <x:alignment horizontal="center" vertical="center" wrapText="1"/>
    </x:xf>
    <x:xf numFmtId="0" fontId="11" fillId="3" borderId="3" xfId="0" applyNumberFormat="1" applyFont="1" applyFill="1" applyBorder="1" applyAlignment="1">
      <x:alignment horizontal="center" vertical="center" wrapText="1"/>
    </x:xf>
    <x:xf numFmtId="0" fontId="17" fillId="4" borderId="5" xfId="0" applyNumberFormat="1" applyFont="1" applyFill="1" applyBorder="1" applyAlignment="1">
      <x:alignment horizontal="center"/>
    </x:xf>
    <x:xf numFmtId="200" fontId="10" fillId="0" borderId="5" xfId="0" applyNumberFormat="1" applyFont="1" applyFill="1" applyBorder="1"/>
    <x:xf numFmtId="0" fontId="10" fillId="0" borderId="6" xfId="0" applyNumberFormat="1" applyFont="1" applyFill="1" applyBorder="1" applyAlignment="1">
      <x:alignment wrapText="1"/>
    </x:xf>
    <x:xf numFmtId="0" fontId="17" fillId="4" borderId="8" xfId="0" applyNumberFormat="1" applyFont="1" applyFill="1" applyBorder="1" applyAlignment="1">
      <x:alignment horizontal="center"/>
    </x:xf>
    <x:xf numFmtId="200" fontId="10" fillId="0" borderId="8" xfId="0" applyNumberFormat="1" applyFont="1" applyFill="1" applyBorder="1"/>
    <x:xf numFmtId="0" fontId="10" fillId="0" borderId="9" xfId="0" applyNumberFormat="1" applyFont="1" applyFill="1" applyBorder="1" applyAlignment="1">
      <x:alignment wrapText="1"/>
    </x:xf>
    <x:xf numFmtId="200" fontId="10" fillId="0" borderId="4" xfId="0" applyNumberFormat="1" applyFont="1" applyFill="1" applyBorder="1"/>
    <x:xf numFmtId="200" fontId="10" fillId="0" borderId="7" xfId="0" applyNumberFormat="1" applyFont="1" applyFill="1" applyBorder="1"/>
  </x:cellXfs>
  <x:cellStyles count="1">
    <x:cellStyle name="Normal" xfId="0"/>
  </x:cellStyles>
  <x:dxfs count="3">
    <x:dxf>
      <x:font>
        <x:b/>
        <x:color rgb="FF166534"/>
      </x:font>
      <x:fill>
        <x:patternFill patternType="solid">
          <x:bgColor rgb="FFDCFCE7"/>
        </x:patternFill>
      </x:fill>
    </x:dxf>
    <x:dxf>
      <x:font>
        <x:b/>
        <x:color rgb="FF92400E"/>
      </x:font>
      <x:fill>
        <x:patternFill patternType="solid">
          <x:bgColor rgb="FFFFF1CC"/>
        </x:patternFill>
      </x:fill>
    </x:dxf>
    <x:dxf>
      <x:font>
        <x:b/>
        <x:color rgb="FF991B1B"/>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7c264c9f584873" /><Relationship Type="http://schemas.openxmlformats.org/officeDocument/2006/relationships/theme" Target="/xl/theme/theme1.xml" Id="R9e58dd5713fb4df2" /><Relationship Type="http://schemas.openxmlformats.org/officeDocument/2006/relationships/sharedStrings" Target="/xl/sharedStrings.xml" Id="Rd822477d33354f05" /><Relationship Type="http://schemas.openxmlformats.org/officeDocument/2006/relationships/worksheet" Target="/xl/worksheets/sheet1.xml" Id="Rbae4e72191154e7d" /><Relationship Type="http://schemas.openxmlformats.org/officeDocument/2006/relationships/worksheet" Target="/xl/worksheets/sheet2.xml" Id="R4463406bd3df419b" /><Relationship Type="http://schemas.openxmlformats.org/officeDocument/2006/relationships/worksheet" Target="/xl/worksheets/sheet3.xml" Id="R6f5adce6e17048fd" /><Relationship Type="http://schemas.openxmlformats.org/officeDocument/2006/relationships/worksheet" Target="/xl/worksheets/sheet4.xml" Id="R332778a46fc246ae" /><Relationship Type="http://schemas.openxmlformats.org/officeDocument/2006/relationships/worksheet" Target="/xl/worksheets/sheet5.xml" Id="R310efe0ad7954234" /><Relationship Type="http://schemas.openxmlformats.org/officeDocument/2006/relationships/worksheet" Target="/xl/worksheets/sheet6.xml" Id="R715436b0c1604601" /><Relationship Type="http://schemas.openxmlformats.org/officeDocument/2006/relationships/worksheet" Target="/xl/worksheets/sheet7.xml" Id="R0f37255f3fcc428f" /><Relationship Type="http://schemas.openxmlformats.org/officeDocument/2006/relationships/worksheet" Target="/xl/worksheets/sheet8.xml" Id="Rb537e281c1f043bf" /><Relationship Type="http://schemas.openxmlformats.org/officeDocument/2006/relationships/worksheet" Target="/xl/worksheets/sheet9.xml" Id="Ra7745fc16137401b" /></Relationships>
</file>

<file path=xl/drawings/_rels/drawing1.xml.rels>&#65279;<?xml version="1.0" encoding="utf-8"?><Relationships xmlns="http://schemas.openxmlformats.org/package/2006/relationships"><Relationship Type="http://schemas.openxmlformats.org/officeDocument/2006/relationships/chart" Target="/xl/drawings/charts/chart1.xml" Id="Rf3a1af4c2a56451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Outbound Progress vs Weekly Goal</a:t>
            </a:r>
          </a:p>
        </c:rich>
      </c:tx>
      <c:overlay val="0"/>
    </c:title>
    <c:autoTitleDeleted val="0"/>
    <c:plotArea>
      <c:layout/>
      <c:barChart>
        <c:barDir val="col"/>
        <c:varyColors val="0"/>
        <c:ser>
          <c:idx val="0"/>
          <c:order val="0"/>
          <c:tx>
            <c:v>Count</c:v>
          </c:tx>
          <c:cat>
            <c:strRef>
              <c:f>'Command Center'!$L$5:$L$10</c:f>
              <c:strCache>
                <c:ptCount val="0"/>
              </c:strCache>
            </c:strRef>
          </c:cat>
          <c:val>
            <c:numRef>
              <c:f>'Command Center'!$M$5:$M$10</c:f>
              <c:numCache>
                <c:formatCode>0</c:formatCode>
                <c:ptCount val="0"/>
              </c:numCache>
            </c:numRef>
          </c:val>
        </c:ser>
        <c:ser>
          <c:idx val="1"/>
          <c:order val="1"/>
          <c:tx>
            <c:v>Goal</c:v>
          </c:tx>
          <c:cat>
            <c:strRef>
              <c:f>'Command Center'!$L$5:$L$10</c:f>
              <c:strCache>
                <c:ptCount val="0"/>
              </c:strCache>
            </c:strRef>
          </c:cat>
          <c:val>
            <c:numRef>
              <c:f>'Command Center'!$N$5:$N$10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0</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a1af4c2a564512"/>
        </a:graphicData>
      </a:graphic>
    </xdr:graphicFrame>
    <xdr:clientData/>
  </xdr:twoCellAnchor>
</xdr:wsDr>
</file>

<file path=xl/tables/table1.xml><?xml version="1.0" encoding="utf-8"?>
<x:table xmlns:x="http://schemas.openxmlformats.org/spreadsheetml/2006/main" id="1" name="OutboundTargetsTable" displayName="OutboundTargetsTable" ref="A4:T104" headerRowCount="1">
  <x:tableColumns count="20">
    <x:tableColumn id="1" name="Company"/>
    <x:tableColumn id="2" name="Website"/>
    <x:tableColumn id="3" name="Form URL"/>
    <x:tableColumn id="4" name="Buyer Name"/>
    <x:tableColumn id="5" name="Buyer Role"/>
    <x:tableColumn id="6" name="LinkedIn URL"/>
    <x:tableColumn id="7" name="Segment"/>
    <x:tableColumn id="8" name="Company Size"/>
    <x:tableColumn id="9" name="Deal Value Guess"/>
    <x:tableColumn id="10" name="CRM Guess"/>
    <x:tableColumn id="11" name="Weak Form Observation"/>
    <x:tableColumn id="12" name="Sales Research Hypothesis"/>
    <x:tableColumn id="13" name="Reason Now"/>
    <x:tableColumn id="14" name="Fit Score"/>
    <x:tableColumn id="15" name="Teardown Priority"/>
    <x:tableColumn id="16" name="Outreach Status"/>
    <x:tableColumn id="17" name="Teardown Status"/>
    <x:tableColumn id="18" name="Next Action"/>
    <x:tableColumn id="19" name="Next Action Date"/>
    <x:tableColumn id="20" name="Notes"/>
  </x:tableColumns>
  <x:tableStyleInfo name="TableStyleMedium2" showRowStripes="1"/>
</x:table>
</file>

<file path=xl/tables/table2.xml><?xml version="1.0" encoding="utf-8"?>
<x:table xmlns:x="http://schemas.openxmlformats.org/spreadsheetml/2006/main" id="2" name="DailyQueueTable" displayName="DailyQueueTable" ref="A4:T34" headerRowCount="1">
  <x:tableColumns count="20">
    <x:tableColumn id="1" name="Rank"/>
    <x:tableColumn id="2" name="Lead ID"/>
    <x:tableColumn id="3" name="Company"/>
    <x:tableColumn id="4" name="Buyer Name"/>
    <x:tableColumn id="5" name="Buyer Role"/>
    <x:tableColumn id="6" name="Website"/>
    <x:tableColumn id="7" name="Form URL"/>
    <x:tableColumn id="8" name="Segment"/>
    <x:tableColumn id="9" name="Fit"/>
    <x:tableColumn id="10" name="Score"/>
    <x:tableColumn id="11" name="Channel"/>
    <x:tableColumn id="12" name="LinkedIn Connect"/>
    <x:tableColumn id="13" name="LinkedIn DM"/>
    <x:tableColumn id="14" name="Email Subject"/>
    <x:tableColumn id="15" name="Email Body"/>
    <x:tableColumn id="16" name="Follow-Up 1"/>
    <x:tableColumn id="17" name="Follow-Up 2"/>
    <x:tableColumn id="18" name="Follow-Up 3"/>
    <x:tableColumn id="19" name="Call Opener"/>
    <x:tableColumn id="20" name="Reason"/>
  </x:tableColumns>
  <x:tableStyleInfo name="TableStyleMedium2" showRowStripes="1"/>
</x:table>
</file>

<file path=xl/tables/table3.xml><?xml version="1.0" encoding="utf-8"?>
<x:table xmlns:x="http://schemas.openxmlformats.org/spreadsheetml/2006/main" id="3" name="OutcomeTrackerTable" displayName="OutcomeTrackerTable" ref="A4:V104" headerRowCount="1">
  <x:tableColumns count="22">
    <x:tableColumn id="1" name="Date Created"/>
    <x:tableColumn id="2" name="Date Sent"/>
    <x:tableColumn id="3" name="Lead ID"/>
    <x:tableColumn id="4" name="Company"/>
    <x:tableColumn id="5" name="Buyer Name"/>
    <x:tableColumn id="6" name="Buyer Role"/>
    <x:tableColumn id="7" name="Website"/>
    <x:tableColumn id="8" name="Form URL"/>
    <x:tableColumn id="9" name="Segment"/>
    <x:tableColumn id="10" name="Channel"/>
    <x:tableColumn id="11" name="Opener Variant"/>
    <x:tableColumn id="12" name="Sent"/>
    <x:tableColumn id="13" name="Sent Count"/>
    <x:tableColumn id="14" name="Replied"/>
    <x:tableColumn id="15" name="Reply Sentiment"/>
    <x:tableColumn id="16" name="Objection Tag"/>
    <x:tableColumn id="17" name="Meeting?"/>
    <x:tableColumn id="18" name="Teardown Requested"/>
    <x:tableColumn id="19" name="Teardown Sent"/>
    <x:tableColumn id="20" name="Install Call Booked"/>
    <x:tableColumn id="21" name="Next Action"/>
    <x:tableColumn id="22" name="Notes"/>
  </x:tableColumns>
  <x:tableStyleInfo name="TableStyleMedium2" showRowStripes="1"/>
</x:table>
</file>

<file path=xl/tables/table4.xml><?xml version="1.0" encoding="utf-8"?>
<x:table xmlns:x="http://schemas.openxmlformats.org/spreadsheetml/2006/main" id="4" name="ThirtyDayPlanTable" displayName="ThirtyDayPlanTable" ref="A4:H34" headerRowCount="1">
  <x:tableColumns count="8">
    <x:tableColumn id="1" name="Day"/>
    <x:tableColumn id="2" name="Theme"/>
    <x:tableColumn id="3" name="Main Job"/>
    <x:tableColumn id="4" name="Required Output"/>
    <x:tableColumn id="5" name="Targets"/>
    <x:tableColumn id="6" name="Sends"/>
    <x:tableColumn id="7" name="Follow-Ups"/>
    <x:tableColumn id="8" name="Notes"/>
  </x:tableColumns>
  <x:tableStyleInfo name="TableStyleMedium2" showRowStripes="1"/>
</x:table>
</file>

<file path=xl/tables/table5.xml><?xml version="1.0" encoding="utf-8"?>
<x:table xmlns:x="http://schemas.openxmlformats.org/spreadsheetml/2006/main" id="5" name="SequencesTable" displayName="SequencesTable" ref="A4:F18" headerRowCount="1">
  <x:tableColumns count="6">
    <x:tableColumn id="1" name="Sequence"/>
    <x:tableColumn id="2" name="Touch"/>
    <x:tableColumn id="3" name="Channel"/>
    <x:tableColumn id="4" name="Copy"/>
    <x:tableColumn id="5" name="When To Use"/>
    <x:tableColumn id="6" name="CTA"/>
  </x:tableColumns>
  <x:tableStyleInfo name="TableStyleMedium2" showRowStripes="1"/>
</x:table>
</file>

<file path=xl/tables/table6.xml><?xml version="1.0" encoding="utf-8"?>
<x:table xmlns:x="http://schemas.openxmlformats.org/spreadsheetml/2006/main" id="6" name="ReplyRouterTable" displayName="ReplyRouterTable" ref="A4:F12" headerRowCount="1">
  <x:tableColumns count="6">
    <x:tableColumn id="1" name="Reply Type"/>
    <x:tableColumn id="2" name="Signal"/>
    <x:tableColumn id="3" name="Response"/>
    <x:tableColumn id="4" name="Next Action"/>
    <x:tableColumn id="5" name="Status To Log"/>
    <x:tableColumn id="6" name="Notes"/>
  </x:tableColumns>
  <x:tableStyleInfo name="TableStyleMedium2" showRowStripes="1"/>
</x:table>
</file>

<file path=xl/tables/table7.xml><?xml version="1.0" encoding="utf-8"?>
<x:table xmlns:x="http://schemas.openxmlformats.org/spreadsheetml/2006/main" id="7" name="WeeklyReviewTable" displayName="WeeklyReviewTable" ref="A4:H18" headerRowCount="1">
  <x:tableColumns count="8">
    <x:tableColumn id="1" name="Area"/>
    <x:tableColumn id="2" name="Question"/>
    <x:tableColumn id="3" name="Owner"/>
    <x:tableColumn id="4" name="Metric"/>
    <x:tableColumn id="5" name="Status"/>
    <x:tableColumn id="6" name="Decision"/>
    <x:tableColumn id="7" name="Due Date"/>
    <x:tableColumn id="8" name="Notes"/>
  </x:tableColumns>
  <x:tableStyleInfo name="TableStyleMedium2" showRowStripes="1"/>
</x:table>
</file>

<file path=xl/tables/table8.xml><?xml version="1.0" encoding="utf-8"?>
<x:table xmlns:x="http://schemas.openxmlformats.org/spreadsheetml/2006/main" id="8" name="AutomationCommandsTable" displayName="AutomationCommandsTable" ref="A4:F11" headerRowCount="1">
  <x:tableColumns count="6">
    <x:tableColumn id="1" name="Task"/>
    <x:tableColumn id="2" name="Command"/>
    <x:tableColumn id="3" name="Output"/>
    <x:tableColumn id="4" name="When"/>
    <x:tableColumn id="5" name="Owner"/>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211dfddfd04423e" /></Relationships>
</file>

<file path=xl/worksheets/_rels/sheet2.xml.rels>&#65279;<?xml version="1.0" encoding="utf-8"?><Relationships xmlns="http://schemas.openxmlformats.org/package/2006/relationships"><Relationship Type="http://schemas.openxmlformats.org/officeDocument/2006/relationships/table" Target="/xl/tables/table1.xml" Id="R977b6d25705d4d09" /></Relationships>
</file>

<file path=xl/worksheets/_rels/sheet3.xml.rels>&#65279;<?xml version="1.0" encoding="utf-8"?><Relationships xmlns="http://schemas.openxmlformats.org/package/2006/relationships"><Relationship Type="http://schemas.openxmlformats.org/officeDocument/2006/relationships/table" Target="/xl/tables/table2.xml" Id="R0c10d848a2e04260" /></Relationships>
</file>

<file path=xl/worksheets/_rels/sheet4.xml.rels>&#65279;<?xml version="1.0" encoding="utf-8"?><Relationships xmlns="http://schemas.openxmlformats.org/package/2006/relationships"><Relationship Type="http://schemas.openxmlformats.org/officeDocument/2006/relationships/table" Target="/xl/tables/table3.xml" Id="Rff19c7524d094976" /></Relationships>
</file>

<file path=xl/worksheets/_rels/sheet5.xml.rels>&#65279;<?xml version="1.0" encoding="utf-8"?><Relationships xmlns="http://schemas.openxmlformats.org/package/2006/relationships"><Relationship Type="http://schemas.openxmlformats.org/officeDocument/2006/relationships/table" Target="/xl/tables/table4.xml" Id="Ra4191c46140543f2" /></Relationships>
</file>

<file path=xl/worksheets/_rels/sheet6.xml.rels>&#65279;<?xml version="1.0" encoding="utf-8"?><Relationships xmlns="http://schemas.openxmlformats.org/package/2006/relationships"><Relationship Type="http://schemas.openxmlformats.org/officeDocument/2006/relationships/table" Target="/xl/tables/table5.xml" Id="R7af905ad5a534331" /></Relationships>
</file>

<file path=xl/worksheets/_rels/sheet7.xml.rels>&#65279;<?xml version="1.0" encoding="utf-8"?><Relationships xmlns="http://schemas.openxmlformats.org/package/2006/relationships"><Relationship Type="http://schemas.openxmlformats.org/officeDocument/2006/relationships/table" Target="/xl/tables/table6.xml" Id="Rc18283b387d24cda" /></Relationships>
</file>

<file path=xl/worksheets/_rels/sheet8.xml.rels>&#65279;<?xml version="1.0" encoding="utf-8"?><Relationships xmlns="http://schemas.openxmlformats.org/package/2006/relationships"><Relationship Type="http://schemas.openxmlformats.org/officeDocument/2006/relationships/table" Target="/xl/tables/table7.xml" Id="Rb009719a01e74812" /></Relationships>
</file>

<file path=xl/worksheets/_rels/sheet9.xml.rels>&#65279;<?xml version="1.0" encoding="utf-8"?><Relationships xmlns="http://schemas.openxmlformats.org/package/2006/relationships"><Relationship Type="http://schemas.openxmlformats.org/officeDocument/2006/relationships/table" Target="/xl/tables/table8.xml" Id="Reb256626efc14ae1"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4.4399995803833" hidden="0" customWidth="1"/>
    <x:col min="8" max="8" width="15.5600004196167" hidden="0" customWidth="1"/>
    <x:col min="9" max="9" width="16.110000610351562" hidden="0" customWidth="1"/>
    <x:col min="10" max="10" width="24.440000534057617" hidden="0" customWidth="1"/>
    <x:col min="11" max="11" width="3.890000104904175" hidden="0" customWidth="1"/>
    <x:col min="12" max="12" width="16.110000610351562" hidden="0" customWidth="1"/>
    <x:col min="13" max="13" width="15" hidden="0" customWidth="1"/>
    <x:col min="14" max="14" width="15" hidden="0" customWidth="1"/>
  </x:cols>
  <x:sheetData>
    <x:row r="1" ht="24" customHeight="1">
      <x:c r="A1" s="68" t="str">
        <x:v>Deal Threads Outbound Command Center
Daily goal: send useful teardown offers, produce proof, and log outcomes.</x:v>
      </x:c>
      <x:c r="B1" s="68" t="str">
        <x:v>Deal Threads Outbound Command Center
Daily goal: send useful teardown offers, produce proof, and log outcomes.</x:v>
      </x:c>
      <x:c r="C1" s="68" t="str">
        <x:v>Deal Threads Outbound Command Center
Daily goal: send useful teardown offers, produce proof, and log outcomes.</x:v>
      </x:c>
      <x:c r="D1" s="68" t="str">
        <x:v>Deal Threads Outbound Command Center
Daily goal: send useful teardown offers, produce proof, and log outcomes.</x:v>
      </x:c>
      <x:c r="E1" s="68" t="str">
        <x:v>Deal Threads Outbound Command Center
Daily goal: send useful teardown offers, produce proof, and log outcomes.</x:v>
      </x:c>
      <x:c r="F1" s="68" t="str">
        <x:v>Deal Threads Outbound Command Center
Daily goal: send useful teardown offers, produce proof, and log outcomes.</x:v>
      </x:c>
      <x:c r="G1" s="68" t="str">
        <x:v>Deal Threads Outbound Command Center
Daily goal: send useful teardown offers, produce proof, and log outcomes.</x:v>
      </x:c>
      <x:c r="H1" s="68" t="str">
        <x:v>Deal Threads Outbound Command Center
Daily goal: send useful teardown offers, produce proof, and log outcomes.</x:v>
      </x:c>
      <x:c r="I1" s="68" t="str">
        <x:v>Deal Threads Outbound Command Center
Daily goal: send useful teardown offers, produce proof, and log outcomes.</x:v>
      </x:c>
      <x:c r="J1" s="68" t="str">
        <x:v>Deal Threads Outbound Command Center
Daily goal: send useful teardown offers, produce proof, and log outcomes.</x:v>
      </x:c>
      <x:c r="K1" s="69"/>
      <x:c r="L1" s="69"/>
      <x:c r="M1" s="69"/>
      <x:c r="N1" s="69"/>
    </x:row>
    <x:row r="2" ht="24" customHeight="1">
      <x:c r="A2" s="68" t="str">
        <x:v>Deal Threads Outbound Command Center
Daily goal: send useful teardown offers, produce proof, and log outcomes.</x:v>
      </x:c>
      <x:c r="B2" s="68" t="str">
        <x:v>Deal Threads Outbound Command Center
Daily goal: send useful teardown offers, produce proof, and log outcomes.</x:v>
      </x:c>
      <x:c r="C2" s="68" t="str">
        <x:v>Deal Threads Outbound Command Center
Daily goal: send useful teardown offers, produce proof, and log outcomes.</x:v>
      </x:c>
      <x:c r="D2" s="68" t="str">
        <x:v>Deal Threads Outbound Command Center
Daily goal: send useful teardown offers, produce proof, and log outcomes.</x:v>
      </x:c>
      <x:c r="E2" s="68" t="str">
        <x:v>Deal Threads Outbound Command Center
Daily goal: send useful teardown offers, produce proof, and log outcomes.</x:v>
      </x:c>
      <x:c r="F2" s="68" t="str">
        <x:v>Deal Threads Outbound Command Center
Daily goal: send useful teardown offers, produce proof, and log outcomes.</x:v>
      </x:c>
      <x:c r="G2" s="68" t="str">
        <x:v>Deal Threads Outbound Command Center
Daily goal: send useful teardown offers, produce proof, and log outcomes.</x:v>
      </x:c>
      <x:c r="H2" s="68" t="str">
        <x:v>Deal Threads Outbound Command Center
Daily goal: send useful teardown offers, produce proof, and log outcomes.</x:v>
      </x:c>
      <x:c r="I2" s="68" t="str">
        <x:v>Deal Threads Outbound Command Center
Daily goal: send useful teardown offers, produce proof, and log outcomes.</x:v>
      </x:c>
      <x:c r="J2" s="68" t="str">
        <x:v>Deal Threads Outbound Command Center
Daily goal: send useful teardown offers, produce proof, and log outcomes.</x:v>
      </x:c>
      <x:c r="K2" s="69"/>
      <x:c r="L2" s="69"/>
      <x:c r="M2" s="69"/>
      <x:c r="N2" s="69"/>
    </x:row>
    <x:row r="3">
      <x:c r="A3" s="69"/>
      <x:c r="B3" s="69"/>
      <x:c r="C3" s="69"/>
      <x:c r="D3" s="69"/>
      <x:c r="E3" s="69"/>
      <x:c r="F3" s="69"/>
      <x:c r="G3" s="69"/>
      <x:c r="H3" s="69"/>
      <x:c r="I3" s="69"/>
      <x:c r="J3" s="69"/>
      <x:c r="K3" s="69"/>
      <x:c r="L3" s="69"/>
      <x:c r="M3" s="69"/>
      <x:c r="N3" s="69"/>
    </x:row>
    <x:row r="4">
      <x:c r="A4" s="70" t="str">
        <x:v>Daily Scoreboard</x:v>
      </x:c>
      <x:c r="B4" s="70" t="str">
        <x:v>Daily Scoreboard</x:v>
      </x:c>
      <x:c r="C4" s="70" t="str">
        <x:v>Daily Scoreboard</x:v>
      </x:c>
      <x:c r="D4" s="70" t="str">
        <x:v>Daily Scoreboard</x:v>
      </x:c>
      <x:c r="E4" s="70" t="str">
        <x:v>Daily Scoreboard</x:v>
      </x:c>
      <x:c r="F4" s="70" t="str">
        <x:v>Daily Scoreboard</x:v>
      </x:c>
      <x:c r="G4" s="70" t="str">
        <x:v>Daily Scoreboard</x:v>
      </x:c>
      <x:c r="H4" s="70" t="str">
        <x:v>Daily Scoreboard</x:v>
      </x:c>
      <x:c r="I4" s="70" t="str">
        <x:v>Daily Scoreboard</x:v>
      </x:c>
      <x:c r="J4" s="70" t="str">
        <x:v>Daily Scoreboard</x:v>
      </x:c>
      <x:c r="K4" s="69"/>
      <x:c r="L4" s="71" t="str">
        <x:v>Stage</x:v>
      </x:c>
      <x:c r="M4" s="71" t="str">
        <x:v>Count</x:v>
      </x:c>
      <x:c r="N4" s="71" t="str">
        <x:v>Goal</x:v>
      </x:c>
    </x:row>
    <x:row r="5">
      <x:c r="A5" s="72" t="str">
        <x:v>Targets Logged</x:v>
      </x:c>
      <x:c r="B5" s="72" t="str">
        <x:v>High-Fit Targets</x:v>
      </x:c>
      <x:c r="C5" s="72" t="str">
        <x:v>Today's Queue</x:v>
      </x:c>
      <x:c r="D5" s="72" t="str">
        <x:v>Sends Logged</x:v>
      </x:c>
      <x:c r="E5" s="72" t="str">
        <x:v>Replies</x:v>
      </x:c>
      <x:c r="F5" s="72" t="str">
        <x:v>Reply Rate</x:v>
      </x:c>
      <x:c r="G5" s="72" t="str">
        <x:v>Teardown Yeses</x:v>
      </x:c>
      <x:c r="H5" s="72" t="str">
        <x:v>Teardowns Sent</x:v>
      </x:c>
      <x:c r="I5" s="72" t="str">
        <x:v>Install Calls</x:v>
      </x:c>
      <x:c r="J5" s="72" t="str">
        <x:v>Next Bottleneck</x:v>
      </x:c>
      <x:c r="K5" s="69"/>
      <x:c r="L5" s="71" t="str">
        <x:f>"Targets"</x:f>
        <x:v>Targets</x:v>
      </x:c>
      <x:c r="M5" s="71" t="n">
        <x:f>A6</x:f>
        <x:v>25</x:v>
      </x:c>
      <x:c r="N5" s="71" t="n">
        <x:f>50</x:f>
        <x:v>50</x:v>
      </x:c>
    </x:row>
    <x:row r="6">
      <x:c r="A6" s="73" t="n">
        <x:v>25</x:v>
      </x:c>
      <x:c r="B6" s="73" t="n">
        <x:v>25</x:v>
      </x:c>
      <x:c r="C6" s="73" t="n">
        <x:v>10</x:v>
      </x:c>
      <x:c r="D6" s="73" t="n">
        <x:v>0</x:v>
      </x:c>
      <x:c r="E6" s="73" t="n">
        <x:v>0</x:v>
      </x:c>
      <x:c r="F6" s="74" t="n">
        <x:v>0</x:v>
      </x:c>
      <x:c r="G6" s="73" t="n">
        <x:v>0</x:v>
      </x:c>
      <x:c r="H6" s="73" t="n">
        <x:v>0</x:v>
      </x:c>
      <x:c r="I6" s="73" t="n">
        <x:v>0</x:v>
      </x:c>
      <x:c r="J6" s="75" t="str">
        <x:v>Send first touches</x:v>
      </x:c>
      <x:c r="K6" s="69"/>
      <x:c r="L6" s="71" t="str">
        <x:f>"High-Fit"</x:f>
        <x:v>High-Fit</x:v>
      </x:c>
      <x:c r="M6" s="71" t="n">
        <x:f>B6</x:f>
        <x:v>25</x:v>
      </x:c>
      <x:c r="N6" s="71" t="n">
        <x:f>20</x:f>
        <x:v>20</x:v>
      </x:c>
    </x:row>
    <x:row r="7">
      <x:c r="A7" s="69"/>
      <x:c r="B7" s="69"/>
      <x:c r="C7" s="69"/>
      <x:c r="D7" s="69"/>
      <x:c r="E7" s="69"/>
      <x:c r="F7" s="69"/>
      <x:c r="G7" s="69"/>
      <x:c r="H7" s="69"/>
      <x:c r="I7" s="69"/>
      <x:c r="J7" s="69"/>
      <x:c r="K7" s="69"/>
      <x:c r="L7" s="71" t="str">
        <x:f>"Sends"</x:f>
        <x:v>Sends</x:v>
      </x:c>
      <x:c r="M7" s="71" t="n">
        <x:f>D6</x:f>
        <x:v>0</x:v>
      </x:c>
      <x:c r="N7" s="71" t="n">
        <x:f>50</x:f>
        <x:v>50</x:v>
      </x:c>
    </x:row>
    <x:row r="8">
      <x:c r="A8" s="69"/>
      <x:c r="B8" s="69"/>
      <x:c r="C8" s="69"/>
      <x:c r="D8" s="69"/>
      <x:c r="E8" s="69"/>
      <x:c r="F8" s="69"/>
      <x:c r="G8" s="69"/>
      <x:c r="H8" s="69"/>
      <x:c r="I8" s="69"/>
      <x:c r="J8" s="69"/>
      <x:c r="K8" s="69"/>
      <x:c r="L8" s="71" t="str">
        <x:f>"Replies"</x:f>
        <x:v>Replies</x:v>
      </x:c>
      <x:c r="M8" s="71" t="n">
        <x:f>E6</x:f>
        <x:v>0</x:v>
      </x:c>
      <x:c r="N8" s="71" t="n">
        <x:f>5</x:f>
        <x:v>5</x:v>
      </x:c>
    </x:row>
    <x:row r="9">
      <x:c r="A9" s="70" t="str">
        <x:v>Today</x:v>
      </x:c>
      <x:c r="B9" s="70" t="str">
        <x:v>Today</x:v>
      </x:c>
      <x:c r="C9" s="70" t="str">
        <x:v>Today</x:v>
      </x:c>
      <x:c r="D9" s="70" t="str">
        <x:v>Today</x:v>
      </x:c>
      <x:c r="E9" s="70" t="str">
        <x:v>Today</x:v>
      </x:c>
      <x:c r="F9" s="69"/>
      <x:c r="G9" s="70" t="str">
        <x:v>Current Decision</x:v>
      </x:c>
      <x:c r="H9" s="70" t="str">
        <x:v>Current Decision</x:v>
      </x:c>
      <x:c r="I9" s="70" t="str">
        <x:v>Current Decision</x:v>
      </x:c>
      <x:c r="J9" s="70" t="str">
        <x:v>Current Decision</x:v>
      </x:c>
      <x:c r="K9" s="69"/>
      <x:c r="L9" s="71" t="str">
        <x:f>"Teardowns"</x:f>
        <x:v>Teardowns</x:v>
      </x:c>
      <x:c r="M9" s="71" t="n">
        <x:f>H6</x:f>
        <x:v>0</x:v>
      </x:c>
      <x:c r="N9" s="71" t="n">
        <x:f>5</x:f>
        <x:v>5</x:v>
      </x:c>
    </x:row>
    <x:row r="10">
      <x:c r="A10" s="76" t="str">
        <x:v>Block</x:v>
      </x:c>
      <x:c r="B10" s="77" t="str">
        <x:v>Time</x:v>
      </x:c>
      <x:c r="C10" s="77" t="str">
        <x:v>Task</x:v>
      </x:c>
      <x:c r="D10" s="77" t="str">
        <x:v>Target</x:v>
      </x:c>
      <x:c r="E10" s="78" t="str">
        <x:v>Status</x:v>
      </x:c>
      <x:c r="F10" s="69"/>
      <x:c r="G10" s="76" t="str">
        <x:v>Question</x:v>
      </x:c>
      <x:c r="H10" s="77" t="str">
        <x:v>Answer</x:v>
      </x:c>
      <x:c r="I10" s="77" t="str"/>
      <x:c r="J10" s="78" t="str"/>
      <x:c r="K10" s="69"/>
      <x:c r="L10" s="71" t="str">
        <x:f>"Install Calls"</x:f>
        <x:v>Install Calls</x:v>
      </x:c>
      <x:c r="M10" s="71" t="n">
        <x:f>I6</x:f>
        <x:v>0</x:v>
      </x:c>
      <x:c r="N10" s="71" t="n">
        <x:f>2</x:f>
        <x:v>2</x:v>
      </x:c>
    </x:row>
    <x:row r="11">
      <x:c r="A11" s="79" t="str">
        <x:v>Queue</x:v>
      </x:c>
      <x:c r="B11" s="80" t="str">
        <x:v>15 min</x:v>
      </x:c>
      <x:c r="C11" s="81" t="str">
        <x:v>Add/review targets and run send board.</x:v>
      </x:c>
      <x:c r="D11" s="80" t="n">
        <x:v>10</x:v>
      </x:c>
      <x:c r="E11" s="82" t="str">
        <x:f>IF(A6&gt;=10,"Green",IF(A6&gt;=5,"Yellow","Red"))</x:f>
        <x:v>Green</x:v>
      </x:c>
      <x:c r="F11" s="69"/>
      <x:c r="G11" s="83" t="str">
        <x:v>What is the one bottleneck?</x:v>
      </x:c>
      <x:c r="H11" s="84" t="str"/>
      <x:c r="I11" s="84" t="str"/>
      <x:c r="J11" s="85" t="str"/>
      <x:c r="K11" s="69"/>
      <x:c r="L11" s="69"/>
      <x:c r="M11" s="69"/>
      <x:c r="N11" s="69"/>
    </x:row>
    <x:row r="12">
      <x:c r="A12" s="79" t="str">
        <x:v>First touches</x:v>
      </x:c>
      <x:c r="B12" s="80" t="str">
        <x:v>25 min</x:v>
      </x:c>
      <x:c r="C12" s="81" t="str">
        <x:v>Send generated LinkedIn/email copy manually.</x:v>
      </x:c>
      <x:c r="D12" s="80" t="n">
        <x:v>10</x:v>
      </x:c>
      <x:c r="E12" s="82" t="str">
        <x:f>IF(D6&gt;=10,"Green",IF(D6&gt;=5,"Yellow","Red"))</x:f>
        <x:v>Red</x:v>
      </x:c>
      <x:c r="F12" s="69"/>
      <x:c r="G12" s="83" t="str">
        <x:v>Which segment gets more targets?</x:v>
      </x:c>
      <x:c r="H12" s="84" t="str"/>
      <x:c r="I12" s="84" t="str"/>
      <x:c r="J12" s="85" t="str"/>
      <x:c r="K12" s="69"/>
      <x:c r="L12" s="69"/>
      <x:c r="M12" s="69"/>
      <x:c r="N12" s="69"/>
    </x:row>
    <x:row r="13">
      <x:c r="A13" s="79" t="str">
        <x:v>Follow-ups</x:v>
      </x:c>
      <x:c r="B13" s="80" t="str">
        <x:v>20 min</x:v>
      </x:c>
      <x:c r="C13" s="81" t="str">
        <x:v>Send due follow-ups and reply to engaged prospects.</x:v>
      </x:c>
      <x:c r="D13" s="80" t="n">
        <x:v>10</x:v>
      </x:c>
      <x:c r="E13" s="82" t="str">
        <x:f>IF(D6&gt;=20,"Green",IF(D6&gt;=10,"Yellow","Red"))</x:f>
        <x:v>Red</x:v>
      </x:c>
      <x:c r="F13" s="69"/>
      <x:c r="G13" s="83" t="str">
        <x:v>Which opener is working?</x:v>
      </x:c>
      <x:c r="H13" s="84" t="str"/>
      <x:c r="I13" s="84" t="str"/>
      <x:c r="J13" s="85" t="str"/>
      <x:c r="K13" s="69"/>
      <x:c r="L13" s="69"/>
      <x:c r="M13" s="69"/>
      <x:c r="N13" s="69"/>
    </x:row>
    <x:row r="14">
      <x:c r="A14" s="79" t="str">
        <x:v>Proof</x:v>
      </x:c>
      <x:c r="B14" s="80" t="str">
        <x:v>25 min</x:v>
      </x:c>
      <x:c r="C14" s="81" t="str">
        <x:v>Build/deliver one teardown or project-profile preview.</x:v>
      </x:c>
      <x:c r="D14" s="80" t="n">
        <x:v>1</x:v>
      </x:c>
      <x:c r="E14" s="82" t="str">
        <x:f>IF(H6&gt;=1,"Green",IF(G6&gt;=1,"Yellow","Red"))</x:f>
        <x:v>Red</x:v>
      </x:c>
      <x:c r="F14" s="69"/>
      <x:c r="G14" s="83" t="str">
        <x:v>Which objection repeats?</x:v>
      </x:c>
      <x:c r="H14" s="84" t="str"/>
      <x:c r="I14" s="84" t="str"/>
      <x:c r="J14" s="85" t="str"/>
      <x:c r="K14" s="69"/>
      <x:c r="L14" s="69"/>
      <x:c r="M14" s="69"/>
      <x:c r="N14" s="69"/>
    </x:row>
    <x:row r="15">
      <x:c r="A15" s="79" t="str">
        <x:v>Logging</x:v>
      </x:c>
      <x:c r="B15" s="80" t="str">
        <x:v>5 min</x:v>
      </x:c>
      <x:c r="C15" s="81" t="str">
        <x:v>Log every send/reply/teardown/install action.</x:v>
      </x:c>
      <x:c r="D15" s="80" t="str">
        <x:v>All</x:v>
      </x:c>
      <x:c r="E15" s="82" t="str">
        <x:f>IF(D6&gt;=1,"Green","Red")</x:f>
        <x:v>Red</x:v>
      </x:c>
      <x:c r="F15" s="69"/>
      <x:c r="G15" s="83" t="str">
        <x:v>Which proof asset is missing?</x:v>
      </x:c>
      <x:c r="H15" s="84" t="str"/>
      <x:c r="I15" s="84" t="str"/>
      <x:c r="J15" s="85" t="str"/>
      <x:c r="K15" s="69"/>
      <x:c r="L15" s="69"/>
      <x:c r="M15" s="69"/>
      <x:c r="N15" s="69"/>
    </x:row>
    <x:row r="16">
      <x:c r="A16" s="79" t="str">
        <x:v>Content bridge</x:v>
      </x:c>
      <x:c r="B16" s="80" t="str">
        <x:v>10 min</x:v>
      </x:c>
      <x:c r="C16" s="81" t="str">
        <x:v>Post/comment using one lesson from outbound.</x:v>
      </x:c>
      <x:c r="D16" s="80" t="n">
        <x:v>1</x:v>
      </x:c>
      <x:c r="E16" s="82" t="str">
        <x:f>IF(A6&gt;=1,"Green","Yellow")</x:f>
        <x:v>Green</x:v>
      </x:c>
      <x:c r="F16" s="69"/>
      <x:c r="G16" s="83" t="str">
        <x:v>Tomorrow's first action</x:v>
      </x:c>
      <x:c r="H16" s="84" t="str"/>
      <x:c r="I16" s="84" t="str"/>
      <x:c r="J16" s="85" t="str"/>
      <x:c r="K16" s="69"/>
      <x:c r="L16" s="69"/>
      <x:c r="M16" s="69"/>
      <x:c r="N16" s="69"/>
    </x:row>
    <x:row r="17">
      <x:c r="A17" s="86" t="str">
        <x:v>Review</x:v>
      </x:c>
      <x:c r="B17" s="87" t="str">
        <x:v>5 min</x:v>
      </x:c>
      <x:c r="C17" s="88" t="str">
        <x:v>Pick tomorrow's bottleneck.</x:v>
      </x:c>
      <x:c r="D17" s="87" t="n">
        <x:v>1</x:v>
      </x:c>
      <x:c r="E17" s="89" t="str">
        <x:f>IF(J6="Scale","Green","Yellow")</x:f>
        <x:v>Yellow</x:v>
      </x:c>
      <x:c r="F17" s="69"/>
      <x:c r="G17" s="90" t="str">
        <x:v>Stop doing</x:v>
      </x:c>
      <x:c r="H17" s="91" t="str"/>
      <x:c r="I17" s="91" t="str"/>
      <x:c r="J17" s="92" t="str"/>
      <x:c r="K17" s="69"/>
      <x:c r="L17" s="69"/>
      <x:c r="M17" s="69"/>
      <x:c r="N17" s="69"/>
    </x:row>
    <x:row r="18">
      <x:c r="A18" s="69"/>
      <x:c r="B18" s="69"/>
      <x:c r="C18" s="69"/>
      <x:c r="D18" s="69"/>
      <x:c r="E18" s="69"/>
      <x:c r="F18" s="69"/>
      <x:c r="G18" s="69"/>
      <x:c r="H18" s="69"/>
      <x:c r="I18" s="69"/>
      <x:c r="J18" s="69"/>
      <x:c r="K18" s="69"/>
      <x:c r="L18" s="69"/>
      <x:c r="M18" s="69"/>
      <x:c r="N18" s="69"/>
    </x:row>
    <x:row r="19">
      <x:c r="A19" s="69"/>
      <x:c r="B19" s="69"/>
      <x:c r="C19" s="69"/>
      <x:c r="D19" s="69"/>
      <x:c r="E19" s="69"/>
      <x:c r="F19" s="69"/>
      <x:c r="G19" s="69"/>
      <x:c r="H19" s="69"/>
      <x:c r="I19" s="69"/>
      <x:c r="J19" s="69"/>
      <x:c r="K19" s="69"/>
      <x:c r="L19" s="69"/>
      <x:c r="M19" s="69"/>
      <x:c r="N19" s="69"/>
    </x:row>
    <x:row r="20">
      <x:c r="A20" s="70" t="str">
        <x:v>Decision Rule</x:v>
      </x:c>
      <x:c r="B20" s="70" t="str">
        <x:v>Decision Rule</x:v>
      </x:c>
      <x:c r="C20" s="70" t="str">
        <x:v>Decision Rule</x:v>
      </x:c>
      <x:c r="D20" s="70" t="str">
        <x:v>Decision Rule</x:v>
      </x:c>
      <x:c r="E20" s="70" t="str">
        <x:v>Decision Rule</x:v>
      </x:c>
      <x:c r="F20" s="70" t="str">
        <x:v>Decision Rule</x:v>
      </x:c>
      <x:c r="G20" s="70" t="str">
        <x:v>Decision Rule</x:v>
      </x:c>
      <x:c r="H20" s="70" t="str">
        <x:v>Decision Rule</x:v>
      </x:c>
      <x:c r="I20" s="70" t="str">
        <x:v>Decision Rule</x:v>
      </x:c>
      <x:c r="J20" s="70" t="str">
        <x:v>Decision Rule</x:v>
      </x:c>
      <x:c r="K20" s="69"/>
      <x:c r="L20" s="69"/>
      <x:c r="M20" s="69"/>
      <x:c r="N20" s="69"/>
    </x:row>
    <x:row r="21">
      <x:c r="A21" s="93" t="str">
        <x:v>Do not add more automation until the daily loop is actually being executed. If reply rate is low, fix targeting and the first-line observation. If replies happen but teardowns do not, make the teardown offer easier. If teardowns happen but calls do not, improve proof and install risk reversal.</x:v>
      </x:c>
      <x:c r="B21" s="93" t="str"/>
      <x:c r="C21" s="93" t="str"/>
      <x:c r="D21" s="93" t="str"/>
      <x:c r="E21" s="93" t="str"/>
      <x:c r="F21" s="93" t="str"/>
      <x:c r="G21" s="93" t="str"/>
      <x:c r="H21" s="93" t="str"/>
      <x:c r="I21" s="93" t="str"/>
      <x:c r="J21" s="93" t="str"/>
      <x:c r="K21" s="69"/>
      <x:c r="L21" s="69"/>
      <x:c r="M21" s="69"/>
      <x:c r="N21" s="69"/>
    </x:row>
    <x:row r="22">
      <x:c r="A22" s="93" t="str"/>
      <x:c r="B22" s="93" t="str"/>
      <x:c r="C22" s="93" t="str"/>
      <x:c r="D22" s="93" t="str"/>
      <x:c r="E22" s="93" t="str"/>
      <x:c r="F22" s="93" t="str"/>
      <x:c r="G22" s="93" t="str"/>
      <x:c r="H22" s="93" t="str"/>
      <x:c r="I22" s="93" t="str"/>
      <x:c r="J22" s="93" t="str"/>
      <x:c r="K22" s="69"/>
      <x:c r="L22" s="69"/>
      <x:c r="M22" s="69"/>
      <x:c r="N22" s="69"/>
    </x:row>
    <x:row r="23">
      <x:c r="A23" s="93" t="str">
        <x:v>Daily command: python3 'Operations/scripts/deal_threads_build_send_board.py' --targets 'Lead Engine/DealThreads_Targets_Template.csv' --limit 10</x:v>
      </x:c>
      <x:c r="B23" s="93" t="str"/>
      <x:c r="C23" s="93" t="str"/>
      <x:c r="D23" s="93" t="str"/>
      <x:c r="E23" s="93" t="str"/>
      <x:c r="F23" s="93" t="str"/>
      <x:c r="G23" s="93" t="str"/>
      <x:c r="H23" s="93" t="str"/>
      <x:c r="I23" s="93" t="str"/>
      <x:c r="J23" s="93" t="str"/>
      <x:c r="K23" s="69"/>
      <x:c r="L23" s="69"/>
      <x:c r="M23" s="69"/>
      <x:c r="N23" s="69"/>
    </x:row>
    <x:row r="24">
      <x:c r="A24" s="93" t="str"/>
      <x:c r="B24" s="93" t="str"/>
      <x:c r="C24" s="93" t="str"/>
      <x:c r="D24" s="93" t="str"/>
      <x:c r="E24" s="93" t="str"/>
      <x:c r="F24" s="93" t="str"/>
      <x:c r="G24" s="93" t="str"/>
      <x:c r="H24" s="93" t="str"/>
      <x:c r="I24" s="93" t="str"/>
      <x:c r="J24" s="93" t="str"/>
      <x:c r="K24" s="69"/>
      <x:c r="L24" s="69"/>
      <x:c r="M24" s="69"/>
      <x:c r="N24" s="69"/>
    </x:row>
  </x:sheetData>
  <x:mergeCells>
    <x:mergeCell ref="A1:J2"/>
    <x:mergeCell ref="A4:J4"/>
    <x:mergeCell ref="A9:E9"/>
    <x:mergeCell ref="G9:J9"/>
    <x:mergeCell ref="H11:J17"/>
    <x:mergeCell ref="A20:J20"/>
    <x:mergeCell ref="A21:J22"/>
    <x:mergeCell ref="A23:J24"/>
  </x:mergeCells>
  <x:conditionalFormatting sqref="E11:E17">
    <x:cfRule type="containsText" dxfId="0" priority="1" operator="containsText" text="Green"/>
    <x:cfRule type="containsText" dxfId="1" priority="2" operator="containsText" text="Yellow"/>
    <x:cfRule type="containsText" dxfId="2" priority="3" operator="containsText" text="Red"/>
  </x:conditionalFormatting>
  <x:pageMargins left="0.7" right="0.7" top="0.75" bottom="0.75" header="0.3" footer="0.3"/>
  <x:drawing xmlns:r="http://schemas.openxmlformats.org/officeDocument/2006/relationships" r:id="R9211dfddfd04423e"/>
</x:worksheet>
</file>

<file path=xl/worksheets/sheet2.xml><?xml version="1.0" encoding="utf-8"?>
<x:worksheet xmlns:x="http://schemas.openxmlformats.org/spreadsheetml/2006/main">
  <x:sheetViews>
    <x:sheetView showGridLines="0" workbookViewId="0"/>
  </x:sheetViews>
  <x:sheetFormatPr defaultRowHeight="15"/>
  <x:cols>
    <x:col min="1" max="1" width="17.780000686645508" hidden="0" customWidth="1"/>
    <x:col min="2" max="2" width="20" hidden="0" customWidth="1"/>
    <x:col min="3" max="3" width="23.889999389648438" hidden="0" customWidth="1"/>
    <x:col min="4" max="4" width="16.670000076293945" hidden="0" customWidth="1"/>
    <x:col min="5" max="5" width="15.5600004196167" hidden="0" customWidth="1"/>
    <x:col min="6" max="6" width="21.110000610351562" hidden="0" customWidth="1"/>
    <x:col min="7" max="7" width="16.110000610351562" hidden="0" customWidth="1"/>
    <x:col min="8" max="8" width="12.779999732971191" hidden="0" customWidth="1"/>
    <x:col min="9" max="9" width="13.329999923706055" hidden="0" customWidth="1"/>
    <x:col min="10" max="10" width="12.220000267028809" hidden="0" customWidth="1"/>
    <x:col min="11" max="11" width="27.780000686645508" hidden="0" customWidth="1"/>
    <x:col min="12" max="12" width="28.889999389648438" hidden="0" customWidth="1"/>
    <x:col min="13" max="13" width="20" hidden="0" customWidth="1"/>
    <x:col min="14" max="14" width="8.890000343322754" hidden="0" customWidth="1"/>
    <x:col min="15" max="15" width="15" hidden="0" customWidth="1"/>
    <x:col min="16" max="16" width="15" hidden="0" customWidth="1"/>
    <x:col min="17" max="17" width="15" hidden="0" customWidth="1"/>
    <x:col min="18" max="18" width="18.329999923706055" hidden="0" customWidth="1"/>
    <x:col min="19" max="19" width="14.4399995803833" hidden="0" customWidth="1"/>
    <x:col min="20" max="20" width="27.780000686645508" hidden="0" customWidth="1"/>
  </x:cols>
  <x:sheetData>
    <x:row r="1" ht="24" customHeight="1">
      <x:c r="A1" s="68" t="str">
        <x:v>Deal Threads Outbound Targets
Add accounts here or maintain the matching CSV. The send-board script uses the same schema.</x:v>
      </x:c>
      <x:c r="B1" s="68" t="str">
        <x:v>Deal Threads Outbound Targets
Add accounts here or maintain the matching CSV. The send-board script uses the same schema.</x:v>
      </x:c>
      <x:c r="C1" s="68" t="str">
        <x:v>Deal Threads Outbound Targets
Add accounts here or maintain the matching CSV. The send-board script uses the same schema.</x:v>
      </x:c>
      <x:c r="D1" s="68" t="str">
        <x:v>Deal Threads Outbound Targets
Add accounts here or maintain the matching CSV. The send-board script uses the same schema.</x:v>
      </x:c>
      <x:c r="E1" s="68" t="str">
        <x:v>Deal Threads Outbound Targets
Add accounts here or maintain the matching CSV. The send-board script uses the same schema.</x:v>
      </x:c>
      <x:c r="F1" s="68" t="str">
        <x:v>Deal Threads Outbound Targets
Add accounts here or maintain the matching CSV. The send-board script uses the same schema.</x:v>
      </x:c>
      <x:c r="G1" s="68" t="str">
        <x:v>Deal Threads Outbound Targets
Add accounts here or maintain the matching CSV. The send-board script uses the same schema.</x:v>
      </x:c>
      <x:c r="H1" s="68" t="str">
        <x:v>Deal Threads Outbound Targets
Add accounts here or maintain the matching CSV. The send-board script uses the same schema.</x:v>
      </x:c>
      <x:c r="I1" s="68" t="str">
        <x:v>Deal Threads Outbound Targets
Add accounts here or maintain the matching CSV. The send-board script uses the same schema.</x:v>
      </x:c>
      <x:c r="J1" s="68" t="str">
        <x:v>Deal Threads Outbound Targets
Add accounts here or maintain the matching CSV. The send-board script uses the same schema.</x:v>
      </x:c>
      <x:c r="K1" s="68" t="str">
        <x:v>Deal Threads Outbound Targets
Add accounts here or maintain the matching CSV. The send-board script uses the same schema.</x:v>
      </x:c>
      <x:c r="L1" s="68" t="str">
        <x:v>Deal Threads Outbound Targets
Add accounts here or maintain the matching CSV. The send-board script uses the same schema.</x:v>
      </x:c>
      <x:c r="M1" s="68" t="str">
        <x:v>Deal Threads Outbound Targets
Add accounts here or maintain the matching CSV. The send-board script uses the same schema.</x:v>
      </x:c>
      <x:c r="N1" s="68" t="str">
        <x:v>Deal Threads Outbound Targets
Add accounts here or maintain the matching CSV. The send-board script uses the same schema.</x:v>
      </x:c>
      <x:c r="O1" s="68" t="str">
        <x:v>Deal Threads Outbound Targets
Add accounts here or maintain the matching CSV. The send-board script uses the same schema.</x:v>
      </x:c>
      <x:c r="P1" s="68" t="str">
        <x:v>Deal Threads Outbound Targets
Add accounts here or maintain the matching CSV. The send-board script uses the same schema.</x:v>
      </x:c>
      <x:c r="Q1" s="68" t="str">
        <x:v>Deal Threads Outbound Targets
Add accounts here or maintain the matching CSV. The send-board script uses the same schema.</x:v>
      </x:c>
      <x:c r="R1" s="68" t="str">
        <x:v>Deal Threads Outbound Targets
Add accounts here or maintain the matching CSV. The send-board script uses the same schema.</x:v>
      </x:c>
      <x:c r="S1" s="68" t="str">
        <x:v>Deal Threads Outbound Targets
Add accounts here or maintain the matching CSV. The send-board script uses the same schema.</x:v>
      </x:c>
      <x:c r="T1" s="68" t="str">
        <x:v>Deal Threads Outbound Targets
Add accounts here or maintain the matching CSV. The send-board script uses the same schema.</x:v>
      </x:c>
    </x:row>
    <x:row r="2" ht="24" customHeight="1">
      <x:c r="A2" s="68" t="str">
        <x:v>Deal Threads Outbound Targets
Add accounts here or maintain the matching CSV. The send-board script uses the same schema.</x:v>
      </x:c>
      <x:c r="B2" s="68" t="str">
        <x:v>Deal Threads Outbound Targets
Add accounts here or maintain the matching CSV. The send-board script uses the same schema.</x:v>
      </x:c>
      <x:c r="C2" s="68" t="str">
        <x:v>Deal Threads Outbound Targets
Add accounts here or maintain the matching CSV. The send-board script uses the same schema.</x:v>
      </x:c>
      <x:c r="D2" s="68" t="str">
        <x:v>Deal Threads Outbound Targets
Add accounts here or maintain the matching CSV. The send-board script uses the same schema.</x:v>
      </x:c>
      <x:c r="E2" s="68" t="str">
        <x:v>Deal Threads Outbound Targets
Add accounts here or maintain the matching CSV. The send-board script uses the same schema.</x:v>
      </x:c>
      <x:c r="F2" s="68" t="str">
        <x:v>Deal Threads Outbound Targets
Add accounts here or maintain the matching CSV. The send-board script uses the same schema.</x:v>
      </x:c>
      <x:c r="G2" s="68" t="str">
        <x:v>Deal Threads Outbound Targets
Add accounts here or maintain the matching CSV. The send-board script uses the same schema.</x:v>
      </x:c>
      <x:c r="H2" s="68" t="str">
        <x:v>Deal Threads Outbound Targets
Add accounts here or maintain the matching CSV. The send-board script uses the same schema.</x:v>
      </x:c>
      <x:c r="I2" s="68" t="str">
        <x:v>Deal Threads Outbound Targets
Add accounts here or maintain the matching CSV. The send-board script uses the same schema.</x:v>
      </x:c>
      <x:c r="J2" s="68" t="str">
        <x:v>Deal Threads Outbound Targets
Add accounts here or maintain the matching CSV. The send-board script uses the same schema.</x:v>
      </x:c>
      <x:c r="K2" s="68" t="str">
        <x:v>Deal Threads Outbound Targets
Add accounts here or maintain the matching CSV. The send-board script uses the same schema.</x:v>
      </x:c>
      <x:c r="L2" s="68" t="str">
        <x:v>Deal Threads Outbound Targets
Add accounts here or maintain the matching CSV. The send-board script uses the same schema.</x:v>
      </x:c>
      <x:c r="M2" s="68" t="str">
        <x:v>Deal Threads Outbound Targets
Add accounts here or maintain the matching CSV. The send-board script uses the same schema.</x:v>
      </x:c>
      <x:c r="N2" s="68" t="str">
        <x:v>Deal Threads Outbound Targets
Add accounts here or maintain the matching CSV. The send-board script uses the same schema.</x:v>
      </x:c>
      <x:c r="O2" s="68" t="str">
        <x:v>Deal Threads Outbound Targets
Add accounts here or maintain the matching CSV. The send-board script uses the same schema.</x:v>
      </x:c>
      <x:c r="P2" s="68" t="str">
        <x:v>Deal Threads Outbound Targets
Add accounts here or maintain the matching CSV. The send-board script uses the same schema.</x:v>
      </x:c>
      <x:c r="Q2" s="68" t="str">
        <x:v>Deal Threads Outbound Targets
Add accounts here or maintain the matching CSV. The send-board script uses the same schema.</x:v>
      </x:c>
      <x:c r="R2" s="68" t="str">
        <x:v>Deal Threads Outbound Targets
Add accounts here or maintain the matching CSV. The send-board script uses the same schema.</x:v>
      </x:c>
      <x:c r="S2" s="68" t="str">
        <x:v>Deal Threads Outbound Targets
Add accounts here or maintain the matching CSV. The send-board script uses the same schema.</x:v>
      </x:c>
      <x:c r="T2" s="68" t="str">
        <x:v>Deal Threads Outbound Targets
Add accounts here or maintain the matching CSV. The send-board script uses the same schema.</x:v>
      </x:c>
    </x:row>
    <x:row r="3">
      <x:c r="A3" s="69"/>
      <x:c r="B3" s="69"/>
      <x:c r="C3" s="69"/>
      <x:c r="D3" s="69"/>
      <x:c r="E3" s="69"/>
      <x:c r="F3" s="69"/>
      <x:c r="G3" s="69"/>
      <x:c r="H3" s="69"/>
      <x:c r="I3" s="69"/>
      <x:c r="J3" s="69"/>
      <x:c r="K3" s="69"/>
      <x:c r="L3" s="69"/>
      <x:c r="M3" s="69"/>
      <x:c r="N3" s="69"/>
      <x:c r="O3" s="69"/>
      <x:c r="P3" s="69"/>
      <x:c r="Q3" s="69"/>
      <x:c r="R3" s="69"/>
      <x:c r="S3" s="69"/>
      <x:c r="T3" s="69"/>
    </x:row>
    <x:row r="4">
      <x:c r="A4" s="94" t="str">
        <x:v>Company</x:v>
      </x:c>
      <x:c r="B4" s="95" t="str">
        <x:v>Website</x:v>
      </x:c>
      <x:c r="C4" s="95" t="str">
        <x:v>Form URL</x:v>
      </x:c>
      <x:c r="D4" s="95" t="str">
        <x:v>Buyer Name</x:v>
      </x:c>
      <x:c r="E4" s="95" t="str">
        <x:v>Buyer Role</x:v>
      </x:c>
      <x:c r="F4" s="95" t="str">
        <x:v>LinkedIn URL</x:v>
      </x:c>
      <x:c r="G4" s="95" t="str">
        <x:v>Segment</x:v>
      </x:c>
      <x:c r="H4" s="95" t="str">
        <x:v>Company Size</x:v>
      </x:c>
      <x:c r="I4" s="95" t="str">
        <x:v>Deal Value Guess</x:v>
      </x:c>
      <x:c r="J4" s="95" t="str">
        <x:v>CRM Guess</x:v>
      </x:c>
      <x:c r="K4" s="95" t="str">
        <x:v>Weak Form Observation</x:v>
      </x:c>
      <x:c r="L4" s="95" t="str">
        <x:v>Sales Research Hypothesis</x:v>
      </x:c>
      <x:c r="M4" s="95" t="str">
        <x:v>Reason Now</x:v>
      </x:c>
      <x:c r="N4" s="95" t="str">
        <x:v>Fit Score</x:v>
      </x:c>
      <x:c r="O4" s="95" t="str">
        <x:v>Teardown Priority</x:v>
      </x:c>
      <x:c r="P4" s="95" t="str">
        <x:v>Outreach Status</x:v>
      </x:c>
      <x:c r="Q4" s="95" t="str">
        <x:v>Teardown Status</x:v>
      </x:c>
      <x:c r="R4" s="95" t="str">
        <x:v>Next Action</x:v>
      </x:c>
      <x:c r="S4" s="95" t="str">
        <x:v>Next Action Date</x:v>
      </x:c>
      <x:c r="T4" s="96" t="str">
        <x:v>Notes</x:v>
      </x:c>
    </x:row>
    <x:row r="5">
      <x:c r="A5" s="79" t="str">
        <x:v>BeeHex Automation</x:v>
      </x:c>
      <x:c r="B5" s="80" t="str">
        <x:v>https://beehexautomation.com/</x:v>
      </x:c>
      <x:c r="C5" s="80" t="str">
        <x:v>https://beehexautomation.com/</x:v>
      </x:c>
      <x:c r="D5" s="80" t="str"/>
      <x:c r="E5" s="80" t="str">
        <x:v>President / Business Development</x:v>
      </x:c>
      <x:c r="F5" s="80" t="str"/>
      <x:c r="G5" s="80" t="str">
        <x:v>Robotics and AI integrator</x:v>
      </x:c>
      <x:c r="H5" s="80" t="str">
        <x:v>11-50</x:v>
      </x:c>
      <x:c r="I5" s="80" t="str">
        <x:v>High</x:v>
      </x:c>
      <x:c r="J5" s="80" t="str">
        <x:v>Unknown</x:v>
      </x:c>
      <x:c r="K5" s="81" t="str">
        <x:v>Contact intake lists email and phone but does not visibly collect application type, payload, plant constraints, timeline, or budget.</x:v>
      </x:c>
      <x:c r="L5" s="81" t="str">
        <x:v>application type, payload, facility constraints, robot brand, timeline, and budget</x:v>
      </x:c>
      <x:c r="M5" s="81" t="str">
        <x:v>Robotics and AI integrator with high-ticket custom project motion</x:v>
      </x:c>
      <x:c r="N5" s="97" t="str">
        <x:v>5</x:v>
      </x:c>
      <x:c r="O5" s="80" t="str">
        <x:v>Teardown first</x:v>
      </x:c>
      <x:c r="P5" s="80" t="str">
        <x:v>Not started</x:v>
      </x:c>
      <x:c r="Q5" s="80" t="str">
        <x:v>Not started</x:v>
      </x:c>
      <x:c r="R5" s="80" t="str">
        <x:v>Find named owner or BD lead and send teardown ask</x:v>
      </x:c>
      <x:c r="S5" s="98" t="str"/>
      <x:c r="T5" s="99" t="str">
        <x:v>Source: public site says robotics and AI integrator</x:v>
      </x:c>
    </x:row>
    <x:row r="6">
      <x:c r="A6" s="79" t="str">
        <x:v>Integro Technologies</x:v>
      </x:c>
      <x:c r="B6" s="80" t="str">
        <x:v>https://www.integro-tech.com/</x:v>
      </x:c>
      <x:c r="C6" s="80" t="str">
        <x:v>https://www.integro-tech.com/</x:v>
      </x:c>
      <x:c r="D6" s="80" t="str"/>
      <x:c r="E6" s="80" t="str">
        <x:v>Sales Manager / Business Development</x:v>
      </x:c>
      <x:c r="F6" s="80" t="str"/>
      <x:c r="G6" s="80" t="str">
        <x:v>Machine vision AI integrator</x:v>
      </x:c>
      <x:c r="H6" s="80" t="str">
        <x:v>51-200</x:v>
      </x:c>
      <x:c r="I6" s="80" t="str">
        <x:v>High</x:v>
      </x:c>
      <x:c r="J6" s="80" t="str">
        <x:v>Unknown</x:v>
      </x:c>
      <x:c r="K6" s="81" t="str">
        <x:v>Quote/service path does not visibly separate deep learning use case, inspection target, line speed, part variability, or validation needs.</x:v>
      </x:c>
      <x:c r="L6" s="81" t="str">
        <x:v>inspection target, line speed, camera/lighting constraints, defect types, validation needs, and timeline</x:v>
      </x:c>
      <x:c r="M6" s="81" t="str">
        <x:v>Machine vision and AI projects need heavy pre-sales discovery</x:v>
      </x:c>
      <x:c r="N6" s="97" t="str">
        <x:v>5</x:v>
      </x:c>
      <x:c r="O6" s="80" t="str">
        <x:v>Teardown first</x:v>
      </x:c>
      <x:c r="P6" s="80" t="str">
        <x:v>Not started</x:v>
      </x:c>
      <x:c r="Q6" s="80" t="str">
        <x:v>Not started</x:v>
      </x:c>
      <x:c r="R6" s="80" t="str">
        <x:v>Find named sales or applications lead and send teardown ask</x:v>
      </x:c>
      <x:c r="S6" s="98" t="str"/>
      <x:c r="T6" s="99" t="str">
        <x:v>Strong AI and machine-vision fit</x:v>
      </x:c>
    </x:row>
    <x:row r="7">
      <x:c r="A7" s="79" t="str">
        <x:v>Even Automation</x:v>
      </x:c>
      <x:c r="B7" s="80" t="str">
        <x:v>https://www.evenautomation.com</x:v>
      </x:c>
      <x:c r="C7" s="80" t="str">
        <x:v>https://www.evenautomation.com/contact-us</x:v>
      </x:c>
      <x:c r="D7" s="80" t="str"/>
      <x:c r="E7" s="80" t="str">
        <x:v>Owner / Sales Manager</x:v>
      </x:c>
      <x:c r="F7" s="80" t="str"/>
      <x:c r="G7" s="80" t="str">
        <x:v>Industrial automation integrator</x:v>
      </x:c>
      <x:c r="H7" s="80" t="str">
        <x:v>11-50</x:v>
      </x:c>
      <x:c r="I7" s="80" t="str">
        <x:v>High</x:v>
      </x:c>
      <x:c r="J7" s="80" t="str">
        <x:v>Unknown</x:v>
      </x:c>
      <x:c r="K7" s="81" t="str">
        <x:v>Contact form offers a free onsite consultation but does not visibly capture process, equipment, plant location, constraints, or implementation urgency.</x:v>
      </x:c>
      <x:c r="L7" s="81" t="str">
        <x:v>process type, existing equipment, plant location, downtime constraints, timeline, and budget</x:v>
      </x:c>
      <x:c r="M7" s="81" t="str">
        <x:v>Regional automation integrator with consultative sales motion</x:v>
      </x:c>
      <x:c r="N7" s="97" t="str">
        <x:v>5</x:v>
      </x:c>
      <x:c r="O7" s="80" t="str">
        <x:v>Teardown first</x:v>
      </x:c>
      <x:c r="P7" s="80" t="str">
        <x:v>Not started</x:v>
      </x:c>
      <x:c r="Q7" s="80" t="str">
        <x:v>Not started</x:v>
      </x:c>
      <x:c r="R7" s="80" t="str">
        <x:v>Find owner or sales lead and send teardown ask</x:v>
      </x:c>
      <x:c r="S7" s="98" t="str"/>
      <x:c r="T7" s="99" t="str">
        <x:v>Midwest industrial automation account</x:v>
      </x:c>
    </x:row>
    <x:row r="8">
      <x:c r="A8" s="79" t="str">
        <x:v>Stoeller Automation</x:v>
      </x:c>
      <x:c r="B8" s="80" t="str">
        <x:v>https://www.stoeller.com/</x:v>
      </x:c>
      <x:c r="C8" s="80" t="str">
        <x:v>https://www.stoeller.com/</x:v>
      </x:c>
      <x:c r="D8" s="80" t="str"/>
      <x:c r="E8" s="80" t="str">
        <x:v>President / Sales Lead</x:v>
      </x:c>
      <x:c r="F8" s="80" t="str"/>
      <x:c r="G8" s="80" t="str">
        <x:v>Robotics and custom automation</x:v>
      </x:c>
      <x:c r="H8" s="80" t="str">
        <x:v>11-50</x:v>
      </x:c>
      <x:c r="I8" s="80" t="str">
        <x:v>High</x:v>
      </x:c>
      <x:c r="J8" s="80" t="str">
        <x:v>Unknown</x:v>
      </x:c>
      <x:c r="K8" s="81" t="str">
        <x:v>Site contact path is thin for a custom automation buyer and does not visibly capture process goal, quality issue, robot need, or facility constraints.</x:v>
      </x:c>
      <x:c r="L8" s="81" t="str">
        <x:v>manufacturing process, quality issue, throughput goal, equipment constraints, and timeline</x:v>
      </x:c>
      <x:c r="M8" s="81" t="str">
        <x:v>Custom automation projects require scoped discovery before quoting</x:v>
      </x:c>
      <x:c r="N8" s="97" t="str">
        <x:v>4</x:v>
      </x:c>
      <x:c r="O8" s="80" t="str">
        <x:v>Teardown first</x:v>
      </x:c>
      <x:c r="P8" s="80" t="str">
        <x:v>Not started</x:v>
      </x:c>
      <x:c r="Q8" s="80" t="str">
        <x:v>Not started</x:v>
      </x:c>
      <x:c r="R8" s="80" t="str">
        <x:v>Find owner or sales lead and send teardown ask</x:v>
      </x:c>
      <x:c r="S8" s="98" t="str"/>
      <x:c r="T8" s="99" t="str">
        <x:v>Good fit for project-profile positioning</x:v>
      </x:c>
    </x:row>
    <x:row r="9">
      <x:c r="A9" s="79" t="str">
        <x:v>Acieta</x:v>
      </x:c>
      <x:c r="B9" s="80" t="str">
        <x:v>https://www.acieta.com/</x:v>
      </x:c>
      <x:c r="C9" s="80" t="str">
        <x:v>https://www.acieta.com/</x:v>
      </x:c>
      <x:c r="D9" s="80" t="str"/>
      <x:c r="E9" s="80" t="str">
        <x:v>Director of Sales / Business Development</x:v>
      </x:c>
      <x:c r="F9" s="80" t="str"/>
      <x:c r="G9" s="80" t="str">
        <x:v>Robotics automation integrator</x:v>
      </x:c>
      <x:c r="H9" s="80" t="str">
        <x:v>201-500</x:v>
      </x:c>
      <x:c r="I9" s="80" t="str">
        <x:v>High</x:v>
      </x:c>
      <x:c r="J9" s="80" t="str">
        <x:v>Salesforce or Unknown</x:v>
      </x:c>
      <x:c r="K9" s="81" t="str">
        <x:v>Request-quote motion likely needs project application, facility size, production constraints, service needs, and training requirements before sales can route well.</x:v>
      </x:c>
      <x:c r="L9" s="81" t="str">
        <x:v>application, facility size, robot type, service urgency, training needs, and budget</x:v>
      </x:c>
      <x:c r="M9" s="81" t="str">
        <x:v>Large robotics integrator still sells complex custom automation projects</x:v>
      </x:c>
      <x:c r="N9" s="97" t="str">
        <x:v>4</x:v>
      </x:c>
      <x:c r="O9" s="80" t="str">
        <x:v>Teardown first</x:v>
      </x:c>
      <x:c r="P9" s="80" t="str">
        <x:v>Not started</x:v>
      </x:c>
      <x:c r="Q9" s="80" t="str">
        <x:v>Not started</x:v>
      </x:c>
      <x:c r="R9" s="80" t="str">
        <x:v>Find regional sales or BD leader and send teardown ask</x:v>
      </x:c>
      <x:c r="S9" s="98" t="str"/>
      <x:c r="T9" s="99" t="str">
        <x:v>Larger but still non-SaaS industrial buyer</x:v>
      </x:c>
    </x:row>
    <x:row r="10">
      <x:c r="A10" s="79" t="str">
        <x:v>Freedom Automation</x:v>
      </x:c>
      <x:c r="B10" s="80" t="str">
        <x:v>https://fainc.us/</x:v>
      </x:c>
      <x:c r="C10" s="80" t="str">
        <x:v>https://fainc.us/</x:v>
      </x:c>
      <x:c r="D10" s="80" t="str"/>
      <x:c r="E10" s="80" t="str">
        <x:v>Sales Manager / Engineering Manager</x:v>
      </x:c>
      <x:c r="F10" s="80" t="str"/>
      <x:c r="G10" s="80" t="str">
        <x:v>Robotic systems integrator</x:v>
      </x:c>
      <x:c r="H10" s="80" t="str">
        <x:v>11-50</x:v>
      </x:c>
      <x:c r="I10" s="80" t="str">
        <x:v>High</x:v>
      </x:c>
      <x:c r="J10" s="80" t="str">
        <x:v>Unknown</x:v>
      </x:c>
      <x:c r="K10" s="81" t="str">
        <x:v>Contact path does not visibly collect application type, robot cell need, part handling requirements, or support urgency.</x:v>
      </x:c>
      <x:c r="L10" s="81" t="str">
        <x:v>application type, material handling need, robot brand, part specs, support urgency, and timeline</x:v>
      </x:c>
      <x:c r="M10" s="81" t="str">
        <x:v>FANUC/ABB integrator with high-value consultative projects</x:v>
      </x:c>
      <x:c r="N10" s="97" t="str">
        <x:v>5</x:v>
      </x:c>
      <x:c r="O10" s="80" t="str">
        <x:v>Teardown first</x:v>
      </x:c>
      <x:c r="P10" s="80" t="str">
        <x:v>Not started</x:v>
      </x:c>
      <x:c r="Q10" s="80" t="str">
        <x:v>Not started</x:v>
      </x:c>
      <x:c r="R10" s="80" t="str">
        <x:v>Find sales or engineering lead and send teardown ask</x:v>
      </x:c>
      <x:c r="S10" s="98" t="str"/>
      <x:c r="T10" s="99" t="str">
        <x:v>Michigan robotics integrator</x:v>
      </x:c>
    </x:row>
    <x:row r="11">
      <x:c r="A11" s="79" t="str">
        <x:v>Omni Automation</x:v>
      </x:c>
      <x:c r="B11" s="80" t="str">
        <x:v>https://omniautomation.com/</x:v>
      </x:c>
      <x:c r="C11" s="80" t="str">
        <x:v>https://omniautomation.com/</x:v>
      </x:c>
      <x:c r="D11" s="80" t="str"/>
      <x:c r="E11" s="80" t="str">
        <x:v>President / Sales Manager</x:v>
      </x:c>
      <x:c r="F11" s="80" t="str"/>
      <x:c r="G11" s="80" t="str">
        <x:v>Industrial automation and vision</x:v>
      </x:c>
      <x:c r="H11" s="80" t="str">
        <x:v>11-50</x:v>
      </x:c>
      <x:c r="I11" s="80" t="str">
        <x:v>High</x:v>
      </x:c>
      <x:c r="J11" s="80" t="str">
        <x:v>Unknown</x:v>
      </x:c>
      <x:c r="K11" s="81" t="str">
        <x:v>Contact form asks for a message but does not visibly qualify robotics, AMR, material handling, Cognex vision, or project urgency.</x:v>
      </x:c>
      <x:c r="L11" s="81" t="str">
        <x:v>automation category, plant location, current equipment, budget, timeline, and technical constraints</x:v>
      </x:c>
      <x:c r="M11" s="81" t="str">
        <x:v>Regional automation firm with multiple technical solution lines</x:v>
      </x:c>
      <x:c r="N11" s="97" t="str">
        <x:v>5</x:v>
      </x:c>
      <x:c r="O11" s="80" t="str">
        <x:v>Teardown first</x:v>
      </x:c>
      <x:c r="P11" s="80" t="str">
        <x:v>Not started</x:v>
      </x:c>
      <x:c r="Q11" s="80" t="str">
        <x:v>Not started</x:v>
      </x:c>
      <x:c r="R11" s="80" t="str">
        <x:v>Find owner or sales lead and send teardown ask</x:v>
      </x:c>
      <x:c r="S11" s="98" t="str"/>
      <x:c r="T11" s="99" t="str">
        <x:v>Good AI/vision adjacency through Cognex and robotics</x:v>
      </x:c>
    </x:row>
    <x:row r="12">
      <x:c r="A12" s="79" t="str">
        <x:v>EZ Automation</x:v>
      </x:c>
      <x:c r="B12" s="80" t="str">
        <x:v>https://ezautomation.ai</x:v>
      </x:c>
      <x:c r="C12" s="80" t="str">
        <x:v>https://ezautomation.ai/contact/</x:v>
      </x:c>
      <x:c r="D12" s="80" t="str"/>
      <x:c r="E12" s="80" t="str">
        <x:v>Founder / Business Development</x:v>
      </x:c>
      <x:c r="F12" s="80" t="str"/>
      <x:c r="G12" s="80" t="str">
        <x:v>Industrial automation consulting</x:v>
      </x:c>
      <x:c r="H12" s="80" t="str">
        <x:v>1-20</x:v>
      </x:c>
      <x:c r="I12" s="80" t="str">
        <x:v>High</x:v>
      </x:c>
      <x:c r="J12" s="80" t="str">
        <x:v>Unknown</x:v>
      </x:c>
      <x:c r="K12" s="81" t="str">
        <x:v>Contact page invites automation consulting but does not visibly capture production challenge, equipment, ROI goal, timeline, or budget.</x:v>
      </x:c>
      <x:c r="L12" s="81" t="str">
        <x:v>production challenge, equipment, ROI target, project scope, timeline, and budget</x:v>
      </x:c>
      <x:c r="M12" s="81" t="str">
        <x:v>AI-domain and industrial automation positioning is highly aligned</x:v>
      </x:c>
      <x:c r="N12" s="97" t="str">
        <x:v>5</x:v>
      </x:c>
      <x:c r="O12" s="80" t="str">
        <x:v>Teardown first</x:v>
      </x:c>
      <x:c r="P12" s="80" t="str">
        <x:v>Not started</x:v>
      </x:c>
      <x:c r="Q12" s="80" t="str">
        <x:v>Not started</x:v>
      </x:c>
      <x:c r="R12" s="80" t="str">
        <x:v>Find founder or sales lead and send teardown ask</x:v>
      </x:c>
      <x:c r="S12" s="98" t="str"/>
      <x:c r="T12" s="99" t="str">
        <x:v>Strong niche fit because domain uses .ai but sells industrial projects</x:v>
      </x:c>
    </x:row>
    <x:row r="13">
      <x:c r="A13" s="79" t="str">
        <x:v>MINO Automation USA</x:v>
      </x:c>
      <x:c r="B13" s="80" t="str">
        <x:v>https://www.mino-automation.com</x:v>
      </x:c>
      <x:c r="C13" s="80" t="str">
        <x:v>https://www.mino-automation.com/contact-mino/</x:v>
      </x:c>
      <x:c r="D13" s="80" t="str"/>
      <x:c r="E13" s="80" t="str">
        <x:v>Sales Manager / US General Manager</x:v>
      </x:c>
      <x:c r="F13" s="80" t="str"/>
      <x:c r="G13" s="80" t="str">
        <x:v>Intelligent manufacturing integrator</x:v>
      </x:c>
      <x:c r="H13" s="80" t="str">
        <x:v>51-200</x:v>
      </x:c>
      <x:c r="I13" s="80" t="str">
        <x:v>High</x:v>
      </x:c>
      <x:c r="J13" s="80" t="str">
        <x:v>Unknown</x:v>
      </x:c>
      <x:c r="K13" s="81" t="str">
        <x:v>Contact page lists sales channels but does not visibly capture manufacturing line type, automation objective, process stage, or project timing.</x:v>
      </x:c>
      <x:c r="L13" s="81" t="str">
        <x:v>line type, automation objective, current equipment, facility location, timeline, and stakeholders</x:v>
      </x:c>
      <x:c r="M13" s="81" t="str">
        <x:v>Intelligent manufacturing sales likely needs project context before callback</x:v>
      </x:c>
      <x:c r="N13" s="97" t="str">
        <x:v>4</x:v>
      </x:c>
      <x:c r="O13" s="80" t="str">
        <x:v>Teardown first</x:v>
      </x:c>
      <x:c r="P13" s="80" t="str">
        <x:v>Not started</x:v>
      </x:c>
      <x:c r="Q13" s="80" t="str">
        <x:v>Not started</x:v>
      </x:c>
      <x:c r="R13" s="80" t="str">
        <x:v>Find US sales or GM contact and send teardown ask</x:v>
      </x:c>
      <x:c r="S13" s="98" t="str"/>
      <x:c r="T13" s="99" t="str">
        <x:v>Auburn Hills automation account</x:v>
      </x:c>
    </x:row>
    <x:row r="14">
      <x:c r="A14" s="79" t="str">
        <x:v>Flores Automation</x:v>
      </x:c>
      <x:c r="B14" s="80" t="str">
        <x:v>https://floresautomation.com</x:v>
      </x:c>
      <x:c r="C14" s="80" t="str">
        <x:v>https://floresautomation.com/contact/</x:v>
      </x:c>
      <x:c r="D14" s="80" t="str"/>
      <x:c r="E14" s="80" t="str">
        <x:v>Owner / Sales Lead</x:v>
      </x:c>
      <x:c r="F14" s="80" t="str"/>
      <x:c r="G14" s="80" t="str">
        <x:v>Industrial controls and robotics</x:v>
      </x:c>
      <x:c r="H14" s="80" t="str">
        <x:v>11-50</x:v>
      </x:c>
      <x:c r="I14" s="80" t="str">
        <x:v>High</x:v>
      </x:c>
      <x:c r="J14" s="80" t="str">
        <x:v>Unknown</x:v>
      </x:c>
      <x:c r="K14" s="81" t="str">
        <x:v>Quick contact form does not visibly qualify controls issue, mobile controls need, robotics application, installed equipment, or urgency.</x:v>
      </x:c>
      <x:c r="L14" s="81" t="str">
        <x:v>controls issue, robotics application, installed equipment, service urgency, and location</x:v>
      </x:c>
      <x:c r="M14" s="81" t="str">
        <x:v>Technical service buyer needs intake context before a useful first response</x:v>
      </x:c>
      <x:c r="N14" s="97" t="str">
        <x:v>4</x:v>
      </x:c>
      <x:c r="O14" s="80" t="str">
        <x:v>Teardown first</x:v>
      </x:c>
      <x:c r="P14" s="80" t="str">
        <x:v>Not started</x:v>
      </x:c>
      <x:c r="Q14" s="80" t="str">
        <x:v>Not started</x:v>
      </x:c>
      <x:c r="R14" s="80" t="str">
        <x:v>Find owner or sales lead and send teardown ask</x:v>
      </x:c>
      <x:c r="S14" s="98" t="str"/>
      <x:c r="T14" s="99" t="str">
        <x:v>Milwaukee industrial controls account</x:v>
      </x:c>
    </x:row>
    <x:row r="15">
      <x:c r="A15" s="79" t="str">
        <x:v>Industrial Tool Inc</x:v>
      </x:c>
      <x:c r="B15" s="80" t="str">
        <x:v>https://industrial-tool.com</x:v>
      </x:c>
      <x:c r="C15" s="80" t="str">
        <x:v>https://industrial-tool.com/contact/</x:v>
      </x:c>
      <x:c r="D15" s="80" t="str"/>
      <x:c r="E15" s="80" t="str">
        <x:v>Sales Manager / Business Development</x:v>
      </x:c>
      <x:c r="F15" s="80" t="str"/>
      <x:c r="G15" s="80" t="str">
        <x:v>Robotic automation and custom machines</x:v>
      </x:c>
      <x:c r="H15" s="80" t="str">
        <x:v>51-200</x:v>
      </x:c>
      <x:c r="I15" s="80" t="str">
        <x:v>High</x:v>
      </x:c>
      <x:c r="J15" s="80" t="str">
        <x:v>Unknown</x:v>
      </x:c>
      <x:c r="K15" s="81" t="str">
        <x:v>Contact form asks for basic details and message but does not visibly capture fixtures, CNC needs, robot cell scope, industry, or quote timing.</x:v>
      </x:c>
      <x:c r="L15" s="81" t="str">
        <x:v>workholding need, robot cell scope, industry, part specs, quote timing, and budget</x:v>
      </x:c>
      <x:c r="M15" s="81" t="str">
        <x:v>Turnkey automation and custom machine buyers need project-specific routing</x:v>
      </x:c>
      <x:c r="N15" s="97" t="str">
        <x:v>5</x:v>
      </x:c>
      <x:c r="O15" s="80" t="str">
        <x:v>Teardown first</x:v>
      </x:c>
      <x:c r="P15" s="80" t="str">
        <x:v>Not started</x:v>
      </x:c>
      <x:c r="Q15" s="80" t="str">
        <x:v>Not started</x:v>
      </x:c>
      <x:c r="R15" s="80" t="str">
        <x:v>Find sales or BD lead and send teardown ask</x:v>
      </x:c>
      <x:c r="S15" s="98" t="str"/>
      <x:c r="T15" s="99" t="str">
        <x:v>Strong form-gap example because form fields are visible</x:v>
      </x:c>
    </x:row>
    <x:row r="16">
      <x:c r="A16" s="79" t="str">
        <x:v>McEnery Automation</x:v>
      </x:c>
      <x:c r="B16" s="80" t="str">
        <x:v>https://www.mceneryautomation.com</x:v>
      </x:c>
      <x:c r="C16" s="80" t="str">
        <x:v>https://www.mceneryautomation.com/contact-us</x:v>
      </x:c>
      <x:c r="D16" s="80" t="str"/>
      <x:c r="E16" s="80" t="str">
        <x:v>Sales Manager / Operations Leader</x:v>
      </x:c>
      <x:c r="F16" s="80" t="str"/>
      <x:c r="G16" s="80" t="str">
        <x:v>Process automation integrator</x:v>
      </x:c>
      <x:c r="H16" s="80" t="str">
        <x:v>51-200</x:v>
      </x:c>
      <x:c r="I16" s="80" t="str">
        <x:v>High</x:v>
      </x:c>
      <x:c r="J16" s="80" t="str">
        <x:v>Unknown</x:v>
      </x:c>
      <x:c r="K16" s="81" t="str">
        <x:v>Contact page asks for manufacturing challenge but could collect more structured process, plant, PLC/control, urgency, and budget context before sales review.</x:v>
      </x:c>
      <x:c r="L16" s="81" t="str">
        <x:v>manufacturing challenge, process type, PLC/control stack, plant location, urgency, and stakeholders</x:v>
      </x:c>
      <x:c r="M16" s="81" t="str">
        <x:v>Process automation projects need scoped discovery before quoting</x:v>
      </x:c>
      <x:c r="N16" s="97" t="str">
        <x:v>5</x:v>
      </x:c>
      <x:c r="O16" s="80" t="str">
        <x:v>Teardown first</x:v>
      </x:c>
      <x:c r="P16" s="80" t="str">
        <x:v>Not started</x:v>
      </x:c>
      <x:c r="Q16" s="80" t="str">
        <x:v>Not started</x:v>
      </x:c>
      <x:c r="R16" s="80" t="str">
        <x:v>Find sales or operations leader and send teardown ask</x:v>
      </x:c>
      <x:c r="S16" s="98" t="str"/>
      <x:c r="T16" s="99" t="str">
        <x:v>CSIA-certified positioning suggests consultative sales</x:v>
      </x:c>
    </x:row>
    <x:row r="17">
      <x:c r="A17" s="79" t="str">
        <x:v>AccuBilt</x:v>
      </x:c>
      <x:c r="B17" s="80" t="str">
        <x:v>https://accubilt.com/</x:v>
      </x:c>
      <x:c r="C17" s="80" t="str">
        <x:v>https://accubilt.com/</x:v>
      </x:c>
      <x:c r="D17" s="80" t="str"/>
      <x:c r="E17" s="80" t="str">
        <x:v>Sales Manager / Business Development</x:v>
      </x:c>
      <x:c r="F17" s="80" t="str"/>
      <x:c r="G17" s="80" t="str">
        <x:v>Turnkey automation systems</x:v>
      </x:c>
      <x:c r="H17" s="80" t="str">
        <x:v>51-200</x:v>
      </x:c>
      <x:c r="I17" s="80" t="str">
        <x:v>High</x:v>
      </x:c>
      <x:c r="J17" s="80" t="str">
        <x:v>Unknown</x:v>
      </x:c>
      <x:c r="K17" s="81" t="str">
        <x:v>Request-a-quote motion does not visibly collect welding/material handling process, robot requirement, part specs, volumes, or timeline.</x:v>
      </x:c>
      <x:c r="L17" s="81" t="str">
        <x:v>process type, part specs, production volume, robot requirement, budget, and timeline</x:v>
      </x:c>
      <x:c r="M17" s="81" t="str">
        <x:v>Turnkey automation quote requests are high-context and high-value</x:v>
      </x:c>
      <x:c r="N17" s="97" t="str">
        <x:v>5</x:v>
      </x:c>
      <x:c r="O17" s="80" t="str">
        <x:v>Teardown first</x:v>
      </x:c>
      <x:c r="P17" s="80" t="str">
        <x:v>Not started</x:v>
      </x:c>
      <x:c r="Q17" s="80" t="str">
        <x:v>Not started</x:v>
      </x:c>
      <x:c r="R17" s="80" t="str">
        <x:v>Find sales lead and send teardown ask</x:v>
      </x:c>
      <x:c r="S17" s="98" t="str"/>
      <x:c r="T17" s="99" t="str">
        <x:v>Robotics and welding automation fit</x:v>
      </x:c>
    </x:row>
    <x:row r="18">
      <x:c r="A18" s="79" t="str">
        <x:v>EAMVision</x:v>
      </x:c>
      <x:c r="B18" s="80" t="str">
        <x:v>https://eamvision.com/</x:v>
      </x:c>
      <x:c r="C18" s="80" t="str">
        <x:v>https://eamvision.com/</x:v>
      </x:c>
      <x:c r="D18" s="80" t="str"/>
      <x:c r="E18" s="80" t="str">
        <x:v>Owner / Sales Manager</x:v>
      </x:c>
      <x:c r="F18" s="80" t="str"/>
      <x:c r="G18" s="80" t="str">
        <x:v>Machine vision AI integrator</x:v>
      </x:c>
      <x:c r="H18" s="80" t="str">
        <x:v>11-50</x:v>
      </x:c>
      <x:c r="I18" s="80" t="str">
        <x:v>High</x:v>
      </x:c>
      <x:c r="J18" s="80" t="str">
        <x:v>Unknown</x:v>
      </x:c>
      <x:c r="K18" s="81" t="str">
        <x:v>Contact prompt offers quotes and consultation but does not visibly structure defect type, camera setup, line speed, industry, or demo-software need.</x:v>
      </x:c>
      <x:c r="L18" s="81" t="str">
        <x:v>defect type, camera setup, line speed, industry, validation needs, and budget</x:v>
      </x:c>
      <x:c r="M18" s="81" t="str">
        <x:v>Machine vision and AI inspection discovery is a perfect project-profile use case</x:v>
      </x:c>
      <x:c r="N18" s="97" t="str">
        <x:v>5</x:v>
      </x:c>
      <x:c r="O18" s="80" t="str">
        <x:v>Teardown first</x:v>
      </x:c>
      <x:c r="P18" s="80" t="str">
        <x:v>Not started</x:v>
      </x:c>
      <x:c r="Q18" s="80" t="str">
        <x:v>Not started</x:v>
      </x:c>
      <x:c r="R18" s="80" t="str">
        <x:v>Find owner or sales lead and send teardown ask</x:v>
      </x:c>
      <x:c r="S18" s="98" t="str"/>
      <x:c r="T18" s="99" t="str">
        <x:v>Strong AI/deep-learning language on public site</x:v>
      </x:c>
    </x:row>
    <x:row r="19">
      <x:c r="A19" s="79" t="str">
        <x:v>Automation Technology Inc</x:v>
      </x:c>
      <x:c r="B19" s="80" t="str">
        <x:v>https://automationtechnologyinc.com</x:v>
      </x:c>
      <x:c r="C19" s="80" t="str">
        <x:v>https://automationtechnologyinc.com/index.php/contact/</x:v>
      </x:c>
      <x:c r="D19" s="80" t="str"/>
      <x:c r="E19" s="80" t="str">
        <x:v>Sales Manager / Machine Vision Lead</x:v>
      </x:c>
      <x:c r="F19" s="80" t="str"/>
      <x:c r="G19" s="80" t="str">
        <x:v>Automation distributor and integrator</x:v>
      </x:c>
      <x:c r="H19" s="80" t="str">
        <x:v>51-200</x:v>
      </x:c>
      <x:c r="I19" s="80" t="str">
        <x:v>High</x:v>
      </x:c>
      <x:c r="J19" s="80" t="str">
        <x:v>Unknown</x:v>
      </x:c>
      <x:c r="K19" s="81" t="str">
        <x:v>Contact form routes requests but does not visibly qualify machine vision, robotics, conveyor, material transfer, or lab-testing needs.</x:v>
      </x:c>
      <x:c r="L19" s="81" t="str">
        <x:v>solution category, machine vision need, plant process, timeline, budget, and decision stage</x:v>
      </x:c>
      <x:c r="M19" s="81" t="str">
        <x:v>Total-solution provider with technical quote intake complexity</x:v>
      </x:c>
      <x:c r="N19" s="97" t="str">
        <x:v>5</x:v>
      </x:c>
      <x:c r="O19" s="80" t="str">
        <x:v>Teardown first</x:v>
      </x:c>
      <x:c r="P19" s="80" t="str">
        <x:v>Not started</x:v>
      </x:c>
      <x:c r="Q19" s="80" t="str">
        <x:v>Not started</x:v>
      </x:c>
      <x:c r="R19" s="80" t="str">
        <x:v>Find sales or machine vision lead and send teardown ask</x:v>
      </x:c>
      <x:c r="S19" s="98" t="str"/>
      <x:c r="T19" s="99" t="str">
        <x:v>Strong form-gap example with visible contact form</x:v>
      </x:c>
    </x:row>
    <x:row r="20">
      <x:c r="A20" s="79" t="str">
        <x:v>DynaRobot</x:v>
      </x:c>
      <x:c r="B20" s="80" t="str">
        <x:v>https://www.dynarobot.com/</x:v>
      </x:c>
      <x:c r="C20" s="80" t="str">
        <x:v>https://www.dynarobot.com/</x:v>
      </x:c>
      <x:c r="D20" s="80" t="str"/>
      <x:c r="E20" s="80" t="str">
        <x:v>Founder / Sales Lead</x:v>
      </x:c>
      <x:c r="F20" s="80" t="str"/>
      <x:c r="G20" s="80" t="str">
        <x:v>Robotics and mechatronics integrator</x:v>
      </x:c>
      <x:c r="H20" s="80" t="str">
        <x:v>1-20</x:v>
      </x:c>
      <x:c r="I20" s="80" t="str">
        <x:v>High</x:v>
      </x:c>
      <x:c r="J20" s="80" t="str">
        <x:v>Unknown</x:v>
      </x:c>
      <x:c r="K20" s="81" t="str">
        <x:v>Site has contact details but does not visibly collect robotic cell type, service need, industry, installed equipment, or project timeline.</x:v>
      </x:c>
      <x:c r="L20" s="81" t="str">
        <x:v>robotic cell type, industry, installed equipment, service need, location, and timeline</x:v>
      </x:c>
      <x:c r="M20" s="81" t="str">
        <x:v>Smaller robotics integrator likely has less mature RevOps tooling</x:v>
      </x:c>
      <x:c r="N20" s="97" t="str">
        <x:v>5</x:v>
      </x:c>
      <x:c r="O20" s="80" t="str">
        <x:v>Teardown first</x:v>
      </x:c>
      <x:c r="P20" s="80" t="str">
        <x:v>Not started</x:v>
      </x:c>
      <x:c r="Q20" s="80" t="str">
        <x:v>Not started</x:v>
      </x:c>
      <x:c r="R20" s="80" t="str">
        <x:v>Find founder or sales contact and send teardown ask</x:v>
      </x:c>
      <x:c r="S20" s="98" t="str"/>
      <x:c r="T20" s="99" t="str">
        <x:v>Founder-led profile likely better than SaaS-native targets</x:v>
      </x:c>
    </x:row>
    <x:row r="21">
      <x:c r="A21" s="79" t="str">
        <x:v>Vinco Automation</x:v>
      </x:c>
      <x:c r="B21" s="80" t="str">
        <x:v>https://www.vincoautomation.com</x:v>
      </x:c>
      <x:c r="C21" s="80" t="str">
        <x:v>https://www.vincoautomation.com/contact</x:v>
      </x:c>
      <x:c r="D21" s="80" t="str"/>
      <x:c r="E21" s="80" t="str">
        <x:v>Owner / Sales Manager</x:v>
      </x:c>
      <x:c r="F21" s="80" t="str"/>
      <x:c r="G21" s="80" t="str">
        <x:v>Industrial automation and vision</x:v>
      </x:c>
      <x:c r="H21" s="80" t="str">
        <x:v>11-50</x:v>
      </x:c>
      <x:c r="I21" s="80" t="str">
        <x:v>High</x:v>
      </x:c>
      <x:c r="J21" s="80" t="str">
        <x:v>Unknown</x:v>
      </x:c>
      <x:c r="K21" s="81" t="str">
        <x:v>Contact form captures basic contact and message but does not visibly collect system type, Cognex/vision need, controls stack, or project urgency.</x:v>
      </x:c>
      <x:c r="L21" s="81" t="str">
        <x:v>system type, vision requirement, controls stack, plant location, timeline, and budget</x:v>
      </x:c>
      <x:c r="M21" s="81" t="str">
        <x:v>Automation and machine-vision quote requests need richer intake</x:v>
      </x:c>
      <x:c r="N21" s="97" t="str">
        <x:v>5</x:v>
      </x:c>
      <x:c r="O21" s="80" t="str">
        <x:v>Teardown first</x:v>
      </x:c>
      <x:c r="P21" s="80" t="str">
        <x:v>Not started</x:v>
      </x:c>
      <x:c r="Q21" s="80" t="str">
        <x:v>Not started</x:v>
      </x:c>
      <x:c r="R21" s="80" t="str">
        <x:v>Find owner or sales lead and send teardown ask</x:v>
      </x:c>
      <x:c r="S21" s="98" t="str"/>
      <x:c r="T21" s="99" t="str">
        <x:v>Visible form and good machine-vision fit</x:v>
      </x:c>
    </x:row>
    <x:row r="22">
      <x:c r="A22" s="79" t="str">
        <x:v>IPSUMM i2i Engineering</x:v>
      </x:c>
      <x:c r="B22" s="80" t="str">
        <x:v>https://www.ipsumm.com</x:v>
      </x:c>
      <x:c r="C22" s="80" t="str">
        <x:v>https://www.ipsumm.com/i2i</x:v>
      </x:c>
      <x:c r="D22" s="80" t="str"/>
      <x:c r="E22" s="80" t="str">
        <x:v>Business Development / Engineering Sales</x:v>
      </x:c>
      <x:c r="F22" s="80" t="str"/>
      <x:c r="G22" s="80" t="str">
        <x:v>Factory automation integrator</x:v>
      </x:c>
      <x:c r="H22" s="80" t="str">
        <x:v>11-50</x:v>
      </x:c>
      <x:c r="I22" s="80" t="str">
        <x:v>High</x:v>
      </x:c>
      <x:c r="J22" s="80" t="str">
        <x:v>Unknown</x:v>
      </x:c>
      <x:c r="K22" s="81" t="str">
        <x:v>Contact path does not visibly capture automation cell type, inspection/testing need, packaging process, constraints, or project stage.</x:v>
      </x:c>
      <x:c r="L22" s="81" t="str">
        <x:v>automation cell type, inspection/testing need, packaging process, constraints, timeline, and budget</x:v>
      </x:c>
      <x:c r="M22" s="81" t="str">
        <x:v>Factory automation projects are custom and need context-rich handoffs</x:v>
      </x:c>
      <x:c r="N22" s="97" t="str">
        <x:v>5</x:v>
      </x:c>
      <x:c r="O22" s="80" t="str">
        <x:v>Teardown first</x:v>
      </x:c>
      <x:c r="P22" s="80" t="str">
        <x:v>Not started</x:v>
      </x:c>
      <x:c r="Q22" s="80" t="str">
        <x:v>Not started</x:v>
      </x:c>
      <x:c r="R22" s="80" t="str">
        <x:v>Find BD or engineering sales lead and send teardown ask</x:v>
      </x:c>
      <x:c r="S22" s="98" t="str"/>
      <x:c r="T22" s="99" t="str">
        <x:v>Good fit via robotics and vision systems</x:v>
      </x:c>
    </x:row>
    <x:row r="23">
      <x:c r="A23" s="79" t="str">
        <x:v>PSA Systems</x:v>
      </x:c>
      <x:c r="B23" s="80" t="str">
        <x:v>https://psa-cwx.com/</x:v>
      </x:c>
      <x:c r="C23" s="80" t="str">
        <x:v>https://psa-cwx.com/</x:v>
      </x:c>
      <x:c r="D23" s="80" t="str"/>
      <x:c r="E23" s="80" t="str">
        <x:v>President / Sales Manager</x:v>
      </x:c>
      <x:c r="F23" s="80" t="str"/>
      <x:c r="G23" s="80" t="str">
        <x:v>Industrial automation systems integrator</x:v>
      </x:c>
      <x:c r="H23" s="80" t="str">
        <x:v>51-200</x:v>
      </x:c>
      <x:c r="I23" s="80" t="str">
        <x:v>High</x:v>
      </x:c>
      <x:c r="J23" s="80" t="str">
        <x:v>Unknown</x:v>
      </x:c>
      <x:c r="K23" s="81" t="str">
        <x:v>Discuss-project CTA does not visibly pre-qualify robot platform, line stop urgency, mechanical/electrical scope, or support needs.</x:v>
      </x:c>
      <x:c r="L23" s="81" t="str">
        <x:v>robot platform, line-stop urgency, mechanical scope, controls scope, facility, and timeline</x:v>
      </x:c>
      <x:c r="M23" s="81" t="str">
        <x:v>Their own positioning emphasizes urgent integrator responsiveness</x:v>
      </x:c>
      <x:c r="N23" s="97" t="str">
        <x:v>5</x:v>
      </x:c>
      <x:c r="O23" s="80" t="str">
        <x:v>Teardown first</x:v>
      </x:c>
      <x:c r="P23" s="80" t="str">
        <x:v>Not started</x:v>
      </x:c>
      <x:c r="Q23" s="80" t="str">
        <x:v>Not started</x:v>
      </x:c>
      <x:c r="R23" s="80" t="str">
        <x:v>Find owner or sales lead and send teardown ask</x:v>
      </x:c>
      <x:c r="S23" s="98" t="str"/>
      <x:c r="T23" s="99" t="str">
        <x:v>Strong pain-language match</x:v>
      </x:c>
    </x:row>
    <x:row r="24">
      <x:c r="A24" s="79" t="str">
        <x:v>Rankin Automation</x:v>
      </x:c>
      <x:c r="B24" s="80" t="str">
        <x:v>https://rankinautomation.com</x:v>
      </x:c>
      <x:c r="C24" s="80" t="str">
        <x:v>https://rankinautomation.com/contact-us/</x:v>
      </x:c>
      <x:c r="D24" s="80" t="str"/>
      <x:c r="E24" s="80" t="str">
        <x:v>Owner / Sales Manager</x:v>
      </x:c>
      <x:c r="F24" s="80" t="str"/>
      <x:c r="G24" s="80" t="str">
        <x:v>Factory automation services</x:v>
      </x:c>
      <x:c r="H24" s="80" t="str">
        <x:v>11-50</x:v>
      </x:c>
      <x:c r="I24" s="80" t="str">
        <x:v>High</x:v>
      </x:c>
      <x:c r="J24" s="80" t="str">
        <x:v>Unknown</x:v>
      </x:c>
      <x:c r="K24" s="81" t="str">
        <x:v>Contact page does not visibly structure machine guarding, panel, programming, work-cell, or factory automation project context.</x:v>
      </x:c>
      <x:c r="L24" s="81" t="str">
        <x:v>project type, machinery, plant constraints, controls stack, timeline, and budget</x:v>
      </x:c>
      <x:c r="M24" s="81" t="str">
        <x:v>Regional automation firms need better project intake without buying SaaS stacks</x:v>
      </x:c>
      <x:c r="N24" s="97" t="str">
        <x:v>4</x:v>
      </x:c>
      <x:c r="O24" s="80" t="str">
        <x:v>Teardown first</x:v>
      </x:c>
      <x:c r="P24" s="80" t="str">
        <x:v>Not started</x:v>
      </x:c>
      <x:c r="Q24" s="80" t="str">
        <x:v>Not started</x:v>
      </x:c>
      <x:c r="R24" s="80" t="str">
        <x:v>Find owner or sales lead and send teardown ask</x:v>
      </x:c>
      <x:c r="S24" s="98" t="str"/>
      <x:c r="T24" s="99" t="str">
        <x:v>Good non-SaaS technical buyer profile</x:v>
      </x:c>
    </x:row>
    <x:row r="25">
      <x:c r="A25" s="79" t="str">
        <x:v>DEVELOP LLC</x:v>
      </x:c>
      <x:c r="B25" s="80" t="str">
        <x:v>https://develop-llc.com</x:v>
      </x:c>
      <x:c r="C25" s="80" t="str">
        <x:v>https://develop-llc.com/contact/</x:v>
      </x:c>
      <x:c r="D25" s="80" t="str"/>
      <x:c r="E25" s="80" t="str">
        <x:v>CEO / Business Development</x:v>
      </x:c>
      <x:c r="F25" s="80" t="str"/>
      <x:c r="G25" s="80" t="str">
        <x:v>Automation systems integrator</x:v>
      </x:c>
      <x:c r="H25" s="80" t="str">
        <x:v>11-50</x:v>
      </x:c>
      <x:c r="I25" s="80" t="str">
        <x:v>High</x:v>
      </x:c>
      <x:c r="J25" s="80" t="str">
        <x:v>Unknown</x:v>
      </x:c>
      <x:c r="K25" s="81" t="str">
        <x:v>Contact form asks for service and comments but could pre-build a project profile with process, expected ROI, equipment, timeline, and capital readiness.</x:v>
      </x:c>
      <x:c r="L25" s="81" t="str">
        <x:v>process to automate, equipment, ROI target, timeline, capital readiness, and stakeholders</x:v>
      </x:c>
      <x:c r="M25" s="81" t="str">
        <x:v>Automation assessment offer creates a direct intake-improvement angle</x:v>
      </x:c>
      <x:c r="N25" s="97" t="str">
        <x:v>5</x:v>
      </x:c>
      <x:c r="O25" s="80" t="str">
        <x:v>Teardown first</x:v>
      </x:c>
      <x:c r="P25" s="80" t="str">
        <x:v>Not started</x:v>
      </x:c>
      <x:c r="Q25" s="80" t="str">
        <x:v>Not started</x:v>
      </x:c>
      <x:c r="R25" s="80" t="str">
        <x:v>Find CEO or BD lead and send teardown ask</x:v>
      </x:c>
      <x:c r="S25" s="98" t="str"/>
      <x:c r="T25" s="99" t="str">
        <x:v>Strong fit and public contact form</x:v>
      </x:c>
    </x:row>
    <x:row r="26">
      <x:c r="A26" s="79" t="str">
        <x:v>Fireball Industries</x:v>
      </x:c>
      <x:c r="B26" s="80" t="str">
        <x:v>https://www.fireballz.ai</x:v>
      </x:c>
      <x:c r="C26" s="80" t="str">
        <x:v>https://www.fireballz.ai/get-a-quote</x:v>
      </x:c>
      <x:c r="D26" s="80" t="str"/>
      <x:c r="E26" s="80" t="str">
        <x:v>Founder / Sales Lead</x:v>
      </x:c>
      <x:c r="F26" s="80" t="str"/>
      <x:c r="G26" s="80" t="str">
        <x:v>Industry 4.0 and AI automation</x:v>
      </x:c>
      <x:c r="H26" s="80" t="str">
        <x:v>1-20</x:v>
      </x:c>
      <x:c r="I26" s="80" t="str">
        <x:v>High</x:v>
      </x:c>
      <x:c r="J26" s="80" t="str">
        <x:v>Unknown</x:v>
      </x:c>
      <x:c r="K26" s="81" t="str">
        <x:v>Quote form asks project overview but does not visibly route by AI vision, predictive maintenance, robotics, PLC/edge deployment, or urgency.</x:v>
      </x:c>
      <x:c r="L26" s="81" t="str">
        <x:v>AI use case, plant process, PLC/edge stack, desired outcome, timeline, and budget</x:v>
      </x:c>
      <x:c r="M26" s="81" t="str">
        <x:v>AI-industrial positioning with project quote motion is close to ideal</x:v>
      </x:c>
      <x:c r="N26" s="97" t="str">
        <x:v>5</x:v>
      </x:c>
      <x:c r="O26" s="80" t="str">
        <x:v>Teardown first</x:v>
      </x:c>
      <x:c r="P26" s="80" t="str">
        <x:v>Not started</x:v>
      </x:c>
      <x:c r="Q26" s="80" t="str">
        <x:v>Not started</x:v>
      </x:c>
      <x:c r="R26" s="80" t="str">
        <x:v>Find founder or sales lead and send teardown ask</x:v>
      </x:c>
      <x:c r="S26" s="98" t="str"/>
      <x:c r="T26" s="99" t="str">
        <x:v>Very strong .ai industrial account</x:v>
      </x:c>
    </x:row>
    <x:row r="27">
      <x:c r="A27" s="79" t="str">
        <x:v>Industrial Kinetics</x:v>
      </x:c>
      <x:c r="B27" s="80" t="str">
        <x:v>https://www.iki.com</x:v>
      </x:c>
      <x:c r="C27" s="80" t="str">
        <x:v>https://www.iki.com/contact</x:v>
      </x:c>
      <x:c r="D27" s="80" t="str"/>
      <x:c r="E27" s="80" t="str">
        <x:v>Sales Manager / Project Sales</x:v>
      </x:c>
      <x:c r="F27" s="80" t="str"/>
      <x:c r="G27" s="80" t="str">
        <x:v>Conveyor and automation systems</x:v>
      </x:c>
      <x:c r="H27" s="80" t="str">
        <x:v>51-200</x:v>
      </x:c>
      <x:c r="I27" s="80" t="str">
        <x:v>High</x:v>
      </x:c>
      <x:c r="J27" s="80" t="str">
        <x:v>Unknown</x:v>
      </x:c>
      <x:c r="K27" s="81" t="str">
        <x:v>Request-quote form captures material and description but could pre-build routing around system type, urgency, constraints, facility, and budget.</x:v>
      </x:c>
      <x:c r="L27" s="81" t="str">
        <x:v>material handled, system type, facility constraints, purchase timeline, budget, and stakeholders</x:v>
      </x:c>
      <x:c r="M27" s="81" t="str">
        <x:v>Complex engineered systems have quote intake that can be improved with AI profiling</x:v>
      </x:c>
      <x:c r="N27" s="97" t="str">
        <x:v>4</x:v>
      </x:c>
      <x:c r="O27" s="80" t="str">
        <x:v>Teardown first</x:v>
      </x:c>
      <x:c r="P27" s="80" t="str">
        <x:v>Not started</x:v>
      </x:c>
      <x:c r="Q27" s="80" t="str">
        <x:v>Not started</x:v>
      </x:c>
      <x:c r="R27" s="80" t="str">
        <x:v>Find sales or project sales lead and send teardown ask</x:v>
      </x:c>
      <x:c r="S27" s="98" t="str"/>
      <x:c r="T27" s="99" t="str">
        <x:v>Visible detailed quote form</x:v>
      </x:c>
    </x:row>
    <x:row r="28">
      <x:c r="A28" s="79" t="str">
        <x:v>Pieper Automation</x:v>
      </x:c>
      <x:c r="B28" s="80" t="str">
        <x:v>https://www.pieperpower.com</x:v>
      </x:c>
      <x:c r="C28" s="80" t="str">
        <x:v>https://www.pieperpower.com/pieper-automation-contact-us</x:v>
      </x:c>
      <x:c r="D28" s="80" t="str"/>
      <x:c r="E28" s="80" t="str">
        <x:v>Automation Sales / Vision Lead</x:v>
      </x:c>
      <x:c r="F28" s="80" t="str"/>
      <x:c r="G28" s="80" t="str">
        <x:v>Machine vision and automation</x:v>
      </x:c>
      <x:c r="H28" s="80" t="str">
        <x:v>51-200</x:v>
      </x:c>
      <x:c r="I28" s="80" t="str">
        <x:v>High</x:v>
      </x:c>
      <x:c r="J28" s="80" t="str">
        <x:v>Unknown</x:v>
      </x:c>
      <x:c r="K28" s="81" t="str">
        <x:v>Automation contact path does not visibly capture inspection type, camera/lighting constraints, line speed, product variability, or validation requirements.</x:v>
      </x:c>
      <x:c r="L28" s="81" t="str">
        <x:v>inspection type, camera/lighting constraints, line speed, product variability, validation needs, and timeline</x:v>
      </x:c>
      <x:c r="M28" s="81" t="str">
        <x:v>Vision inspection projects need context before an engineer or sales callback</x:v>
      </x:c>
      <x:c r="N28" s="97" t="str">
        <x:v>5</x:v>
      </x:c>
      <x:c r="O28" s="80" t="str">
        <x:v>Teardown first</x:v>
      </x:c>
      <x:c r="P28" s="80" t="str">
        <x:v>Not started</x:v>
      </x:c>
      <x:c r="Q28" s="80" t="str">
        <x:v>Not started</x:v>
      </x:c>
      <x:c r="R28" s="80" t="str">
        <x:v>Find automation sales or vision lead and send teardown ask</x:v>
      </x:c>
      <x:c r="S28" s="98" t="str"/>
      <x:c r="T28" s="99" t="str">
        <x:v>Strong machine-vision use case</x:v>
      </x:c>
    </x:row>
    <x:row r="29">
      <x:c r="A29" s="79" t="str">
        <x:v>Automation and Control Services</x:v>
      </x:c>
      <x:c r="B29" s="80" t="str">
        <x:v>https://plcexperts.com/</x:v>
      </x:c>
      <x:c r="C29" s="80" t="str">
        <x:v>https://plcexperts.com/</x:v>
      </x:c>
      <x:c r="D29" s="80" t="str"/>
      <x:c r="E29" s="80" t="str">
        <x:v>Owner / Sales Manager</x:v>
      </x:c>
      <x:c r="F29" s="80" t="str"/>
      <x:c r="G29" s="80" t="str">
        <x:v>Automation controls and robotics</x:v>
      </x:c>
      <x:c r="H29" s="80" t="str">
        <x:v>11-50</x:v>
      </x:c>
      <x:c r="I29" s="80" t="str">
        <x:v>High</x:v>
      </x:c>
      <x:c r="J29" s="80" t="str">
        <x:v>Unknown</x:v>
      </x:c>
      <x:c r="K29" s="81" t="str">
        <x:v>Request-a-quote path does not visibly collect PLC/HMI, robot brand, panel needs, industry, project urgency, or support requirements.</x:v>
      </x:c>
      <x:c r="L29" s="81" t="str">
        <x:v>PLC/HMI stack, robot brand, panel needs, industry, urgency, and service scope</x:v>
      </x:c>
      <x:c r="M29" s="81" t="str">
        <x:v>Controls and robotics projects are technical but usually handled with basic intake</x:v>
      </x:c>
      <x:c r="N29" s="97" t="str">
        <x:v>5</x:v>
      </x:c>
      <x:c r="O29" s="80" t="str">
        <x:v>Teardown first</x:v>
      </x:c>
      <x:c r="P29" s="80" t="str">
        <x:v>Not started</x:v>
      </x:c>
      <x:c r="Q29" s="80" t="str">
        <x:v>Not started</x:v>
      </x:c>
      <x:c r="R29" s="80" t="str">
        <x:v>Find owner or sales lead and send teardown ask</x:v>
      </x:c>
      <x:c r="S29" s="98" t="str"/>
      <x:c r="T29" s="99" t="str">
        <x:v>Great fit for non-SaaS technical niche</x:v>
      </x:c>
    </x:row>
    <x:row r="30">
      <x:c r="A30" s="79" t="str"/>
      <x:c r="B30" s="80" t="str"/>
      <x:c r="C30" s="80" t="str"/>
      <x:c r="D30" s="80" t="str"/>
      <x:c r="E30" s="80" t="str"/>
      <x:c r="F30" s="80" t="str"/>
      <x:c r="G30" s="80" t="str">
        <x:v>Vertical SaaS</x:v>
      </x:c>
      <x:c r="H30" s="80" t="str"/>
      <x:c r="I30" s="80" t="str">
        <x:v>High</x:v>
      </x:c>
      <x:c r="J30" s="80" t="str">
        <x:v>HubSpot</x:v>
      </x:c>
      <x:c r="K30" s="81" t="str"/>
      <x:c r="L30" s="81" t="str"/>
      <x:c r="M30" s="81" t="str"/>
      <x:c r="N30" s="97" t="n">
        <x:v>0</x:v>
      </x:c>
      <x:c r="O30" s="80" t="str">
        <x:v>Later</x:v>
      </x:c>
      <x:c r="P30" s="80" t="str">
        <x:v>Not started</x:v>
      </x:c>
      <x:c r="Q30" s="80" t="str">
        <x:v>Not started</x:v>
      </x:c>
      <x:c r="R30" s="80" t="str"/>
      <x:c r="S30" s="98" t="str"/>
      <x:c r="T30" s="99" t="str"/>
    </x:row>
    <x:row r="31">
      <x:c r="A31" s="79" t="str"/>
      <x:c r="B31" s="80" t="str"/>
      <x:c r="C31" s="80" t="str"/>
      <x:c r="D31" s="80" t="str"/>
      <x:c r="E31" s="80" t="str"/>
      <x:c r="F31" s="80" t="str"/>
      <x:c r="G31" s="80" t="str">
        <x:v>Vertical SaaS</x:v>
      </x:c>
      <x:c r="H31" s="80" t="str"/>
      <x:c r="I31" s="80" t="str">
        <x:v>High</x:v>
      </x:c>
      <x:c r="J31" s="80" t="str">
        <x:v>HubSpot</x:v>
      </x:c>
      <x:c r="K31" s="81" t="str"/>
      <x:c r="L31" s="81" t="str"/>
      <x:c r="M31" s="81" t="str"/>
      <x:c r="N31" s="97" t="n">
        <x:v>0</x:v>
      </x:c>
      <x:c r="O31" s="80" t="str">
        <x:v>Later</x:v>
      </x:c>
      <x:c r="P31" s="80" t="str">
        <x:v>Not started</x:v>
      </x:c>
      <x:c r="Q31" s="80" t="str">
        <x:v>Not started</x:v>
      </x:c>
      <x:c r="R31" s="80" t="str"/>
      <x:c r="S31" s="98" t="str"/>
      <x:c r="T31" s="99" t="str"/>
    </x:row>
    <x:row r="32">
      <x:c r="A32" s="79" t="str"/>
      <x:c r="B32" s="80" t="str"/>
      <x:c r="C32" s="80" t="str"/>
      <x:c r="D32" s="80" t="str"/>
      <x:c r="E32" s="80" t="str"/>
      <x:c r="F32" s="80" t="str"/>
      <x:c r="G32" s="80" t="str">
        <x:v>Vertical SaaS</x:v>
      </x:c>
      <x:c r="H32" s="80" t="str"/>
      <x:c r="I32" s="80" t="str">
        <x:v>High</x:v>
      </x:c>
      <x:c r="J32" s="80" t="str">
        <x:v>HubSpot</x:v>
      </x:c>
      <x:c r="K32" s="81" t="str"/>
      <x:c r="L32" s="81" t="str"/>
      <x:c r="M32" s="81" t="str"/>
      <x:c r="N32" s="97" t="n">
        <x:v>0</x:v>
      </x:c>
      <x:c r="O32" s="80" t="str">
        <x:v>Later</x:v>
      </x:c>
      <x:c r="P32" s="80" t="str">
        <x:v>Not started</x:v>
      </x:c>
      <x:c r="Q32" s="80" t="str">
        <x:v>Not started</x:v>
      </x:c>
      <x:c r="R32" s="80" t="str"/>
      <x:c r="S32" s="98" t="str"/>
      <x:c r="T32" s="99" t="str"/>
    </x:row>
    <x:row r="33">
      <x:c r="A33" s="79" t="str"/>
      <x:c r="B33" s="80" t="str"/>
      <x:c r="C33" s="80" t="str"/>
      <x:c r="D33" s="80" t="str"/>
      <x:c r="E33" s="80" t="str"/>
      <x:c r="F33" s="80" t="str"/>
      <x:c r="G33" s="80" t="str">
        <x:v>Vertical SaaS</x:v>
      </x:c>
      <x:c r="H33" s="80" t="str"/>
      <x:c r="I33" s="80" t="str">
        <x:v>High</x:v>
      </x:c>
      <x:c r="J33" s="80" t="str">
        <x:v>HubSpot</x:v>
      </x:c>
      <x:c r="K33" s="81" t="str"/>
      <x:c r="L33" s="81" t="str"/>
      <x:c r="M33" s="81" t="str"/>
      <x:c r="N33" s="97" t="n">
        <x:v>0</x:v>
      </x:c>
      <x:c r="O33" s="80" t="str">
        <x:v>Later</x:v>
      </x:c>
      <x:c r="P33" s="80" t="str">
        <x:v>Not started</x:v>
      </x:c>
      <x:c r="Q33" s="80" t="str">
        <x:v>Not started</x:v>
      </x:c>
      <x:c r="R33" s="80" t="str"/>
      <x:c r="S33" s="98" t="str"/>
      <x:c r="T33" s="99" t="str"/>
    </x:row>
    <x:row r="34">
      <x:c r="A34" s="79" t="str"/>
      <x:c r="B34" s="80" t="str"/>
      <x:c r="C34" s="80" t="str"/>
      <x:c r="D34" s="80" t="str"/>
      <x:c r="E34" s="80" t="str"/>
      <x:c r="F34" s="80" t="str"/>
      <x:c r="G34" s="80" t="str">
        <x:v>Vertical SaaS</x:v>
      </x:c>
      <x:c r="H34" s="80" t="str"/>
      <x:c r="I34" s="80" t="str">
        <x:v>High</x:v>
      </x:c>
      <x:c r="J34" s="80" t="str">
        <x:v>HubSpot</x:v>
      </x:c>
      <x:c r="K34" s="81" t="str"/>
      <x:c r="L34" s="81" t="str"/>
      <x:c r="M34" s="81" t="str"/>
      <x:c r="N34" s="97" t="n">
        <x:v>0</x:v>
      </x:c>
      <x:c r="O34" s="80" t="str">
        <x:v>Later</x:v>
      </x:c>
      <x:c r="P34" s="80" t="str">
        <x:v>Not started</x:v>
      </x:c>
      <x:c r="Q34" s="80" t="str">
        <x:v>Not started</x:v>
      </x:c>
      <x:c r="R34" s="80" t="str"/>
      <x:c r="S34" s="98" t="str"/>
      <x:c r="T34" s="99" t="str"/>
    </x:row>
    <x:row r="35">
      <x:c r="A35" s="79" t="str"/>
      <x:c r="B35" s="80" t="str"/>
      <x:c r="C35" s="80" t="str"/>
      <x:c r="D35" s="80" t="str"/>
      <x:c r="E35" s="80" t="str"/>
      <x:c r="F35" s="80" t="str"/>
      <x:c r="G35" s="80" t="str">
        <x:v>Vertical SaaS</x:v>
      </x:c>
      <x:c r="H35" s="80" t="str"/>
      <x:c r="I35" s="80" t="str">
        <x:v>High</x:v>
      </x:c>
      <x:c r="J35" s="80" t="str">
        <x:v>HubSpot</x:v>
      </x:c>
      <x:c r="K35" s="81" t="str"/>
      <x:c r="L35" s="81" t="str"/>
      <x:c r="M35" s="81" t="str"/>
      <x:c r="N35" s="97" t="n">
        <x:v>0</x:v>
      </x:c>
      <x:c r="O35" s="80" t="str">
        <x:v>Later</x:v>
      </x:c>
      <x:c r="P35" s="80" t="str">
        <x:v>Not started</x:v>
      </x:c>
      <x:c r="Q35" s="80" t="str">
        <x:v>Not started</x:v>
      </x:c>
      <x:c r="R35" s="80" t="str"/>
      <x:c r="S35" s="98" t="str"/>
      <x:c r="T35" s="99" t="str"/>
    </x:row>
    <x:row r="36">
      <x:c r="A36" s="79" t="str"/>
      <x:c r="B36" s="80" t="str"/>
      <x:c r="C36" s="80" t="str"/>
      <x:c r="D36" s="80" t="str"/>
      <x:c r="E36" s="80" t="str"/>
      <x:c r="F36" s="80" t="str"/>
      <x:c r="G36" s="80" t="str">
        <x:v>Vertical SaaS</x:v>
      </x:c>
      <x:c r="H36" s="80" t="str"/>
      <x:c r="I36" s="80" t="str">
        <x:v>High</x:v>
      </x:c>
      <x:c r="J36" s="80" t="str">
        <x:v>HubSpot</x:v>
      </x:c>
      <x:c r="K36" s="81" t="str"/>
      <x:c r="L36" s="81" t="str"/>
      <x:c r="M36" s="81" t="str"/>
      <x:c r="N36" s="97" t="n">
        <x:v>0</x:v>
      </x:c>
      <x:c r="O36" s="80" t="str">
        <x:v>Later</x:v>
      </x:c>
      <x:c r="P36" s="80" t="str">
        <x:v>Not started</x:v>
      </x:c>
      <x:c r="Q36" s="80" t="str">
        <x:v>Not started</x:v>
      </x:c>
      <x:c r="R36" s="80" t="str"/>
      <x:c r="S36" s="98" t="str"/>
      <x:c r="T36" s="99" t="str"/>
    </x:row>
    <x:row r="37">
      <x:c r="A37" s="79" t="str"/>
      <x:c r="B37" s="80" t="str"/>
      <x:c r="C37" s="80" t="str"/>
      <x:c r="D37" s="80" t="str"/>
      <x:c r="E37" s="80" t="str"/>
      <x:c r="F37" s="80" t="str"/>
      <x:c r="G37" s="80" t="str">
        <x:v>Vertical SaaS</x:v>
      </x:c>
      <x:c r="H37" s="80" t="str"/>
      <x:c r="I37" s="80" t="str">
        <x:v>High</x:v>
      </x:c>
      <x:c r="J37" s="80" t="str">
        <x:v>HubSpot</x:v>
      </x:c>
      <x:c r="K37" s="81" t="str"/>
      <x:c r="L37" s="81" t="str"/>
      <x:c r="M37" s="81" t="str"/>
      <x:c r="N37" s="97" t="n">
        <x:v>0</x:v>
      </x:c>
      <x:c r="O37" s="80" t="str">
        <x:v>Later</x:v>
      </x:c>
      <x:c r="P37" s="80" t="str">
        <x:v>Not started</x:v>
      </x:c>
      <x:c r="Q37" s="80" t="str">
        <x:v>Not started</x:v>
      </x:c>
      <x:c r="R37" s="80" t="str"/>
      <x:c r="S37" s="98" t="str"/>
      <x:c r="T37" s="99" t="str"/>
    </x:row>
    <x:row r="38">
      <x:c r="A38" s="79" t="str"/>
      <x:c r="B38" s="80" t="str"/>
      <x:c r="C38" s="80" t="str"/>
      <x:c r="D38" s="80" t="str"/>
      <x:c r="E38" s="80" t="str"/>
      <x:c r="F38" s="80" t="str"/>
      <x:c r="G38" s="80" t="str">
        <x:v>Vertical SaaS</x:v>
      </x:c>
      <x:c r="H38" s="80" t="str"/>
      <x:c r="I38" s="80" t="str">
        <x:v>High</x:v>
      </x:c>
      <x:c r="J38" s="80" t="str">
        <x:v>HubSpot</x:v>
      </x:c>
      <x:c r="K38" s="81" t="str"/>
      <x:c r="L38" s="81" t="str"/>
      <x:c r="M38" s="81" t="str"/>
      <x:c r="N38" s="97" t="n">
        <x:v>0</x:v>
      </x:c>
      <x:c r="O38" s="80" t="str">
        <x:v>Later</x:v>
      </x:c>
      <x:c r="P38" s="80" t="str">
        <x:v>Not started</x:v>
      </x:c>
      <x:c r="Q38" s="80" t="str">
        <x:v>Not started</x:v>
      </x:c>
      <x:c r="R38" s="80" t="str"/>
      <x:c r="S38" s="98" t="str"/>
      <x:c r="T38" s="99" t="str"/>
    </x:row>
    <x:row r="39">
      <x:c r="A39" s="79" t="str"/>
      <x:c r="B39" s="80" t="str"/>
      <x:c r="C39" s="80" t="str"/>
      <x:c r="D39" s="80" t="str"/>
      <x:c r="E39" s="80" t="str"/>
      <x:c r="F39" s="80" t="str"/>
      <x:c r="G39" s="80" t="str">
        <x:v>Vertical SaaS</x:v>
      </x:c>
      <x:c r="H39" s="80" t="str"/>
      <x:c r="I39" s="80" t="str">
        <x:v>High</x:v>
      </x:c>
      <x:c r="J39" s="80" t="str">
        <x:v>HubSpot</x:v>
      </x:c>
      <x:c r="K39" s="81" t="str"/>
      <x:c r="L39" s="81" t="str"/>
      <x:c r="M39" s="81" t="str"/>
      <x:c r="N39" s="97" t="n">
        <x:v>0</x:v>
      </x:c>
      <x:c r="O39" s="80" t="str">
        <x:v>Later</x:v>
      </x:c>
      <x:c r="P39" s="80" t="str">
        <x:v>Not started</x:v>
      </x:c>
      <x:c r="Q39" s="80" t="str">
        <x:v>Not started</x:v>
      </x:c>
      <x:c r="R39" s="80" t="str"/>
      <x:c r="S39" s="98" t="str"/>
      <x:c r="T39" s="99" t="str"/>
    </x:row>
    <x:row r="40">
      <x:c r="A40" s="79" t="str"/>
      <x:c r="B40" s="80" t="str"/>
      <x:c r="C40" s="80" t="str"/>
      <x:c r="D40" s="80" t="str"/>
      <x:c r="E40" s="80" t="str"/>
      <x:c r="F40" s="80" t="str"/>
      <x:c r="G40" s="80" t="str">
        <x:v>Vertical SaaS</x:v>
      </x:c>
      <x:c r="H40" s="80" t="str"/>
      <x:c r="I40" s="80" t="str">
        <x:v>High</x:v>
      </x:c>
      <x:c r="J40" s="80" t="str">
        <x:v>HubSpot</x:v>
      </x:c>
      <x:c r="K40" s="81" t="str"/>
      <x:c r="L40" s="81" t="str"/>
      <x:c r="M40" s="81" t="str"/>
      <x:c r="N40" s="97" t="n">
        <x:v>0</x:v>
      </x:c>
      <x:c r="O40" s="80" t="str">
        <x:v>Later</x:v>
      </x:c>
      <x:c r="P40" s="80" t="str">
        <x:v>Not started</x:v>
      </x:c>
      <x:c r="Q40" s="80" t="str">
        <x:v>Not started</x:v>
      </x:c>
      <x:c r="R40" s="80" t="str"/>
      <x:c r="S40" s="98" t="str"/>
      <x:c r="T40" s="99" t="str"/>
    </x:row>
    <x:row r="41">
      <x:c r="A41" s="79" t="str"/>
      <x:c r="B41" s="80" t="str"/>
      <x:c r="C41" s="80" t="str"/>
      <x:c r="D41" s="80" t="str"/>
      <x:c r="E41" s="80" t="str"/>
      <x:c r="F41" s="80" t="str"/>
      <x:c r="G41" s="80" t="str">
        <x:v>Vertical SaaS</x:v>
      </x:c>
      <x:c r="H41" s="80" t="str"/>
      <x:c r="I41" s="80" t="str">
        <x:v>High</x:v>
      </x:c>
      <x:c r="J41" s="80" t="str">
        <x:v>HubSpot</x:v>
      </x:c>
      <x:c r="K41" s="81" t="str"/>
      <x:c r="L41" s="81" t="str"/>
      <x:c r="M41" s="81" t="str"/>
      <x:c r="N41" s="97" t="n">
        <x:v>0</x:v>
      </x:c>
      <x:c r="O41" s="80" t="str">
        <x:v>Later</x:v>
      </x:c>
      <x:c r="P41" s="80" t="str">
        <x:v>Not started</x:v>
      </x:c>
      <x:c r="Q41" s="80" t="str">
        <x:v>Not started</x:v>
      </x:c>
      <x:c r="R41" s="80" t="str"/>
      <x:c r="S41" s="98" t="str"/>
      <x:c r="T41" s="99" t="str"/>
    </x:row>
    <x:row r="42">
      <x:c r="A42" s="79" t="str"/>
      <x:c r="B42" s="80" t="str"/>
      <x:c r="C42" s="80" t="str"/>
      <x:c r="D42" s="80" t="str"/>
      <x:c r="E42" s="80" t="str"/>
      <x:c r="F42" s="80" t="str"/>
      <x:c r="G42" s="80" t="str">
        <x:v>Vertical SaaS</x:v>
      </x:c>
      <x:c r="H42" s="80" t="str"/>
      <x:c r="I42" s="80" t="str">
        <x:v>High</x:v>
      </x:c>
      <x:c r="J42" s="80" t="str">
        <x:v>HubSpot</x:v>
      </x:c>
      <x:c r="K42" s="81" t="str"/>
      <x:c r="L42" s="81" t="str"/>
      <x:c r="M42" s="81" t="str"/>
      <x:c r="N42" s="97" t="n">
        <x:v>0</x:v>
      </x:c>
      <x:c r="O42" s="80" t="str">
        <x:v>Later</x:v>
      </x:c>
      <x:c r="P42" s="80" t="str">
        <x:v>Not started</x:v>
      </x:c>
      <x:c r="Q42" s="80" t="str">
        <x:v>Not started</x:v>
      </x:c>
      <x:c r="R42" s="80" t="str"/>
      <x:c r="S42" s="98" t="str"/>
      <x:c r="T42" s="99" t="str"/>
    </x:row>
    <x:row r="43">
      <x:c r="A43" s="79" t="str"/>
      <x:c r="B43" s="80" t="str"/>
      <x:c r="C43" s="80" t="str"/>
      <x:c r="D43" s="80" t="str"/>
      <x:c r="E43" s="80" t="str"/>
      <x:c r="F43" s="80" t="str"/>
      <x:c r="G43" s="80" t="str">
        <x:v>Vertical SaaS</x:v>
      </x:c>
      <x:c r="H43" s="80" t="str"/>
      <x:c r="I43" s="80" t="str">
        <x:v>High</x:v>
      </x:c>
      <x:c r="J43" s="80" t="str">
        <x:v>HubSpot</x:v>
      </x:c>
      <x:c r="K43" s="81" t="str"/>
      <x:c r="L43" s="81" t="str"/>
      <x:c r="M43" s="81" t="str"/>
      <x:c r="N43" s="97" t="n">
        <x:v>0</x:v>
      </x:c>
      <x:c r="O43" s="80" t="str">
        <x:v>Later</x:v>
      </x:c>
      <x:c r="P43" s="80" t="str">
        <x:v>Not started</x:v>
      </x:c>
      <x:c r="Q43" s="80" t="str">
        <x:v>Not started</x:v>
      </x:c>
      <x:c r="R43" s="80" t="str"/>
      <x:c r="S43" s="98" t="str"/>
      <x:c r="T43" s="99" t="str"/>
    </x:row>
    <x:row r="44">
      <x:c r="A44" s="79" t="str"/>
      <x:c r="B44" s="80" t="str"/>
      <x:c r="C44" s="80" t="str"/>
      <x:c r="D44" s="80" t="str"/>
      <x:c r="E44" s="80" t="str"/>
      <x:c r="F44" s="80" t="str"/>
      <x:c r="G44" s="80" t="str">
        <x:v>Vertical SaaS</x:v>
      </x:c>
      <x:c r="H44" s="80" t="str"/>
      <x:c r="I44" s="80" t="str">
        <x:v>High</x:v>
      </x:c>
      <x:c r="J44" s="80" t="str">
        <x:v>HubSpot</x:v>
      </x:c>
      <x:c r="K44" s="81" t="str"/>
      <x:c r="L44" s="81" t="str"/>
      <x:c r="M44" s="81" t="str"/>
      <x:c r="N44" s="97" t="n">
        <x:v>0</x:v>
      </x:c>
      <x:c r="O44" s="80" t="str">
        <x:v>Later</x:v>
      </x:c>
      <x:c r="P44" s="80" t="str">
        <x:v>Not started</x:v>
      </x:c>
      <x:c r="Q44" s="80" t="str">
        <x:v>Not started</x:v>
      </x:c>
      <x:c r="R44" s="80" t="str"/>
      <x:c r="S44" s="98" t="str"/>
      <x:c r="T44" s="99" t="str"/>
    </x:row>
    <x:row r="45">
      <x:c r="A45" s="79" t="str"/>
      <x:c r="B45" s="80" t="str"/>
      <x:c r="C45" s="80" t="str"/>
      <x:c r="D45" s="80" t="str"/>
      <x:c r="E45" s="80" t="str"/>
      <x:c r="F45" s="80" t="str"/>
      <x:c r="G45" s="80" t="str">
        <x:v>Vertical SaaS</x:v>
      </x:c>
      <x:c r="H45" s="80" t="str"/>
      <x:c r="I45" s="80" t="str">
        <x:v>High</x:v>
      </x:c>
      <x:c r="J45" s="80" t="str">
        <x:v>HubSpot</x:v>
      </x:c>
      <x:c r="K45" s="81" t="str"/>
      <x:c r="L45" s="81" t="str"/>
      <x:c r="M45" s="81" t="str"/>
      <x:c r="N45" s="97" t="n">
        <x:v>0</x:v>
      </x:c>
      <x:c r="O45" s="80" t="str">
        <x:v>Later</x:v>
      </x:c>
      <x:c r="P45" s="80" t="str">
        <x:v>Not started</x:v>
      </x:c>
      <x:c r="Q45" s="80" t="str">
        <x:v>Not started</x:v>
      </x:c>
      <x:c r="R45" s="80" t="str"/>
      <x:c r="S45" s="98" t="str"/>
      <x:c r="T45" s="99" t="str"/>
    </x:row>
    <x:row r="46">
      <x:c r="A46" s="79" t="str"/>
      <x:c r="B46" s="80" t="str"/>
      <x:c r="C46" s="80" t="str"/>
      <x:c r="D46" s="80" t="str"/>
      <x:c r="E46" s="80" t="str"/>
      <x:c r="F46" s="80" t="str"/>
      <x:c r="G46" s="80" t="str">
        <x:v>Vertical SaaS</x:v>
      </x:c>
      <x:c r="H46" s="80" t="str"/>
      <x:c r="I46" s="80" t="str">
        <x:v>High</x:v>
      </x:c>
      <x:c r="J46" s="80" t="str">
        <x:v>HubSpot</x:v>
      </x:c>
      <x:c r="K46" s="81" t="str"/>
      <x:c r="L46" s="81" t="str"/>
      <x:c r="M46" s="81" t="str"/>
      <x:c r="N46" s="97" t="n">
        <x:v>0</x:v>
      </x:c>
      <x:c r="O46" s="80" t="str">
        <x:v>Later</x:v>
      </x:c>
      <x:c r="P46" s="80" t="str">
        <x:v>Not started</x:v>
      </x:c>
      <x:c r="Q46" s="80" t="str">
        <x:v>Not started</x:v>
      </x:c>
      <x:c r="R46" s="80" t="str"/>
      <x:c r="S46" s="98" t="str"/>
      <x:c r="T46" s="99" t="str"/>
    </x:row>
    <x:row r="47">
      <x:c r="A47" s="79" t="str"/>
      <x:c r="B47" s="80" t="str"/>
      <x:c r="C47" s="80" t="str"/>
      <x:c r="D47" s="80" t="str"/>
      <x:c r="E47" s="80" t="str"/>
      <x:c r="F47" s="80" t="str"/>
      <x:c r="G47" s="80" t="str">
        <x:v>Vertical SaaS</x:v>
      </x:c>
      <x:c r="H47" s="80" t="str"/>
      <x:c r="I47" s="80" t="str">
        <x:v>High</x:v>
      </x:c>
      <x:c r="J47" s="80" t="str">
        <x:v>HubSpot</x:v>
      </x:c>
      <x:c r="K47" s="81" t="str"/>
      <x:c r="L47" s="81" t="str"/>
      <x:c r="M47" s="81" t="str"/>
      <x:c r="N47" s="97" t="n">
        <x:v>0</x:v>
      </x:c>
      <x:c r="O47" s="80" t="str">
        <x:v>Later</x:v>
      </x:c>
      <x:c r="P47" s="80" t="str">
        <x:v>Not started</x:v>
      </x:c>
      <x:c r="Q47" s="80" t="str">
        <x:v>Not started</x:v>
      </x:c>
      <x:c r="R47" s="80" t="str"/>
      <x:c r="S47" s="98" t="str"/>
      <x:c r="T47" s="99" t="str"/>
    </x:row>
    <x:row r="48">
      <x:c r="A48" s="79" t="str"/>
      <x:c r="B48" s="80" t="str"/>
      <x:c r="C48" s="80" t="str"/>
      <x:c r="D48" s="80" t="str"/>
      <x:c r="E48" s="80" t="str"/>
      <x:c r="F48" s="80" t="str"/>
      <x:c r="G48" s="80" t="str">
        <x:v>Vertical SaaS</x:v>
      </x:c>
      <x:c r="H48" s="80" t="str"/>
      <x:c r="I48" s="80" t="str">
        <x:v>High</x:v>
      </x:c>
      <x:c r="J48" s="80" t="str">
        <x:v>HubSpot</x:v>
      </x:c>
      <x:c r="K48" s="81" t="str"/>
      <x:c r="L48" s="81" t="str"/>
      <x:c r="M48" s="81" t="str"/>
      <x:c r="N48" s="97" t="n">
        <x:v>0</x:v>
      </x:c>
      <x:c r="O48" s="80" t="str">
        <x:v>Later</x:v>
      </x:c>
      <x:c r="P48" s="80" t="str">
        <x:v>Not started</x:v>
      </x:c>
      <x:c r="Q48" s="80" t="str">
        <x:v>Not started</x:v>
      </x:c>
      <x:c r="R48" s="80" t="str"/>
      <x:c r="S48" s="98" t="str"/>
      <x:c r="T48" s="99" t="str"/>
    </x:row>
    <x:row r="49">
      <x:c r="A49" s="79" t="str"/>
      <x:c r="B49" s="80" t="str"/>
      <x:c r="C49" s="80" t="str"/>
      <x:c r="D49" s="80" t="str"/>
      <x:c r="E49" s="80" t="str"/>
      <x:c r="F49" s="80" t="str"/>
      <x:c r="G49" s="80" t="str">
        <x:v>Vertical SaaS</x:v>
      </x:c>
      <x:c r="H49" s="80" t="str"/>
      <x:c r="I49" s="80" t="str">
        <x:v>High</x:v>
      </x:c>
      <x:c r="J49" s="80" t="str">
        <x:v>HubSpot</x:v>
      </x:c>
      <x:c r="K49" s="81" t="str"/>
      <x:c r="L49" s="81" t="str"/>
      <x:c r="M49" s="81" t="str"/>
      <x:c r="N49" s="97" t="n">
        <x:v>0</x:v>
      </x:c>
      <x:c r="O49" s="80" t="str">
        <x:v>Later</x:v>
      </x:c>
      <x:c r="P49" s="80" t="str">
        <x:v>Not started</x:v>
      </x:c>
      <x:c r="Q49" s="80" t="str">
        <x:v>Not started</x:v>
      </x:c>
      <x:c r="R49" s="80" t="str"/>
      <x:c r="S49" s="98" t="str"/>
      <x:c r="T49" s="99" t="str"/>
    </x:row>
    <x:row r="50">
      <x:c r="A50" s="79" t="str"/>
      <x:c r="B50" s="80" t="str"/>
      <x:c r="C50" s="80" t="str"/>
      <x:c r="D50" s="80" t="str"/>
      <x:c r="E50" s="80" t="str"/>
      <x:c r="F50" s="80" t="str"/>
      <x:c r="G50" s="80" t="str">
        <x:v>Vertical SaaS</x:v>
      </x:c>
      <x:c r="H50" s="80" t="str"/>
      <x:c r="I50" s="80" t="str">
        <x:v>High</x:v>
      </x:c>
      <x:c r="J50" s="80" t="str">
        <x:v>HubSpot</x:v>
      </x:c>
      <x:c r="K50" s="81" t="str"/>
      <x:c r="L50" s="81" t="str"/>
      <x:c r="M50" s="81" t="str"/>
      <x:c r="N50" s="97" t="n">
        <x:v>0</x:v>
      </x:c>
      <x:c r="O50" s="80" t="str">
        <x:v>Later</x:v>
      </x:c>
      <x:c r="P50" s="80" t="str">
        <x:v>Not started</x:v>
      </x:c>
      <x:c r="Q50" s="80" t="str">
        <x:v>Not started</x:v>
      </x:c>
      <x:c r="R50" s="80" t="str"/>
      <x:c r="S50" s="98" t="str"/>
      <x:c r="T50" s="99" t="str"/>
    </x:row>
    <x:row r="51">
      <x:c r="A51" s="79" t="str"/>
      <x:c r="B51" s="80" t="str"/>
      <x:c r="C51" s="80" t="str"/>
      <x:c r="D51" s="80" t="str"/>
      <x:c r="E51" s="80" t="str"/>
      <x:c r="F51" s="80" t="str"/>
      <x:c r="G51" s="80" t="str">
        <x:v>Vertical SaaS</x:v>
      </x:c>
      <x:c r="H51" s="80" t="str"/>
      <x:c r="I51" s="80" t="str">
        <x:v>High</x:v>
      </x:c>
      <x:c r="J51" s="80" t="str">
        <x:v>HubSpot</x:v>
      </x:c>
      <x:c r="K51" s="81" t="str"/>
      <x:c r="L51" s="81" t="str"/>
      <x:c r="M51" s="81" t="str"/>
      <x:c r="N51" s="97" t="n">
        <x:v>0</x:v>
      </x:c>
      <x:c r="O51" s="80" t="str">
        <x:v>Later</x:v>
      </x:c>
      <x:c r="P51" s="80" t="str">
        <x:v>Not started</x:v>
      </x:c>
      <x:c r="Q51" s="80" t="str">
        <x:v>Not started</x:v>
      </x:c>
      <x:c r="R51" s="80" t="str"/>
      <x:c r="S51" s="98" t="str"/>
      <x:c r="T51" s="99" t="str"/>
    </x:row>
    <x:row r="52">
      <x:c r="A52" s="79" t="str"/>
      <x:c r="B52" s="80" t="str"/>
      <x:c r="C52" s="80" t="str"/>
      <x:c r="D52" s="80" t="str"/>
      <x:c r="E52" s="80" t="str"/>
      <x:c r="F52" s="80" t="str"/>
      <x:c r="G52" s="80" t="str">
        <x:v>Vertical SaaS</x:v>
      </x:c>
      <x:c r="H52" s="80" t="str"/>
      <x:c r="I52" s="80" t="str">
        <x:v>High</x:v>
      </x:c>
      <x:c r="J52" s="80" t="str">
        <x:v>HubSpot</x:v>
      </x:c>
      <x:c r="K52" s="81" t="str"/>
      <x:c r="L52" s="81" t="str"/>
      <x:c r="M52" s="81" t="str"/>
      <x:c r="N52" s="97" t="n">
        <x:v>0</x:v>
      </x:c>
      <x:c r="O52" s="80" t="str">
        <x:v>Later</x:v>
      </x:c>
      <x:c r="P52" s="80" t="str">
        <x:v>Not started</x:v>
      </x:c>
      <x:c r="Q52" s="80" t="str">
        <x:v>Not started</x:v>
      </x:c>
      <x:c r="R52" s="80" t="str"/>
      <x:c r="S52" s="98" t="str"/>
      <x:c r="T52" s="99" t="str"/>
    </x:row>
    <x:row r="53">
      <x:c r="A53" s="79" t="str"/>
      <x:c r="B53" s="80" t="str"/>
      <x:c r="C53" s="80" t="str"/>
      <x:c r="D53" s="80" t="str"/>
      <x:c r="E53" s="80" t="str"/>
      <x:c r="F53" s="80" t="str"/>
      <x:c r="G53" s="80" t="str">
        <x:v>Vertical SaaS</x:v>
      </x:c>
      <x:c r="H53" s="80" t="str"/>
      <x:c r="I53" s="80" t="str">
        <x:v>High</x:v>
      </x:c>
      <x:c r="J53" s="80" t="str">
        <x:v>HubSpot</x:v>
      </x:c>
      <x:c r="K53" s="81" t="str"/>
      <x:c r="L53" s="81" t="str"/>
      <x:c r="M53" s="81" t="str"/>
      <x:c r="N53" s="97" t="n">
        <x:v>0</x:v>
      </x:c>
      <x:c r="O53" s="80" t="str">
        <x:v>Later</x:v>
      </x:c>
      <x:c r="P53" s="80" t="str">
        <x:v>Not started</x:v>
      </x:c>
      <x:c r="Q53" s="80" t="str">
        <x:v>Not started</x:v>
      </x:c>
      <x:c r="R53" s="80" t="str"/>
      <x:c r="S53" s="98" t="str"/>
      <x:c r="T53" s="99" t="str"/>
    </x:row>
    <x:row r="54">
      <x:c r="A54" s="79" t="str"/>
      <x:c r="B54" s="80" t="str"/>
      <x:c r="C54" s="80" t="str"/>
      <x:c r="D54" s="80" t="str"/>
      <x:c r="E54" s="80" t="str"/>
      <x:c r="F54" s="80" t="str"/>
      <x:c r="G54" s="80" t="str">
        <x:v>Vertical SaaS</x:v>
      </x:c>
      <x:c r="H54" s="80" t="str"/>
      <x:c r="I54" s="80" t="str">
        <x:v>High</x:v>
      </x:c>
      <x:c r="J54" s="80" t="str">
        <x:v>HubSpot</x:v>
      </x:c>
      <x:c r="K54" s="81" t="str"/>
      <x:c r="L54" s="81" t="str"/>
      <x:c r="M54" s="81" t="str"/>
      <x:c r="N54" s="97" t="n">
        <x:v>0</x:v>
      </x:c>
      <x:c r="O54" s="80" t="str">
        <x:v>Later</x:v>
      </x:c>
      <x:c r="P54" s="80" t="str">
        <x:v>Not started</x:v>
      </x:c>
      <x:c r="Q54" s="80" t="str">
        <x:v>Not started</x:v>
      </x:c>
      <x:c r="R54" s="80" t="str"/>
      <x:c r="S54" s="98" t="str"/>
      <x:c r="T54" s="99" t="str"/>
    </x:row>
    <x:row r="55">
      <x:c r="A55" s="79" t="str"/>
      <x:c r="B55" s="80" t="str"/>
      <x:c r="C55" s="80" t="str"/>
      <x:c r="D55" s="80" t="str"/>
      <x:c r="E55" s="80" t="str"/>
      <x:c r="F55" s="80" t="str"/>
      <x:c r="G55" s="80" t="str">
        <x:v>Vertical SaaS</x:v>
      </x:c>
      <x:c r="H55" s="80" t="str"/>
      <x:c r="I55" s="80" t="str">
        <x:v>High</x:v>
      </x:c>
      <x:c r="J55" s="80" t="str">
        <x:v>HubSpot</x:v>
      </x:c>
      <x:c r="K55" s="81" t="str"/>
      <x:c r="L55" s="81" t="str"/>
      <x:c r="M55" s="81" t="str"/>
      <x:c r="N55" s="97" t="n">
        <x:v>0</x:v>
      </x:c>
      <x:c r="O55" s="80" t="str">
        <x:v>Later</x:v>
      </x:c>
      <x:c r="P55" s="80" t="str">
        <x:v>Not started</x:v>
      </x:c>
      <x:c r="Q55" s="80" t="str">
        <x:v>Not started</x:v>
      </x:c>
      <x:c r="R55" s="80" t="str"/>
      <x:c r="S55" s="98" t="str"/>
      <x:c r="T55" s="99" t="str"/>
    </x:row>
    <x:row r="56">
      <x:c r="A56" s="79" t="str"/>
      <x:c r="B56" s="80" t="str"/>
      <x:c r="C56" s="80" t="str"/>
      <x:c r="D56" s="80" t="str"/>
      <x:c r="E56" s="80" t="str"/>
      <x:c r="F56" s="80" t="str"/>
      <x:c r="G56" s="80" t="str">
        <x:v>Vertical SaaS</x:v>
      </x:c>
      <x:c r="H56" s="80" t="str"/>
      <x:c r="I56" s="80" t="str">
        <x:v>High</x:v>
      </x:c>
      <x:c r="J56" s="80" t="str">
        <x:v>HubSpot</x:v>
      </x:c>
      <x:c r="K56" s="81" t="str"/>
      <x:c r="L56" s="81" t="str"/>
      <x:c r="M56" s="81" t="str"/>
      <x:c r="N56" s="97" t="n">
        <x:v>0</x:v>
      </x:c>
      <x:c r="O56" s="80" t="str">
        <x:v>Later</x:v>
      </x:c>
      <x:c r="P56" s="80" t="str">
        <x:v>Not started</x:v>
      </x:c>
      <x:c r="Q56" s="80" t="str">
        <x:v>Not started</x:v>
      </x:c>
      <x:c r="R56" s="80" t="str"/>
      <x:c r="S56" s="98" t="str"/>
      <x:c r="T56" s="99" t="str"/>
    </x:row>
    <x:row r="57">
      <x:c r="A57" s="79" t="str"/>
      <x:c r="B57" s="80" t="str"/>
      <x:c r="C57" s="80" t="str"/>
      <x:c r="D57" s="80" t="str"/>
      <x:c r="E57" s="80" t="str"/>
      <x:c r="F57" s="80" t="str"/>
      <x:c r="G57" s="80" t="str">
        <x:v>Vertical SaaS</x:v>
      </x:c>
      <x:c r="H57" s="80" t="str"/>
      <x:c r="I57" s="80" t="str">
        <x:v>High</x:v>
      </x:c>
      <x:c r="J57" s="80" t="str">
        <x:v>HubSpot</x:v>
      </x:c>
      <x:c r="K57" s="81" t="str"/>
      <x:c r="L57" s="81" t="str"/>
      <x:c r="M57" s="81" t="str"/>
      <x:c r="N57" s="97" t="n">
        <x:v>0</x:v>
      </x:c>
      <x:c r="O57" s="80" t="str">
        <x:v>Later</x:v>
      </x:c>
      <x:c r="P57" s="80" t="str">
        <x:v>Not started</x:v>
      </x:c>
      <x:c r="Q57" s="80" t="str">
        <x:v>Not started</x:v>
      </x:c>
      <x:c r="R57" s="80" t="str"/>
      <x:c r="S57" s="98" t="str"/>
      <x:c r="T57" s="99" t="str"/>
    </x:row>
    <x:row r="58">
      <x:c r="A58" s="79" t="str"/>
      <x:c r="B58" s="80" t="str"/>
      <x:c r="C58" s="80" t="str"/>
      <x:c r="D58" s="80" t="str"/>
      <x:c r="E58" s="80" t="str"/>
      <x:c r="F58" s="80" t="str"/>
      <x:c r="G58" s="80" t="str">
        <x:v>Vertical SaaS</x:v>
      </x:c>
      <x:c r="H58" s="80" t="str"/>
      <x:c r="I58" s="80" t="str">
        <x:v>High</x:v>
      </x:c>
      <x:c r="J58" s="80" t="str">
        <x:v>HubSpot</x:v>
      </x:c>
      <x:c r="K58" s="81" t="str"/>
      <x:c r="L58" s="81" t="str"/>
      <x:c r="M58" s="81" t="str"/>
      <x:c r="N58" s="97" t="n">
        <x:v>0</x:v>
      </x:c>
      <x:c r="O58" s="80" t="str">
        <x:v>Later</x:v>
      </x:c>
      <x:c r="P58" s="80" t="str">
        <x:v>Not started</x:v>
      </x:c>
      <x:c r="Q58" s="80" t="str">
        <x:v>Not started</x:v>
      </x:c>
      <x:c r="R58" s="80" t="str"/>
      <x:c r="S58" s="98" t="str"/>
      <x:c r="T58" s="99" t="str"/>
    </x:row>
    <x:row r="59">
      <x:c r="A59" s="79" t="str"/>
      <x:c r="B59" s="80" t="str"/>
      <x:c r="C59" s="80" t="str"/>
      <x:c r="D59" s="80" t="str"/>
      <x:c r="E59" s="80" t="str"/>
      <x:c r="F59" s="80" t="str"/>
      <x:c r="G59" s="80" t="str">
        <x:v>Vertical SaaS</x:v>
      </x:c>
      <x:c r="H59" s="80" t="str"/>
      <x:c r="I59" s="80" t="str">
        <x:v>High</x:v>
      </x:c>
      <x:c r="J59" s="80" t="str">
        <x:v>HubSpot</x:v>
      </x:c>
      <x:c r="K59" s="81" t="str"/>
      <x:c r="L59" s="81" t="str"/>
      <x:c r="M59" s="81" t="str"/>
      <x:c r="N59" s="97" t="n">
        <x:v>0</x:v>
      </x:c>
      <x:c r="O59" s="80" t="str">
        <x:v>Later</x:v>
      </x:c>
      <x:c r="P59" s="80" t="str">
        <x:v>Not started</x:v>
      </x:c>
      <x:c r="Q59" s="80" t="str">
        <x:v>Not started</x:v>
      </x:c>
      <x:c r="R59" s="80" t="str"/>
      <x:c r="S59" s="98" t="str"/>
      <x:c r="T59" s="99" t="str"/>
    </x:row>
    <x:row r="60">
      <x:c r="A60" s="79" t="str"/>
      <x:c r="B60" s="80" t="str"/>
      <x:c r="C60" s="80" t="str"/>
      <x:c r="D60" s="80" t="str"/>
      <x:c r="E60" s="80" t="str"/>
      <x:c r="F60" s="80" t="str"/>
      <x:c r="G60" s="80" t="str">
        <x:v>Vertical SaaS</x:v>
      </x:c>
      <x:c r="H60" s="80" t="str"/>
      <x:c r="I60" s="80" t="str">
        <x:v>High</x:v>
      </x:c>
      <x:c r="J60" s="80" t="str">
        <x:v>HubSpot</x:v>
      </x:c>
      <x:c r="K60" s="81" t="str"/>
      <x:c r="L60" s="81" t="str"/>
      <x:c r="M60" s="81" t="str"/>
      <x:c r="N60" s="97" t="n">
        <x:v>0</x:v>
      </x:c>
      <x:c r="O60" s="80" t="str">
        <x:v>Later</x:v>
      </x:c>
      <x:c r="P60" s="80" t="str">
        <x:v>Not started</x:v>
      </x:c>
      <x:c r="Q60" s="80" t="str">
        <x:v>Not started</x:v>
      </x:c>
      <x:c r="R60" s="80" t="str"/>
      <x:c r="S60" s="98" t="str"/>
      <x:c r="T60" s="99" t="str"/>
    </x:row>
    <x:row r="61">
      <x:c r="A61" s="79" t="str"/>
      <x:c r="B61" s="80" t="str"/>
      <x:c r="C61" s="80" t="str"/>
      <x:c r="D61" s="80" t="str"/>
      <x:c r="E61" s="80" t="str"/>
      <x:c r="F61" s="80" t="str"/>
      <x:c r="G61" s="80" t="str">
        <x:v>Vertical SaaS</x:v>
      </x:c>
      <x:c r="H61" s="80" t="str"/>
      <x:c r="I61" s="80" t="str">
        <x:v>High</x:v>
      </x:c>
      <x:c r="J61" s="80" t="str">
        <x:v>HubSpot</x:v>
      </x:c>
      <x:c r="K61" s="81" t="str"/>
      <x:c r="L61" s="81" t="str"/>
      <x:c r="M61" s="81" t="str"/>
      <x:c r="N61" s="97" t="n">
        <x:v>0</x:v>
      </x:c>
      <x:c r="O61" s="80" t="str">
        <x:v>Later</x:v>
      </x:c>
      <x:c r="P61" s="80" t="str">
        <x:v>Not started</x:v>
      </x:c>
      <x:c r="Q61" s="80" t="str">
        <x:v>Not started</x:v>
      </x:c>
      <x:c r="R61" s="80" t="str"/>
      <x:c r="S61" s="98" t="str"/>
      <x:c r="T61" s="99" t="str"/>
    </x:row>
    <x:row r="62">
      <x:c r="A62" s="79" t="str"/>
      <x:c r="B62" s="80" t="str"/>
      <x:c r="C62" s="80" t="str"/>
      <x:c r="D62" s="80" t="str"/>
      <x:c r="E62" s="80" t="str"/>
      <x:c r="F62" s="80" t="str"/>
      <x:c r="G62" s="80" t="str">
        <x:v>Vertical SaaS</x:v>
      </x:c>
      <x:c r="H62" s="80" t="str"/>
      <x:c r="I62" s="80" t="str">
        <x:v>High</x:v>
      </x:c>
      <x:c r="J62" s="80" t="str">
        <x:v>HubSpot</x:v>
      </x:c>
      <x:c r="K62" s="81" t="str"/>
      <x:c r="L62" s="81" t="str"/>
      <x:c r="M62" s="81" t="str"/>
      <x:c r="N62" s="97" t="n">
        <x:v>0</x:v>
      </x:c>
      <x:c r="O62" s="80" t="str">
        <x:v>Later</x:v>
      </x:c>
      <x:c r="P62" s="80" t="str">
        <x:v>Not started</x:v>
      </x:c>
      <x:c r="Q62" s="80" t="str">
        <x:v>Not started</x:v>
      </x:c>
      <x:c r="R62" s="80" t="str"/>
      <x:c r="S62" s="98" t="str"/>
      <x:c r="T62" s="99" t="str"/>
    </x:row>
    <x:row r="63">
      <x:c r="A63" s="79" t="str"/>
      <x:c r="B63" s="80" t="str"/>
      <x:c r="C63" s="80" t="str"/>
      <x:c r="D63" s="80" t="str"/>
      <x:c r="E63" s="80" t="str"/>
      <x:c r="F63" s="80" t="str"/>
      <x:c r="G63" s="80" t="str">
        <x:v>Vertical SaaS</x:v>
      </x:c>
      <x:c r="H63" s="80" t="str"/>
      <x:c r="I63" s="80" t="str">
        <x:v>High</x:v>
      </x:c>
      <x:c r="J63" s="80" t="str">
        <x:v>HubSpot</x:v>
      </x:c>
      <x:c r="K63" s="81" t="str"/>
      <x:c r="L63" s="81" t="str"/>
      <x:c r="M63" s="81" t="str"/>
      <x:c r="N63" s="97" t="n">
        <x:v>0</x:v>
      </x:c>
      <x:c r="O63" s="80" t="str">
        <x:v>Later</x:v>
      </x:c>
      <x:c r="P63" s="80" t="str">
        <x:v>Not started</x:v>
      </x:c>
      <x:c r="Q63" s="80" t="str">
        <x:v>Not started</x:v>
      </x:c>
      <x:c r="R63" s="80" t="str"/>
      <x:c r="S63" s="98" t="str"/>
      <x:c r="T63" s="99" t="str"/>
    </x:row>
    <x:row r="64">
      <x:c r="A64" s="79" t="str"/>
      <x:c r="B64" s="80" t="str"/>
      <x:c r="C64" s="80" t="str"/>
      <x:c r="D64" s="80" t="str"/>
      <x:c r="E64" s="80" t="str"/>
      <x:c r="F64" s="80" t="str"/>
      <x:c r="G64" s="80" t="str">
        <x:v>Vertical SaaS</x:v>
      </x:c>
      <x:c r="H64" s="80" t="str"/>
      <x:c r="I64" s="80" t="str">
        <x:v>High</x:v>
      </x:c>
      <x:c r="J64" s="80" t="str">
        <x:v>HubSpot</x:v>
      </x:c>
      <x:c r="K64" s="81" t="str"/>
      <x:c r="L64" s="81" t="str"/>
      <x:c r="M64" s="81" t="str"/>
      <x:c r="N64" s="97" t="n">
        <x:v>0</x:v>
      </x:c>
      <x:c r="O64" s="80" t="str">
        <x:v>Later</x:v>
      </x:c>
      <x:c r="P64" s="80" t="str">
        <x:v>Not started</x:v>
      </x:c>
      <x:c r="Q64" s="80" t="str">
        <x:v>Not started</x:v>
      </x:c>
      <x:c r="R64" s="80" t="str"/>
      <x:c r="S64" s="98" t="str"/>
      <x:c r="T64" s="99" t="str"/>
    </x:row>
    <x:row r="65">
      <x:c r="A65" s="79" t="str"/>
      <x:c r="B65" s="80" t="str"/>
      <x:c r="C65" s="80" t="str"/>
      <x:c r="D65" s="80" t="str"/>
      <x:c r="E65" s="80" t="str"/>
      <x:c r="F65" s="80" t="str"/>
      <x:c r="G65" s="80" t="str">
        <x:v>Vertical SaaS</x:v>
      </x:c>
      <x:c r="H65" s="80" t="str"/>
      <x:c r="I65" s="80" t="str">
        <x:v>High</x:v>
      </x:c>
      <x:c r="J65" s="80" t="str">
        <x:v>HubSpot</x:v>
      </x:c>
      <x:c r="K65" s="81" t="str"/>
      <x:c r="L65" s="81" t="str"/>
      <x:c r="M65" s="81" t="str"/>
      <x:c r="N65" s="97" t="n">
        <x:v>0</x:v>
      </x:c>
      <x:c r="O65" s="80" t="str">
        <x:v>Later</x:v>
      </x:c>
      <x:c r="P65" s="80" t="str">
        <x:v>Not started</x:v>
      </x:c>
      <x:c r="Q65" s="80" t="str">
        <x:v>Not started</x:v>
      </x:c>
      <x:c r="R65" s="80" t="str"/>
      <x:c r="S65" s="98" t="str"/>
      <x:c r="T65" s="99" t="str"/>
    </x:row>
    <x:row r="66">
      <x:c r="A66" s="79" t="str"/>
      <x:c r="B66" s="80" t="str"/>
      <x:c r="C66" s="80" t="str"/>
      <x:c r="D66" s="80" t="str"/>
      <x:c r="E66" s="80" t="str"/>
      <x:c r="F66" s="80" t="str"/>
      <x:c r="G66" s="80" t="str">
        <x:v>Vertical SaaS</x:v>
      </x:c>
      <x:c r="H66" s="80" t="str"/>
      <x:c r="I66" s="80" t="str">
        <x:v>High</x:v>
      </x:c>
      <x:c r="J66" s="80" t="str">
        <x:v>HubSpot</x:v>
      </x:c>
      <x:c r="K66" s="81" t="str"/>
      <x:c r="L66" s="81" t="str"/>
      <x:c r="M66" s="81" t="str"/>
      <x:c r="N66" s="97" t="n">
        <x:v>0</x:v>
      </x:c>
      <x:c r="O66" s="80" t="str">
        <x:v>Later</x:v>
      </x:c>
      <x:c r="P66" s="80" t="str">
        <x:v>Not started</x:v>
      </x:c>
      <x:c r="Q66" s="80" t="str">
        <x:v>Not started</x:v>
      </x:c>
      <x:c r="R66" s="80" t="str"/>
      <x:c r="S66" s="98" t="str"/>
      <x:c r="T66" s="99" t="str"/>
    </x:row>
    <x:row r="67">
      <x:c r="A67" s="79" t="str"/>
      <x:c r="B67" s="80" t="str"/>
      <x:c r="C67" s="80" t="str"/>
      <x:c r="D67" s="80" t="str"/>
      <x:c r="E67" s="80" t="str"/>
      <x:c r="F67" s="80" t="str"/>
      <x:c r="G67" s="80" t="str">
        <x:v>Vertical SaaS</x:v>
      </x:c>
      <x:c r="H67" s="80" t="str"/>
      <x:c r="I67" s="80" t="str">
        <x:v>High</x:v>
      </x:c>
      <x:c r="J67" s="80" t="str">
        <x:v>HubSpot</x:v>
      </x:c>
      <x:c r="K67" s="81" t="str"/>
      <x:c r="L67" s="81" t="str"/>
      <x:c r="M67" s="81" t="str"/>
      <x:c r="N67" s="97" t="n">
        <x:v>0</x:v>
      </x:c>
      <x:c r="O67" s="80" t="str">
        <x:v>Later</x:v>
      </x:c>
      <x:c r="P67" s="80" t="str">
        <x:v>Not started</x:v>
      </x:c>
      <x:c r="Q67" s="80" t="str">
        <x:v>Not started</x:v>
      </x:c>
      <x:c r="R67" s="80" t="str"/>
      <x:c r="S67" s="98" t="str"/>
      <x:c r="T67" s="99" t="str"/>
    </x:row>
    <x:row r="68">
      <x:c r="A68" s="79" t="str"/>
      <x:c r="B68" s="80" t="str"/>
      <x:c r="C68" s="80" t="str"/>
      <x:c r="D68" s="80" t="str"/>
      <x:c r="E68" s="80" t="str"/>
      <x:c r="F68" s="80" t="str"/>
      <x:c r="G68" s="80" t="str">
        <x:v>Vertical SaaS</x:v>
      </x:c>
      <x:c r="H68" s="80" t="str"/>
      <x:c r="I68" s="80" t="str">
        <x:v>High</x:v>
      </x:c>
      <x:c r="J68" s="80" t="str">
        <x:v>HubSpot</x:v>
      </x:c>
      <x:c r="K68" s="81" t="str"/>
      <x:c r="L68" s="81" t="str"/>
      <x:c r="M68" s="81" t="str"/>
      <x:c r="N68" s="97" t="n">
        <x:v>0</x:v>
      </x:c>
      <x:c r="O68" s="80" t="str">
        <x:v>Later</x:v>
      </x:c>
      <x:c r="P68" s="80" t="str">
        <x:v>Not started</x:v>
      </x:c>
      <x:c r="Q68" s="80" t="str">
        <x:v>Not started</x:v>
      </x:c>
      <x:c r="R68" s="80" t="str"/>
      <x:c r="S68" s="98" t="str"/>
      <x:c r="T68" s="99" t="str"/>
    </x:row>
    <x:row r="69">
      <x:c r="A69" s="79" t="str"/>
      <x:c r="B69" s="80" t="str"/>
      <x:c r="C69" s="80" t="str"/>
      <x:c r="D69" s="80" t="str"/>
      <x:c r="E69" s="80" t="str"/>
      <x:c r="F69" s="80" t="str"/>
      <x:c r="G69" s="80" t="str">
        <x:v>Vertical SaaS</x:v>
      </x:c>
      <x:c r="H69" s="80" t="str"/>
      <x:c r="I69" s="80" t="str">
        <x:v>High</x:v>
      </x:c>
      <x:c r="J69" s="80" t="str">
        <x:v>HubSpot</x:v>
      </x:c>
      <x:c r="K69" s="81" t="str"/>
      <x:c r="L69" s="81" t="str"/>
      <x:c r="M69" s="81" t="str"/>
      <x:c r="N69" s="97" t="n">
        <x:v>0</x:v>
      </x:c>
      <x:c r="O69" s="80" t="str">
        <x:v>Later</x:v>
      </x:c>
      <x:c r="P69" s="80" t="str">
        <x:v>Not started</x:v>
      </x:c>
      <x:c r="Q69" s="80" t="str">
        <x:v>Not started</x:v>
      </x:c>
      <x:c r="R69" s="80" t="str"/>
      <x:c r="S69" s="98" t="str"/>
      <x:c r="T69" s="99" t="str"/>
    </x:row>
    <x:row r="70">
      <x:c r="A70" s="79" t="str"/>
      <x:c r="B70" s="80" t="str"/>
      <x:c r="C70" s="80" t="str"/>
      <x:c r="D70" s="80" t="str"/>
      <x:c r="E70" s="80" t="str"/>
      <x:c r="F70" s="80" t="str"/>
      <x:c r="G70" s="80" t="str">
        <x:v>Vertical SaaS</x:v>
      </x:c>
      <x:c r="H70" s="80" t="str"/>
      <x:c r="I70" s="80" t="str">
        <x:v>High</x:v>
      </x:c>
      <x:c r="J70" s="80" t="str">
        <x:v>HubSpot</x:v>
      </x:c>
      <x:c r="K70" s="81" t="str"/>
      <x:c r="L70" s="81" t="str"/>
      <x:c r="M70" s="81" t="str"/>
      <x:c r="N70" s="97" t="n">
        <x:v>0</x:v>
      </x:c>
      <x:c r="O70" s="80" t="str">
        <x:v>Later</x:v>
      </x:c>
      <x:c r="P70" s="80" t="str">
        <x:v>Not started</x:v>
      </x:c>
      <x:c r="Q70" s="80" t="str">
        <x:v>Not started</x:v>
      </x:c>
      <x:c r="R70" s="80" t="str"/>
      <x:c r="S70" s="98" t="str"/>
      <x:c r="T70" s="99" t="str"/>
    </x:row>
    <x:row r="71">
      <x:c r="A71" s="79" t="str"/>
      <x:c r="B71" s="80" t="str"/>
      <x:c r="C71" s="80" t="str"/>
      <x:c r="D71" s="80" t="str"/>
      <x:c r="E71" s="80" t="str"/>
      <x:c r="F71" s="80" t="str"/>
      <x:c r="G71" s="80" t="str">
        <x:v>Vertical SaaS</x:v>
      </x:c>
      <x:c r="H71" s="80" t="str"/>
      <x:c r="I71" s="80" t="str">
        <x:v>High</x:v>
      </x:c>
      <x:c r="J71" s="80" t="str">
        <x:v>HubSpot</x:v>
      </x:c>
      <x:c r="K71" s="81" t="str"/>
      <x:c r="L71" s="81" t="str"/>
      <x:c r="M71" s="81" t="str"/>
      <x:c r="N71" s="97" t="n">
        <x:v>0</x:v>
      </x:c>
      <x:c r="O71" s="80" t="str">
        <x:v>Later</x:v>
      </x:c>
      <x:c r="P71" s="80" t="str">
        <x:v>Not started</x:v>
      </x:c>
      <x:c r="Q71" s="80" t="str">
        <x:v>Not started</x:v>
      </x:c>
      <x:c r="R71" s="80" t="str"/>
      <x:c r="S71" s="98" t="str"/>
      <x:c r="T71" s="99" t="str"/>
    </x:row>
    <x:row r="72">
      <x:c r="A72" s="79" t="str"/>
      <x:c r="B72" s="80" t="str"/>
      <x:c r="C72" s="80" t="str"/>
      <x:c r="D72" s="80" t="str"/>
      <x:c r="E72" s="80" t="str"/>
      <x:c r="F72" s="80" t="str"/>
      <x:c r="G72" s="80" t="str">
        <x:v>Vertical SaaS</x:v>
      </x:c>
      <x:c r="H72" s="80" t="str"/>
      <x:c r="I72" s="80" t="str">
        <x:v>High</x:v>
      </x:c>
      <x:c r="J72" s="80" t="str">
        <x:v>HubSpot</x:v>
      </x:c>
      <x:c r="K72" s="81" t="str"/>
      <x:c r="L72" s="81" t="str"/>
      <x:c r="M72" s="81" t="str"/>
      <x:c r="N72" s="97" t="n">
        <x:v>0</x:v>
      </x:c>
      <x:c r="O72" s="80" t="str">
        <x:v>Later</x:v>
      </x:c>
      <x:c r="P72" s="80" t="str">
        <x:v>Not started</x:v>
      </x:c>
      <x:c r="Q72" s="80" t="str">
        <x:v>Not started</x:v>
      </x:c>
      <x:c r="R72" s="80" t="str"/>
      <x:c r="S72" s="98" t="str"/>
      <x:c r="T72" s="99" t="str"/>
    </x:row>
    <x:row r="73">
      <x:c r="A73" s="79" t="str"/>
      <x:c r="B73" s="80" t="str"/>
      <x:c r="C73" s="80" t="str"/>
      <x:c r="D73" s="80" t="str"/>
      <x:c r="E73" s="80" t="str"/>
      <x:c r="F73" s="80" t="str"/>
      <x:c r="G73" s="80" t="str">
        <x:v>Vertical SaaS</x:v>
      </x:c>
      <x:c r="H73" s="80" t="str"/>
      <x:c r="I73" s="80" t="str">
        <x:v>High</x:v>
      </x:c>
      <x:c r="J73" s="80" t="str">
        <x:v>HubSpot</x:v>
      </x:c>
      <x:c r="K73" s="81" t="str"/>
      <x:c r="L73" s="81" t="str"/>
      <x:c r="M73" s="81" t="str"/>
      <x:c r="N73" s="97" t="n">
        <x:v>0</x:v>
      </x:c>
      <x:c r="O73" s="80" t="str">
        <x:v>Later</x:v>
      </x:c>
      <x:c r="P73" s="80" t="str">
        <x:v>Not started</x:v>
      </x:c>
      <x:c r="Q73" s="80" t="str">
        <x:v>Not started</x:v>
      </x:c>
      <x:c r="R73" s="80" t="str"/>
      <x:c r="S73" s="98" t="str"/>
      <x:c r="T73" s="99" t="str"/>
    </x:row>
    <x:row r="74">
      <x:c r="A74" s="79" t="str"/>
      <x:c r="B74" s="80" t="str"/>
      <x:c r="C74" s="80" t="str"/>
      <x:c r="D74" s="80" t="str"/>
      <x:c r="E74" s="80" t="str"/>
      <x:c r="F74" s="80" t="str"/>
      <x:c r="G74" s="80" t="str">
        <x:v>Vertical SaaS</x:v>
      </x:c>
      <x:c r="H74" s="80" t="str"/>
      <x:c r="I74" s="80" t="str">
        <x:v>High</x:v>
      </x:c>
      <x:c r="J74" s="80" t="str">
        <x:v>HubSpot</x:v>
      </x:c>
      <x:c r="K74" s="81" t="str"/>
      <x:c r="L74" s="81" t="str"/>
      <x:c r="M74" s="81" t="str"/>
      <x:c r="N74" s="97" t="n">
        <x:v>0</x:v>
      </x:c>
      <x:c r="O74" s="80" t="str">
        <x:v>Later</x:v>
      </x:c>
      <x:c r="P74" s="80" t="str">
        <x:v>Not started</x:v>
      </x:c>
      <x:c r="Q74" s="80" t="str">
        <x:v>Not started</x:v>
      </x:c>
      <x:c r="R74" s="80" t="str"/>
      <x:c r="S74" s="98" t="str"/>
      <x:c r="T74" s="99" t="str"/>
    </x:row>
    <x:row r="75">
      <x:c r="A75" s="79" t="str"/>
      <x:c r="B75" s="80" t="str"/>
      <x:c r="C75" s="80" t="str"/>
      <x:c r="D75" s="80" t="str"/>
      <x:c r="E75" s="80" t="str"/>
      <x:c r="F75" s="80" t="str"/>
      <x:c r="G75" s="80" t="str">
        <x:v>Vertical SaaS</x:v>
      </x:c>
      <x:c r="H75" s="80" t="str"/>
      <x:c r="I75" s="80" t="str">
        <x:v>High</x:v>
      </x:c>
      <x:c r="J75" s="80" t="str">
        <x:v>HubSpot</x:v>
      </x:c>
      <x:c r="K75" s="81" t="str"/>
      <x:c r="L75" s="81" t="str"/>
      <x:c r="M75" s="81" t="str"/>
      <x:c r="N75" s="97" t="n">
        <x:v>0</x:v>
      </x:c>
      <x:c r="O75" s="80" t="str">
        <x:v>Later</x:v>
      </x:c>
      <x:c r="P75" s="80" t="str">
        <x:v>Not started</x:v>
      </x:c>
      <x:c r="Q75" s="80" t="str">
        <x:v>Not started</x:v>
      </x:c>
      <x:c r="R75" s="80" t="str"/>
      <x:c r="S75" s="98" t="str"/>
      <x:c r="T75" s="99" t="str"/>
    </x:row>
    <x:row r="76">
      <x:c r="A76" s="79" t="str"/>
      <x:c r="B76" s="80" t="str"/>
      <x:c r="C76" s="80" t="str"/>
      <x:c r="D76" s="80" t="str"/>
      <x:c r="E76" s="80" t="str"/>
      <x:c r="F76" s="80" t="str"/>
      <x:c r="G76" s="80" t="str">
        <x:v>Vertical SaaS</x:v>
      </x:c>
      <x:c r="H76" s="80" t="str"/>
      <x:c r="I76" s="80" t="str">
        <x:v>High</x:v>
      </x:c>
      <x:c r="J76" s="80" t="str">
        <x:v>HubSpot</x:v>
      </x:c>
      <x:c r="K76" s="81" t="str"/>
      <x:c r="L76" s="81" t="str"/>
      <x:c r="M76" s="81" t="str"/>
      <x:c r="N76" s="97" t="n">
        <x:v>0</x:v>
      </x:c>
      <x:c r="O76" s="80" t="str">
        <x:v>Later</x:v>
      </x:c>
      <x:c r="P76" s="80" t="str">
        <x:v>Not started</x:v>
      </x:c>
      <x:c r="Q76" s="80" t="str">
        <x:v>Not started</x:v>
      </x:c>
      <x:c r="R76" s="80" t="str"/>
      <x:c r="S76" s="98" t="str"/>
      <x:c r="T76" s="99" t="str"/>
    </x:row>
    <x:row r="77">
      <x:c r="A77" s="79" t="str"/>
      <x:c r="B77" s="80" t="str"/>
      <x:c r="C77" s="80" t="str"/>
      <x:c r="D77" s="80" t="str"/>
      <x:c r="E77" s="80" t="str"/>
      <x:c r="F77" s="80" t="str"/>
      <x:c r="G77" s="80" t="str">
        <x:v>Vertical SaaS</x:v>
      </x:c>
      <x:c r="H77" s="80" t="str"/>
      <x:c r="I77" s="80" t="str">
        <x:v>High</x:v>
      </x:c>
      <x:c r="J77" s="80" t="str">
        <x:v>HubSpot</x:v>
      </x:c>
      <x:c r="K77" s="81" t="str"/>
      <x:c r="L77" s="81" t="str"/>
      <x:c r="M77" s="81" t="str"/>
      <x:c r="N77" s="97" t="n">
        <x:v>0</x:v>
      </x:c>
      <x:c r="O77" s="80" t="str">
        <x:v>Later</x:v>
      </x:c>
      <x:c r="P77" s="80" t="str">
        <x:v>Not started</x:v>
      </x:c>
      <x:c r="Q77" s="80" t="str">
        <x:v>Not started</x:v>
      </x:c>
      <x:c r="R77" s="80" t="str"/>
      <x:c r="S77" s="98" t="str"/>
      <x:c r="T77" s="99" t="str"/>
    </x:row>
    <x:row r="78">
      <x:c r="A78" s="79" t="str"/>
      <x:c r="B78" s="80" t="str"/>
      <x:c r="C78" s="80" t="str"/>
      <x:c r="D78" s="80" t="str"/>
      <x:c r="E78" s="80" t="str"/>
      <x:c r="F78" s="80" t="str"/>
      <x:c r="G78" s="80" t="str">
        <x:v>Vertical SaaS</x:v>
      </x:c>
      <x:c r="H78" s="80" t="str"/>
      <x:c r="I78" s="80" t="str">
        <x:v>High</x:v>
      </x:c>
      <x:c r="J78" s="80" t="str">
        <x:v>HubSpot</x:v>
      </x:c>
      <x:c r="K78" s="81" t="str"/>
      <x:c r="L78" s="81" t="str"/>
      <x:c r="M78" s="81" t="str"/>
      <x:c r="N78" s="97" t="n">
        <x:v>0</x:v>
      </x:c>
      <x:c r="O78" s="80" t="str">
        <x:v>Later</x:v>
      </x:c>
      <x:c r="P78" s="80" t="str">
        <x:v>Not started</x:v>
      </x:c>
      <x:c r="Q78" s="80" t="str">
        <x:v>Not started</x:v>
      </x:c>
      <x:c r="R78" s="80" t="str"/>
      <x:c r="S78" s="98" t="str"/>
      <x:c r="T78" s="99" t="str"/>
    </x:row>
    <x:row r="79">
      <x:c r="A79" s="79" t="str"/>
      <x:c r="B79" s="80" t="str"/>
      <x:c r="C79" s="80" t="str"/>
      <x:c r="D79" s="80" t="str"/>
      <x:c r="E79" s="80" t="str"/>
      <x:c r="F79" s="80" t="str"/>
      <x:c r="G79" s="80" t="str">
        <x:v>Vertical SaaS</x:v>
      </x:c>
      <x:c r="H79" s="80" t="str"/>
      <x:c r="I79" s="80" t="str">
        <x:v>High</x:v>
      </x:c>
      <x:c r="J79" s="80" t="str">
        <x:v>HubSpot</x:v>
      </x:c>
      <x:c r="K79" s="81" t="str"/>
      <x:c r="L79" s="81" t="str"/>
      <x:c r="M79" s="81" t="str"/>
      <x:c r="N79" s="97" t="n">
        <x:v>0</x:v>
      </x:c>
      <x:c r="O79" s="80" t="str">
        <x:v>Later</x:v>
      </x:c>
      <x:c r="P79" s="80" t="str">
        <x:v>Not started</x:v>
      </x:c>
      <x:c r="Q79" s="80" t="str">
        <x:v>Not started</x:v>
      </x:c>
      <x:c r="R79" s="80" t="str"/>
      <x:c r="S79" s="98" t="str"/>
      <x:c r="T79" s="99" t="str"/>
    </x:row>
    <x:row r="80">
      <x:c r="A80" s="79" t="str"/>
      <x:c r="B80" s="80" t="str"/>
      <x:c r="C80" s="80" t="str"/>
      <x:c r="D80" s="80" t="str"/>
      <x:c r="E80" s="80" t="str"/>
      <x:c r="F80" s="80" t="str"/>
      <x:c r="G80" s="80" t="str">
        <x:v>Vertical SaaS</x:v>
      </x:c>
      <x:c r="H80" s="80" t="str"/>
      <x:c r="I80" s="80" t="str">
        <x:v>High</x:v>
      </x:c>
      <x:c r="J80" s="80" t="str">
        <x:v>HubSpot</x:v>
      </x:c>
      <x:c r="K80" s="81" t="str"/>
      <x:c r="L80" s="81" t="str"/>
      <x:c r="M80" s="81" t="str"/>
      <x:c r="N80" s="97" t="n">
        <x:v>0</x:v>
      </x:c>
      <x:c r="O80" s="80" t="str">
        <x:v>Later</x:v>
      </x:c>
      <x:c r="P80" s="80" t="str">
        <x:v>Not started</x:v>
      </x:c>
      <x:c r="Q80" s="80" t="str">
        <x:v>Not started</x:v>
      </x:c>
      <x:c r="R80" s="80" t="str"/>
      <x:c r="S80" s="98" t="str"/>
      <x:c r="T80" s="99" t="str"/>
    </x:row>
    <x:row r="81">
      <x:c r="A81" s="79" t="str"/>
      <x:c r="B81" s="80" t="str"/>
      <x:c r="C81" s="80" t="str"/>
      <x:c r="D81" s="80" t="str"/>
      <x:c r="E81" s="80" t="str"/>
      <x:c r="F81" s="80" t="str"/>
      <x:c r="G81" s="80" t="str">
        <x:v>Vertical SaaS</x:v>
      </x:c>
      <x:c r="H81" s="80" t="str"/>
      <x:c r="I81" s="80" t="str">
        <x:v>High</x:v>
      </x:c>
      <x:c r="J81" s="80" t="str">
        <x:v>HubSpot</x:v>
      </x:c>
      <x:c r="K81" s="81" t="str"/>
      <x:c r="L81" s="81" t="str"/>
      <x:c r="M81" s="81" t="str"/>
      <x:c r="N81" s="97" t="n">
        <x:v>0</x:v>
      </x:c>
      <x:c r="O81" s="80" t="str">
        <x:v>Later</x:v>
      </x:c>
      <x:c r="P81" s="80" t="str">
        <x:v>Not started</x:v>
      </x:c>
      <x:c r="Q81" s="80" t="str">
        <x:v>Not started</x:v>
      </x:c>
      <x:c r="R81" s="80" t="str"/>
      <x:c r="S81" s="98" t="str"/>
      <x:c r="T81" s="99" t="str"/>
    </x:row>
    <x:row r="82">
      <x:c r="A82" s="79" t="str"/>
      <x:c r="B82" s="80" t="str"/>
      <x:c r="C82" s="80" t="str"/>
      <x:c r="D82" s="80" t="str"/>
      <x:c r="E82" s="80" t="str"/>
      <x:c r="F82" s="80" t="str"/>
      <x:c r="G82" s="80" t="str">
        <x:v>Vertical SaaS</x:v>
      </x:c>
      <x:c r="H82" s="80" t="str"/>
      <x:c r="I82" s="80" t="str">
        <x:v>High</x:v>
      </x:c>
      <x:c r="J82" s="80" t="str">
        <x:v>HubSpot</x:v>
      </x:c>
      <x:c r="K82" s="81" t="str"/>
      <x:c r="L82" s="81" t="str"/>
      <x:c r="M82" s="81" t="str"/>
      <x:c r="N82" s="97" t="n">
        <x:v>0</x:v>
      </x:c>
      <x:c r="O82" s="80" t="str">
        <x:v>Later</x:v>
      </x:c>
      <x:c r="P82" s="80" t="str">
        <x:v>Not started</x:v>
      </x:c>
      <x:c r="Q82" s="80" t="str">
        <x:v>Not started</x:v>
      </x:c>
      <x:c r="R82" s="80" t="str"/>
      <x:c r="S82" s="98" t="str"/>
      <x:c r="T82" s="99" t="str"/>
    </x:row>
    <x:row r="83">
      <x:c r="A83" s="79" t="str"/>
      <x:c r="B83" s="80" t="str"/>
      <x:c r="C83" s="80" t="str"/>
      <x:c r="D83" s="80" t="str"/>
      <x:c r="E83" s="80" t="str"/>
      <x:c r="F83" s="80" t="str"/>
      <x:c r="G83" s="80" t="str">
        <x:v>Vertical SaaS</x:v>
      </x:c>
      <x:c r="H83" s="80" t="str"/>
      <x:c r="I83" s="80" t="str">
        <x:v>High</x:v>
      </x:c>
      <x:c r="J83" s="80" t="str">
        <x:v>HubSpot</x:v>
      </x:c>
      <x:c r="K83" s="81" t="str"/>
      <x:c r="L83" s="81" t="str"/>
      <x:c r="M83" s="81" t="str"/>
      <x:c r="N83" s="97" t="n">
        <x:v>0</x:v>
      </x:c>
      <x:c r="O83" s="80" t="str">
        <x:v>Later</x:v>
      </x:c>
      <x:c r="P83" s="80" t="str">
        <x:v>Not started</x:v>
      </x:c>
      <x:c r="Q83" s="80" t="str">
        <x:v>Not started</x:v>
      </x:c>
      <x:c r="R83" s="80" t="str"/>
      <x:c r="S83" s="98" t="str"/>
      <x:c r="T83" s="99" t="str"/>
    </x:row>
    <x:row r="84">
      <x:c r="A84" s="79" t="str"/>
      <x:c r="B84" s="80" t="str"/>
      <x:c r="C84" s="80" t="str"/>
      <x:c r="D84" s="80" t="str"/>
      <x:c r="E84" s="80" t="str"/>
      <x:c r="F84" s="80" t="str"/>
      <x:c r="G84" s="80" t="str">
        <x:v>Vertical SaaS</x:v>
      </x:c>
      <x:c r="H84" s="80" t="str"/>
      <x:c r="I84" s="80" t="str">
        <x:v>High</x:v>
      </x:c>
      <x:c r="J84" s="80" t="str">
        <x:v>HubSpot</x:v>
      </x:c>
      <x:c r="K84" s="81" t="str"/>
      <x:c r="L84" s="81" t="str"/>
      <x:c r="M84" s="81" t="str"/>
      <x:c r="N84" s="97" t="n">
        <x:v>0</x:v>
      </x:c>
      <x:c r="O84" s="80" t="str">
        <x:v>Later</x:v>
      </x:c>
      <x:c r="P84" s="80" t="str">
        <x:v>Not started</x:v>
      </x:c>
      <x:c r="Q84" s="80" t="str">
        <x:v>Not started</x:v>
      </x:c>
      <x:c r="R84" s="80" t="str"/>
      <x:c r="S84" s="98" t="str"/>
      <x:c r="T84" s="99" t="str"/>
    </x:row>
    <x:row r="85">
      <x:c r="A85" s="79" t="str"/>
      <x:c r="B85" s="80" t="str"/>
      <x:c r="C85" s="80" t="str"/>
      <x:c r="D85" s="80" t="str"/>
      <x:c r="E85" s="80" t="str"/>
      <x:c r="F85" s="80" t="str"/>
      <x:c r="G85" s="80" t="str">
        <x:v>Vertical SaaS</x:v>
      </x:c>
      <x:c r="H85" s="80" t="str"/>
      <x:c r="I85" s="80" t="str">
        <x:v>High</x:v>
      </x:c>
      <x:c r="J85" s="80" t="str">
        <x:v>HubSpot</x:v>
      </x:c>
      <x:c r="K85" s="81" t="str"/>
      <x:c r="L85" s="81" t="str"/>
      <x:c r="M85" s="81" t="str"/>
      <x:c r="N85" s="97" t="n">
        <x:v>0</x:v>
      </x:c>
      <x:c r="O85" s="80" t="str">
        <x:v>Later</x:v>
      </x:c>
      <x:c r="P85" s="80" t="str">
        <x:v>Not started</x:v>
      </x:c>
      <x:c r="Q85" s="80" t="str">
        <x:v>Not started</x:v>
      </x:c>
      <x:c r="R85" s="80" t="str"/>
      <x:c r="S85" s="98" t="str"/>
      <x:c r="T85" s="99" t="str"/>
    </x:row>
    <x:row r="86">
      <x:c r="A86" s="79" t="str"/>
      <x:c r="B86" s="80" t="str"/>
      <x:c r="C86" s="80" t="str"/>
      <x:c r="D86" s="80" t="str"/>
      <x:c r="E86" s="80" t="str"/>
      <x:c r="F86" s="80" t="str"/>
      <x:c r="G86" s="80" t="str">
        <x:v>Vertical SaaS</x:v>
      </x:c>
      <x:c r="H86" s="80" t="str"/>
      <x:c r="I86" s="80" t="str">
        <x:v>High</x:v>
      </x:c>
      <x:c r="J86" s="80" t="str">
        <x:v>HubSpot</x:v>
      </x:c>
      <x:c r="K86" s="81" t="str"/>
      <x:c r="L86" s="81" t="str"/>
      <x:c r="M86" s="81" t="str"/>
      <x:c r="N86" s="97" t="n">
        <x:v>0</x:v>
      </x:c>
      <x:c r="O86" s="80" t="str">
        <x:v>Later</x:v>
      </x:c>
      <x:c r="P86" s="80" t="str">
        <x:v>Not started</x:v>
      </x:c>
      <x:c r="Q86" s="80" t="str">
        <x:v>Not started</x:v>
      </x:c>
      <x:c r="R86" s="80" t="str"/>
      <x:c r="S86" s="98" t="str"/>
      <x:c r="T86" s="99" t="str"/>
    </x:row>
    <x:row r="87">
      <x:c r="A87" s="79" t="str"/>
      <x:c r="B87" s="80" t="str"/>
      <x:c r="C87" s="80" t="str"/>
      <x:c r="D87" s="80" t="str"/>
      <x:c r="E87" s="80" t="str"/>
      <x:c r="F87" s="80" t="str"/>
      <x:c r="G87" s="80" t="str">
        <x:v>Vertical SaaS</x:v>
      </x:c>
      <x:c r="H87" s="80" t="str"/>
      <x:c r="I87" s="80" t="str">
        <x:v>High</x:v>
      </x:c>
      <x:c r="J87" s="80" t="str">
        <x:v>HubSpot</x:v>
      </x:c>
      <x:c r="K87" s="81" t="str"/>
      <x:c r="L87" s="81" t="str"/>
      <x:c r="M87" s="81" t="str"/>
      <x:c r="N87" s="97" t="n">
        <x:v>0</x:v>
      </x:c>
      <x:c r="O87" s="80" t="str">
        <x:v>Later</x:v>
      </x:c>
      <x:c r="P87" s="80" t="str">
        <x:v>Not started</x:v>
      </x:c>
      <x:c r="Q87" s="80" t="str">
        <x:v>Not started</x:v>
      </x:c>
      <x:c r="R87" s="80" t="str"/>
      <x:c r="S87" s="98" t="str"/>
      <x:c r="T87" s="99" t="str"/>
    </x:row>
    <x:row r="88">
      <x:c r="A88" s="79" t="str"/>
      <x:c r="B88" s="80" t="str"/>
      <x:c r="C88" s="80" t="str"/>
      <x:c r="D88" s="80" t="str"/>
      <x:c r="E88" s="80" t="str"/>
      <x:c r="F88" s="80" t="str"/>
      <x:c r="G88" s="80" t="str">
        <x:v>Vertical SaaS</x:v>
      </x:c>
      <x:c r="H88" s="80" t="str"/>
      <x:c r="I88" s="80" t="str">
        <x:v>High</x:v>
      </x:c>
      <x:c r="J88" s="80" t="str">
        <x:v>HubSpot</x:v>
      </x:c>
      <x:c r="K88" s="81" t="str"/>
      <x:c r="L88" s="81" t="str"/>
      <x:c r="M88" s="81" t="str"/>
      <x:c r="N88" s="97" t="n">
        <x:v>0</x:v>
      </x:c>
      <x:c r="O88" s="80" t="str">
        <x:v>Later</x:v>
      </x:c>
      <x:c r="P88" s="80" t="str">
        <x:v>Not started</x:v>
      </x:c>
      <x:c r="Q88" s="80" t="str">
        <x:v>Not started</x:v>
      </x:c>
      <x:c r="R88" s="80" t="str"/>
      <x:c r="S88" s="98" t="str"/>
      <x:c r="T88" s="99" t="str"/>
    </x:row>
    <x:row r="89">
      <x:c r="A89" s="79" t="str"/>
      <x:c r="B89" s="80" t="str"/>
      <x:c r="C89" s="80" t="str"/>
      <x:c r="D89" s="80" t="str"/>
      <x:c r="E89" s="80" t="str"/>
      <x:c r="F89" s="80" t="str"/>
      <x:c r="G89" s="80" t="str">
        <x:v>Vertical SaaS</x:v>
      </x:c>
      <x:c r="H89" s="80" t="str"/>
      <x:c r="I89" s="80" t="str">
        <x:v>High</x:v>
      </x:c>
      <x:c r="J89" s="80" t="str">
        <x:v>HubSpot</x:v>
      </x:c>
      <x:c r="K89" s="81" t="str"/>
      <x:c r="L89" s="81" t="str"/>
      <x:c r="M89" s="81" t="str"/>
      <x:c r="N89" s="97" t="n">
        <x:v>0</x:v>
      </x:c>
      <x:c r="O89" s="80" t="str">
        <x:v>Later</x:v>
      </x:c>
      <x:c r="P89" s="80" t="str">
        <x:v>Not started</x:v>
      </x:c>
      <x:c r="Q89" s="80" t="str">
        <x:v>Not started</x:v>
      </x:c>
      <x:c r="R89" s="80" t="str"/>
      <x:c r="S89" s="98" t="str"/>
      <x:c r="T89" s="99" t="str"/>
    </x:row>
    <x:row r="90">
      <x:c r="A90" s="79" t="str"/>
      <x:c r="B90" s="80" t="str"/>
      <x:c r="C90" s="80" t="str"/>
      <x:c r="D90" s="80" t="str"/>
      <x:c r="E90" s="80" t="str"/>
      <x:c r="F90" s="80" t="str"/>
      <x:c r="G90" s="80" t="str">
        <x:v>Vertical SaaS</x:v>
      </x:c>
      <x:c r="H90" s="80" t="str"/>
      <x:c r="I90" s="80" t="str">
        <x:v>High</x:v>
      </x:c>
      <x:c r="J90" s="80" t="str">
        <x:v>HubSpot</x:v>
      </x:c>
      <x:c r="K90" s="81" t="str"/>
      <x:c r="L90" s="81" t="str"/>
      <x:c r="M90" s="81" t="str"/>
      <x:c r="N90" s="97" t="n">
        <x:v>0</x:v>
      </x:c>
      <x:c r="O90" s="80" t="str">
        <x:v>Later</x:v>
      </x:c>
      <x:c r="P90" s="80" t="str">
        <x:v>Not started</x:v>
      </x:c>
      <x:c r="Q90" s="80" t="str">
        <x:v>Not started</x:v>
      </x:c>
      <x:c r="R90" s="80" t="str"/>
      <x:c r="S90" s="98" t="str"/>
      <x:c r="T90" s="99" t="str"/>
    </x:row>
    <x:row r="91">
      <x:c r="A91" s="79" t="str"/>
      <x:c r="B91" s="80" t="str"/>
      <x:c r="C91" s="80" t="str"/>
      <x:c r="D91" s="80" t="str"/>
      <x:c r="E91" s="80" t="str"/>
      <x:c r="F91" s="80" t="str"/>
      <x:c r="G91" s="80" t="str">
        <x:v>Vertical SaaS</x:v>
      </x:c>
      <x:c r="H91" s="80" t="str"/>
      <x:c r="I91" s="80" t="str">
        <x:v>High</x:v>
      </x:c>
      <x:c r="J91" s="80" t="str">
        <x:v>HubSpot</x:v>
      </x:c>
      <x:c r="K91" s="81" t="str"/>
      <x:c r="L91" s="81" t="str"/>
      <x:c r="M91" s="81" t="str"/>
      <x:c r="N91" s="97" t="n">
        <x:v>0</x:v>
      </x:c>
      <x:c r="O91" s="80" t="str">
        <x:v>Later</x:v>
      </x:c>
      <x:c r="P91" s="80" t="str">
        <x:v>Not started</x:v>
      </x:c>
      <x:c r="Q91" s="80" t="str">
        <x:v>Not started</x:v>
      </x:c>
      <x:c r="R91" s="80" t="str"/>
      <x:c r="S91" s="98" t="str"/>
      <x:c r="T91" s="99" t="str"/>
    </x:row>
    <x:row r="92">
      <x:c r="A92" s="79" t="str"/>
      <x:c r="B92" s="80" t="str"/>
      <x:c r="C92" s="80" t="str"/>
      <x:c r="D92" s="80" t="str"/>
      <x:c r="E92" s="80" t="str"/>
      <x:c r="F92" s="80" t="str"/>
      <x:c r="G92" s="80" t="str">
        <x:v>Vertical SaaS</x:v>
      </x:c>
      <x:c r="H92" s="80" t="str"/>
      <x:c r="I92" s="80" t="str">
        <x:v>High</x:v>
      </x:c>
      <x:c r="J92" s="80" t="str">
        <x:v>HubSpot</x:v>
      </x:c>
      <x:c r="K92" s="81" t="str"/>
      <x:c r="L92" s="81" t="str"/>
      <x:c r="M92" s="81" t="str"/>
      <x:c r="N92" s="97" t="n">
        <x:v>0</x:v>
      </x:c>
      <x:c r="O92" s="80" t="str">
        <x:v>Later</x:v>
      </x:c>
      <x:c r="P92" s="80" t="str">
        <x:v>Not started</x:v>
      </x:c>
      <x:c r="Q92" s="80" t="str">
        <x:v>Not started</x:v>
      </x:c>
      <x:c r="R92" s="80" t="str"/>
      <x:c r="S92" s="98" t="str"/>
      <x:c r="T92" s="99" t="str"/>
    </x:row>
    <x:row r="93">
      <x:c r="A93" s="79" t="str"/>
      <x:c r="B93" s="80" t="str"/>
      <x:c r="C93" s="80" t="str"/>
      <x:c r="D93" s="80" t="str"/>
      <x:c r="E93" s="80" t="str"/>
      <x:c r="F93" s="80" t="str"/>
      <x:c r="G93" s="80" t="str">
        <x:v>Vertical SaaS</x:v>
      </x:c>
      <x:c r="H93" s="80" t="str"/>
      <x:c r="I93" s="80" t="str">
        <x:v>High</x:v>
      </x:c>
      <x:c r="J93" s="80" t="str">
        <x:v>HubSpot</x:v>
      </x:c>
      <x:c r="K93" s="81" t="str"/>
      <x:c r="L93" s="81" t="str"/>
      <x:c r="M93" s="81" t="str"/>
      <x:c r="N93" s="97" t="n">
        <x:v>0</x:v>
      </x:c>
      <x:c r="O93" s="80" t="str">
        <x:v>Later</x:v>
      </x:c>
      <x:c r="P93" s="80" t="str">
        <x:v>Not started</x:v>
      </x:c>
      <x:c r="Q93" s="80" t="str">
        <x:v>Not started</x:v>
      </x:c>
      <x:c r="R93" s="80" t="str"/>
      <x:c r="S93" s="98" t="str"/>
      <x:c r="T93" s="99" t="str"/>
    </x:row>
    <x:row r="94">
      <x:c r="A94" s="79" t="str"/>
      <x:c r="B94" s="80" t="str"/>
      <x:c r="C94" s="80" t="str"/>
      <x:c r="D94" s="80" t="str"/>
      <x:c r="E94" s="80" t="str"/>
      <x:c r="F94" s="80" t="str"/>
      <x:c r="G94" s="80" t="str">
        <x:v>Vertical SaaS</x:v>
      </x:c>
      <x:c r="H94" s="80" t="str"/>
      <x:c r="I94" s="80" t="str">
        <x:v>High</x:v>
      </x:c>
      <x:c r="J94" s="80" t="str">
        <x:v>HubSpot</x:v>
      </x:c>
      <x:c r="K94" s="81" t="str"/>
      <x:c r="L94" s="81" t="str"/>
      <x:c r="M94" s="81" t="str"/>
      <x:c r="N94" s="97" t="n">
        <x:v>0</x:v>
      </x:c>
      <x:c r="O94" s="80" t="str">
        <x:v>Later</x:v>
      </x:c>
      <x:c r="P94" s="80" t="str">
        <x:v>Not started</x:v>
      </x:c>
      <x:c r="Q94" s="80" t="str">
        <x:v>Not started</x:v>
      </x:c>
      <x:c r="R94" s="80" t="str"/>
      <x:c r="S94" s="98" t="str"/>
      <x:c r="T94" s="99" t="str"/>
    </x:row>
    <x:row r="95">
      <x:c r="A95" s="79" t="str"/>
      <x:c r="B95" s="80" t="str"/>
      <x:c r="C95" s="80" t="str"/>
      <x:c r="D95" s="80" t="str"/>
      <x:c r="E95" s="80" t="str"/>
      <x:c r="F95" s="80" t="str"/>
      <x:c r="G95" s="80" t="str">
        <x:v>Vertical SaaS</x:v>
      </x:c>
      <x:c r="H95" s="80" t="str"/>
      <x:c r="I95" s="80" t="str">
        <x:v>High</x:v>
      </x:c>
      <x:c r="J95" s="80" t="str">
        <x:v>HubSpot</x:v>
      </x:c>
      <x:c r="K95" s="81" t="str"/>
      <x:c r="L95" s="81" t="str"/>
      <x:c r="M95" s="81" t="str"/>
      <x:c r="N95" s="97" t="n">
        <x:v>0</x:v>
      </x:c>
      <x:c r="O95" s="80" t="str">
        <x:v>Later</x:v>
      </x:c>
      <x:c r="P95" s="80" t="str">
        <x:v>Not started</x:v>
      </x:c>
      <x:c r="Q95" s="80" t="str">
        <x:v>Not started</x:v>
      </x:c>
      <x:c r="R95" s="80" t="str"/>
      <x:c r="S95" s="98" t="str"/>
      <x:c r="T95" s="99" t="str"/>
    </x:row>
    <x:row r="96">
      <x:c r="A96" s="79" t="str"/>
      <x:c r="B96" s="80" t="str"/>
      <x:c r="C96" s="80" t="str"/>
      <x:c r="D96" s="80" t="str"/>
      <x:c r="E96" s="80" t="str"/>
      <x:c r="F96" s="80" t="str"/>
      <x:c r="G96" s="80" t="str">
        <x:v>Vertical SaaS</x:v>
      </x:c>
      <x:c r="H96" s="80" t="str"/>
      <x:c r="I96" s="80" t="str">
        <x:v>High</x:v>
      </x:c>
      <x:c r="J96" s="80" t="str">
        <x:v>HubSpot</x:v>
      </x:c>
      <x:c r="K96" s="81" t="str"/>
      <x:c r="L96" s="81" t="str"/>
      <x:c r="M96" s="81" t="str"/>
      <x:c r="N96" s="97" t="n">
        <x:v>0</x:v>
      </x:c>
      <x:c r="O96" s="80" t="str">
        <x:v>Later</x:v>
      </x:c>
      <x:c r="P96" s="80" t="str">
        <x:v>Not started</x:v>
      </x:c>
      <x:c r="Q96" s="80" t="str">
        <x:v>Not started</x:v>
      </x:c>
      <x:c r="R96" s="80" t="str"/>
      <x:c r="S96" s="98" t="str"/>
      <x:c r="T96" s="99" t="str"/>
    </x:row>
    <x:row r="97">
      <x:c r="A97" s="79" t="str"/>
      <x:c r="B97" s="80" t="str"/>
      <x:c r="C97" s="80" t="str"/>
      <x:c r="D97" s="80" t="str"/>
      <x:c r="E97" s="80" t="str"/>
      <x:c r="F97" s="80" t="str"/>
      <x:c r="G97" s="80" t="str">
        <x:v>Vertical SaaS</x:v>
      </x:c>
      <x:c r="H97" s="80" t="str"/>
      <x:c r="I97" s="80" t="str">
        <x:v>High</x:v>
      </x:c>
      <x:c r="J97" s="80" t="str">
        <x:v>HubSpot</x:v>
      </x:c>
      <x:c r="K97" s="81" t="str"/>
      <x:c r="L97" s="81" t="str"/>
      <x:c r="M97" s="81" t="str"/>
      <x:c r="N97" s="97" t="n">
        <x:v>0</x:v>
      </x:c>
      <x:c r="O97" s="80" t="str">
        <x:v>Later</x:v>
      </x:c>
      <x:c r="P97" s="80" t="str">
        <x:v>Not started</x:v>
      </x:c>
      <x:c r="Q97" s="80" t="str">
        <x:v>Not started</x:v>
      </x:c>
      <x:c r="R97" s="80" t="str"/>
      <x:c r="S97" s="98" t="str"/>
      <x:c r="T97" s="99" t="str"/>
    </x:row>
    <x:row r="98">
      <x:c r="A98" s="79" t="str"/>
      <x:c r="B98" s="80" t="str"/>
      <x:c r="C98" s="80" t="str"/>
      <x:c r="D98" s="80" t="str"/>
      <x:c r="E98" s="80" t="str"/>
      <x:c r="F98" s="80" t="str"/>
      <x:c r="G98" s="80" t="str">
        <x:v>Vertical SaaS</x:v>
      </x:c>
      <x:c r="H98" s="80" t="str"/>
      <x:c r="I98" s="80" t="str">
        <x:v>High</x:v>
      </x:c>
      <x:c r="J98" s="80" t="str">
        <x:v>HubSpot</x:v>
      </x:c>
      <x:c r="K98" s="81" t="str"/>
      <x:c r="L98" s="81" t="str"/>
      <x:c r="M98" s="81" t="str"/>
      <x:c r="N98" s="97" t="n">
        <x:v>0</x:v>
      </x:c>
      <x:c r="O98" s="80" t="str">
        <x:v>Later</x:v>
      </x:c>
      <x:c r="P98" s="80" t="str">
        <x:v>Not started</x:v>
      </x:c>
      <x:c r="Q98" s="80" t="str">
        <x:v>Not started</x:v>
      </x:c>
      <x:c r="R98" s="80" t="str"/>
      <x:c r="S98" s="98" t="str"/>
      <x:c r="T98" s="99" t="str"/>
    </x:row>
    <x:row r="99">
      <x:c r="A99" s="79" t="str"/>
      <x:c r="B99" s="80" t="str"/>
      <x:c r="C99" s="80" t="str"/>
      <x:c r="D99" s="80" t="str"/>
      <x:c r="E99" s="80" t="str"/>
      <x:c r="F99" s="80" t="str"/>
      <x:c r="G99" s="80" t="str">
        <x:v>Vertical SaaS</x:v>
      </x:c>
      <x:c r="H99" s="80" t="str"/>
      <x:c r="I99" s="80" t="str">
        <x:v>High</x:v>
      </x:c>
      <x:c r="J99" s="80" t="str">
        <x:v>HubSpot</x:v>
      </x:c>
      <x:c r="K99" s="81" t="str"/>
      <x:c r="L99" s="81" t="str"/>
      <x:c r="M99" s="81" t="str"/>
      <x:c r="N99" s="97" t="n">
        <x:v>0</x:v>
      </x:c>
      <x:c r="O99" s="80" t="str">
        <x:v>Later</x:v>
      </x:c>
      <x:c r="P99" s="80" t="str">
        <x:v>Not started</x:v>
      </x:c>
      <x:c r="Q99" s="80" t="str">
        <x:v>Not started</x:v>
      </x:c>
      <x:c r="R99" s="80" t="str"/>
      <x:c r="S99" s="98" t="str"/>
      <x:c r="T99" s="99" t="str"/>
    </x:row>
    <x:row r="100">
      <x:c r="A100" s="79" t="str"/>
      <x:c r="B100" s="80" t="str"/>
      <x:c r="C100" s="80" t="str"/>
      <x:c r="D100" s="80" t="str"/>
      <x:c r="E100" s="80" t="str"/>
      <x:c r="F100" s="80" t="str"/>
      <x:c r="G100" s="80" t="str">
        <x:v>Vertical SaaS</x:v>
      </x:c>
      <x:c r="H100" s="80" t="str"/>
      <x:c r="I100" s="80" t="str">
        <x:v>High</x:v>
      </x:c>
      <x:c r="J100" s="80" t="str">
        <x:v>HubSpot</x:v>
      </x:c>
      <x:c r="K100" s="81" t="str"/>
      <x:c r="L100" s="81" t="str"/>
      <x:c r="M100" s="81" t="str"/>
      <x:c r="N100" s="97" t="n">
        <x:v>0</x:v>
      </x:c>
      <x:c r="O100" s="80" t="str">
        <x:v>Later</x:v>
      </x:c>
      <x:c r="P100" s="80" t="str">
        <x:v>Not started</x:v>
      </x:c>
      <x:c r="Q100" s="80" t="str">
        <x:v>Not started</x:v>
      </x:c>
      <x:c r="R100" s="80" t="str"/>
      <x:c r="S100" s="98" t="str"/>
      <x:c r="T100" s="99" t="str"/>
    </x:row>
    <x:row r="101">
      <x:c r="A101" s="79" t="str"/>
      <x:c r="B101" s="80" t="str"/>
      <x:c r="C101" s="80" t="str"/>
      <x:c r="D101" s="80" t="str"/>
      <x:c r="E101" s="80" t="str"/>
      <x:c r="F101" s="80" t="str"/>
      <x:c r="G101" s="80" t="str">
        <x:v>Vertical SaaS</x:v>
      </x:c>
      <x:c r="H101" s="80" t="str"/>
      <x:c r="I101" s="80" t="str">
        <x:v>High</x:v>
      </x:c>
      <x:c r="J101" s="80" t="str">
        <x:v>HubSpot</x:v>
      </x:c>
      <x:c r="K101" s="81" t="str"/>
      <x:c r="L101" s="81" t="str"/>
      <x:c r="M101" s="81" t="str"/>
      <x:c r="N101" s="97" t="n">
        <x:v>0</x:v>
      </x:c>
      <x:c r="O101" s="80" t="str">
        <x:v>Later</x:v>
      </x:c>
      <x:c r="P101" s="80" t="str">
        <x:v>Not started</x:v>
      </x:c>
      <x:c r="Q101" s="80" t="str">
        <x:v>Not started</x:v>
      </x:c>
      <x:c r="R101" s="80" t="str"/>
      <x:c r="S101" s="98" t="str"/>
      <x:c r="T101" s="99" t="str"/>
    </x:row>
    <x:row r="102">
      <x:c r="A102" s="79" t="str"/>
      <x:c r="B102" s="80" t="str"/>
      <x:c r="C102" s="80" t="str"/>
      <x:c r="D102" s="80" t="str"/>
      <x:c r="E102" s="80" t="str"/>
      <x:c r="F102" s="80" t="str"/>
      <x:c r="G102" s="80" t="str">
        <x:v>Vertical SaaS</x:v>
      </x:c>
      <x:c r="H102" s="80" t="str"/>
      <x:c r="I102" s="80" t="str">
        <x:v>High</x:v>
      </x:c>
      <x:c r="J102" s="80" t="str">
        <x:v>HubSpot</x:v>
      </x:c>
      <x:c r="K102" s="81" t="str"/>
      <x:c r="L102" s="81" t="str"/>
      <x:c r="M102" s="81" t="str"/>
      <x:c r="N102" s="97" t="n">
        <x:v>0</x:v>
      </x:c>
      <x:c r="O102" s="80" t="str">
        <x:v>Later</x:v>
      </x:c>
      <x:c r="P102" s="80" t="str">
        <x:v>Not started</x:v>
      </x:c>
      <x:c r="Q102" s="80" t="str">
        <x:v>Not started</x:v>
      </x:c>
      <x:c r="R102" s="80" t="str"/>
      <x:c r="S102" s="98" t="str"/>
      <x:c r="T102" s="99" t="str"/>
    </x:row>
    <x:row r="103">
      <x:c r="A103" s="79" t="str"/>
      <x:c r="B103" s="80" t="str"/>
      <x:c r="C103" s="80" t="str"/>
      <x:c r="D103" s="80" t="str"/>
      <x:c r="E103" s="80" t="str"/>
      <x:c r="F103" s="80" t="str"/>
      <x:c r="G103" s="80" t="str">
        <x:v>Vertical SaaS</x:v>
      </x:c>
      <x:c r="H103" s="80" t="str"/>
      <x:c r="I103" s="80" t="str">
        <x:v>High</x:v>
      </x:c>
      <x:c r="J103" s="80" t="str">
        <x:v>HubSpot</x:v>
      </x:c>
      <x:c r="K103" s="81" t="str"/>
      <x:c r="L103" s="81" t="str"/>
      <x:c r="M103" s="81" t="str"/>
      <x:c r="N103" s="97" t="n">
        <x:v>0</x:v>
      </x:c>
      <x:c r="O103" s="80" t="str">
        <x:v>Later</x:v>
      </x:c>
      <x:c r="P103" s="80" t="str">
        <x:v>Not started</x:v>
      </x:c>
      <x:c r="Q103" s="80" t="str">
        <x:v>Not started</x:v>
      </x:c>
      <x:c r="R103" s="80" t="str"/>
      <x:c r="S103" s="98" t="str"/>
      <x:c r="T103" s="99" t="str"/>
    </x:row>
    <x:row r="104">
      <x:c r="A104" s="86" t="str"/>
      <x:c r="B104" s="87" t="str"/>
      <x:c r="C104" s="87" t="str"/>
      <x:c r="D104" s="87" t="str"/>
      <x:c r="E104" s="87" t="str"/>
      <x:c r="F104" s="87" t="str"/>
      <x:c r="G104" s="87" t="str">
        <x:v>Vertical SaaS</x:v>
      </x:c>
      <x:c r="H104" s="87" t="str"/>
      <x:c r="I104" s="87" t="str">
        <x:v>High</x:v>
      </x:c>
      <x:c r="J104" s="87" t="str">
        <x:v>HubSpot</x:v>
      </x:c>
      <x:c r="K104" s="88" t="str"/>
      <x:c r="L104" s="88" t="str"/>
      <x:c r="M104" s="88" t="str"/>
      <x:c r="N104" s="100" t="n">
        <x:v>0</x:v>
      </x:c>
      <x:c r="O104" s="87" t="str">
        <x:v>Later</x:v>
      </x:c>
      <x:c r="P104" s="87" t="str">
        <x:v>Not started</x:v>
      </x:c>
      <x:c r="Q104" s="87" t="str">
        <x:v>Not started</x:v>
      </x:c>
      <x:c r="R104" s="87" t="str"/>
      <x:c r="S104" s="101" t="str"/>
      <x:c r="T104" s="102" t="str"/>
    </x:row>
  </x:sheetData>
  <x:mergeCells>
    <x:mergeCell ref="A1:T2"/>
  </x:mergeCells>
  <x:dataValidations count="7">
    <x:dataValidation type="list" sqref="G5:G104">
      <x:formula1>"Founder-led B2B,RevOps-light,Vertical SaaS,Agency,Cybersecurity,Compliance,Fintech,Managed IT/MSP,Data/Analytics,Partner,Sales enablement,Interactive demo software,Customer evidence,GTM intelligence,Pipeline generation,B2B attribution,ABM analytics,Marketing automation,Customer success SaaS,Customer success and services ops,Security compliance,Compliance operations,FP&amp;A software,Procurement software,LMS and enablement,Presentation automation,Client onboarding software,Product adoption software,Other"</x:formula1>
    </x:dataValidation>
    <x:dataValidation type="list" sqref="I5:I104">
      <x:formula1>"Low,Medium,High,$8K+,$25K+,$50K+,Unknown"</x:formula1>
    </x:dataValidation>
    <x:dataValidation type="list" sqref="J5:J104">
      <x:formula1>"HubSpot,Salesforce,Salesforce or HubSpot,HubSpot or Salesforce,Pipedrive,Unknown"</x:formula1>
    </x:dataValidation>
    <x:dataValidation type="list" sqref="N5:N104">
      <x:formula1>"0,1,2,3,4,5"</x:formula1>
    </x:dataValidation>
    <x:dataValidation type="list" sqref="O5:O104">
      <x:formula1>"Teardown first,Later,Avoid"</x:formula1>
    </x:dataValidation>
    <x:dataValidation type="list" sqref="P5:P104">
      <x:formula1>"Not started,Sent,Replied,Teardown requested,Teardown sent,Call booked,Closed,Passed"</x:formula1>
    </x:dataValidation>
    <x:dataValidation type="list" sqref="Q5:Q104">
      <x:formula1>"Not started,Drafted,Sent,Install CTA sent,Won,Lost"</x:formula1>
    </x:dataValidation>
  </x:dataValidations>
  <x:pageMargins left="0.7" right="0.7" top="0.75" bottom="0.75" header="0.3" footer="0.3"/>
  <x:tableParts count="1">
    <x:tablePart xmlns:r="http://schemas.openxmlformats.org/officeDocument/2006/relationships" r:id="R977b6d25705d4d0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23.329999923706055" hidden="0" customWidth="1"/>
    <x:col min="3" max="3" width="17.780000686645508" hidden="0" customWidth="1"/>
    <x:col min="4" max="4" width="15.5600004196167" hidden="0" customWidth="1"/>
    <x:col min="5" max="5" width="15.5600004196167" hidden="0" customWidth="1"/>
    <x:col min="6" max="6" width="18.889999389648438" hidden="0" customWidth="1"/>
    <x:col min="7" max="7" width="23.329999923706055" hidden="0" customWidth="1"/>
    <x:col min="8" max="8" width="15.5600004196167" hidden="0" customWidth="1"/>
    <x:col min="9" max="9" width="7.78000020980835" hidden="0" customWidth="1"/>
    <x:col min="10" max="10" width="7.78000020980835" hidden="0" customWidth="1"/>
    <x:col min="11" max="11" width="10" hidden="0" customWidth="1"/>
    <x:col min="12" max="12" width="28.889999389648438" hidden="0" customWidth="1"/>
    <x:col min="13" max="13" width="33.33000183105469" hidden="0" customWidth="1"/>
    <x:col min="14" max="14" width="22.219999313354492" hidden="0" customWidth="1"/>
    <x:col min="15" max="15" width="36.66999816894531" hidden="0" customWidth="1"/>
    <x:col min="16" max="16" width="36.66999816894531" hidden="0" customWidth="1"/>
    <x:col min="17" max="17" width="36.66999816894531" hidden="0" customWidth="1"/>
    <x:col min="18" max="18" width="27.780000686645508" hidden="0" customWidth="1"/>
    <x:col min="19" max="19" width="33.33000183105469" hidden="0" customWidth="1"/>
    <x:col min="20" max="20" width="28.889999389648438" hidden="0" customWidth="1"/>
  </x:cols>
  <x:sheetData>
    <x:row r="1" ht="24" customHeight="1">
      <x:c r="A1" s="68" t="str">
        <x:v>Deal Threads Daily Queue
Paste or import the generated queue CSV here. Use this as the manual send surface.</x:v>
      </x:c>
      <x:c r="B1" s="68" t="str">
        <x:v>Deal Threads Daily Queue
Paste or import the generated queue CSV here. Use this as the manual send surface.</x:v>
      </x:c>
      <x:c r="C1" s="68" t="str">
        <x:v>Deal Threads Daily Queue
Paste or import the generated queue CSV here. Use this as the manual send surface.</x:v>
      </x:c>
      <x:c r="D1" s="68" t="str">
        <x:v>Deal Threads Daily Queue
Paste or import the generated queue CSV here. Use this as the manual send surface.</x:v>
      </x:c>
      <x:c r="E1" s="68" t="str">
        <x:v>Deal Threads Daily Queue
Paste or import the generated queue CSV here. Use this as the manual send surface.</x:v>
      </x:c>
      <x:c r="F1" s="68" t="str">
        <x:v>Deal Threads Daily Queue
Paste or import the generated queue CSV here. Use this as the manual send surface.</x:v>
      </x:c>
      <x:c r="G1" s="68" t="str">
        <x:v>Deal Threads Daily Queue
Paste or import the generated queue CSV here. Use this as the manual send surface.</x:v>
      </x:c>
      <x:c r="H1" s="68" t="str">
        <x:v>Deal Threads Daily Queue
Paste or import the generated queue CSV here. Use this as the manual send surface.</x:v>
      </x:c>
      <x:c r="I1" s="68" t="str">
        <x:v>Deal Threads Daily Queue
Paste or import the generated queue CSV here. Use this as the manual send surface.</x:v>
      </x:c>
      <x:c r="J1" s="68" t="str">
        <x:v>Deal Threads Daily Queue
Paste or import the generated queue CSV here. Use this as the manual send surface.</x:v>
      </x:c>
      <x:c r="K1" s="68" t="str">
        <x:v>Deal Threads Daily Queue
Paste or import the generated queue CSV here. Use this as the manual send surface.</x:v>
      </x:c>
      <x:c r="L1" s="68" t="str">
        <x:v>Deal Threads Daily Queue
Paste or import the generated queue CSV here. Use this as the manual send surface.</x:v>
      </x:c>
      <x:c r="M1" s="68" t="str">
        <x:v>Deal Threads Daily Queue
Paste or import the generated queue CSV here. Use this as the manual send surface.</x:v>
      </x:c>
      <x:c r="N1" s="68" t="str">
        <x:v>Deal Threads Daily Queue
Paste or import the generated queue CSV here. Use this as the manual send surface.</x:v>
      </x:c>
      <x:c r="O1" s="68" t="str">
        <x:v>Deal Threads Daily Queue
Paste or import the generated queue CSV here. Use this as the manual send surface.</x:v>
      </x:c>
      <x:c r="P1" s="68" t="str">
        <x:v>Deal Threads Daily Queue
Paste or import the generated queue CSV here. Use this as the manual send surface.</x:v>
      </x:c>
      <x:c r="Q1" s="68" t="str">
        <x:v>Deal Threads Daily Queue
Paste or import the generated queue CSV here. Use this as the manual send surface.</x:v>
      </x:c>
      <x:c r="R1" s="68" t="str">
        <x:v>Deal Threads Daily Queue
Paste or import the generated queue CSV here. Use this as the manual send surface.</x:v>
      </x:c>
      <x:c r="S1" s="68" t="str">
        <x:v>Deal Threads Daily Queue
Paste or import the generated queue CSV here. Use this as the manual send surface.</x:v>
      </x:c>
      <x:c r="T1" s="68" t="str">
        <x:v>Deal Threads Daily Queue
Paste or import the generated queue CSV here. Use this as the manual send surface.</x:v>
      </x:c>
    </x:row>
    <x:row r="2" ht="24" customHeight="1">
      <x:c r="A2" s="68" t="str">
        <x:v>Deal Threads Daily Queue
Paste or import the generated queue CSV here. Use this as the manual send surface.</x:v>
      </x:c>
      <x:c r="B2" s="68" t="str">
        <x:v>Deal Threads Daily Queue
Paste or import the generated queue CSV here. Use this as the manual send surface.</x:v>
      </x:c>
      <x:c r="C2" s="68" t="str">
        <x:v>Deal Threads Daily Queue
Paste or import the generated queue CSV here. Use this as the manual send surface.</x:v>
      </x:c>
      <x:c r="D2" s="68" t="str">
        <x:v>Deal Threads Daily Queue
Paste or import the generated queue CSV here. Use this as the manual send surface.</x:v>
      </x:c>
      <x:c r="E2" s="68" t="str">
        <x:v>Deal Threads Daily Queue
Paste or import the generated queue CSV here. Use this as the manual send surface.</x:v>
      </x:c>
      <x:c r="F2" s="68" t="str">
        <x:v>Deal Threads Daily Queue
Paste or import the generated queue CSV here. Use this as the manual send surface.</x:v>
      </x:c>
      <x:c r="G2" s="68" t="str">
        <x:v>Deal Threads Daily Queue
Paste or import the generated queue CSV here. Use this as the manual send surface.</x:v>
      </x:c>
      <x:c r="H2" s="68" t="str">
        <x:v>Deal Threads Daily Queue
Paste or import the generated queue CSV here. Use this as the manual send surface.</x:v>
      </x:c>
      <x:c r="I2" s="68" t="str">
        <x:v>Deal Threads Daily Queue
Paste or import the generated queue CSV here. Use this as the manual send surface.</x:v>
      </x:c>
      <x:c r="J2" s="68" t="str">
        <x:v>Deal Threads Daily Queue
Paste or import the generated queue CSV here. Use this as the manual send surface.</x:v>
      </x:c>
      <x:c r="K2" s="68" t="str">
        <x:v>Deal Threads Daily Queue
Paste or import the generated queue CSV here. Use this as the manual send surface.</x:v>
      </x:c>
      <x:c r="L2" s="68" t="str">
        <x:v>Deal Threads Daily Queue
Paste or import the generated queue CSV here. Use this as the manual send surface.</x:v>
      </x:c>
      <x:c r="M2" s="68" t="str">
        <x:v>Deal Threads Daily Queue
Paste or import the generated queue CSV here. Use this as the manual send surface.</x:v>
      </x:c>
      <x:c r="N2" s="68" t="str">
        <x:v>Deal Threads Daily Queue
Paste or import the generated queue CSV here. Use this as the manual send surface.</x:v>
      </x:c>
      <x:c r="O2" s="68" t="str">
        <x:v>Deal Threads Daily Queue
Paste or import the generated queue CSV here. Use this as the manual send surface.</x:v>
      </x:c>
      <x:c r="P2" s="68" t="str">
        <x:v>Deal Threads Daily Queue
Paste or import the generated queue CSV here. Use this as the manual send surface.</x:v>
      </x:c>
      <x:c r="Q2" s="68" t="str">
        <x:v>Deal Threads Daily Queue
Paste or import the generated queue CSV here. Use this as the manual send surface.</x:v>
      </x:c>
      <x:c r="R2" s="68" t="str">
        <x:v>Deal Threads Daily Queue
Paste or import the generated queue CSV here. Use this as the manual send surface.</x:v>
      </x:c>
      <x:c r="S2" s="68" t="str">
        <x:v>Deal Threads Daily Queue
Paste or import the generated queue CSV here. Use this as the manual send surface.</x:v>
      </x:c>
      <x:c r="T2" s="68" t="str">
        <x:v>Deal Threads Daily Queue
Paste or import the generated queue CSV here. Use this as the manual send surface.</x:v>
      </x:c>
    </x:row>
    <x:row r="3">
      <x:c r="A3" s="69"/>
      <x:c r="B3" s="69"/>
      <x:c r="C3" s="69"/>
      <x:c r="D3" s="69"/>
      <x:c r="E3" s="69"/>
      <x:c r="F3" s="69"/>
      <x:c r="G3" s="69"/>
      <x:c r="H3" s="69"/>
      <x:c r="I3" s="69"/>
      <x:c r="J3" s="69"/>
      <x:c r="K3" s="69"/>
      <x:c r="L3" s="69"/>
      <x:c r="M3" s="69"/>
      <x:c r="N3" s="69"/>
      <x:c r="O3" s="69"/>
      <x:c r="P3" s="69"/>
      <x:c r="Q3" s="69"/>
      <x:c r="R3" s="69"/>
      <x:c r="S3" s="69"/>
      <x:c r="T3" s="69"/>
    </x:row>
    <x:row r="4">
      <x:c r="A4" s="94" t="str">
        <x:v>Rank</x:v>
      </x:c>
      <x:c r="B4" s="95" t="str">
        <x:v>Lead ID</x:v>
      </x:c>
      <x:c r="C4" s="95" t="str">
        <x:v>Company</x:v>
      </x:c>
      <x:c r="D4" s="95" t="str">
        <x:v>Buyer Name</x:v>
      </x:c>
      <x:c r="E4" s="95" t="str">
        <x:v>Buyer Role</x:v>
      </x:c>
      <x:c r="F4" s="95" t="str">
        <x:v>Website</x:v>
      </x:c>
      <x:c r="G4" s="95" t="str">
        <x:v>Form URL</x:v>
      </x:c>
      <x:c r="H4" s="95" t="str">
        <x:v>Segment</x:v>
      </x:c>
      <x:c r="I4" s="95" t="str">
        <x:v>Fit</x:v>
      </x:c>
      <x:c r="J4" s="95" t="str">
        <x:v>Score</x:v>
      </x:c>
      <x:c r="K4" s="95" t="str">
        <x:v>Channel</x:v>
      </x:c>
      <x:c r="L4" s="95" t="str">
        <x:v>LinkedIn Connect</x:v>
      </x:c>
      <x:c r="M4" s="95" t="str">
        <x:v>LinkedIn DM</x:v>
      </x:c>
      <x:c r="N4" s="95" t="str">
        <x:v>Email Subject</x:v>
      </x:c>
      <x:c r="O4" s="95" t="str">
        <x:v>Email Body</x:v>
      </x:c>
      <x:c r="P4" s="95" t="str">
        <x:v>Follow-Up 1</x:v>
      </x:c>
      <x:c r="Q4" s="95" t="str">
        <x:v>Follow-Up 2</x:v>
      </x:c>
      <x:c r="R4" s="95" t="str">
        <x:v>Follow-Up 3</x:v>
      </x:c>
      <x:c r="S4" s="95" t="str">
        <x:v>Call Opener</x:v>
      </x:c>
      <x:c r="T4" s="96" t="str">
        <x:v>Reason</x:v>
      </x:c>
    </x:row>
    <x:row r="5">
      <x:c r="A5" s="79" t="str">
        <x:v>1</x:v>
      </x:c>
      <x:c r="B5" s="80" t="str">
        <x:v>beehex automation::buyer</x:v>
      </x:c>
      <x:c r="C5" s="80" t="str">
        <x:v>BeeHex Automation</x:v>
      </x:c>
      <x:c r="D5" s="80" t="str"/>
      <x:c r="E5" s="80" t="str">
        <x:v>President / Business Development</x:v>
      </x:c>
      <x:c r="F5" s="80" t="str">
        <x:v>https://beehexautomation.com/</x:v>
      </x:c>
      <x:c r="G5" s="80" t="str">
        <x:v>https://beehexautomation.com/</x:v>
      </x:c>
      <x:c r="H5" s="80" t="str">
        <x:v>Robotics and AI integrator</x:v>
      </x:c>
      <x:c r="I5" s="80" t="str">
        <x:v>5</x:v>
      </x:c>
      <x:c r="J5" s="80" t="str">
        <x:v>180</x:v>
      </x:c>
      <x:c r="K5" s="80" t="str">
        <x:v>Email</x:v>
      </x:c>
      <x:c r="L5" s="81" t="str">
        <x:v>Looked at BeeHex Automation's quote/contact intake while researching high-ticket project handoffs. It captures the lead, but sales may still need to build the project profile manually. Worth connecting.</x:v>
      </x:c>
      <x:c r="M5" s="81" t="str">
        <x:v>Appreciate the connect.
I looked at BeeHex Automation's quote/contact intake. One thing stood out: Contact intake lists email and phone but does not visibly collect application type, payload, plant constraints, timeline, or budget.
That probably still leaves sales figuring out application type, payload, facility constraints, robot brand, timeline, and budget before the first reply.
Want me to send a quick intake teardown?</x:v>
      </x:c>
      <x:c r="N5" s="81" t="str">
        <x:v>BeeHex Automation form teardown</x:v>
      </x:c>
      <x:c r="O5" s="81" t="str">
        <x:v>Hi,
I looked at BeeHex Automation's form here: https://beehexautomation.com/
One thing stood out: Contact intake lists email and phone but does not visibly collect application type, payload, plant constraints, timeline, or budget.
That probably still leaves sales figuring out application type, payload, facility constraints, robot brand, timeline, and budget before the first reply.
That is the gap Deal Threads is built around: turning a form fill into a project-ready buyer profile before callback.
Want me to send over the quick intake teardown?
Ryan</x:v>
      </x:c>
      <x:c r="P5" s="81" t="str">
        <x:v>One specific thing I noticed:
Contact intake lists email and phone but does not visibly collect application type, payload, plant constraints, timeline, or budget.
That is usually the gap between "we got a lead" and "sales or engineering knows what is worth a callback."
Still worth sending the teardown?</x:v>
      </x:c>
      <x:c r="Q5"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5" s="81" t="str">
        <x:v>Should I close the loop here, or would it still be useful if I sent the form teardown later?</x:v>
      </x:c>
      <x:c r="S5" s="81" t="str">
        <x:v>Hey, this is Ryan. I was looking at BeeHex Automation's quote/contact intake and had one specific thought: it captures the lead, but it may still leave sales doing the project-profile research manually. I was calling to see if it would be useful if I sent the quick intake teardown.</x:v>
      </x:c>
      <x:c r="T5" s="99" t="str">
        <x:v>fit 5/5; visible form; specific weak-form observation; manual research gap identified; reason now; teardown first; high-value sale</x:v>
      </x:c>
    </x:row>
    <x:row r="6">
      <x:c r="A6" s="79" t="str">
        <x:v>2</x:v>
      </x:c>
      <x:c r="B6" s="80" t="str">
        <x:v>integro technologies::buyer</x:v>
      </x:c>
      <x:c r="C6" s="80" t="str">
        <x:v>Integro Technologies</x:v>
      </x:c>
      <x:c r="D6" s="80" t="str"/>
      <x:c r="E6" s="80" t="str">
        <x:v>Sales Manager / Business Development</x:v>
      </x:c>
      <x:c r="F6" s="80" t="str">
        <x:v>https://www.integro-tech.com/</x:v>
      </x:c>
      <x:c r="G6" s="80" t="str">
        <x:v>https://www.integro-tech.com/</x:v>
      </x:c>
      <x:c r="H6" s="80" t="str">
        <x:v>Machine vision AI integrator</x:v>
      </x:c>
      <x:c r="I6" s="80" t="str">
        <x:v>5</x:v>
      </x:c>
      <x:c r="J6" s="80" t="str">
        <x:v>180</x:v>
      </x:c>
      <x:c r="K6" s="80" t="str">
        <x:v>Email</x:v>
      </x:c>
      <x:c r="L6" s="81" t="str">
        <x:v>Looked at Integro Technologies' quote/contact intake while researching high-ticket project handoffs. It captures the lead, but sales may still need to build the project profile manually. Worth connecting.</x:v>
      </x:c>
      <x:c r="M6" s="81" t="str">
        <x:v>Appreciate the connect.
I looked at Integro Technologies' quote/contact intake. One thing stood out: Quote/service path does not visibly separate deep learning use case, inspection target, line speed, part variability, or validation needs.
That probably still leaves sales figuring out inspection target, line speed, camera/lighting constraints, defect types, validation needs, and timeline before the first reply.
Want me to send a quick intake teardown?</x:v>
      </x:c>
      <x:c r="N6" s="81" t="str">
        <x:v>Integro Technologies form teardown</x:v>
      </x:c>
      <x:c r="O6" s="81" t="str">
        <x:v>Hi,
I looked at Integro Technologies's form here: https://www.integro-tech.com/
One thing stood out: Quote/service path does not visibly separate deep learning use case, inspection target, line speed, part variability, or validation needs.
That probably still leaves sales figuring out inspection target, line speed, camera/lighting constraints, defect types, validation needs, and timeline before the first reply.
That is the gap Deal Threads is built around: turning a form fill into a project-ready buyer profile before callback.
Want me to send over the quick intake teardown?
Ryan</x:v>
      </x:c>
      <x:c r="P6" s="81" t="str">
        <x:v>One specific thing I noticed:
Quote/service path does not visibly separate deep learning use case, inspection target, line speed, part variability, or validation needs.
That is usually the gap between "we got a lead" and "sales or engineering knows what is worth a callback."
Still worth sending the teardown?</x:v>
      </x:c>
      <x:c r="Q6"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6" s="81" t="str">
        <x:v>Should I close the loop here, or would it still be useful if I sent the form teardown later?</x:v>
      </x:c>
      <x:c r="S6" s="81" t="str">
        <x:v>Hey, this is Ryan. I was looking at Integro Technologies' quote/contact intake and had one specific thought: it captures the lead, but it may still leave sales doing the project-profile research manually. I was calling to see if it would be useful if I sent the quick intake teardown.</x:v>
      </x:c>
      <x:c r="T6" s="99" t="str">
        <x:v>fit 5/5; visible form; specific weak-form observation; manual research gap identified; reason now; teardown first; high-value sale</x:v>
      </x:c>
    </x:row>
    <x:row r="7">
      <x:c r="A7" s="79" t="str">
        <x:v>3</x:v>
      </x:c>
      <x:c r="B7" s="80" t="str">
        <x:v>even automation::buyer</x:v>
      </x:c>
      <x:c r="C7" s="80" t="str">
        <x:v>Even Automation</x:v>
      </x:c>
      <x:c r="D7" s="80" t="str"/>
      <x:c r="E7" s="80" t="str">
        <x:v>Owner / Sales Manager</x:v>
      </x:c>
      <x:c r="F7" s="80" t="str">
        <x:v>https://www.evenautomation.com</x:v>
      </x:c>
      <x:c r="G7" s="80" t="str">
        <x:v>https://www.evenautomation.com/contact-us</x:v>
      </x:c>
      <x:c r="H7" s="80" t="str">
        <x:v>Industrial automation integrator</x:v>
      </x:c>
      <x:c r="I7" s="80" t="str">
        <x:v>5</x:v>
      </x:c>
      <x:c r="J7" s="80" t="str">
        <x:v>180</x:v>
      </x:c>
      <x:c r="K7" s="80" t="str">
        <x:v>Email</x:v>
      </x:c>
      <x:c r="L7" s="81" t="str">
        <x:v>Looked at Even Automation's quote/contact intake while researching high-ticket project handoffs. It captures the lead, but sales may still need to build the project profile manually. Worth connecting.</x:v>
      </x:c>
      <x:c r="M7" s="81" t="str">
        <x:v>Appreciate the connect.
I looked at Even Automation's quote/contact intake. One thing stood out: Contact form offers a free onsite consultation but does not visibly capture process, equipment, plant location, constraints, or implementation urgency.
That probably still leaves sales figuring out process type, existing equipment, plant location, downtime constraints, timeline, and budget before the first reply.
Want me to send a quick intake teardown?</x:v>
      </x:c>
      <x:c r="N7" s="81" t="str">
        <x:v>Even Automation form teardown</x:v>
      </x:c>
      <x:c r="O7" s="81" t="str">
        <x:v>Hi,
I looked at Even Automation's form here: https://www.evenautomation.com/contact-us
One thing stood out: Contact form offers a free onsite consultation but does not visibly capture process, equipment, plant location, constraints, or implementation urgency.
That probably still leaves sales figuring out process type, existing equipment, plant location, downtime constraints, timeline, and budget before the first reply.
That is the gap Deal Threads is built around: turning a form fill into a project-ready buyer profile before callback.
Want me to send over the quick intake teardown?
Ryan</x:v>
      </x:c>
      <x:c r="P7" s="81" t="str">
        <x:v>One specific thing I noticed:
Contact form offers a free onsite consultation but does not visibly capture process, equipment, plant location, constraints, or implementation urgency.
That is usually the gap between "we got a lead" and "sales or engineering knows what is worth a callback."
Still worth sending the teardown?</x:v>
      </x:c>
      <x:c r="Q7"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7" s="81" t="str">
        <x:v>Should I close the loop here, or would it still be useful if I sent the form teardown later?</x:v>
      </x:c>
      <x:c r="S7" s="81" t="str">
        <x:v>Hey, this is Ryan. I was looking at Even Automation's quote/contact intake and had one specific thought: it captures the lead, but it may still leave sales doing the project-profile research manually. I was calling to see if it would be useful if I sent the quick intake teardown.</x:v>
      </x:c>
      <x:c r="T7" s="99" t="str">
        <x:v>fit 5/5; visible form; specific weak-form observation; manual research gap identified; reason now; teardown first; high-value sale</x:v>
      </x:c>
    </x:row>
    <x:row r="8">
      <x:c r="A8" s="79" t="str">
        <x:v>4</x:v>
      </x:c>
      <x:c r="B8" s="80" t="str">
        <x:v>freedom automation::buyer</x:v>
      </x:c>
      <x:c r="C8" s="80" t="str">
        <x:v>Freedom Automation</x:v>
      </x:c>
      <x:c r="D8" s="80" t="str"/>
      <x:c r="E8" s="80" t="str">
        <x:v>Sales Manager / Engineering Manager</x:v>
      </x:c>
      <x:c r="F8" s="80" t="str">
        <x:v>https://fainc.us/</x:v>
      </x:c>
      <x:c r="G8" s="80" t="str">
        <x:v>https://fainc.us/</x:v>
      </x:c>
      <x:c r="H8" s="80" t="str">
        <x:v>Robotic systems integrator</x:v>
      </x:c>
      <x:c r="I8" s="80" t="str">
        <x:v>5</x:v>
      </x:c>
      <x:c r="J8" s="80" t="str">
        <x:v>180</x:v>
      </x:c>
      <x:c r="K8" s="80" t="str">
        <x:v>Email</x:v>
      </x:c>
      <x:c r="L8" s="81" t="str">
        <x:v>Looked at Freedom Automation's quote/contact intake while researching high-ticket project handoffs. It captures the lead, but sales may still need to build the project profile manually. Worth connecting.</x:v>
      </x:c>
      <x:c r="M8" s="81" t="str">
        <x:v>Appreciate the connect.
I looked at Freedom Automation's quote/contact intake. One thing stood out: Contact path does not visibly collect application type, robot cell need, part handling requirements, or support urgency.
That probably still leaves sales figuring out application type, material handling need, robot brand, part specs, support urgency, and timeline before the first reply.
Want me to send a quick intake teardown?</x:v>
      </x:c>
      <x:c r="N8" s="81" t="str">
        <x:v>Freedom Automation form teardown</x:v>
      </x:c>
      <x:c r="O8" s="81" t="str">
        <x:v>Hi,
I looked at Freedom Automation's form here: https://fainc.us/
One thing stood out: Contact path does not visibly collect application type, robot cell need, part handling requirements, or support urgency.
That probably still leaves sales figuring out application type, material handling need, robot brand, part specs, support urgency, and timeline before the first reply.
That is the gap Deal Threads is built around: turning a form fill into a project-ready buyer profile before callback.
Want me to send over the quick intake teardown?
Ryan</x:v>
      </x:c>
      <x:c r="P8" s="81" t="str">
        <x:v>One specific thing I noticed:
Contact path does not visibly collect application type, robot cell need, part handling requirements, or support urgency.
That is usually the gap between "we got a lead" and "sales or engineering knows what is worth a callback."
Still worth sending the teardown?</x:v>
      </x:c>
      <x:c r="Q8"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8" s="81" t="str">
        <x:v>Should I close the loop here, or would it still be useful if I sent the form teardown later?</x:v>
      </x:c>
      <x:c r="S8" s="81" t="str">
        <x:v>Hey, this is Ryan. I was looking at Freedom Automation's quote/contact intake and had one specific thought: it captures the lead, but it may still leave sales doing the project-profile research manually. I was calling to see if it would be useful if I sent the quick intake teardown.</x:v>
      </x:c>
      <x:c r="T8" s="99" t="str">
        <x:v>fit 5/5; visible form; specific weak-form observation; manual research gap identified; reason now; teardown first; high-value sale</x:v>
      </x:c>
    </x:row>
    <x:row r="9">
      <x:c r="A9" s="79" t="str">
        <x:v>5</x:v>
      </x:c>
      <x:c r="B9" s="80" t="str">
        <x:v>omni automation::buyer</x:v>
      </x:c>
      <x:c r="C9" s="80" t="str">
        <x:v>Omni Automation</x:v>
      </x:c>
      <x:c r="D9" s="80" t="str"/>
      <x:c r="E9" s="80" t="str">
        <x:v>President / Sales Manager</x:v>
      </x:c>
      <x:c r="F9" s="80" t="str">
        <x:v>https://omniautomation.com/</x:v>
      </x:c>
      <x:c r="G9" s="80" t="str">
        <x:v>https://omniautomation.com/</x:v>
      </x:c>
      <x:c r="H9" s="80" t="str">
        <x:v>Industrial automation and vision</x:v>
      </x:c>
      <x:c r="I9" s="80" t="str">
        <x:v>5</x:v>
      </x:c>
      <x:c r="J9" s="80" t="str">
        <x:v>180</x:v>
      </x:c>
      <x:c r="K9" s="80" t="str">
        <x:v>Email</x:v>
      </x:c>
      <x:c r="L9" s="81" t="str">
        <x:v>Looked at Omni Automation's quote/contact intake while researching high-ticket project handoffs. It captures the lead, but sales may still need to build the project profile manually. Worth connecting.</x:v>
      </x:c>
      <x:c r="M9" s="81" t="str">
        <x:v>Appreciate the connect.
I looked at Omni Automation's quote/contact intake. One thing stood out: Contact form asks for a message but does not visibly qualify robotics, AMR, material handling, Cognex vision, or project urgency.
That probably still leaves sales figuring out automation category, plant location, current equipment, budget, timeline, and technical constraints before the first reply.
Want me to send a quick intake teardown?</x:v>
      </x:c>
      <x:c r="N9" s="81" t="str">
        <x:v>Omni Automation form teardown</x:v>
      </x:c>
      <x:c r="O9" s="81" t="str">
        <x:v>Hi,
I looked at Omni Automation's form here: https://omniautomation.com/
One thing stood out: Contact form asks for a message but does not visibly qualify robotics, AMR, material handling, Cognex vision, or project urgency.
That probably still leaves sales figuring out automation category, plant location, current equipment, budget, timeline, and technical constraints before the first reply.
That is the gap Deal Threads is built around: turning a form fill into a project-ready buyer profile before callback.
Want me to send over the quick intake teardown?
Ryan</x:v>
      </x:c>
      <x:c r="P9" s="81" t="str">
        <x:v>One specific thing I noticed:
Contact form asks for a message but does not visibly qualify robotics, AMR, material handling, Cognex vision, or project urgency.
That is usually the gap between "we got a lead" and "sales or engineering knows what is worth a callback."
Still worth sending the teardown?</x:v>
      </x:c>
      <x:c r="Q9"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9" s="81" t="str">
        <x:v>Should I close the loop here, or would it still be useful if I sent the form teardown later?</x:v>
      </x:c>
      <x:c r="S9" s="81" t="str">
        <x:v>Hey, this is Ryan. I was looking at Omni Automation's quote/contact intake and had one specific thought: it captures the lead, but it may still leave sales doing the project-profile research manually. I was calling to see if it would be useful if I sent the quick intake teardown.</x:v>
      </x:c>
      <x:c r="T9" s="99" t="str">
        <x:v>fit 5/5; visible form; specific weak-form observation; manual research gap identified; reason now; teardown first; high-value sale</x:v>
      </x:c>
    </x:row>
    <x:row r="10">
      <x:c r="A10" s="79" t="str">
        <x:v>6</x:v>
      </x:c>
      <x:c r="B10" s="80" t="str">
        <x:v>ez automation::buyer</x:v>
      </x:c>
      <x:c r="C10" s="80" t="str">
        <x:v>EZ Automation</x:v>
      </x:c>
      <x:c r="D10" s="80" t="str"/>
      <x:c r="E10" s="80" t="str">
        <x:v>Founder / Business Development</x:v>
      </x:c>
      <x:c r="F10" s="80" t="str">
        <x:v>https://ezautomation.ai</x:v>
      </x:c>
      <x:c r="G10" s="80" t="str">
        <x:v>https://ezautomation.ai/contact/</x:v>
      </x:c>
      <x:c r="H10" s="80" t="str">
        <x:v>Industrial automation consulting</x:v>
      </x:c>
      <x:c r="I10" s="80" t="str">
        <x:v>5</x:v>
      </x:c>
      <x:c r="J10" s="80" t="str">
        <x:v>180</x:v>
      </x:c>
      <x:c r="K10" s="80" t="str">
        <x:v>Email</x:v>
      </x:c>
      <x:c r="L10" s="81" t="str">
        <x:v>Looked at EZ Automation's quote/contact intake while researching high-ticket project handoffs. It captures the lead, but sales may still need to build the project profile manually. Worth connecting.</x:v>
      </x:c>
      <x:c r="M10" s="81" t="str">
        <x:v>Appreciate the connect.
I looked at EZ Automation's quote/contact intake. One thing stood out: Contact page invites automation consulting but does not visibly capture production challenge, equipment, ROI goal, timeline, or budget.
That probably still leaves sales figuring out production challenge, equipment, ROI target, project scope, timeline, and budget before the first reply.
Want me to send a quick intake teardown?</x:v>
      </x:c>
      <x:c r="N10" s="81" t="str">
        <x:v>EZ Automation form teardown</x:v>
      </x:c>
      <x:c r="O10" s="81" t="str">
        <x:v>Hi,
I looked at EZ Automation's form here: https://ezautomation.ai/contact/
One thing stood out: Contact page invites automation consulting but does not visibly capture production challenge, equipment, ROI goal, timeline, or budget.
That probably still leaves sales figuring out production challenge, equipment, ROI target, project scope, timeline, and budget before the first reply.
That is the gap Deal Threads is built around: turning a form fill into a project-ready buyer profile before callback.
Want me to send over the quick intake teardown?
Ryan</x:v>
      </x:c>
      <x:c r="P10" s="81" t="str">
        <x:v>One specific thing I noticed:
Contact page invites automation consulting but does not visibly capture production challenge, equipment, ROI goal, timeline, or budget.
That is usually the gap between "we got a lead" and "sales or engineering knows what is worth a callback."
Still worth sending the teardown?</x:v>
      </x:c>
      <x:c r="Q10"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10" s="81" t="str">
        <x:v>Should I close the loop here, or would it still be useful if I sent the form teardown later?</x:v>
      </x:c>
      <x:c r="S10" s="81" t="str">
        <x:v>Hey, this is Ryan. I was looking at EZ Automation's quote/contact intake and had one specific thought: it captures the lead, but it may still leave sales doing the project-profile research manually. I was calling to see if it would be useful if I sent the quick intake teardown.</x:v>
      </x:c>
      <x:c r="T10" s="99" t="str">
        <x:v>fit 5/5; visible form; specific weak-form observation; manual research gap identified; reason now; teardown first; high-value sale</x:v>
      </x:c>
    </x:row>
    <x:row r="11">
      <x:c r="A11" s="79" t="str">
        <x:v>7</x:v>
      </x:c>
      <x:c r="B11" s="80" t="str">
        <x:v>industrial tool inc::buyer</x:v>
      </x:c>
      <x:c r="C11" s="80" t="str">
        <x:v>Industrial Tool Inc</x:v>
      </x:c>
      <x:c r="D11" s="80" t="str"/>
      <x:c r="E11" s="80" t="str">
        <x:v>Sales Manager / Business Development</x:v>
      </x:c>
      <x:c r="F11" s="80" t="str">
        <x:v>https://industrial-tool.com</x:v>
      </x:c>
      <x:c r="G11" s="80" t="str">
        <x:v>https://industrial-tool.com/contact/</x:v>
      </x:c>
      <x:c r="H11" s="80" t="str">
        <x:v>Robotic automation and custom machines</x:v>
      </x:c>
      <x:c r="I11" s="80" t="str">
        <x:v>5</x:v>
      </x:c>
      <x:c r="J11" s="80" t="str">
        <x:v>180</x:v>
      </x:c>
      <x:c r="K11" s="80" t="str">
        <x:v>Email</x:v>
      </x:c>
      <x:c r="L11" s="81" t="str">
        <x:v>Looked at Industrial Tool Inc's quote/contact intake while researching high-ticket project handoffs. It captures the lead, but sales may still need to build the project profile manually. Worth connecting.</x:v>
      </x:c>
      <x:c r="M11" s="81" t="str">
        <x:v>Appreciate the connect.
I looked at Industrial Tool Inc's quote/contact intake. One thing stood out: Contact form asks for basic details and message but does not visibly capture fixtures, CNC needs, robot cell scope, industry, or quote timing.
That probably still leaves sales figuring out workholding need, robot cell scope, industry, part specs, quote timing, and budget before the first reply.
Want me to send a quick intake teardown?</x:v>
      </x:c>
      <x:c r="N11" s="81" t="str">
        <x:v>Industrial Tool Inc form teardown</x:v>
      </x:c>
      <x:c r="O11" s="81" t="str">
        <x:v>Hi,
I looked at Industrial Tool Inc's form here: https://industrial-tool.com/contact/
One thing stood out: Contact form asks for basic details and message but does not visibly capture fixtures, CNC needs, robot cell scope, industry, or quote timing.
That probably still leaves sales figuring out workholding need, robot cell scope, industry, part specs, quote timing, and budget before the first reply.
That is the gap Deal Threads is built around: turning a form fill into a project-ready buyer profile before callback.
Want me to send over the quick intake teardown?
Ryan</x:v>
      </x:c>
      <x:c r="P11" s="81" t="str">
        <x:v>One specific thing I noticed:
Contact form asks for basic details and message but does not visibly capture fixtures, CNC needs, robot cell scope, industry, or quote timing.
That is usually the gap between "we got a lead" and "sales or engineering knows what is worth a callback."
Still worth sending the teardown?</x:v>
      </x:c>
      <x:c r="Q11"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11" s="81" t="str">
        <x:v>Should I close the loop here, or would it still be useful if I sent the form teardown later?</x:v>
      </x:c>
      <x:c r="S11" s="81" t="str">
        <x:v>Hey, this is Ryan. I was looking at Industrial Tool Inc's quote/contact intake and had one specific thought: it captures the lead, but it may still leave sales doing the project-profile research manually. I was calling to see if it would be useful if I sent the quick intake teardown.</x:v>
      </x:c>
      <x:c r="T11" s="99" t="str">
        <x:v>fit 5/5; visible form; specific weak-form observation; manual research gap identified; reason now; teardown first; high-value sale</x:v>
      </x:c>
    </x:row>
    <x:row r="12">
      <x:c r="A12" s="79" t="str">
        <x:v>8</x:v>
      </x:c>
      <x:c r="B12" s="80" t="str">
        <x:v>mcenery automation::buyer</x:v>
      </x:c>
      <x:c r="C12" s="80" t="str">
        <x:v>McEnery Automation</x:v>
      </x:c>
      <x:c r="D12" s="80" t="str"/>
      <x:c r="E12" s="80" t="str">
        <x:v>Sales Manager / Operations Leader</x:v>
      </x:c>
      <x:c r="F12" s="80" t="str">
        <x:v>https://www.mceneryautomation.com</x:v>
      </x:c>
      <x:c r="G12" s="80" t="str">
        <x:v>https://www.mceneryautomation.com/contact-us</x:v>
      </x:c>
      <x:c r="H12" s="80" t="str">
        <x:v>Process automation integrator</x:v>
      </x:c>
      <x:c r="I12" s="80" t="str">
        <x:v>5</x:v>
      </x:c>
      <x:c r="J12" s="80" t="str">
        <x:v>180</x:v>
      </x:c>
      <x:c r="K12" s="80" t="str">
        <x:v>Email</x:v>
      </x:c>
      <x:c r="L12" s="81" t="str">
        <x:v>Looked at McEnery Automation's quote/contact intake while researching high-ticket project handoffs. It captures the lead, but sales may still need to build the project profile manually. Worth connecting.</x:v>
      </x:c>
      <x:c r="M12" s="81" t="str">
        <x:v>Appreciate the connect.
I looked at McEnery Automation's quote/contact intake. One thing stood out: Contact page asks for manufacturing challenge but could collect more structured process, plant, PLC/control, urgency, and budget context before sales review.
That probably still leaves sales figuring out manufacturing challenge, process type, PLC/control stack, plant location, urgency, and stakeholders before the first reply.
Want me to send a quick intake teardown?</x:v>
      </x:c>
      <x:c r="N12" s="81" t="str">
        <x:v>McEnery Automation form teardown</x:v>
      </x:c>
      <x:c r="O12" s="81" t="str">
        <x:v>Hi,
I looked at McEnery Automation's form here: https://www.mceneryautomation.com/contact-us
One thing stood out: Contact page asks for manufacturing challenge but could collect more structured process, plant, PLC/control, urgency, and budget context before sales review.
That probably still leaves sales figuring out manufacturing challenge, process type, PLC/control stack, plant location, urgency, and stakeholders before the first reply.
That is the gap Deal Threads is built around: turning a form fill into a project-ready buyer profile before callback.
Want me to send over the quick intake teardown?
Ryan</x:v>
      </x:c>
      <x:c r="P12" s="81" t="str">
        <x:v>One specific thing I noticed:
Contact page asks for manufacturing challenge but could collect more structured process, plant, PLC/control, urgency, and budget context before sales review.
That is usually the gap between "we got a lead" and "sales or engineering knows what is worth a callback."
Still worth sending the teardown?</x:v>
      </x:c>
      <x:c r="Q12"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12" s="81" t="str">
        <x:v>Should I close the loop here, or would it still be useful if I sent the form teardown later?</x:v>
      </x:c>
      <x:c r="S12" s="81" t="str">
        <x:v>Hey, this is Ryan. I was looking at McEnery Automation's quote/contact intake and had one specific thought: it captures the lead, but it may still leave sales doing the project-profile research manually. I was calling to see if it would be useful if I sent the quick intake teardown.</x:v>
      </x:c>
      <x:c r="T12" s="99" t="str">
        <x:v>fit 5/5; visible form; specific weak-form observation; manual research gap identified; reason now; teardown first; high-value sale</x:v>
      </x:c>
    </x:row>
    <x:row r="13">
      <x:c r="A13" s="79" t="str">
        <x:v>9</x:v>
      </x:c>
      <x:c r="B13" s="80" t="str">
        <x:v>accubilt::buyer</x:v>
      </x:c>
      <x:c r="C13" s="80" t="str">
        <x:v>AccuBilt</x:v>
      </x:c>
      <x:c r="D13" s="80" t="str"/>
      <x:c r="E13" s="80" t="str">
        <x:v>Sales Manager / Business Development</x:v>
      </x:c>
      <x:c r="F13" s="80" t="str">
        <x:v>https://accubilt.com/</x:v>
      </x:c>
      <x:c r="G13" s="80" t="str">
        <x:v>https://accubilt.com/</x:v>
      </x:c>
      <x:c r="H13" s="80" t="str">
        <x:v>Turnkey automation systems</x:v>
      </x:c>
      <x:c r="I13" s="80" t="str">
        <x:v>5</x:v>
      </x:c>
      <x:c r="J13" s="80" t="str">
        <x:v>180</x:v>
      </x:c>
      <x:c r="K13" s="80" t="str">
        <x:v>Email</x:v>
      </x:c>
      <x:c r="L13" s="81" t="str">
        <x:v>Looked at AccuBilt's quote/contact intake while researching high-ticket project handoffs. It captures the lead, but sales may still need to build the project profile manually. Worth connecting.</x:v>
      </x:c>
      <x:c r="M13" s="81" t="str">
        <x:v>Appreciate the connect.
I looked at AccuBilt's quote/contact intake. One thing stood out: Request-a-quote motion does not visibly collect welding/material handling process, robot requirement, part specs, volumes, or timeline.
That probably still leaves sales figuring out process type, part specs, production volume, robot requirement, budget, and timeline before the first reply.
Want me to send a quick intake teardown?</x:v>
      </x:c>
      <x:c r="N13" s="81" t="str">
        <x:v>AccuBilt form teardown</x:v>
      </x:c>
      <x:c r="O13" s="81" t="str">
        <x:v>Hi,
I looked at AccuBilt's form here: https://accubilt.com/
One thing stood out: Request-a-quote motion does not visibly collect welding/material handling process, robot requirement, part specs, volumes, or timeline.
That probably still leaves sales figuring out process type, part specs, production volume, robot requirement, budget, and timeline before the first reply.
That is the gap Deal Threads is built around: turning a form fill into a project-ready buyer profile before callback.
Want me to send over the quick intake teardown?
Ryan</x:v>
      </x:c>
      <x:c r="P13" s="81" t="str">
        <x:v>One specific thing I noticed:
Request-a-quote motion does not visibly collect welding/material handling process, robot requirement, part specs, volumes, or timeline.
That is usually the gap between "we got a lead" and "sales or engineering knows what is worth a callback."
Still worth sending the teardown?</x:v>
      </x:c>
      <x:c r="Q13"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13" s="81" t="str">
        <x:v>Should I close the loop here, or would it still be useful if I sent the form teardown later?</x:v>
      </x:c>
      <x:c r="S13" s="81" t="str">
        <x:v>Hey, this is Ryan. I was looking at AccuBilt's quote/contact intake and had one specific thought: it captures the lead, but it may still leave sales doing the project-profile research manually. I was calling to see if it would be useful if I sent the quick intake teardown.</x:v>
      </x:c>
      <x:c r="T13" s="99" t="str">
        <x:v>fit 5/5; visible form; specific weak-form observation; manual research gap identified; reason now; teardown first; high-value sale</x:v>
      </x:c>
    </x:row>
    <x:row r="14">
      <x:c r="A14" s="79" t="str">
        <x:v>10</x:v>
      </x:c>
      <x:c r="B14" s="80" t="str">
        <x:v>eamvision::buyer</x:v>
      </x:c>
      <x:c r="C14" s="80" t="str">
        <x:v>EAMVision</x:v>
      </x:c>
      <x:c r="D14" s="80" t="str"/>
      <x:c r="E14" s="80" t="str">
        <x:v>Owner / Sales Manager</x:v>
      </x:c>
      <x:c r="F14" s="80" t="str">
        <x:v>https://eamvision.com/</x:v>
      </x:c>
      <x:c r="G14" s="80" t="str">
        <x:v>https://eamvision.com/</x:v>
      </x:c>
      <x:c r="H14" s="80" t="str">
        <x:v>Machine vision AI integrator</x:v>
      </x:c>
      <x:c r="I14" s="80" t="str">
        <x:v>5</x:v>
      </x:c>
      <x:c r="J14" s="80" t="str">
        <x:v>180</x:v>
      </x:c>
      <x:c r="K14" s="80" t="str">
        <x:v>Email</x:v>
      </x:c>
      <x:c r="L14" s="81" t="str">
        <x:v>Looked at EAMVision's quote/contact intake while researching high-ticket project handoffs. It captures the lead, but sales may still need to build the project profile manually. Worth connecting.</x:v>
      </x:c>
      <x:c r="M14" s="81" t="str">
        <x:v>Appreciate the connect.
I looked at EAMVision's quote/contact intake. One thing stood out: Contact prompt offers quotes and consultation but does not visibly structure defect type, camera setup, line speed, industry, or demo-software need.
That probably still leaves sales figuring out defect type, camera setup, line speed, industry, validation needs, and budget before the first reply.
Want me to send a quick intake teardown?</x:v>
      </x:c>
      <x:c r="N14" s="81" t="str">
        <x:v>EAMVision form teardown</x:v>
      </x:c>
      <x:c r="O14" s="81" t="str">
        <x:v>Hi,
I looked at EAMVision's form here: https://eamvision.com/
One thing stood out: Contact prompt offers quotes and consultation but does not visibly structure defect type, camera setup, line speed, industry, or demo-software need.
That probably still leaves sales figuring out defect type, camera setup, line speed, industry, validation needs, and budget before the first reply.
That is the gap Deal Threads is built around: turning a form fill into a project-ready buyer profile before callback.
Want me to send over the quick intake teardown?
Ryan</x:v>
      </x:c>
      <x:c r="P14" s="81" t="str">
        <x:v>One specific thing I noticed:
Contact prompt offers quotes and consultation but does not visibly structure defect type, camera setup, line speed, industry, or demo-software need.
That is usually the gap between "we got a lead" and "sales or engineering knows what is worth a callback."
Still worth sending the teardown?</x:v>
      </x:c>
      <x:c r="Q14" s="81" t="str">
        <x:v>The project profile I would want sales to see after this form:
- process or problem
- timeline
- equipment or site context
- technical constraints
- unknowns to confirm
- recommended opener
That is the before/after I can map in the intake teardown. Want me to send it?</x:v>
      </x:c>
      <x:c r="R14" s="81" t="str">
        <x:v>Should I close the loop here, or would it still be useful if I sent the form teardown later?</x:v>
      </x:c>
      <x:c r="S14" s="81" t="str">
        <x:v>Hey, this is Ryan. I was looking at EAMVision's quote/contact intake and had one specific thought: it captures the lead, but it may still leave sales doing the project-profile research manually. I was calling to see if it would be useful if I sent the quick intake teardown.</x:v>
      </x:c>
      <x:c r="T14" s="99" t="str">
        <x:v>fit 5/5; visible form; specific weak-form observation; manual research gap identified; reason now; teardown first; high-value sale</x:v>
      </x:c>
    </x:row>
    <x:row r="15">
      <x:c r="A15" s="79" t="str"/>
      <x:c r="B15" s="80" t="str"/>
      <x:c r="C15" s="80" t="str"/>
      <x:c r="D15" s="80" t="str"/>
      <x:c r="E15" s="80" t="str"/>
      <x:c r="F15" s="80" t="str"/>
      <x:c r="G15" s="80" t="str"/>
      <x:c r="H15" s="80" t="str"/>
      <x:c r="I15" s="80" t="str"/>
      <x:c r="J15" s="80" t="str"/>
      <x:c r="K15" s="80" t="str">
        <x:v>LinkedIn</x:v>
      </x:c>
      <x:c r="L15" s="81" t="str"/>
      <x:c r="M15" s="81" t="str"/>
      <x:c r="N15" s="81" t="str"/>
      <x:c r="O15" s="81" t="str"/>
      <x:c r="P15" s="81" t="str"/>
      <x:c r="Q15" s="81" t="str"/>
      <x:c r="R15" s="81" t="str"/>
      <x:c r="S15" s="81" t="str"/>
      <x:c r="T15" s="99" t="str"/>
    </x:row>
    <x:row r="16">
      <x:c r="A16" s="79" t="str"/>
      <x:c r="B16" s="80" t="str"/>
      <x:c r="C16" s="80" t="str"/>
      <x:c r="D16" s="80" t="str"/>
      <x:c r="E16" s="80" t="str"/>
      <x:c r="F16" s="80" t="str"/>
      <x:c r="G16" s="80" t="str"/>
      <x:c r="H16" s="80" t="str"/>
      <x:c r="I16" s="80" t="str"/>
      <x:c r="J16" s="80" t="str"/>
      <x:c r="K16" s="80" t="str">
        <x:v>LinkedIn</x:v>
      </x:c>
      <x:c r="L16" s="81" t="str"/>
      <x:c r="M16" s="81" t="str"/>
      <x:c r="N16" s="81" t="str"/>
      <x:c r="O16" s="81" t="str"/>
      <x:c r="P16" s="81" t="str"/>
      <x:c r="Q16" s="81" t="str"/>
      <x:c r="R16" s="81" t="str"/>
      <x:c r="S16" s="81" t="str"/>
      <x:c r="T16" s="99" t="str"/>
    </x:row>
    <x:row r="17">
      <x:c r="A17" s="79" t="str"/>
      <x:c r="B17" s="80" t="str"/>
      <x:c r="C17" s="80" t="str"/>
      <x:c r="D17" s="80" t="str"/>
      <x:c r="E17" s="80" t="str"/>
      <x:c r="F17" s="80" t="str"/>
      <x:c r="G17" s="80" t="str"/>
      <x:c r="H17" s="80" t="str"/>
      <x:c r="I17" s="80" t="str"/>
      <x:c r="J17" s="80" t="str"/>
      <x:c r="K17" s="80" t="str">
        <x:v>LinkedIn</x:v>
      </x:c>
      <x:c r="L17" s="81" t="str"/>
      <x:c r="M17" s="81" t="str"/>
      <x:c r="N17" s="81" t="str"/>
      <x:c r="O17" s="81" t="str"/>
      <x:c r="P17" s="81" t="str"/>
      <x:c r="Q17" s="81" t="str"/>
      <x:c r="R17" s="81" t="str"/>
      <x:c r="S17" s="81" t="str"/>
      <x:c r="T17" s="99" t="str"/>
    </x:row>
    <x:row r="18">
      <x:c r="A18" s="79" t="str"/>
      <x:c r="B18" s="80" t="str"/>
      <x:c r="C18" s="80" t="str"/>
      <x:c r="D18" s="80" t="str"/>
      <x:c r="E18" s="80" t="str"/>
      <x:c r="F18" s="80" t="str"/>
      <x:c r="G18" s="80" t="str"/>
      <x:c r="H18" s="80" t="str"/>
      <x:c r="I18" s="80" t="str"/>
      <x:c r="J18" s="80" t="str"/>
      <x:c r="K18" s="80" t="str">
        <x:v>LinkedIn</x:v>
      </x:c>
      <x:c r="L18" s="81" t="str"/>
      <x:c r="M18" s="81" t="str"/>
      <x:c r="N18" s="81" t="str"/>
      <x:c r="O18" s="81" t="str"/>
      <x:c r="P18" s="81" t="str"/>
      <x:c r="Q18" s="81" t="str"/>
      <x:c r="R18" s="81" t="str"/>
      <x:c r="S18" s="81" t="str"/>
      <x:c r="T18" s="99" t="str"/>
    </x:row>
    <x:row r="19">
      <x:c r="A19" s="79" t="str"/>
      <x:c r="B19" s="80" t="str"/>
      <x:c r="C19" s="80" t="str"/>
      <x:c r="D19" s="80" t="str"/>
      <x:c r="E19" s="80" t="str"/>
      <x:c r="F19" s="80" t="str"/>
      <x:c r="G19" s="80" t="str"/>
      <x:c r="H19" s="80" t="str"/>
      <x:c r="I19" s="80" t="str"/>
      <x:c r="J19" s="80" t="str"/>
      <x:c r="K19" s="80" t="str">
        <x:v>LinkedIn</x:v>
      </x:c>
      <x:c r="L19" s="81" t="str"/>
      <x:c r="M19" s="81" t="str"/>
      <x:c r="N19" s="81" t="str"/>
      <x:c r="O19" s="81" t="str"/>
      <x:c r="P19" s="81" t="str"/>
      <x:c r="Q19" s="81" t="str"/>
      <x:c r="R19" s="81" t="str"/>
      <x:c r="S19" s="81" t="str"/>
      <x:c r="T19" s="99" t="str"/>
    </x:row>
    <x:row r="20">
      <x:c r="A20" s="79" t="str"/>
      <x:c r="B20" s="80" t="str"/>
      <x:c r="C20" s="80" t="str"/>
      <x:c r="D20" s="80" t="str"/>
      <x:c r="E20" s="80" t="str"/>
      <x:c r="F20" s="80" t="str"/>
      <x:c r="G20" s="80" t="str"/>
      <x:c r="H20" s="80" t="str"/>
      <x:c r="I20" s="80" t="str"/>
      <x:c r="J20" s="80" t="str"/>
      <x:c r="K20" s="80" t="str">
        <x:v>LinkedIn</x:v>
      </x:c>
      <x:c r="L20" s="81" t="str"/>
      <x:c r="M20" s="81" t="str"/>
      <x:c r="N20" s="81" t="str"/>
      <x:c r="O20" s="81" t="str"/>
      <x:c r="P20" s="81" t="str"/>
      <x:c r="Q20" s="81" t="str"/>
      <x:c r="R20" s="81" t="str"/>
      <x:c r="S20" s="81" t="str"/>
      <x:c r="T20" s="99" t="str"/>
    </x:row>
    <x:row r="21">
      <x:c r="A21" s="79" t="str"/>
      <x:c r="B21" s="80" t="str"/>
      <x:c r="C21" s="80" t="str"/>
      <x:c r="D21" s="80" t="str"/>
      <x:c r="E21" s="80" t="str"/>
      <x:c r="F21" s="80" t="str"/>
      <x:c r="G21" s="80" t="str"/>
      <x:c r="H21" s="80" t="str"/>
      <x:c r="I21" s="80" t="str"/>
      <x:c r="J21" s="80" t="str"/>
      <x:c r="K21" s="80" t="str">
        <x:v>LinkedIn</x:v>
      </x:c>
      <x:c r="L21" s="81" t="str"/>
      <x:c r="M21" s="81" t="str"/>
      <x:c r="N21" s="81" t="str"/>
      <x:c r="O21" s="81" t="str"/>
      <x:c r="P21" s="81" t="str"/>
      <x:c r="Q21" s="81" t="str"/>
      <x:c r="R21" s="81" t="str"/>
      <x:c r="S21" s="81" t="str"/>
      <x:c r="T21" s="99" t="str"/>
    </x:row>
    <x:row r="22">
      <x:c r="A22" s="79" t="str"/>
      <x:c r="B22" s="80" t="str"/>
      <x:c r="C22" s="80" t="str"/>
      <x:c r="D22" s="80" t="str"/>
      <x:c r="E22" s="80" t="str"/>
      <x:c r="F22" s="80" t="str"/>
      <x:c r="G22" s="80" t="str"/>
      <x:c r="H22" s="80" t="str"/>
      <x:c r="I22" s="80" t="str"/>
      <x:c r="J22" s="80" t="str"/>
      <x:c r="K22" s="80" t="str">
        <x:v>LinkedIn</x:v>
      </x:c>
      <x:c r="L22" s="81" t="str"/>
      <x:c r="M22" s="81" t="str"/>
      <x:c r="N22" s="81" t="str"/>
      <x:c r="O22" s="81" t="str"/>
      <x:c r="P22" s="81" t="str"/>
      <x:c r="Q22" s="81" t="str"/>
      <x:c r="R22" s="81" t="str"/>
      <x:c r="S22" s="81" t="str"/>
      <x:c r="T22" s="99" t="str"/>
    </x:row>
    <x:row r="23">
      <x:c r="A23" s="79" t="str"/>
      <x:c r="B23" s="80" t="str"/>
      <x:c r="C23" s="80" t="str"/>
      <x:c r="D23" s="80" t="str"/>
      <x:c r="E23" s="80" t="str"/>
      <x:c r="F23" s="80" t="str"/>
      <x:c r="G23" s="80" t="str"/>
      <x:c r="H23" s="80" t="str"/>
      <x:c r="I23" s="80" t="str"/>
      <x:c r="J23" s="80" t="str"/>
      <x:c r="K23" s="80" t="str">
        <x:v>LinkedIn</x:v>
      </x:c>
      <x:c r="L23" s="81" t="str"/>
      <x:c r="M23" s="81" t="str"/>
      <x:c r="N23" s="81" t="str"/>
      <x:c r="O23" s="81" t="str"/>
      <x:c r="P23" s="81" t="str"/>
      <x:c r="Q23" s="81" t="str"/>
      <x:c r="R23" s="81" t="str"/>
      <x:c r="S23" s="81" t="str"/>
      <x:c r="T23" s="99" t="str"/>
    </x:row>
    <x:row r="24">
      <x:c r="A24" s="79" t="str"/>
      <x:c r="B24" s="80" t="str"/>
      <x:c r="C24" s="80" t="str"/>
      <x:c r="D24" s="80" t="str"/>
      <x:c r="E24" s="80" t="str"/>
      <x:c r="F24" s="80" t="str"/>
      <x:c r="G24" s="80" t="str"/>
      <x:c r="H24" s="80" t="str"/>
      <x:c r="I24" s="80" t="str"/>
      <x:c r="J24" s="80" t="str"/>
      <x:c r="K24" s="80" t="str">
        <x:v>LinkedIn</x:v>
      </x:c>
      <x:c r="L24" s="81" t="str"/>
      <x:c r="M24" s="81" t="str"/>
      <x:c r="N24" s="81" t="str"/>
      <x:c r="O24" s="81" t="str"/>
      <x:c r="P24" s="81" t="str"/>
      <x:c r="Q24" s="81" t="str"/>
      <x:c r="R24" s="81" t="str"/>
      <x:c r="S24" s="81" t="str"/>
      <x:c r="T24" s="99" t="str"/>
    </x:row>
    <x:row r="25">
      <x:c r="A25" s="79" t="str"/>
      <x:c r="B25" s="80" t="str"/>
      <x:c r="C25" s="80" t="str"/>
      <x:c r="D25" s="80" t="str"/>
      <x:c r="E25" s="80" t="str"/>
      <x:c r="F25" s="80" t="str"/>
      <x:c r="G25" s="80" t="str"/>
      <x:c r="H25" s="80" t="str"/>
      <x:c r="I25" s="80" t="str"/>
      <x:c r="J25" s="80" t="str"/>
      <x:c r="K25" s="80" t="str">
        <x:v>LinkedIn</x:v>
      </x:c>
      <x:c r="L25" s="81" t="str"/>
      <x:c r="M25" s="81" t="str"/>
      <x:c r="N25" s="81" t="str"/>
      <x:c r="O25" s="81" t="str"/>
      <x:c r="P25" s="81" t="str"/>
      <x:c r="Q25" s="81" t="str"/>
      <x:c r="R25" s="81" t="str"/>
      <x:c r="S25" s="81" t="str"/>
      <x:c r="T25" s="99" t="str"/>
    </x:row>
    <x:row r="26">
      <x:c r="A26" s="79" t="str"/>
      <x:c r="B26" s="80" t="str"/>
      <x:c r="C26" s="80" t="str"/>
      <x:c r="D26" s="80" t="str"/>
      <x:c r="E26" s="80" t="str"/>
      <x:c r="F26" s="80" t="str"/>
      <x:c r="G26" s="80" t="str"/>
      <x:c r="H26" s="80" t="str"/>
      <x:c r="I26" s="80" t="str"/>
      <x:c r="J26" s="80" t="str"/>
      <x:c r="K26" s="80" t="str">
        <x:v>LinkedIn</x:v>
      </x:c>
      <x:c r="L26" s="81" t="str"/>
      <x:c r="M26" s="81" t="str"/>
      <x:c r="N26" s="81" t="str"/>
      <x:c r="O26" s="81" t="str"/>
      <x:c r="P26" s="81" t="str"/>
      <x:c r="Q26" s="81" t="str"/>
      <x:c r="R26" s="81" t="str"/>
      <x:c r="S26" s="81" t="str"/>
      <x:c r="T26" s="99" t="str"/>
    </x:row>
    <x:row r="27">
      <x:c r="A27" s="79" t="str"/>
      <x:c r="B27" s="80" t="str"/>
      <x:c r="C27" s="80" t="str"/>
      <x:c r="D27" s="80" t="str"/>
      <x:c r="E27" s="80" t="str"/>
      <x:c r="F27" s="80" t="str"/>
      <x:c r="G27" s="80" t="str"/>
      <x:c r="H27" s="80" t="str"/>
      <x:c r="I27" s="80" t="str"/>
      <x:c r="J27" s="80" t="str"/>
      <x:c r="K27" s="80" t="str">
        <x:v>LinkedIn</x:v>
      </x:c>
      <x:c r="L27" s="81" t="str"/>
      <x:c r="M27" s="81" t="str"/>
      <x:c r="N27" s="81" t="str"/>
      <x:c r="O27" s="81" t="str"/>
      <x:c r="P27" s="81" t="str"/>
      <x:c r="Q27" s="81" t="str"/>
      <x:c r="R27" s="81" t="str"/>
      <x:c r="S27" s="81" t="str"/>
      <x:c r="T27" s="99" t="str"/>
    </x:row>
    <x:row r="28">
      <x:c r="A28" s="79" t="str"/>
      <x:c r="B28" s="80" t="str"/>
      <x:c r="C28" s="80" t="str"/>
      <x:c r="D28" s="80" t="str"/>
      <x:c r="E28" s="80" t="str"/>
      <x:c r="F28" s="80" t="str"/>
      <x:c r="G28" s="80" t="str"/>
      <x:c r="H28" s="80" t="str"/>
      <x:c r="I28" s="80" t="str"/>
      <x:c r="J28" s="80" t="str"/>
      <x:c r="K28" s="80" t="str">
        <x:v>LinkedIn</x:v>
      </x:c>
      <x:c r="L28" s="81" t="str"/>
      <x:c r="M28" s="81" t="str"/>
      <x:c r="N28" s="81" t="str"/>
      <x:c r="O28" s="81" t="str"/>
      <x:c r="P28" s="81" t="str"/>
      <x:c r="Q28" s="81" t="str"/>
      <x:c r="R28" s="81" t="str"/>
      <x:c r="S28" s="81" t="str"/>
      <x:c r="T28" s="99" t="str"/>
    </x:row>
    <x:row r="29">
      <x:c r="A29" s="79" t="str"/>
      <x:c r="B29" s="80" t="str"/>
      <x:c r="C29" s="80" t="str"/>
      <x:c r="D29" s="80" t="str"/>
      <x:c r="E29" s="80" t="str"/>
      <x:c r="F29" s="80" t="str"/>
      <x:c r="G29" s="80" t="str"/>
      <x:c r="H29" s="80" t="str"/>
      <x:c r="I29" s="80" t="str"/>
      <x:c r="J29" s="80" t="str"/>
      <x:c r="K29" s="80" t="str">
        <x:v>LinkedIn</x:v>
      </x:c>
      <x:c r="L29" s="81" t="str"/>
      <x:c r="M29" s="81" t="str"/>
      <x:c r="N29" s="81" t="str"/>
      <x:c r="O29" s="81" t="str"/>
      <x:c r="P29" s="81" t="str"/>
      <x:c r="Q29" s="81" t="str"/>
      <x:c r="R29" s="81" t="str"/>
      <x:c r="S29" s="81" t="str"/>
      <x:c r="T29" s="99" t="str"/>
    </x:row>
    <x:row r="30">
      <x:c r="A30" s="79" t="str"/>
      <x:c r="B30" s="80" t="str"/>
      <x:c r="C30" s="80" t="str"/>
      <x:c r="D30" s="80" t="str"/>
      <x:c r="E30" s="80" t="str"/>
      <x:c r="F30" s="80" t="str"/>
      <x:c r="G30" s="80" t="str"/>
      <x:c r="H30" s="80" t="str"/>
      <x:c r="I30" s="80" t="str"/>
      <x:c r="J30" s="80" t="str"/>
      <x:c r="K30" s="80" t="str">
        <x:v>LinkedIn</x:v>
      </x:c>
      <x:c r="L30" s="81" t="str"/>
      <x:c r="M30" s="81" t="str"/>
      <x:c r="N30" s="81" t="str"/>
      <x:c r="O30" s="81" t="str"/>
      <x:c r="P30" s="81" t="str"/>
      <x:c r="Q30" s="81" t="str"/>
      <x:c r="R30" s="81" t="str"/>
      <x:c r="S30" s="81" t="str"/>
      <x:c r="T30" s="99" t="str"/>
    </x:row>
    <x:row r="31">
      <x:c r="A31" s="79" t="str"/>
      <x:c r="B31" s="80" t="str"/>
      <x:c r="C31" s="80" t="str"/>
      <x:c r="D31" s="80" t="str"/>
      <x:c r="E31" s="80" t="str"/>
      <x:c r="F31" s="80" t="str"/>
      <x:c r="G31" s="80" t="str"/>
      <x:c r="H31" s="80" t="str"/>
      <x:c r="I31" s="80" t="str"/>
      <x:c r="J31" s="80" t="str"/>
      <x:c r="K31" s="80" t="str">
        <x:v>LinkedIn</x:v>
      </x:c>
      <x:c r="L31" s="81" t="str"/>
      <x:c r="M31" s="81" t="str"/>
      <x:c r="N31" s="81" t="str"/>
      <x:c r="O31" s="81" t="str"/>
      <x:c r="P31" s="81" t="str"/>
      <x:c r="Q31" s="81" t="str"/>
      <x:c r="R31" s="81" t="str"/>
      <x:c r="S31" s="81" t="str"/>
      <x:c r="T31" s="99" t="str"/>
    </x:row>
    <x:row r="32">
      <x:c r="A32" s="79" t="str"/>
      <x:c r="B32" s="80" t="str"/>
      <x:c r="C32" s="80" t="str"/>
      <x:c r="D32" s="80" t="str"/>
      <x:c r="E32" s="80" t="str"/>
      <x:c r="F32" s="80" t="str"/>
      <x:c r="G32" s="80" t="str"/>
      <x:c r="H32" s="80" t="str"/>
      <x:c r="I32" s="80" t="str"/>
      <x:c r="J32" s="80" t="str"/>
      <x:c r="K32" s="80" t="str">
        <x:v>LinkedIn</x:v>
      </x:c>
      <x:c r="L32" s="81" t="str"/>
      <x:c r="M32" s="81" t="str"/>
      <x:c r="N32" s="81" t="str"/>
      <x:c r="O32" s="81" t="str"/>
      <x:c r="P32" s="81" t="str"/>
      <x:c r="Q32" s="81" t="str"/>
      <x:c r="R32" s="81" t="str"/>
      <x:c r="S32" s="81" t="str"/>
      <x:c r="T32" s="99" t="str"/>
    </x:row>
    <x:row r="33">
      <x:c r="A33" s="79" t="str"/>
      <x:c r="B33" s="80" t="str"/>
      <x:c r="C33" s="80" t="str"/>
      <x:c r="D33" s="80" t="str"/>
      <x:c r="E33" s="80" t="str"/>
      <x:c r="F33" s="80" t="str"/>
      <x:c r="G33" s="80" t="str"/>
      <x:c r="H33" s="80" t="str"/>
      <x:c r="I33" s="80" t="str"/>
      <x:c r="J33" s="80" t="str"/>
      <x:c r="K33" s="80" t="str">
        <x:v>LinkedIn</x:v>
      </x:c>
      <x:c r="L33" s="81" t="str"/>
      <x:c r="M33" s="81" t="str"/>
      <x:c r="N33" s="81" t="str"/>
      <x:c r="O33" s="81" t="str"/>
      <x:c r="P33" s="81" t="str"/>
      <x:c r="Q33" s="81" t="str"/>
      <x:c r="R33" s="81" t="str"/>
      <x:c r="S33" s="81" t="str"/>
      <x:c r="T33" s="99" t="str"/>
    </x:row>
    <x:row r="34">
      <x:c r="A34" s="86" t="str"/>
      <x:c r="B34" s="87" t="str"/>
      <x:c r="C34" s="87" t="str"/>
      <x:c r="D34" s="87" t="str"/>
      <x:c r="E34" s="87" t="str"/>
      <x:c r="F34" s="87" t="str"/>
      <x:c r="G34" s="87" t="str"/>
      <x:c r="H34" s="87" t="str"/>
      <x:c r="I34" s="87" t="str"/>
      <x:c r="J34" s="87" t="str"/>
      <x:c r="K34" s="87" t="str">
        <x:v>LinkedIn</x:v>
      </x:c>
      <x:c r="L34" s="88" t="str"/>
      <x:c r="M34" s="88" t="str"/>
      <x:c r="N34" s="88" t="str"/>
      <x:c r="O34" s="88" t="str"/>
      <x:c r="P34" s="88" t="str"/>
      <x:c r="Q34" s="88" t="str"/>
      <x:c r="R34" s="88" t="str"/>
      <x:c r="S34" s="88" t="str"/>
      <x:c r="T34" s="102" t="str"/>
    </x:row>
  </x:sheetData>
  <x:mergeCells>
    <x:mergeCell ref="A1:T2"/>
  </x:mergeCells>
  <x:dataValidations count="1">
    <x:dataValidation type="list" sqref="K5:K34">
      <x:formula1>"LinkedIn,Email,Call,Partner"</x:formula1>
    </x:dataValidation>
  </x:dataValidations>
  <x:pageMargins left="0.7" right="0.7" top="0.75" bottom="0.75" header="0.3" footer="0.3"/>
  <x:tableParts count="1">
    <x:tablePart xmlns:r="http://schemas.openxmlformats.org/officeDocument/2006/relationships" r:id="R0c10d848a2e042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11.670000076293945" hidden="0" customWidth="1"/>
    <x:col min="3" max="3" width="23.329999923706055" hidden="0" customWidth="1"/>
    <x:col min="4" max="4" width="17.780000686645508" hidden="0" customWidth="1"/>
    <x:col min="5" max="5" width="15.5600004196167" hidden="0" customWidth="1"/>
    <x:col min="6" max="6" width="15.5600004196167" hidden="0" customWidth="1"/>
    <x:col min="7" max="7" width="20" hidden="0" customWidth="1"/>
    <x:col min="8" max="8" width="23.329999923706055" hidden="0" customWidth="1"/>
    <x:col min="9" max="9" width="15.5600004196167" hidden="0" customWidth="1"/>
    <x:col min="10" max="10" width="10" hidden="0" customWidth="1"/>
    <x:col min="11" max="11" width="15" hidden="0" customWidth="1"/>
    <x:col min="12" max="12" width="7.78000020980835" hidden="0" customWidth="1"/>
    <x:col min="13" max="13" width="8.890000343322754" hidden="0" customWidth="1"/>
    <x:col min="14" max="14" width="7.78000020980835" hidden="0" customWidth="1"/>
    <x:col min="15" max="15" width="13.329999923706055" hidden="0" customWidth="1"/>
    <x:col min="16" max="16" width="16.670000076293945" hidden="0" customWidth="1"/>
    <x:col min="17" max="17" width="10.5600004196167" hidden="0" customWidth="1"/>
    <x:col min="18" max="18" width="15" hidden="0" customWidth="1"/>
    <x:col min="19" max="19" width="12.220000267028809" hidden="0" customWidth="1"/>
    <x:col min="20" max="20" width="15" hidden="0" customWidth="1"/>
    <x:col min="21" max="21" width="17.780000686645508" hidden="0" customWidth="1"/>
    <x:col min="22" max="22" width="28.889999389648438" hidden="0" customWidth="1"/>
  </x:cols>
  <x:sheetData>
    <x:row r="1" ht="24" customHeight="1">
      <x:c r="A1" s="68" t="str">
        <x:v>Deal Threads Outcome Tracker
Log every send, reply, teardown, and install-call movement.</x:v>
      </x:c>
      <x:c r="B1" s="68" t="str">
        <x:v>Deal Threads Outcome Tracker
Log every send, reply, teardown, and install-call movement.</x:v>
      </x:c>
      <x:c r="C1" s="68" t="str">
        <x:v>Deal Threads Outcome Tracker
Log every send, reply, teardown, and install-call movement.</x:v>
      </x:c>
      <x:c r="D1" s="68" t="str">
        <x:v>Deal Threads Outcome Tracker
Log every send, reply, teardown, and install-call movement.</x:v>
      </x:c>
      <x:c r="E1" s="68" t="str">
        <x:v>Deal Threads Outcome Tracker
Log every send, reply, teardown, and install-call movement.</x:v>
      </x:c>
      <x:c r="F1" s="68" t="str">
        <x:v>Deal Threads Outcome Tracker
Log every send, reply, teardown, and install-call movement.</x:v>
      </x:c>
      <x:c r="G1" s="68" t="str">
        <x:v>Deal Threads Outcome Tracker
Log every send, reply, teardown, and install-call movement.</x:v>
      </x:c>
      <x:c r="H1" s="68" t="str">
        <x:v>Deal Threads Outcome Tracker
Log every send, reply, teardown, and install-call movement.</x:v>
      </x:c>
      <x:c r="I1" s="68" t="str">
        <x:v>Deal Threads Outcome Tracker
Log every send, reply, teardown, and install-call movement.</x:v>
      </x:c>
      <x:c r="J1" s="68" t="str">
        <x:v>Deal Threads Outcome Tracker
Log every send, reply, teardown, and install-call movement.</x:v>
      </x:c>
      <x:c r="K1" s="68" t="str">
        <x:v>Deal Threads Outcome Tracker
Log every send, reply, teardown, and install-call movement.</x:v>
      </x:c>
      <x:c r="L1" s="68" t="str">
        <x:v>Deal Threads Outcome Tracker
Log every send, reply, teardown, and install-call movement.</x:v>
      </x:c>
      <x:c r="M1" s="68" t="str">
        <x:v>Deal Threads Outcome Tracker
Log every send, reply, teardown, and install-call movement.</x:v>
      </x:c>
      <x:c r="N1" s="68" t="str">
        <x:v>Deal Threads Outcome Tracker
Log every send, reply, teardown, and install-call movement.</x:v>
      </x:c>
      <x:c r="O1" s="68" t="str">
        <x:v>Deal Threads Outcome Tracker
Log every send, reply, teardown, and install-call movement.</x:v>
      </x:c>
      <x:c r="P1" s="68" t="str">
        <x:v>Deal Threads Outcome Tracker
Log every send, reply, teardown, and install-call movement.</x:v>
      </x:c>
      <x:c r="Q1" s="68" t="str">
        <x:v>Deal Threads Outcome Tracker
Log every send, reply, teardown, and install-call movement.</x:v>
      </x:c>
      <x:c r="R1" s="68" t="str">
        <x:v>Deal Threads Outcome Tracker
Log every send, reply, teardown, and install-call movement.</x:v>
      </x:c>
      <x:c r="S1" s="68" t="str">
        <x:v>Deal Threads Outcome Tracker
Log every send, reply, teardown, and install-call movement.</x:v>
      </x:c>
      <x:c r="T1" s="68" t="str">
        <x:v>Deal Threads Outcome Tracker
Log every send, reply, teardown, and install-call movement.</x:v>
      </x:c>
      <x:c r="U1" s="68" t="str">
        <x:v>Deal Threads Outcome Tracker
Log every send, reply, teardown, and install-call movement.</x:v>
      </x:c>
      <x:c r="V1" s="68" t="str">
        <x:v>Deal Threads Outcome Tracker
Log every send, reply, teardown, and install-call movement.</x:v>
      </x:c>
    </x:row>
    <x:row r="2" ht="24" customHeight="1">
      <x:c r="A2" s="68" t="str">
        <x:v>Deal Threads Outcome Tracker
Log every send, reply, teardown, and install-call movement.</x:v>
      </x:c>
      <x:c r="B2" s="68" t="str">
        <x:v>Deal Threads Outcome Tracker
Log every send, reply, teardown, and install-call movement.</x:v>
      </x:c>
      <x:c r="C2" s="68" t="str">
        <x:v>Deal Threads Outcome Tracker
Log every send, reply, teardown, and install-call movement.</x:v>
      </x:c>
      <x:c r="D2" s="68" t="str">
        <x:v>Deal Threads Outcome Tracker
Log every send, reply, teardown, and install-call movement.</x:v>
      </x:c>
      <x:c r="E2" s="68" t="str">
        <x:v>Deal Threads Outcome Tracker
Log every send, reply, teardown, and install-call movement.</x:v>
      </x:c>
      <x:c r="F2" s="68" t="str">
        <x:v>Deal Threads Outcome Tracker
Log every send, reply, teardown, and install-call movement.</x:v>
      </x:c>
      <x:c r="G2" s="68" t="str">
        <x:v>Deal Threads Outcome Tracker
Log every send, reply, teardown, and install-call movement.</x:v>
      </x:c>
      <x:c r="H2" s="68" t="str">
        <x:v>Deal Threads Outcome Tracker
Log every send, reply, teardown, and install-call movement.</x:v>
      </x:c>
      <x:c r="I2" s="68" t="str">
        <x:v>Deal Threads Outcome Tracker
Log every send, reply, teardown, and install-call movement.</x:v>
      </x:c>
      <x:c r="J2" s="68" t="str">
        <x:v>Deal Threads Outcome Tracker
Log every send, reply, teardown, and install-call movement.</x:v>
      </x:c>
      <x:c r="K2" s="68" t="str">
        <x:v>Deal Threads Outcome Tracker
Log every send, reply, teardown, and install-call movement.</x:v>
      </x:c>
      <x:c r="L2" s="68" t="str">
        <x:v>Deal Threads Outcome Tracker
Log every send, reply, teardown, and install-call movement.</x:v>
      </x:c>
      <x:c r="M2" s="68" t="str">
        <x:v>Deal Threads Outcome Tracker
Log every send, reply, teardown, and install-call movement.</x:v>
      </x:c>
      <x:c r="N2" s="68" t="str">
        <x:v>Deal Threads Outcome Tracker
Log every send, reply, teardown, and install-call movement.</x:v>
      </x:c>
      <x:c r="O2" s="68" t="str">
        <x:v>Deal Threads Outcome Tracker
Log every send, reply, teardown, and install-call movement.</x:v>
      </x:c>
      <x:c r="P2" s="68" t="str">
        <x:v>Deal Threads Outcome Tracker
Log every send, reply, teardown, and install-call movement.</x:v>
      </x:c>
      <x:c r="Q2" s="68" t="str">
        <x:v>Deal Threads Outcome Tracker
Log every send, reply, teardown, and install-call movement.</x:v>
      </x:c>
      <x:c r="R2" s="68" t="str">
        <x:v>Deal Threads Outcome Tracker
Log every send, reply, teardown, and install-call movement.</x:v>
      </x:c>
      <x:c r="S2" s="68" t="str">
        <x:v>Deal Threads Outcome Tracker
Log every send, reply, teardown, and install-call movement.</x:v>
      </x:c>
      <x:c r="T2" s="68" t="str">
        <x:v>Deal Threads Outcome Tracker
Log every send, reply, teardown, and install-call movement.</x:v>
      </x:c>
      <x:c r="U2" s="68" t="str">
        <x:v>Deal Threads Outcome Tracker
Log every send, reply, teardown, and install-call movement.</x:v>
      </x:c>
      <x:c r="V2" s="68" t="str">
        <x:v>Deal Threads Outcome Tracker
Log every send, reply, teardown, and install-call movement.</x:v>
      </x:c>
    </x:row>
    <x:row r="3">
      <x:c r="A3" s="69"/>
      <x:c r="B3" s="69"/>
      <x:c r="C3" s="69"/>
      <x:c r="D3" s="69"/>
      <x:c r="E3" s="69"/>
      <x:c r="F3" s="69"/>
      <x:c r="G3" s="69"/>
      <x:c r="H3" s="69"/>
      <x:c r="I3" s="69"/>
      <x:c r="J3" s="69"/>
      <x:c r="K3" s="69"/>
      <x:c r="L3" s="69"/>
      <x:c r="M3" s="69"/>
      <x:c r="N3" s="69"/>
      <x:c r="O3" s="69"/>
      <x:c r="P3" s="69"/>
      <x:c r="Q3" s="69"/>
      <x:c r="R3" s="69"/>
      <x:c r="S3" s="69"/>
      <x:c r="T3" s="69"/>
      <x:c r="U3" s="69"/>
      <x:c r="V3" s="69"/>
    </x:row>
    <x:row r="4">
      <x:c r="A4" s="94" t="str">
        <x:v>Date Created</x:v>
      </x:c>
      <x:c r="B4" s="95" t="str">
        <x:v>Date Sent</x:v>
      </x:c>
      <x:c r="C4" s="95" t="str">
        <x:v>Lead ID</x:v>
      </x:c>
      <x:c r="D4" s="95" t="str">
        <x:v>Company</x:v>
      </x:c>
      <x:c r="E4" s="95" t="str">
        <x:v>Buyer Name</x:v>
      </x:c>
      <x:c r="F4" s="95" t="str">
        <x:v>Buyer Role</x:v>
      </x:c>
      <x:c r="G4" s="95" t="str">
        <x:v>Website</x:v>
      </x:c>
      <x:c r="H4" s="95" t="str">
        <x:v>Form URL</x:v>
      </x:c>
      <x:c r="I4" s="95" t="str">
        <x:v>Segment</x:v>
      </x:c>
      <x:c r="J4" s="95" t="str">
        <x:v>Channel</x:v>
      </x:c>
      <x:c r="K4" s="95" t="str">
        <x:v>Opener Variant</x:v>
      </x:c>
      <x:c r="L4" s="95" t="str">
        <x:v>Sent</x:v>
      </x:c>
      <x:c r="M4" s="95" t="str">
        <x:v>Sent Count</x:v>
      </x:c>
      <x:c r="N4" s="95" t="str">
        <x:v>Replied</x:v>
      </x:c>
      <x:c r="O4" s="95" t="str">
        <x:v>Reply Sentiment</x:v>
      </x:c>
      <x:c r="P4" s="95" t="str">
        <x:v>Objection Tag</x:v>
      </x:c>
      <x:c r="Q4" s="95" t="str">
        <x:v>Meeting?</x:v>
      </x:c>
      <x:c r="R4" s="95" t="str">
        <x:v>Teardown Requested</x:v>
      </x:c>
      <x:c r="S4" s="95" t="str">
        <x:v>Teardown Sent</x:v>
      </x:c>
      <x:c r="T4" s="95" t="str">
        <x:v>Install Call Booked</x:v>
      </x:c>
      <x:c r="U4" s="95" t="str">
        <x:v>Next Action</x:v>
      </x:c>
      <x:c r="V4" s="96" t="str">
        <x:v>Notes</x:v>
      </x:c>
    </x:row>
    <x:row r="5">
      <x:c r="A5" s="103" t="str">
        <x:v>2026-06-02</x:v>
      </x:c>
      <x:c r="B5" s="98" t="str"/>
      <x:c r="C5" s="80" t="str">
        <x:v>beehex automation::buyer</x:v>
      </x:c>
      <x:c r="D5" s="80" t="str">
        <x:v>BeeHex Automation</x:v>
      </x:c>
      <x:c r="E5" s="80" t="str"/>
      <x:c r="F5" s="80" t="str">
        <x:v>President / Business Development</x:v>
      </x:c>
      <x:c r="G5" s="80" t="str">
        <x:v>https://beehexautomation.com/</x:v>
      </x:c>
      <x:c r="H5" s="80" t="str">
        <x:v>https://beehexautomation.com/</x:v>
      </x:c>
      <x:c r="I5" s="80" t="str">
        <x:v>Robotics and AI integrator</x:v>
      </x:c>
      <x:c r="J5" s="80" t="str">
        <x:v>Email</x:v>
      </x:c>
      <x:c r="K5" s="80" t="str">
        <x:v>dead_form_teardown</x:v>
      </x:c>
      <x:c r="L5" s="80" t="str"/>
      <x:c r="M5" s="80" t="str">
        <x:v>0</x:v>
      </x:c>
      <x:c r="N5" s="80" t="str"/>
      <x:c r="O5" s="80" t="str"/>
      <x:c r="P5" s="80" t="str"/>
      <x:c r="Q5" s="80" t="str"/>
      <x:c r="R5" s="80" t="str"/>
      <x:c r="S5" s="80" t="str"/>
      <x:c r="T5" s="80" t="str"/>
      <x:c r="U5" s="80" t="str">
        <x:v>QUEUED</x:v>
      </x:c>
      <x:c r="V5" s="99" t="str">
        <x:v>seeded by deal_threads_build_send_board.py</x:v>
      </x:c>
    </x:row>
    <x:row r="6">
      <x:c r="A6" s="103" t="str">
        <x:v>2026-06-02</x:v>
      </x:c>
      <x:c r="B6" s="98" t="str"/>
      <x:c r="C6" s="80" t="str">
        <x:v>integro technologies::buyer</x:v>
      </x:c>
      <x:c r="D6" s="80" t="str">
        <x:v>Integro Technologies</x:v>
      </x:c>
      <x:c r="E6" s="80" t="str"/>
      <x:c r="F6" s="80" t="str">
        <x:v>Sales Manager / Business Development</x:v>
      </x:c>
      <x:c r="G6" s="80" t="str">
        <x:v>https://www.integro-tech.com/</x:v>
      </x:c>
      <x:c r="H6" s="80" t="str">
        <x:v>https://www.integro-tech.com/</x:v>
      </x:c>
      <x:c r="I6" s="80" t="str">
        <x:v>Machine vision AI integrator</x:v>
      </x:c>
      <x:c r="J6" s="80" t="str">
        <x:v>Email</x:v>
      </x:c>
      <x:c r="K6" s="80" t="str">
        <x:v>dead_form_teardown</x:v>
      </x:c>
      <x:c r="L6" s="80" t="str"/>
      <x:c r="M6" s="80" t="str">
        <x:v>0</x:v>
      </x:c>
      <x:c r="N6" s="80" t="str"/>
      <x:c r="O6" s="80" t="str"/>
      <x:c r="P6" s="80" t="str"/>
      <x:c r="Q6" s="80" t="str"/>
      <x:c r="R6" s="80" t="str"/>
      <x:c r="S6" s="80" t="str"/>
      <x:c r="T6" s="80" t="str"/>
      <x:c r="U6" s="80" t="str">
        <x:v>QUEUED</x:v>
      </x:c>
      <x:c r="V6" s="99" t="str">
        <x:v>seeded by deal_threads_build_send_board.py</x:v>
      </x:c>
    </x:row>
    <x:row r="7">
      <x:c r="A7" s="103" t="str">
        <x:v>2026-06-02</x:v>
      </x:c>
      <x:c r="B7" s="98" t="str"/>
      <x:c r="C7" s="80" t="str">
        <x:v>even automation::buyer</x:v>
      </x:c>
      <x:c r="D7" s="80" t="str">
        <x:v>Even Automation</x:v>
      </x:c>
      <x:c r="E7" s="80" t="str"/>
      <x:c r="F7" s="80" t="str">
        <x:v>Owner / Sales Manager</x:v>
      </x:c>
      <x:c r="G7" s="80" t="str">
        <x:v>https://www.evenautomation.com</x:v>
      </x:c>
      <x:c r="H7" s="80" t="str">
        <x:v>https://www.evenautomation.com/contact-us</x:v>
      </x:c>
      <x:c r="I7" s="80" t="str">
        <x:v>Industrial automation integrator</x:v>
      </x:c>
      <x:c r="J7" s="80" t="str">
        <x:v>Email</x:v>
      </x:c>
      <x:c r="K7" s="80" t="str">
        <x:v>dead_form_teardown</x:v>
      </x:c>
      <x:c r="L7" s="80" t="str"/>
      <x:c r="M7" s="80" t="str">
        <x:v>0</x:v>
      </x:c>
      <x:c r="N7" s="80" t="str"/>
      <x:c r="O7" s="80" t="str"/>
      <x:c r="P7" s="80" t="str"/>
      <x:c r="Q7" s="80" t="str"/>
      <x:c r="R7" s="80" t="str"/>
      <x:c r="S7" s="80" t="str"/>
      <x:c r="T7" s="80" t="str"/>
      <x:c r="U7" s="80" t="str">
        <x:v>QUEUED</x:v>
      </x:c>
      <x:c r="V7" s="99" t="str">
        <x:v>seeded by deal_threads_build_send_board.py</x:v>
      </x:c>
    </x:row>
    <x:row r="8">
      <x:c r="A8" s="103" t="str">
        <x:v>2026-06-02</x:v>
      </x:c>
      <x:c r="B8" s="98" t="str"/>
      <x:c r="C8" s="80" t="str">
        <x:v>freedom automation::buyer</x:v>
      </x:c>
      <x:c r="D8" s="80" t="str">
        <x:v>Freedom Automation</x:v>
      </x:c>
      <x:c r="E8" s="80" t="str"/>
      <x:c r="F8" s="80" t="str">
        <x:v>Sales Manager / Engineering Manager</x:v>
      </x:c>
      <x:c r="G8" s="80" t="str">
        <x:v>https://fainc.us/</x:v>
      </x:c>
      <x:c r="H8" s="80" t="str">
        <x:v>https://fainc.us/</x:v>
      </x:c>
      <x:c r="I8" s="80" t="str">
        <x:v>Robotic systems integrator</x:v>
      </x:c>
      <x:c r="J8" s="80" t="str">
        <x:v>Email</x:v>
      </x:c>
      <x:c r="K8" s="80" t="str">
        <x:v>dead_form_teardown</x:v>
      </x:c>
      <x:c r="L8" s="80" t="str"/>
      <x:c r="M8" s="80" t="str">
        <x:v>0</x:v>
      </x:c>
      <x:c r="N8" s="80" t="str"/>
      <x:c r="O8" s="80" t="str"/>
      <x:c r="P8" s="80" t="str"/>
      <x:c r="Q8" s="80" t="str"/>
      <x:c r="R8" s="80" t="str"/>
      <x:c r="S8" s="80" t="str"/>
      <x:c r="T8" s="80" t="str"/>
      <x:c r="U8" s="80" t="str">
        <x:v>QUEUED</x:v>
      </x:c>
      <x:c r="V8" s="99" t="str">
        <x:v>seeded by deal_threads_build_send_board.py</x:v>
      </x:c>
    </x:row>
    <x:row r="9">
      <x:c r="A9" s="103" t="str">
        <x:v>2026-06-02</x:v>
      </x:c>
      <x:c r="B9" s="98" t="str"/>
      <x:c r="C9" s="80" t="str">
        <x:v>omni automation::buyer</x:v>
      </x:c>
      <x:c r="D9" s="80" t="str">
        <x:v>Omni Automation</x:v>
      </x:c>
      <x:c r="E9" s="80" t="str"/>
      <x:c r="F9" s="80" t="str">
        <x:v>President / Sales Manager</x:v>
      </x:c>
      <x:c r="G9" s="80" t="str">
        <x:v>https://omniautomation.com/</x:v>
      </x:c>
      <x:c r="H9" s="80" t="str">
        <x:v>https://omniautomation.com/</x:v>
      </x:c>
      <x:c r="I9" s="80" t="str">
        <x:v>Industrial automation and vision</x:v>
      </x:c>
      <x:c r="J9" s="80" t="str">
        <x:v>Email</x:v>
      </x:c>
      <x:c r="K9" s="80" t="str">
        <x:v>dead_form_teardown</x:v>
      </x:c>
      <x:c r="L9" s="80" t="str"/>
      <x:c r="M9" s="80" t="str">
        <x:v>0</x:v>
      </x:c>
      <x:c r="N9" s="80" t="str"/>
      <x:c r="O9" s="80" t="str"/>
      <x:c r="P9" s="80" t="str"/>
      <x:c r="Q9" s="80" t="str"/>
      <x:c r="R9" s="80" t="str"/>
      <x:c r="S9" s="80" t="str"/>
      <x:c r="T9" s="80" t="str"/>
      <x:c r="U9" s="80" t="str">
        <x:v>QUEUED</x:v>
      </x:c>
      <x:c r="V9" s="99" t="str">
        <x:v>seeded by deal_threads_build_send_board.py</x:v>
      </x:c>
    </x:row>
    <x:row r="10">
      <x:c r="A10" s="103" t="str">
        <x:v>2026-06-02</x:v>
      </x:c>
      <x:c r="B10" s="98" t="str"/>
      <x:c r="C10" s="80" t="str">
        <x:v>ez automation::buyer</x:v>
      </x:c>
      <x:c r="D10" s="80" t="str">
        <x:v>EZ Automation</x:v>
      </x:c>
      <x:c r="E10" s="80" t="str"/>
      <x:c r="F10" s="80" t="str">
        <x:v>Founder / Business Development</x:v>
      </x:c>
      <x:c r="G10" s="80" t="str">
        <x:v>https://ezautomation.ai</x:v>
      </x:c>
      <x:c r="H10" s="80" t="str">
        <x:v>https://ezautomation.ai/contact/</x:v>
      </x:c>
      <x:c r="I10" s="80" t="str">
        <x:v>Industrial automation consulting</x:v>
      </x:c>
      <x:c r="J10" s="80" t="str">
        <x:v>Email</x:v>
      </x:c>
      <x:c r="K10" s="80" t="str">
        <x:v>dead_form_teardown</x:v>
      </x:c>
      <x:c r="L10" s="80" t="str"/>
      <x:c r="M10" s="80" t="str">
        <x:v>0</x:v>
      </x:c>
      <x:c r="N10" s="80" t="str"/>
      <x:c r="O10" s="80" t="str"/>
      <x:c r="P10" s="80" t="str"/>
      <x:c r="Q10" s="80" t="str"/>
      <x:c r="R10" s="80" t="str"/>
      <x:c r="S10" s="80" t="str"/>
      <x:c r="T10" s="80" t="str"/>
      <x:c r="U10" s="80" t="str">
        <x:v>QUEUED</x:v>
      </x:c>
      <x:c r="V10" s="99" t="str">
        <x:v>seeded by deal_threads_build_send_board.py</x:v>
      </x:c>
    </x:row>
    <x:row r="11">
      <x:c r="A11" s="103" t="str">
        <x:v>2026-06-02</x:v>
      </x:c>
      <x:c r="B11" s="98" t="str"/>
      <x:c r="C11" s="80" t="str">
        <x:v>industrial tool inc::buyer</x:v>
      </x:c>
      <x:c r="D11" s="80" t="str">
        <x:v>Industrial Tool Inc</x:v>
      </x:c>
      <x:c r="E11" s="80" t="str"/>
      <x:c r="F11" s="80" t="str">
        <x:v>Sales Manager / Business Development</x:v>
      </x:c>
      <x:c r="G11" s="80" t="str">
        <x:v>https://industrial-tool.com</x:v>
      </x:c>
      <x:c r="H11" s="80" t="str">
        <x:v>https://industrial-tool.com/contact/</x:v>
      </x:c>
      <x:c r="I11" s="80" t="str">
        <x:v>Robotic automation and custom machines</x:v>
      </x:c>
      <x:c r="J11" s="80" t="str">
        <x:v>Email</x:v>
      </x:c>
      <x:c r="K11" s="80" t="str">
        <x:v>dead_form_teardown</x:v>
      </x:c>
      <x:c r="L11" s="80" t="str"/>
      <x:c r="M11" s="80" t="str">
        <x:v>0</x:v>
      </x:c>
      <x:c r="N11" s="80" t="str"/>
      <x:c r="O11" s="80" t="str"/>
      <x:c r="P11" s="80" t="str"/>
      <x:c r="Q11" s="80" t="str"/>
      <x:c r="R11" s="80" t="str"/>
      <x:c r="S11" s="80" t="str"/>
      <x:c r="T11" s="80" t="str"/>
      <x:c r="U11" s="80" t="str">
        <x:v>QUEUED</x:v>
      </x:c>
      <x:c r="V11" s="99" t="str">
        <x:v>seeded by deal_threads_build_send_board.py</x:v>
      </x:c>
    </x:row>
    <x:row r="12">
      <x:c r="A12" s="103" t="str">
        <x:v>2026-06-02</x:v>
      </x:c>
      <x:c r="B12" s="98" t="str"/>
      <x:c r="C12" s="80" t="str">
        <x:v>mcenery automation::buyer</x:v>
      </x:c>
      <x:c r="D12" s="80" t="str">
        <x:v>McEnery Automation</x:v>
      </x:c>
      <x:c r="E12" s="80" t="str"/>
      <x:c r="F12" s="80" t="str">
        <x:v>Sales Manager / Operations Leader</x:v>
      </x:c>
      <x:c r="G12" s="80" t="str">
        <x:v>https://www.mceneryautomation.com</x:v>
      </x:c>
      <x:c r="H12" s="80" t="str">
        <x:v>https://www.mceneryautomation.com/contact-us</x:v>
      </x:c>
      <x:c r="I12" s="80" t="str">
        <x:v>Process automation integrator</x:v>
      </x:c>
      <x:c r="J12" s="80" t="str">
        <x:v>Email</x:v>
      </x:c>
      <x:c r="K12" s="80" t="str">
        <x:v>dead_form_teardown</x:v>
      </x:c>
      <x:c r="L12" s="80" t="str"/>
      <x:c r="M12" s="80" t="str">
        <x:v>0</x:v>
      </x:c>
      <x:c r="N12" s="80" t="str"/>
      <x:c r="O12" s="80" t="str"/>
      <x:c r="P12" s="80" t="str"/>
      <x:c r="Q12" s="80" t="str"/>
      <x:c r="R12" s="80" t="str"/>
      <x:c r="S12" s="80" t="str"/>
      <x:c r="T12" s="80" t="str"/>
      <x:c r="U12" s="80" t="str">
        <x:v>QUEUED</x:v>
      </x:c>
      <x:c r="V12" s="99" t="str">
        <x:v>seeded by deal_threads_build_send_board.py</x:v>
      </x:c>
    </x:row>
    <x:row r="13">
      <x:c r="A13" s="103" t="str">
        <x:v>2026-06-02</x:v>
      </x:c>
      <x:c r="B13" s="98" t="str"/>
      <x:c r="C13" s="80" t="str">
        <x:v>accubilt::buyer</x:v>
      </x:c>
      <x:c r="D13" s="80" t="str">
        <x:v>AccuBilt</x:v>
      </x:c>
      <x:c r="E13" s="80" t="str"/>
      <x:c r="F13" s="80" t="str">
        <x:v>Sales Manager / Business Development</x:v>
      </x:c>
      <x:c r="G13" s="80" t="str">
        <x:v>https://accubilt.com/</x:v>
      </x:c>
      <x:c r="H13" s="80" t="str">
        <x:v>https://accubilt.com/</x:v>
      </x:c>
      <x:c r="I13" s="80" t="str">
        <x:v>Turnkey automation systems</x:v>
      </x:c>
      <x:c r="J13" s="80" t="str">
        <x:v>Email</x:v>
      </x:c>
      <x:c r="K13" s="80" t="str">
        <x:v>dead_form_teardown</x:v>
      </x:c>
      <x:c r="L13" s="80" t="str"/>
      <x:c r="M13" s="80" t="str">
        <x:v>0</x:v>
      </x:c>
      <x:c r="N13" s="80" t="str"/>
      <x:c r="O13" s="80" t="str"/>
      <x:c r="P13" s="80" t="str"/>
      <x:c r="Q13" s="80" t="str"/>
      <x:c r="R13" s="80" t="str"/>
      <x:c r="S13" s="80" t="str"/>
      <x:c r="T13" s="80" t="str"/>
      <x:c r="U13" s="80" t="str">
        <x:v>QUEUED</x:v>
      </x:c>
      <x:c r="V13" s="99" t="str">
        <x:v>seeded by deal_threads_build_send_board.py</x:v>
      </x:c>
    </x:row>
    <x:row r="14">
      <x:c r="A14" s="103" t="str">
        <x:v>2026-06-02</x:v>
      </x:c>
      <x:c r="B14" s="98" t="str"/>
      <x:c r="C14" s="80" t="str">
        <x:v>eamvision::buyer</x:v>
      </x:c>
      <x:c r="D14" s="80" t="str">
        <x:v>EAMVision</x:v>
      </x:c>
      <x:c r="E14" s="80" t="str"/>
      <x:c r="F14" s="80" t="str">
        <x:v>Owner / Sales Manager</x:v>
      </x:c>
      <x:c r="G14" s="80" t="str">
        <x:v>https://eamvision.com/</x:v>
      </x:c>
      <x:c r="H14" s="80" t="str">
        <x:v>https://eamvision.com/</x:v>
      </x:c>
      <x:c r="I14" s="80" t="str">
        <x:v>Machine vision AI integrator</x:v>
      </x:c>
      <x:c r="J14" s="80" t="str">
        <x:v>Email</x:v>
      </x:c>
      <x:c r="K14" s="80" t="str">
        <x:v>dead_form_teardown</x:v>
      </x:c>
      <x:c r="L14" s="80" t="str"/>
      <x:c r="M14" s="80" t="str">
        <x:v>0</x:v>
      </x:c>
      <x:c r="N14" s="80" t="str"/>
      <x:c r="O14" s="80" t="str"/>
      <x:c r="P14" s="80" t="str"/>
      <x:c r="Q14" s="80" t="str"/>
      <x:c r="R14" s="80" t="str"/>
      <x:c r="S14" s="80" t="str"/>
      <x:c r="T14" s="80" t="str"/>
      <x:c r="U14" s="80" t="str">
        <x:v>QUEUED</x:v>
      </x:c>
      <x:c r="V14" s="99" t="str">
        <x:v>seeded by deal_threads_build_send_board.py</x:v>
      </x:c>
    </x:row>
    <x:row r="15">
      <x:c r="A15" s="103" t="str"/>
      <x:c r="B15" s="98" t="str"/>
      <x:c r="C15" s="80" t="str"/>
      <x:c r="D15" s="80" t="str"/>
      <x:c r="E15" s="80" t="str"/>
      <x:c r="F15" s="80" t="str"/>
      <x:c r="G15" s="80" t="str"/>
      <x:c r="H15" s="80" t="str"/>
      <x:c r="I15" s="80" t="str"/>
      <x:c r="J15" s="80" t="str">
        <x:v>LinkedIn</x:v>
      </x:c>
      <x:c r="K15" s="80" t="str">
        <x:v>dead_form_teardown</x:v>
      </x:c>
      <x:c r="L15" s="80" t="str"/>
      <x:c r="M15" s="80" t="n">
        <x:v>0</x:v>
      </x:c>
      <x:c r="N15" s="80" t="str"/>
      <x:c r="O15" s="80" t="str"/>
      <x:c r="P15" s="80" t="str"/>
      <x:c r="Q15" s="80" t="str"/>
      <x:c r="R15" s="80" t="str"/>
      <x:c r="S15" s="80" t="str"/>
      <x:c r="T15" s="80" t="str"/>
      <x:c r="U15" s="80" t="str">
        <x:v>QUEUED</x:v>
      </x:c>
      <x:c r="V15" s="99" t="str"/>
    </x:row>
    <x:row r="16">
      <x:c r="A16" s="103" t="str"/>
      <x:c r="B16" s="98" t="str"/>
      <x:c r="C16" s="80" t="str"/>
      <x:c r="D16" s="80" t="str"/>
      <x:c r="E16" s="80" t="str"/>
      <x:c r="F16" s="80" t="str"/>
      <x:c r="G16" s="80" t="str"/>
      <x:c r="H16" s="80" t="str"/>
      <x:c r="I16" s="80" t="str"/>
      <x:c r="J16" s="80" t="str">
        <x:v>LinkedIn</x:v>
      </x:c>
      <x:c r="K16" s="80" t="str">
        <x:v>dead_form_teardown</x:v>
      </x:c>
      <x:c r="L16" s="80" t="str"/>
      <x:c r="M16" s="80" t="n">
        <x:v>0</x:v>
      </x:c>
      <x:c r="N16" s="80" t="str"/>
      <x:c r="O16" s="80" t="str"/>
      <x:c r="P16" s="80" t="str"/>
      <x:c r="Q16" s="80" t="str"/>
      <x:c r="R16" s="80" t="str"/>
      <x:c r="S16" s="80" t="str"/>
      <x:c r="T16" s="80" t="str"/>
      <x:c r="U16" s="80" t="str">
        <x:v>QUEUED</x:v>
      </x:c>
      <x:c r="V16" s="99" t="str"/>
    </x:row>
    <x:row r="17">
      <x:c r="A17" s="103" t="str"/>
      <x:c r="B17" s="98" t="str"/>
      <x:c r="C17" s="80" t="str"/>
      <x:c r="D17" s="80" t="str"/>
      <x:c r="E17" s="80" t="str"/>
      <x:c r="F17" s="80" t="str"/>
      <x:c r="G17" s="80" t="str"/>
      <x:c r="H17" s="80" t="str"/>
      <x:c r="I17" s="80" t="str"/>
      <x:c r="J17" s="80" t="str">
        <x:v>LinkedIn</x:v>
      </x:c>
      <x:c r="K17" s="80" t="str">
        <x:v>dead_form_teardown</x:v>
      </x:c>
      <x:c r="L17" s="80" t="str"/>
      <x:c r="M17" s="80" t="n">
        <x:v>0</x:v>
      </x:c>
      <x:c r="N17" s="80" t="str"/>
      <x:c r="O17" s="80" t="str"/>
      <x:c r="P17" s="80" t="str"/>
      <x:c r="Q17" s="80" t="str"/>
      <x:c r="R17" s="80" t="str"/>
      <x:c r="S17" s="80" t="str"/>
      <x:c r="T17" s="80" t="str"/>
      <x:c r="U17" s="80" t="str">
        <x:v>QUEUED</x:v>
      </x:c>
      <x:c r="V17" s="99" t="str"/>
    </x:row>
    <x:row r="18">
      <x:c r="A18" s="103" t="str"/>
      <x:c r="B18" s="98" t="str"/>
      <x:c r="C18" s="80" t="str"/>
      <x:c r="D18" s="80" t="str"/>
      <x:c r="E18" s="80" t="str"/>
      <x:c r="F18" s="80" t="str"/>
      <x:c r="G18" s="80" t="str"/>
      <x:c r="H18" s="80" t="str"/>
      <x:c r="I18" s="80" t="str"/>
      <x:c r="J18" s="80" t="str">
        <x:v>LinkedIn</x:v>
      </x:c>
      <x:c r="K18" s="80" t="str">
        <x:v>dead_form_teardown</x:v>
      </x:c>
      <x:c r="L18" s="80" t="str"/>
      <x:c r="M18" s="80" t="n">
        <x:v>0</x:v>
      </x:c>
      <x:c r="N18" s="80" t="str"/>
      <x:c r="O18" s="80" t="str"/>
      <x:c r="P18" s="80" t="str"/>
      <x:c r="Q18" s="80" t="str"/>
      <x:c r="R18" s="80" t="str"/>
      <x:c r="S18" s="80" t="str"/>
      <x:c r="T18" s="80" t="str"/>
      <x:c r="U18" s="80" t="str">
        <x:v>QUEUED</x:v>
      </x:c>
      <x:c r="V18" s="99" t="str"/>
    </x:row>
    <x:row r="19">
      <x:c r="A19" s="103" t="str"/>
      <x:c r="B19" s="98" t="str"/>
      <x:c r="C19" s="80" t="str"/>
      <x:c r="D19" s="80" t="str"/>
      <x:c r="E19" s="80" t="str"/>
      <x:c r="F19" s="80" t="str"/>
      <x:c r="G19" s="80" t="str"/>
      <x:c r="H19" s="80" t="str"/>
      <x:c r="I19" s="80" t="str"/>
      <x:c r="J19" s="80" t="str">
        <x:v>LinkedIn</x:v>
      </x:c>
      <x:c r="K19" s="80" t="str">
        <x:v>dead_form_teardown</x:v>
      </x:c>
      <x:c r="L19" s="80" t="str"/>
      <x:c r="M19" s="80" t="n">
        <x:v>0</x:v>
      </x:c>
      <x:c r="N19" s="80" t="str"/>
      <x:c r="O19" s="80" t="str"/>
      <x:c r="P19" s="80" t="str"/>
      <x:c r="Q19" s="80" t="str"/>
      <x:c r="R19" s="80" t="str"/>
      <x:c r="S19" s="80" t="str"/>
      <x:c r="T19" s="80" t="str"/>
      <x:c r="U19" s="80" t="str">
        <x:v>QUEUED</x:v>
      </x:c>
      <x:c r="V19" s="99" t="str"/>
    </x:row>
    <x:row r="20">
      <x:c r="A20" s="103" t="str"/>
      <x:c r="B20" s="98" t="str"/>
      <x:c r="C20" s="80" t="str"/>
      <x:c r="D20" s="80" t="str"/>
      <x:c r="E20" s="80" t="str"/>
      <x:c r="F20" s="80" t="str"/>
      <x:c r="G20" s="80" t="str"/>
      <x:c r="H20" s="80" t="str"/>
      <x:c r="I20" s="80" t="str"/>
      <x:c r="J20" s="80" t="str">
        <x:v>LinkedIn</x:v>
      </x:c>
      <x:c r="K20" s="80" t="str">
        <x:v>dead_form_teardown</x:v>
      </x:c>
      <x:c r="L20" s="80" t="str"/>
      <x:c r="M20" s="80" t="n">
        <x:v>0</x:v>
      </x:c>
      <x:c r="N20" s="80" t="str"/>
      <x:c r="O20" s="80" t="str"/>
      <x:c r="P20" s="80" t="str"/>
      <x:c r="Q20" s="80" t="str"/>
      <x:c r="R20" s="80" t="str"/>
      <x:c r="S20" s="80" t="str"/>
      <x:c r="T20" s="80" t="str"/>
      <x:c r="U20" s="80" t="str">
        <x:v>QUEUED</x:v>
      </x:c>
      <x:c r="V20" s="99" t="str"/>
    </x:row>
    <x:row r="21">
      <x:c r="A21" s="103" t="str"/>
      <x:c r="B21" s="98" t="str"/>
      <x:c r="C21" s="80" t="str"/>
      <x:c r="D21" s="80" t="str"/>
      <x:c r="E21" s="80" t="str"/>
      <x:c r="F21" s="80" t="str"/>
      <x:c r="G21" s="80" t="str"/>
      <x:c r="H21" s="80" t="str"/>
      <x:c r="I21" s="80" t="str"/>
      <x:c r="J21" s="80" t="str">
        <x:v>LinkedIn</x:v>
      </x:c>
      <x:c r="K21" s="80" t="str">
        <x:v>dead_form_teardown</x:v>
      </x:c>
      <x:c r="L21" s="80" t="str"/>
      <x:c r="M21" s="80" t="n">
        <x:v>0</x:v>
      </x:c>
      <x:c r="N21" s="80" t="str"/>
      <x:c r="O21" s="80" t="str"/>
      <x:c r="P21" s="80" t="str"/>
      <x:c r="Q21" s="80" t="str"/>
      <x:c r="R21" s="80" t="str"/>
      <x:c r="S21" s="80" t="str"/>
      <x:c r="T21" s="80" t="str"/>
      <x:c r="U21" s="80" t="str">
        <x:v>QUEUED</x:v>
      </x:c>
      <x:c r="V21" s="99" t="str"/>
    </x:row>
    <x:row r="22">
      <x:c r="A22" s="103" t="str"/>
      <x:c r="B22" s="98" t="str"/>
      <x:c r="C22" s="80" t="str"/>
      <x:c r="D22" s="80" t="str"/>
      <x:c r="E22" s="80" t="str"/>
      <x:c r="F22" s="80" t="str"/>
      <x:c r="G22" s="80" t="str"/>
      <x:c r="H22" s="80" t="str"/>
      <x:c r="I22" s="80" t="str"/>
      <x:c r="J22" s="80" t="str">
        <x:v>LinkedIn</x:v>
      </x:c>
      <x:c r="K22" s="80" t="str">
        <x:v>dead_form_teardown</x:v>
      </x:c>
      <x:c r="L22" s="80" t="str"/>
      <x:c r="M22" s="80" t="n">
        <x:v>0</x:v>
      </x:c>
      <x:c r="N22" s="80" t="str"/>
      <x:c r="O22" s="80" t="str"/>
      <x:c r="P22" s="80" t="str"/>
      <x:c r="Q22" s="80" t="str"/>
      <x:c r="R22" s="80" t="str"/>
      <x:c r="S22" s="80" t="str"/>
      <x:c r="T22" s="80" t="str"/>
      <x:c r="U22" s="80" t="str">
        <x:v>QUEUED</x:v>
      </x:c>
      <x:c r="V22" s="99" t="str"/>
    </x:row>
    <x:row r="23">
      <x:c r="A23" s="103" t="str"/>
      <x:c r="B23" s="98" t="str"/>
      <x:c r="C23" s="80" t="str"/>
      <x:c r="D23" s="80" t="str"/>
      <x:c r="E23" s="80" t="str"/>
      <x:c r="F23" s="80" t="str"/>
      <x:c r="G23" s="80" t="str"/>
      <x:c r="H23" s="80" t="str"/>
      <x:c r="I23" s="80" t="str"/>
      <x:c r="J23" s="80" t="str">
        <x:v>LinkedIn</x:v>
      </x:c>
      <x:c r="K23" s="80" t="str">
        <x:v>dead_form_teardown</x:v>
      </x:c>
      <x:c r="L23" s="80" t="str"/>
      <x:c r="M23" s="80" t="n">
        <x:v>0</x:v>
      </x:c>
      <x:c r="N23" s="80" t="str"/>
      <x:c r="O23" s="80" t="str"/>
      <x:c r="P23" s="80" t="str"/>
      <x:c r="Q23" s="80" t="str"/>
      <x:c r="R23" s="80" t="str"/>
      <x:c r="S23" s="80" t="str"/>
      <x:c r="T23" s="80" t="str"/>
      <x:c r="U23" s="80" t="str">
        <x:v>QUEUED</x:v>
      </x:c>
      <x:c r="V23" s="99" t="str"/>
    </x:row>
    <x:row r="24">
      <x:c r="A24" s="103" t="str"/>
      <x:c r="B24" s="98" t="str"/>
      <x:c r="C24" s="80" t="str"/>
      <x:c r="D24" s="80" t="str"/>
      <x:c r="E24" s="80" t="str"/>
      <x:c r="F24" s="80" t="str"/>
      <x:c r="G24" s="80" t="str"/>
      <x:c r="H24" s="80" t="str"/>
      <x:c r="I24" s="80" t="str"/>
      <x:c r="J24" s="80" t="str">
        <x:v>LinkedIn</x:v>
      </x:c>
      <x:c r="K24" s="80" t="str">
        <x:v>dead_form_teardown</x:v>
      </x:c>
      <x:c r="L24" s="80" t="str"/>
      <x:c r="M24" s="80" t="n">
        <x:v>0</x:v>
      </x:c>
      <x:c r="N24" s="80" t="str"/>
      <x:c r="O24" s="80" t="str"/>
      <x:c r="P24" s="80" t="str"/>
      <x:c r="Q24" s="80" t="str"/>
      <x:c r="R24" s="80" t="str"/>
      <x:c r="S24" s="80" t="str"/>
      <x:c r="T24" s="80" t="str"/>
      <x:c r="U24" s="80" t="str">
        <x:v>QUEUED</x:v>
      </x:c>
      <x:c r="V24" s="99" t="str"/>
    </x:row>
    <x:row r="25">
      <x:c r="A25" s="103" t="str"/>
      <x:c r="B25" s="98" t="str"/>
      <x:c r="C25" s="80" t="str"/>
      <x:c r="D25" s="80" t="str"/>
      <x:c r="E25" s="80" t="str"/>
      <x:c r="F25" s="80" t="str"/>
      <x:c r="G25" s="80" t="str"/>
      <x:c r="H25" s="80" t="str"/>
      <x:c r="I25" s="80" t="str"/>
      <x:c r="J25" s="80" t="str">
        <x:v>LinkedIn</x:v>
      </x:c>
      <x:c r="K25" s="80" t="str">
        <x:v>dead_form_teardown</x:v>
      </x:c>
      <x:c r="L25" s="80" t="str"/>
      <x:c r="M25" s="80" t="n">
        <x:v>0</x:v>
      </x:c>
      <x:c r="N25" s="80" t="str"/>
      <x:c r="O25" s="80" t="str"/>
      <x:c r="P25" s="80" t="str"/>
      <x:c r="Q25" s="80" t="str"/>
      <x:c r="R25" s="80" t="str"/>
      <x:c r="S25" s="80" t="str"/>
      <x:c r="T25" s="80" t="str"/>
      <x:c r="U25" s="80" t="str">
        <x:v>QUEUED</x:v>
      </x:c>
      <x:c r="V25" s="99" t="str"/>
    </x:row>
    <x:row r="26">
      <x:c r="A26" s="103" t="str"/>
      <x:c r="B26" s="98" t="str"/>
      <x:c r="C26" s="80" t="str"/>
      <x:c r="D26" s="80" t="str"/>
      <x:c r="E26" s="80" t="str"/>
      <x:c r="F26" s="80" t="str"/>
      <x:c r="G26" s="80" t="str"/>
      <x:c r="H26" s="80" t="str"/>
      <x:c r="I26" s="80" t="str"/>
      <x:c r="J26" s="80" t="str">
        <x:v>LinkedIn</x:v>
      </x:c>
      <x:c r="K26" s="80" t="str">
        <x:v>dead_form_teardown</x:v>
      </x:c>
      <x:c r="L26" s="80" t="str"/>
      <x:c r="M26" s="80" t="n">
        <x:v>0</x:v>
      </x:c>
      <x:c r="N26" s="80" t="str"/>
      <x:c r="O26" s="80" t="str"/>
      <x:c r="P26" s="80" t="str"/>
      <x:c r="Q26" s="80" t="str"/>
      <x:c r="R26" s="80" t="str"/>
      <x:c r="S26" s="80" t="str"/>
      <x:c r="T26" s="80" t="str"/>
      <x:c r="U26" s="80" t="str">
        <x:v>QUEUED</x:v>
      </x:c>
      <x:c r="V26" s="99" t="str"/>
    </x:row>
    <x:row r="27">
      <x:c r="A27" s="103" t="str"/>
      <x:c r="B27" s="98" t="str"/>
      <x:c r="C27" s="80" t="str"/>
      <x:c r="D27" s="80" t="str"/>
      <x:c r="E27" s="80" t="str"/>
      <x:c r="F27" s="80" t="str"/>
      <x:c r="G27" s="80" t="str"/>
      <x:c r="H27" s="80" t="str"/>
      <x:c r="I27" s="80" t="str"/>
      <x:c r="J27" s="80" t="str">
        <x:v>LinkedIn</x:v>
      </x:c>
      <x:c r="K27" s="80" t="str">
        <x:v>dead_form_teardown</x:v>
      </x:c>
      <x:c r="L27" s="80" t="str"/>
      <x:c r="M27" s="80" t="n">
        <x:v>0</x:v>
      </x:c>
      <x:c r="N27" s="80" t="str"/>
      <x:c r="O27" s="80" t="str"/>
      <x:c r="P27" s="80" t="str"/>
      <x:c r="Q27" s="80" t="str"/>
      <x:c r="R27" s="80" t="str"/>
      <x:c r="S27" s="80" t="str"/>
      <x:c r="T27" s="80" t="str"/>
      <x:c r="U27" s="80" t="str">
        <x:v>QUEUED</x:v>
      </x:c>
      <x:c r="V27" s="99" t="str"/>
    </x:row>
    <x:row r="28">
      <x:c r="A28" s="103" t="str"/>
      <x:c r="B28" s="98" t="str"/>
      <x:c r="C28" s="80" t="str"/>
      <x:c r="D28" s="80" t="str"/>
      <x:c r="E28" s="80" t="str"/>
      <x:c r="F28" s="80" t="str"/>
      <x:c r="G28" s="80" t="str"/>
      <x:c r="H28" s="80" t="str"/>
      <x:c r="I28" s="80" t="str"/>
      <x:c r="J28" s="80" t="str">
        <x:v>LinkedIn</x:v>
      </x:c>
      <x:c r="K28" s="80" t="str">
        <x:v>dead_form_teardown</x:v>
      </x:c>
      <x:c r="L28" s="80" t="str"/>
      <x:c r="M28" s="80" t="n">
        <x:v>0</x:v>
      </x:c>
      <x:c r="N28" s="80" t="str"/>
      <x:c r="O28" s="80" t="str"/>
      <x:c r="P28" s="80" t="str"/>
      <x:c r="Q28" s="80" t="str"/>
      <x:c r="R28" s="80" t="str"/>
      <x:c r="S28" s="80" t="str"/>
      <x:c r="T28" s="80" t="str"/>
      <x:c r="U28" s="80" t="str">
        <x:v>QUEUED</x:v>
      </x:c>
      <x:c r="V28" s="99" t="str"/>
    </x:row>
    <x:row r="29">
      <x:c r="A29" s="103" t="str"/>
      <x:c r="B29" s="98" t="str"/>
      <x:c r="C29" s="80" t="str"/>
      <x:c r="D29" s="80" t="str"/>
      <x:c r="E29" s="80" t="str"/>
      <x:c r="F29" s="80" t="str"/>
      <x:c r="G29" s="80" t="str"/>
      <x:c r="H29" s="80" t="str"/>
      <x:c r="I29" s="80" t="str"/>
      <x:c r="J29" s="80" t="str">
        <x:v>LinkedIn</x:v>
      </x:c>
      <x:c r="K29" s="80" t="str">
        <x:v>dead_form_teardown</x:v>
      </x:c>
      <x:c r="L29" s="80" t="str"/>
      <x:c r="M29" s="80" t="n">
        <x:v>0</x:v>
      </x:c>
      <x:c r="N29" s="80" t="str"/>
      <x:c r="O29" s="80" t="str"/>
      <x:c r="P29" s="80" t="str"/>
      <x:c r="Q29" s="80" t="str"/>
      <x:c r="R29" s="80" t="str"/>
      <x:c r="S29" s="80" t="str"/>
      <x:c r="T29" s="80" t="str"/>
      <x:c r="U29" s="80" t="str">
        <x:v>QUEUED</x:v>
      </x:c>
      <x:c r="V29" s="99" t="str"/>
    </x:row>
    <x:row r="30">
      <x:c r="A30" s="103" t="str"/>
      <x:c r="B30" s="98" t="str"/>
      <x:c r="C30" s="80" t="str"/>
      <x:c r="D30" s="80" t="str"/>
      <x:c r="E30" s="80" t="str"/>
      <x:c r="F30" s="80" t="str"/>
      <x:c r="G30" s="80" t="str"/>
      <x:c r="H30" s="80" t="str"/>
      <x:c r="I30" s="80" t="str"/>
      <x:c r="J30" s="80" t="str">
        <x:v>LinkedIn</x:v>
      </x:c>
      <x:c r="K30" s="80" t="str">
        <x:v>dead_form_teardown</x:v>
      </x:c>
      <x:c r="L30" s="80" t="str"/>
      <x:c r="M30" s="80" t="n">
        <x:v>0</x:v>
      </x:c>
      <x:c r="N30" s="80" t="str"/>
      <x:c r="O30" s="80" t="str"/>
      <x:c r="P30" s="80" t="str"/>
      <x:c r="Q30" s="80" t="str"/>
      <x:c r="R30" s="80" t="str"/>
      <x:c r="S30" s="80" t="str"/>
      <x:c r="T30" s="80" t="str"/>
      <x:c r="U30" s="80" t="str">
        <x:v>QUEUED</x:v>
      </x:c>
      <x:c r="V30" s="99" t="str"/>
    </x:row>
    <x:row r="31">
      <x:c r="A31" s="103" t="str"/>
      <x:c r="B31" s="98" t="str"/>
      <x:c r="C31" s="80" t="str"/>
      <x:c r="D31" s="80" t="str"/>
      <x:c r="E31" s="80" t="str"/>
      <x:c r="F31" s="80" t="str"/>
      <x:c r="G31" s="80" t="str"/>
      <x:c r="H31" s="80" t="str"/>
      <x:c r="I31" s="80" t="str"/>
      <x:c r="J31" s="80" t="str">
        <x:v>LinkedIn</x:v>
      </x:c>
      <x:c r="K31" s="80" t="str">
        <x:v>dead_form_teardown</x:v>
      </x:c>
      <x:c r="L31" s="80" t="str"/>
      <x:c r="M31" s="80" t="n">
        <x:v>0</x:v>
      </x:c>
      <x:c r="N31" s="80" t="str"/>
      <x:c r="O31" s="80" t="str"/>
      <x:c r="P31" s="80" t="str"/>
      <x:c r="Q31" s="80" t="str"/>
      <x:c r="R31" s="80" t="str"/>
      <x:c r="S31" s="80" t="str"/>
      <x:c r="T31" s="80" t="str"/>
      <x:c r="U31" s="80" t="str">
        <x:v>QUEUED</x:v>
      </x:c>
      <x:c r="V31" s="99" t="str"/>
    </x:row>
    <x:row r="32">
      <x:c r="A32" s="103" t="str"/>
      <x:c r="B32" s="98" t="str"/>
      <x:c r="C32" s="80" t="str"/>
      <x:c r="D32" s="80" t="str"/>
      <x:c r="E32" s="80" t="str"/>
      <x:c r="F32" s="80" t="str"/>
      <x:c r="G32" s="80" t="str"/>
      <x:c r="H32" s="80" t="str"/>
      <x:c r="I32" s="80" t="str"/>
      <x:c r="J32" s="80" t="str">
        <x:v>LinkedIn</x:v>
      </x:c>
      <x:c r="K32" s="80" t="str">
        <x:v>dead_form_teardown</x:v>
      </x:c>
      <x:c r="L32" s="80" t="str"/>
      <x:c r="M32" s="80" t="n">
        <x:v>0</x:v>
      </x:c>
      <x:c r="N32" s="80" t="str"/>
      <x:c r="O32" s="80" t="str"/>
      <x:c r="P32" s="80" t="str"/>
      <x:c r="Q32" s="80" t="str"/>
      <x:c r="R32" s="80" t="str"/>
      <x:c r="S32" s="80" t="str"/>
      <x:c r="T32" s="80" t="str"/>
      <x:c r="U32" s="80" t="str">
        <x:v>QUEUED</x:v>
      </x:c>
      <x:c r="V32" s="99" t="str"/>
    </x:row>
    <x:row r="33">
      <x:c r="A33" s="103" t="str"/>
      <x:c r="B33" s="98" t="str"/>
      <x:c r="C33" s="80" t="str"/>
      <x:c r="D33" s="80" t="str"/>
      <x:c r="E33" s="80" t="str"/>
      <x:c r="F33" s="80" t="str"/>
      <x:c r="G33" s="80" t="str"/>
      <x:c r="H33" s="80" t="str"/>
      <x:c r="I33" s="80" t="str"/>
      <x:c r="J33" s="80" t="str">
        <x:v>LinkedIn</x:v>
      </x:c>
      <x:c r="K33" s="80" t="str">
        <x:v>dead_form_teardown</x:v>
      </x:c>
      <x:c r="L33" s="80" t="str"/>
      <x:c r="M33" s="80" t="n">
        <x:v>0</x:v>
      </x:c>
      <x:c r="N33" s="80" t="str"/>
      <x:c r="O33" s="80" t="str"/>
      <x:c r="P33" s="80" t="str"/>
      <x:c r="Q33" s="80" t="str"/>
      <x:c r="R33" s="80" t="str"/>
      <x:c r="S33" s="80" t="str"/>
      <x:c r="T33" s="80" t="str"/>
      <x:c r="U33" s="80" t="str">
        <x:v>QUEUED</x:v>
      </x:c>
      <x:c r="V33" s="99" t="str"/>
    </x:row>
    <x:row r="34">
      <x:c r="A34" s="103" t="str"/>
      <x:c r="B34" s="98" t="str"/>
      <x:c r="C34" s="80" t="str"/>
      <x:c r="D34" s="80" t="str"/>
      <x:c r="E34" s="80" t="str"/>
      <x:c r="F34" s="80" t="str"/>
      <x:c r="G34" s="80" t="str"/>
      <x:c r="H34" s="80" t="str"/>
      <x:c r="I34" s="80" t="str"/>
      <x:c r="J34" s="80" t="str">
        <x:v>LinkedIn</x:v>
      </x:c>
      <x:c r="K34" s="80" t="str">
        <x:v>dead_form_teardown</x:v>
      </x:c>
      <x:c r="L34" s="80" t="str"/>
      <x:c r="M34" s="80" t="n">
        <x:v>0</x:v>
      </x:c>
      <x:c r="N34" s="80" t="str"/>
      <x:c r="O34" s="80" t="str"/>
      <x:c r="P34" s="80" t="str"/>
      <x:c r="Q34" s="80" t="str"/>
      <x:c r="R34" s="80" t="str"/>
      <x:c r="S34" s="80" t="str"/>
      <x:c r="T34" s="80" t="str"/>
      <x:c r="U34" s="80" t="str">
        <x:v>QUEUED</x:v>
      </x:c>
      <x:c r="V34" s="99" t="str"/>
    </x:row>
    <x:row r="35">
      <x:c r="A35" s="103" t="str"/>
      <x:c r="B35" s="98" t="str"/>
      <x:c r="C35" s="80" t="str"/>
      <x:c r="D35" s="80" t="str"/>
      <x:c r="E35" s="80" t="str"/>
      <x:c r="F35" s="80" t="str"/>
      <x:c r="G35" s="80" t="str"/>
      <x:c r="H35" s="80" t="str"/>
      <x:c r="I35" s="80" t="str"/>
      <x:c r="J35" s="80" t="str">
        <x:v>LinkedIn</x:v>
      </x:c>
      <x:c r="K35" s="80" t="str">
        <x:v>dead_form_teardown</x:v>
      </x:c>
      <x:c r="L35" s="80" t="str"/>
      <x:c r="M35" s="80" t="n">
        <x:v>0</x:v>
      </x:c>
      <x:c r="N35" s="80" t="str"/>
      <x:c r="O35" s="80" t="str"/>
      <x:c r="P35" s="80" t="str"/>
      <x:c r="Q35" s="80" t="str"/>
      <x:c r="R35" s="80" t="str"/>
      <x:c r="S35" s="80" t="str"/>
      <x:c r="T35" s="80" t="str"/>
      <x:c r="U35" s="80" t="str">
        <x:v>QUEUED</x:v>
      </x:c>
      <x:c r="V35" s="99" t="str"/>
    </x:row>
    <x:row r="36">
      <x:c r="A36" s="103" t="str"/>
      <x:c r="B36" s="98" t="str"/>
      <x:c r="C36" s="80" t="str"/>
      <x:c r="D36" s="80" t="str"/>
      <x:c r="E36" s="80" t="str"/>
      <x:c r="F36" s="80" t="str"/>
      <x:c r="G36" s="80" t="str"/>
      <x:c r="H36" s="80" t="str"/>
      <x:c r="I36" s="80" t="str"/>
      <x:c r="J36" s="80" t="str">
        <x:v>LinkedIn</x:v>
      </x:c>
      <x:c r="K36" s="80" t="str">
        <x:v>dead_form_teardown</x:v>
      </x:c>
      <x:c r="L36" s="80" t="str"/>
      <x:c r="M36" s="80" t="n">
        <x:v>0</x:v>
      </x:c>
      <x:c r="N36" s="80" t="str"/>
      <x:c r="O36" s="80" t="str"/>
      <x:c r="P36" s="80" t="str"/>
      <x:c r="Q36" s="80" t="str"/>
      <x:c r="R36" s="80" t="str"/>
      <x:c r="S36" s="80" t="str"/>
      <x:c r="T36" s="80" t="str"/>
      <x:c r="U36" s="80" t="str">
        <x:v>QUEUED</x:v>
      </x:c>
      <x:c r="V36" s="99" t="str"/>
    </x:row>
    <x:row r="37">
      <x:c r="A37" s="103" t="str"/>
      <x:c r="B37" s="98" t="str"/>
      <x:c r="C37" s="80" t="str"/>
      <x:c r="D37" s="80" t="str"/>
      <x:c r="E37" s="80" t="str"/>
      <x:c r="F37" s="80" t="str"/>
      <x:c r="G37" s="80" t="str"/>
      <x:c r="H37" s="80" t="str"/>
      <x:c r="I37" s="80" t="str"/>
      <x:c r="J37" s="80" t="str">
        <x:v>LinkedIn</x:v>
      </x:c>
      <x:c r="K37" s="80" t="str">
        <x:v>dead_form_teardown</x:v>
      </x:c>
      <x:c r="L37" s="80" t="str"/>
      <x:c r="M37" s="80" t="n">
        <x:v>0</x:v>
      </x:c>
      <x:c r="N37" s="80" t="str"/>
      <x:c r="O37" s="80" t="str"/>
      <x:c r="P37" s="80" t="str"/>
      <x:c r="Q37" s="80" t="str"/>
      <x:c r="R37" s="80" t="str"/>
      <x:c r="S37" s="80" t="str"/>
      <x:c r="T37" s="80" t="str"/>
      <x:c r="U37" s="80" t="str">
        <x:v>QUEUED</x:v>
      </x:c>
      <x:c r="V37" s="99" t="str"/>
    </x:row>
    <x:row r="38">
      <x:c r="A38" s="103" t="str"/>
      <x:c r="B38" s="98" t="str"/>
      <x:c r="C38" s="80" t="str"/>
      <x:c r="D38" s="80" t="str"/>
      <x:c r="E38" s="80" t="str"/>
      <x:c r="F38" s="80" t="str"/>
      <x:c r="G38" s="80" t="str"/>
      <x:c r="H38" s="80" t="str"/>
      <x:c r="I38" s="80" t="str"/>
      <x:c r="J38" s="80" t="str">
        <x:v>LinkedIn</x:v>
      </x:c>
      <x:c r="K38" s="80" t="str">
        <x:v>dead_form_teardown</x:v>
      </x:c>
      <x:c r="L38" s="80" t="str"/>
      <x:c r="M38" s="80" t="n">
        <x:v>0</x:v>
      </x:c>
      <x:c r="N38" s="80" t="str"/>
      <x:c r="O38" s="80" t="str"/>
      <x:c r="P38" s="80" t="str"/>
      <x:c r="Q38" s="80" t="str"/>
      <x:c r="R38" s="80" t="str"/>
      <x:c r="S38" s="80" t="str"/>
      <x:c r="T38" s="80" t="str"/>
      <x:c r="U38" s="80" t="str">
        <x:v>QUEUED</x:v>
      </x:c>
      <x:c r="V38" s="99" t="str"/>
    </x:row>
    <x:row r="39">
      <x:c r="A39" s="103" t="str"/>
      <x:c r="B39" s="98" t="str"/>
      <x:c r="C39" s="80" t="str"/>
      <x:c r="D39" s="80" t="str"/>
      <x:c r="E39" s="80" t="str"/>
      <x:c r="F39" s="80" t="str"/>
      <x:c r="G39" s="80" t="str"/>
      <x:c r="H39" s="80" t="str"/>
      <x:c r="I39" s="80" t="str"/>
      <x:c r="J39" s="80" t="str">
        <x:v>LinkedIn</x:v>
      </x:c>
      <x:c r="K39" s="80" t="str">
        <x:v>dead_form_teardown</x:v>
      </x:c>
      <x:c r="L39" s="80" t="str"/>
      <x:c r="M39" s="80" t="n">
        <x:v>0</x:v>
      </x:c>
      <x:c r="N39" s="80" t="str"/>
      <x:c r="O39" s="80" t="str"/>
      <x:c r="P39" s="80" t="str"/>
      <x:c r="Q39" s="80" t="str"/>
      <x:c r="R39" s="80" t="str"/>
      <x:c r="S39" s="80" t="str"/>
      <x:c r="T39" s="80" t="str"/>
      <x:c r="U39" s="80" t="str">
        <x:v>QUEUED</x:v>
      </x:c>
      <x:c r="V39" s="99" t="str"/>
    </x:row>
    <x:row r="40">
      <x:c r="A40" s="103" t="str"/>
      <x:c r="B40" s="98" t="str"/>
      <x:c r="C40" s="80" t="str"/>
      <x:c r="D40" s="80" t="str"/>
      <x:c r="E40" s="80" t="str"/>
      <x:c r="F40" s="80" t="str"/>
      <x:c r="G40" s="80" t="str"/>
      <x:c r="H40" s="80" t="str"/>
      <x:c r="I40" s="80" t="str"/>
      <x:c r="J40" s="80" t="str">
        <x:v>LinkedIn</x:v>
      </x:c>
      <x:c r="K40" s="80" t="str">
        <x:v>dead_form_teardown</x:v>
      </x:c>
      <x:c r="L40" s="80" t="str"/>
      <x:c r="M40" s="80" t="n">
        <x:v>0</x:v>
      </x:c>
      <x:c r="N40" s="80" t="str"/>
      <x:c r="O40" s="80" t="str"/>
      <x:c r="P40" s="80" t="str"/>
      <x:c r="Q40" s="80" t="str"/>
      <x:c r="R40" s="80" t="str"/>
      <x:c r="S40" s="80" t="str"/>
      <x:c r="T40" s="80" t="str"/>
      <x:c r="U40" s="80" t="str">
        <x:v>QUEUED</x:v>
      </x:c>
      <x:c r="V40" s="99" t="str"/>
    </x:row>
    <x:row r="41">
      <x:c r="A41" s="103" t="str"/>
      <x:c r="B41" s="98" t="str"/>
      <x:c r="C41" s="80" t="str"/>
      <x:c r="D41" s="80" t="str"/>
      <x:c r="E41" s="80" t="str"/>
      <x:c r="F41" s="80" t="str"/>
      <x:c r="G41" s="80" t="str"/>
      <x:c r="H41" s="80" t="str"/>
      <x:c r="I41" s="80" t="str"/>
      <x:c r="J41" s="80" t="str">
        <x:v>LinkedIn</x:v>
      </x:c>
      <x:c r="K41" s="80" t="str">
        <x:v>dead_form_teardown</x:v>
      </x:c>
      <x:c r="L41" s="80" t="str"/>
      <x:c r="M41" s="80" t="n">
        <x:v>0</x:v>
      </x:c>
      <x:c r="N41" s="80" t="str"/>
      <x:c r="O41" s="80" t="str"/>
      <x:c r="P41" s="80" t="str"/>
      <x:c r="Q41" s="80" t="str"/>
      <x:c r="R41" s="80" t="str"/>
      <x:c r="S41" s="80" t="str"/>
      <x:c r="T41" s="80" t="str"/>
      <x:c r="U41" s="80" t="str">
        <x:v>QUEUED</x:v>
      </x:c>
      <x:c r="V41" s="99" t="str"/>
    </x:row>
    <x:row r="42">
      <x:c r="A42" s="103" t="str"/>
      <x:c r="B42" s="98" t="str"/>
      <x:c r="C42" s="80" t="str"/>
      <x:c r="D42" s="80" t="str"/>
      <x:c r="E42" s="80" t="str"/>
      <x:c r="F42" s="80" t="str"/>
      <x:c r="G42" s="80" t="str"/>
      <x:c r="H42" s="80" t="str"/>
      <x:c r="I42" s="80" t="str"/>
      <x:c r="J42" s="80" t="str">
        <x:v>LinkedIn</x:v>
      </x:c>
      <x:c r="K42" s="80" t="str">
        <x:v>dead_form_teardown</x:v>
      </x:c>
      <x:c r="L42" s="80" t="str"/>
      <x:c r="M42" s="80" t="n">
        <x:v>0</x:v>
      </x:c>
      <x:c r="N42" s="80" t="str"/>
      <x:c r="O42" s="80" t="str"/>
      <x:c r="P42" s="80" t="str"/>
      <x:c r="Q42" s="80" t="str"/>
      <x:c r="R42" s="80" t="str"/>
      <x:c r="S42" s="80" t="str"/>
      <x:c r="T42" s="80" t="str"/>
      <x:c r="U42" s="80" t="str">
        <x:v>QUEUED</x:v>
      </x:c>
      <x:c r="V42" s="99" t="str"/>
    </x:row>
    <x:row r="43">
      <x:c r="A43" s="103" t="str"/>
      <x:c r="B43" s="98" t="str"/>
      <x:c r="C43" s="80" t="str"/>
      <x:c r="D43" s="80" t="str"/>
      <x:c r="E43" s="80" t="str"/>
      <x:c r="F43" s="80" t="str"/>
      <x:c r="G43" s="80" t="str"/>
      <x:c r="H43" s="80" t="str"/>
      <x:c r="I43" s="80" t="str"/>
      <x:c r="J43" s="80" t="str">
        <x:v>LinkedIn</x:v>
      </x:c>
      <x:c r="K43" s="80" t="str">
        <x:v>dead_form_teardown</x:v>
      </x:c>
      <x:c r="L43" s="80" t="str"/>
      <x:c r="M43" s="80" t="n">
        <x:v>0</x:v>
      </x:c>
      <x:c r="N43" s="80" t="str"/>
      <x:c r="O43" s="80" t="str"/>
      <x:c r="P43" s="80" t="str"/>
      <x:c r="Q43" s="80" t="str"/>
      <x:c r="R43" s="80" t="str"/>
      <x:c r="S43" s="80" t="str"/>
      <x:c r="T43" s="80" t="str"/>
      <x:c r="U43" s="80" t="str">
        <x:v>QUEUED</x:v>
      </x:c>
      <x:c r="V43" s="99" t="str"/>
    </x:row>
    <x:row r="44">
      <x:c r="A44" s="103" t="str"/>
      <x:c r="B44" s="98" t="str"/>
      <x:c r="C44" s="80" t="str"/>
      <x:c r="D44" s="80" t="str"/>
      <x:c r="E44" s="80" t="str"/>
      <x:c r="F44" s="80" t="str"/>
      <x:c r="G44" s="80" t="str"/>
      <x:c r="H44" s="80" t="str"/>
      <x:c r="I44" s="80" t="str"/>
      <x:c r="J44" s="80" t="str">
        <x:v>LinkedIn</x:v>
      </x:c>
      <x:c r="K44" s="80" t="str">
        <x:v>dead_form_teardown</x:v>
      </x:c>
      <x:c r="L44" s="80" t="str"/>
      <x:c r="M44" s="80" t="n">
        <x:v>0</x:v>
      </x:c>
      <x:c r="N44" s="80" t="str"/>
      <x:c r="O44" s="80" t="str"/>
      <x:c r="P44" s="80" t="str"/>
      <x:c r="Q44" s="80" t="str"/>
      <x:c r="R44" s="80" t="str"/>
      <x:c r="S44" s="80" t="str"/>
      <x:c r="T44" s="80" t="str"/>
      <x:c r="U44" s="80" t="str">
        <x:v>QUEUED</x:v>
      </x:c>
      <x:c r="V44" s="99" t="str"/>
    </x:row>
    <x:row r="45">
      <x:c r="A45" s="103" t="str"/>
      <x:c r="B45" s="98" t="str"/>
      <x:c r="C45" s="80" t="str"/>
      <x:c r="D45" s="80" t="str"/>
      <x:c r="E45" s="80" t="str"/>
      <x:c r="F45" s="80" t="str"/>
      <x:c r="G45" s="80" t="str"/>
      <x:c r="H45" s="80" t="str"/>
      <x:c r="I45" s="80" t="str"/>
      <x:c r="J45" s="80" t="str">
        <x:v>LinkedIn</x:v>
      </x:c>
      <x:c r="K45" s="80" t="str">
        <x:v>dead_form_teardown</x:v>
      </x:c>
      <x:c r="L45" s="80" t="str"/>
      <x:c r="M45" s="80" t="n">
        <x:v>0</x:v>
      </x:c>
      <x:c r="N45" s="80" t="str"/>
      <x:c r="O45" s="80" t="str"/>
      <x:c r="P45" s="80" t="str"/>
      <x:c r="Q45" s="80" t="str"/>
      <x:c r="R45" s="80" t="str"/>
      <x:c r="S45" s="80" t="str"/>
      <x:c r="T45" s="80" t="str"/>
      <x:c r="U45" s="80" t="str">
        <x:v>QUEUED</x:v>
      </x:c>
      <x:c r="V45" s="99" t="str"/>
    </x:row>
    <x:row r="46">
      <x:c r="A46" s="103" t="str"/>
      <x:c r="B46" s="98" t="str"/>
      <x:c r="C46" s="80" t="str"/>
      <x:c r="D46" s="80" t="str"/>
      <x:c r="E46" s="80" t="str"/>
      <x:c r="F46" s="80" t="str"/>
      <x:c r="G46" s="80" t="str"/>
      <x:c r="H46" s="80" t="str"/>
      <x:c r="I46" s="80" t="str"/>
      <x:c r="J46" s="80" t="str">
        <x:v>LinkedIn</x:v>
      </x:c>
      <x:c r="K46" s="80" t="str">
        <x:v>dead_form_teardown</x:v>
      </x:c>
      <x:c r="L46" s="80" t="str"/>
      <x:c r="M46" s="80" t="n">
        <x:v>0</x:v>
      </x:c>
      <x:c r="N46" s="80" t="str"/>
      <x:c r="O46" s="80" t="str"/>
      <x:c r="P46" s="80" t="str"/>
      <x:c r="Q46" s="80" t="str"/>
      <x:c r="R46" s="80" t="str"/>
      <x:c r="S46" s="80" t="str"/>
      <x:c r="T46" s="80" t="str"/>
      <x:c r="U46" s="80" t="str">
        <x:v>QUEUED</x:v>
      </x:c>
      <x:c r="V46" s="99" t="str"/>
    </x:row>
    <x:row r="47">
      <x:c r="A47" s="103" t="str"/>
      <x:c r="B47" s="98" t="str"/>
      <x:c r="C47" s="80" t="str"/>
      <x:c r="D47" s="80" t="str"/>
      <x:c r="E47" s="80" t="str"/>
      <x:c r="F47" s="80" t="str"/>
      <x:c r="G47" s="80" t="str"/>
      <x:c r="H47" s="80" t="str"/>
      <x:c r="I47" s="80" t="str"/>
      <x:c r="J47" s="80" t="str">
        <x:v>LinkedIn</x:v>
      </x:c>
      <x:c r="K47" s="80" t="str">
        <x:v>dead_form_teardown</x:v>
      </x:c>
      <x:c r="L47" s="80" t="str"/>
      <x:c r="M47" s="80" t="n">
        <x:v>0</x:v>
      </x:c>
      <x:c r="N47" s="80" t="str"/>
      <x:c r="O47" s="80" t="str"/>
      <x:c r="P47" s="80" t="str"/>
      <x:c r="Q47" s="80" t="str"/>
      <x:c r="R47" s="80" t="str"/>
      <x:c r="S47" s="80" t="str"/>
      <x:c r="T47" s="80" t="str"/>
      <x:c r="U47" s="80" t="str">
        <x:v>QUEUED</x:v>
      </x:c>
      <x:c r="V47" s="99" t="str"/>
    </x:row>
    <x:row r="48">
      <x:c r="A48" s="103" t="str"/>
      <x:c r="B48" s="98" t="str"/>
      <x:c r="C48" s="80" t="str"/>
      <x:c r="D48" s="80" t="str"/>
      <x:c r="E48" s="80" t="str"/>
      <x:c r="F48" s="80" t="str"/>
      <x:c r="G48" s="80" t="str"/>
      <x:c r="H48" s="80" t="str"/>
      <x:c r="I48" s="80" t="str"/>
      <x:c r="J48" s="80" t="str">
        <x:v>LinkedIn</x:v>
      </x:c>
      <x:c r="K48" s="80" t="str">
        <x:v>dead_form_teardown</x:v>
      </x:c>
      <x:c r="L48" s="80" t="str"/>
      <x:c r="M48" s="80" t="n">
        <x:v>0</x:v>
      </x:c>
      <x:c r="N48" s="80" t="str"/>
      <x:c r="O48" s="80" t="str"/>
      <x:c r="P48" s="80" t="str"/>
      <x:c r="Q48" s="80" t="str"/>
      <x:c r="R48" s="80" t="str"/>
      <x:c r="S48" s="80" t="str"/>
      <x:c r="T48" s="80" t="str"/>
      <x:c r="U48" s="80" t="str">
        <x:v>QUEUED</x:v>
      </x:c>
      <x:c r="V48" s="99" t="str"/>
    </x:row>
    <x:row r="49">
      <x:c r="A49" s="103" t="str"/>
      <x:c r="B49" s="98" t="str"/>
      <x:c r="C49" s="80" t="str"/>
      <x:c r="D49" s="80" t="str"/>
      <x:c r="E49" s="80" t="str"/>
      <x:c r="F49" s="80" t="str"/>
      <x:c r="G49" s="80" t="str"/>
      <x:c r="H49" s="80" t="str"/>
      <x:c r="I49" s="80" t="str"/>
      <x:c r="J49" s="80" t="str">
        <x:v>LinkedIn</x:v>
      </x:c>
      <x:c r="K49" s="80" t="str">
        <x:v>dead_form_teardown</x:v>
      </x:c>
      <x:c r="L49" s="80" t="str"/>
      <x:c r="M49" s="80" t="n">
        <x:v>0</x:v>
      </x:c>
      <x:c r="N49" s="80" t="str"/>
      <x:c r="O49" s="80" t="str"/>
      <x:c r="P49" s="80" t="str"/>
      <x:c r="Q49" s="80" t="str"/>
      <x:c r="R49" s="80" t="str"/>
      <x:c r="S49" s="80" t="str"/>
      <x:c r="T49" s="80" t="str"/>
      <x:c r="U49" s="80" t="str">
        <x:v>QUEUED</x:v>
      </x:c>
      <x:c r="V49" s="99" t="str"/>
    </x:row>
    <x:row r="50">
      <x:c r="A50" s="103" t="str"/>
      <x:c r="B50" s="98" t="str"/>
      <x:c r="C50" s="80" t="str"/>
      <x:c r="D50" s="80" t="str"/>
      <x:c r="E50" s="80" t="str"/>
      <x:c r="F50" s="80" t="str"/>
      <x:c r="G50" s="80" t="str"/>
      <x:c r="H50" s="80" t="str"/>
      <x:c r="I50" s="80" t="str"/>
      <x:c r="J50" s="80" t="str">
        <x:v>LinkedIn</x:v>
      </x:c>
      <x:c r="K50" s="80" t="str">
        <x:v>dead_form_teardown</x:v>
      </x:c>
      <x:c r="L50" s="80" t="str"/>
      <x:c r="M50" s="80" t="n">
        <x:v>0</x:v>
      </x:c>
      <x:c r="N50" s="80" t="str"/>
      <x:c r="O50" s="80" t="str"/>
      <x:c r="P50" s="80" t="str"/>
      <x:c r="Q50" s="80" t="str"/>
      <x:c r="R50" s="80" t="str"/>
      <x:c r="S50" s="80" t="str"/>
      <x:c r="T50" s="80" t="str"/>
      <x:c r="U50" s="80" t="str">
        <x:v>QUEUED</x:v>
      </x:c>
      <x:c r="V50" s="99" t="str"/>
    </x:row>
    <x:row r="51">
      <x:c r="A51" s="103" t="str"/>
      <x:c r="B51" s="98" t="str"/>
      <x:c r="C51" s="80" t="str"/>
      <x:c r="D51" s="80" t="str"/>
      <x:c r="E51" s="80" t="str"/>
      <x:c r="F51" s="80" t="str"/>
      <x:c r="G51" s="80" t="str"/>
      <x:c r="H51" s="80" t="str"/>
      <x:c r="I51" s="80" t="str"/>
      <x:c r="J51" s="80" t="str">
        <x:v>LinkedIn</x:v>
      </x:c>
      <x:c r="K51" s="80" t="str">
        <x:v>dead_form_teardown</x:v>
      </x:c>
      <x:c r="L51" s="80" t="str"/>
      <x:c r="M51" s="80" t="n">
        <x:v>0</x:v>
      </x:c>
      <x:c r="N51" s="80" t="str"/>
      <x:c r="O51" s="80" t="str"/>
      <x:c r="P51" s="80" t="str"/>
      <x:c r="Q51" s="80" t="str"/>
      <x:c r="R51" s="80" t="str"/>
      <x:c r="S51" s="80" t="str"/>
      <x:c r="T51" s="80" t="str"/>
      <x:c r="U51" s="80" t="str">
        <x:v>QUEUED</x:v>
      </x:c>
      <x:c r="V51" s="99" t="str"/>
    </x:row>
    <x:row r="52">
      <x:c r="A52" s="103" t="str"/>
      <x:c r="B52" s="98" t="str"/>
      <x:c r="C52" s="80" t="str"/>
      <x:c r="D52" s="80" t="str"/>
      <x:c r="E52" s="80" t="str"/>
      <x:c r="F52" s="80" t="str"/>
      <x:c r="G52" s="80" t="str"/>
      <x:c r="H52" s="80" t="str"/>
      <x:c r="I52" s="80" t="str"/>
      <x:c r="J52" s="80" t="str">
        <x:v>LinkedIn</x:v>
      </x:c>
      <x:c r="K52" s="80" t="str">
        <x:v>dead_form_teardown</x:v>
      </x:c>
      <x:c r="L52" s="80" t="str"/>
      <x:c r="M52" s="80" t="n">
        <x:v>0</x:v>
      </x:c>
      <x:c r="N52" s="80" t="str"/>
      <x:c r="O52" s="80" t="str"/>
      <x:c r="P52" s="80" t="str"/>
      <x:c r="Q52" s="80" t="str"/>
      <x:c r="R52" s="80" t="str"/>
      <x:c r="S52" s="80" t="str"/>
      <x:c r="T52" s="80" t="str"/>
      <x:c r="U52" s="80" t="str">
        <x:v>QUEUED</x:v>
      </x:c>
      <x:c r="V52" s="99" t="str"/>
    </x:row>
    <x:row r="53">
      <x:c r="A53" s="103" t="str"/>
      <x:c r="B53" s="98" t="str"/>
      <x:c r="C53" s="80" t="str"/>
      <x:c r="D53" s="80" t="str"/>
      <x:c r="E53" s="80" t="str"/>
      <x:c r="F53" s="80" t="str"/>
      <x:c r="G53" s="80" t="str"/>
      <x:c r="H53" s="80" t="str"/>
      <x:c r="I53" s="80" t="str"/>
      <x:c r="J53" s="80" t="str">
        <x:v>LinkedIn</x:v>
      </x:c>
      <x:c r="K53" s="80" t="str">
        <x:v>dead_form_teardown</x:v>
      </x:c>
      <x:c r="L53" s="80" t="str"/>
      <x:c r="M53" s="80" t="n">
        <x:v>0</x:v>
      </x:c>
      <x:c r="N53" s="80" t="str"/>
      <x:c r="O53" s="80" t="str"/>
      <x:c r="P53" s="80" t="str"/>
      <x:c r="Q53" s="80" t="str"/>
      <x:c r="R53" s="80" t="str"/>
      <x:c r="S53" s="80" t="str"/>
      <x:c r="T53" s="80" t="str"/>
      <x:c r="U53" s="80" t="str">
        <x:v>QUEUED</x:v>
      </x:c>
      <x:c r="V53" s="99" t="str"/>
    </x:row>
    <x:row r="54">
      <x:c r="A54" s="103" t="str"/>
      <x:c r="B54" s="98" t="str"/>
      <x:c r="C54" s="80" t="str"/>
      <x:c r="D54" s="80" t="str"/>
      <x:c r="E54" s="80" t="str"/>
      <x:c r="F54" s="80" t="str"/>
      <x:c r="G54" s="80" t="str"/>
      <x:c r="H54" s="80" t="str"/>
      <x:c r="I54" s="80" t="str"/>
      <x:c r="J54" s="80" t="str">
        <x:v>LinkedIn</x:v>
      </x:c>
      <x:c r="K54" s="80" t="str">
        <x:v>dead_form_teardown</x:v>
      </x:c>
      <x:c r="L54" s="80" t="str"/>
      <x:c r="M54" s="80" t="n">
        <x:v>0</x:v>
      </x:c>
      <x:c r="N54" s="80" t="str"/>
      <x:c r="O54" s="80" t="str"/>
      <x:c r="P54" s="80" t="str"/>
      <x:c r="Q54" s="80" t="str"/>
      <x:c r="R54" s="80" t="str"/>
      <x:c r="S54" s="80" t="str"/>
      <x:c r="T54" s="80" t="str"/>
      <x:c r="U54" s="80" t="str">
        <x:v>QUEUED</x:v>
      </x:c>
      <x:c r="V54" s="99" t="str"/>
    </x:row>
    <x:row r="55">
      <x:c r="A55" s="103" t="str"/>
      <x:c r="B55" s="98" t="str"/>
      <x:c r="C55" s="80" t="str"/>
      <x:c r="D55" s="80" t="str"/>
      <x:c r="E55" s="80" t="str"/>
      <x:c r="F55" s="80" t="str"/>
      <x:c r="G55" s="80" t="str"/>
      <x:c r="H55" s="80" t="str"/>
      <x:c r="I55" s="80" t="str"/>
      <x:c r="J55" s="80" t="str">
        <x:v>LinkedIn</x:v>
      </x:c>
      <x:c r="K55" s="80" t="str">
        <x:v>dead_form_teardown</x:v>
      </x:c>
      <x:c r="L55" s="80" t="str"/>
      <x:c r="M55" s="80" t="n">
        <x:v>0</x:v>
      </x:c>
      <x:c r="N55" s="80" t="str"/>
      <x:c r="O55" s="80" t="str"/>
      <x:c r="P55" s="80" t="str"/>
      <x:c r="Q55" s="80" t="str"/>
      <x:c r="R55" s="80" t="str"/>
      <x:c r="S55" s="80" t="str"/>
      <x:c r="T55" s="80" t="str"/>
      <x:c r="U55" s="80" t="str">
        <x:v>QUEUED</x:v>
      </x:c>
      <x:c r="V55" s="99" t="str"/>
    </x:row>
    <x:row r="56">
      <x:c r="A56" s="103" t="str"/>
      <x:c r="B56" s="98" t="str"/>
      <x:c r="C56" s="80" t="str"/>
      <x:c r="D56" s="80" t="str"/>
      <x:c r="E56" s="80" t="str"/>
      <x:c r="F56" s="80" t="str"/>
      <x:c r="G56" s="80" t="str"/>
      <x:c r="H56" s="80" t="str"/>
      <x:c r="I56" s="80" t="str"/>
      <x:c r="J56" s="80" t="str">
        <x:v>LinkedIn</x:v>
      </x:c>
      <x:c r="K56" s="80" t="str">
        <x:v>dead_form_teardown</x:v>
      </x:c>
      <x:c r="L56" s="80" t="str"/>
      <x:c r="M56" s="80" t="n">
        <x:v>0</x:v>
      </x:c>
      <x:c r="N56" s="80" t="str"/>
      <x:c r="O56" s="80" t="str"/>
      <x:c r="P56" s="80" t="str"/>
      <x:c r="Q56" s="80" t="str"/>
      <x:c r="R56" s="80" t="str"/>
      <x:c r="S56" s="80" t="str"/>
      <x:c r="T56" s="80" t="str"/>
      <x:c r="U56" s="80" t="str">
        <x:v>QUEUED</x:v>
      </x:c>
      <x:c r="V56" s="99" t="str"/>
    </x:row>
    <x:row r="57">
      <x:c r="A57" s="103" t="str"/>
      <x:c r="B57" s="98" t="str"/>
      <x:c r="C57" s="80" t="str"/>
      <x:c r="D57" s="80" t="str"/>
      <x:c r="E57" s="80" t="str"/>
      <x:c r="F57" s="80" t="str"/>
      <x:c r="G57" s="80" t="str"/>
      <x:c r="H57" s="80" t="str"/>
      <x:c r="I57" s="80" t="str"/>
      <x:c r="J57" s="80" t="str">
        <x:v>LinkedIn</x:v>
      </x:c>
      <x:c r="K57" s="80" t="str">
        <x:v>dead_form_teardown</x:v>
      </x:c>
      <x:c r="L57" s="80" t="str"/>
      <x:c r="M57" s="80" t="n">
        <x:v>0</x:v>
      </x:c>
      <x:c r="N57" s="80" t="str"/>
      <x:c r="O57" s="80" t="str"/>
      <x:c r="P57" s="80" t="str"/>
      <x:c r="Q57" s="80" t="str"/>
      <x:c r="R57" s="80" t="str"/>
      <x:c r="S57" s="80" t="str"/>
      <x:c r="T57" s="80" t="str"/>
      <x:c r="U57" s="80" t="str">
        <x:v>QUEUED</x:v>
      </x:c>
      <x:c r="V57" s="99" t="str"/>
    </x:row>
    <x:row r="58">
      <x:c r="A58" s="103" t="str"/>
      <x:c r="B58" s="98" t="str"/>
      <x:c r="C58" s="80" t="str"/>
      <x:c r="D58" s="80" t="str"/>
      <x:c r="E58" s="80" t="str"/>
      <x:c r="F58" s="80" t="str"/>
      <x:c r="G58" s="80" t="str"/>
      <x:c r="H58" s="80" t="str"/>
      <x:c r="I58" s="80" t="str"/>
      <x:c r="J58" s="80" t="str">
        <x:v>LinkedIn</x:v>
      </x:c>
      <x:c r="K58" s="80" t="str">
        <x:v>dead_form_teardown</x:v>
      </x:c>
      <x:c r="L58" s="80" t="str"/>
      <x:c r="M58" s="80" t="n">
        <x:v>0</x:v>
      </x:c>
      <x:c r="N58" s="80" t="str"/>
      <x:c r="O58" s="80" t="str"/>
      <x:c r="P58" s="80" t="str"/>
      <x:c r="Q58" s="80" t="str"/>
      <x:c r="R58" s="80" t="str"/>
      <x:c r="S58" s="80" t="str"/>
      <x:c r="T58" s="80" t="str"/>
      <x:c r="U58" s="80" t="str">
        <x:v>QUEUED</x:v>
      </x:c>
      <x:c r="V58" s="99" t="str"/>
    </x:row>
    <x:row r="59">
      <x:c r="A59" s="103" t="str"/>
      <x:c r="B59" s="98" t="str"/>
      <x:c r="C59" s="80" t="str"/>
      <x:c r="D59" s="80" t="str"/>
      <x:c r="E59" s="80" t="str"/>
      <x:c r="F59" s="80" t="str"/>
      <x:c r="G59" s="80" t="str"/>
      <x:c r="H59" s="80" t="str"/>
      <x:c r="I59" s="80" t="str"/>
      <x:c r="J59" s="80" t="str">
        <x:v>LinkedIn</x:v>
      </x:c>
      <x:c r="K59" s="80" t="str">
        <x:v>dead_form_teardown</x:v>
      </x:c>
      <x:c r="L59" s="80" t="str"/>
      <x:c r="M59" s="80" t="n">
        <x:v>0</x:v>
      </x:c>
      <x:c r="N59" s="80" t="str"/>
      <x:c r="O59" s="80" t="str"/>
      <x:c r="P59" s="80" t="str"/>
      <x:c r="Q59" s="80" t="str"/>
      <x:c r="R59" s="80" t="str"/>
      <x:c r="S59" s="80" t="str"/>
      <x:c r="T59" s="80" t="str"/>
      <x:c r="U59" s="80" t="str">
        <x:v>QUEUED</x:v>
      </x:c>
      <x:c r="V59" s="99" t="str"/>
    </x:row>
    <x:row r="60">
      <x:c r="A60" s="103" t="str"/>
      <x:c r="B60" s="98" t="str"/>
      <x:c r="C60" s="80" t="str"/>
      <x:c r="D60" s="80" t="str"/>
      <x:c r="E60" s="80" t="str"/>
      <x:c r="F60" s="80" t="str"/>
      <x:c r="G60" s="80" t="str"/>
      <x:c r="H60" s="80" t="str"/>
      <x:c r="I60" s="80" t="str"/>
      <x:c r="J60" s="80" t="str">
        <x:v>LinkedIn</x:v>
      </x:c>
      <x:c r="K60" s="80" t="str">
        <x:v>dead_form_teardown</x:v>
      </x:c>
      <x:c r="L60" s="80" t="str"/>
      <x:c r="M60" s="80" t="n">
        <x:v>0</x:v>
      </x:c>
      <x:c r="N60" s="80" t="str"/>
      <x:c r="O60" s="80" t="str"/>
      <x:c r="P60" s="80" t="str"/>
      <x:c r="Q60" s="80" t="str"/>
      <x:c r="R60" s="80" t="str"/>
      <x:c r="S60" s="80" t="str"/>
      <x:c r="T60" s="80" t="str"/>
      <x:c r="U60" s="80" t="str">
        <x:v>QUEUED</x:v>
      </x:c>
      <x:c r="V60" s="99" t="str"/>
    </x:row>
    <x:row r="61">
      <x:c r="A61" s="103" t="str"/>
      <x:c r="B61" s="98" t="str"/>
      <x:c r="C61" s="80" t="str"/>
      <x:c r="D61" s="80" t="str"/>
      <x:c r="E61" s="80" t="str"/>
      <x:c r="F61" s="80" t="str"/>
      <x:c r="G61" s="80" t="str"/>
      <x:c r="H61" s="80" t="str"/>
      <x:c r="I61" s="80" t="str"/>
      <x:c r="J61" s="80" t="str">
        <x:v>LinkedIn</x:v>
      </x:c>
      <x:c r="K61" s="80" t="str">
        <x:v>dead_form_teardown</x:v>
      </x:c>
      <x:c r="L61" s="80" t="str"/>
      <x:c r="M61" s="80" t="n">
        <x:v>0</x:v>
      </x:c>
      <x:c r="N61" s="80" t="str"/>
      <x:c r="O61" s="80" t="str"/>
      <x:c r="P61" s="80" t="str"/>
      <x:c r="Q61" s="80" t="str"/>
      <x:c r="R61" s="80" t="str"/>
      <x:c r="S61" s="80" t="str"/>
      <x:c r="T61" s="80" t="str"/>
      <x:c r="U61" s="80" t="str">
        <x:v>QUEUED</x:v>
      </x:c>
      <x:c r="V61" s="99" t="str"/>
    </x:row>
    <x:row r="62">
      <x:c r="A62" s="103" t="str"/>
      <x:c r="B62" s="98" t="str"/>
      <x:c r="C62" s="80" t="str"/>
      <x:c r="D62" s="80" t="str"/>
      <x:c r="E62" s="80" t="str"/>
      <x:c r="F62" s="80" t="str"/>
      <x:c r="G62" s="80" t="str"/>
      <x:c r="H62" s="80" t="str"/>
      <x:c r="I62" s="80" t="str"/>
      <x:c r="J62" s="80" t="str">
        <x:v>LinkedIn</x:v>
      </x:c>
      <x:c r="K62" s="80" t="str">
        <x:v>dead_form_teardown</x:v>
      </x:c>
      <x:c r="L62" s="80" t="str"/>
      <x:c r="M62" s="80" t="n">
        <x:v>0</x:v>
      </x:c>
      <x:c r="N62" s="80" t="str"/>
      <x:c r="O62" s="80" t="str"/>
      <x:c r="P62" s="80" t="str"/>
      <x:c r="Q62" s="80" t="str"/>
      <x:c r="R62" s="80" t="str"/>
      <x:c r="S62" s="80" t="str"/>
      <x:c r="T62" s="80" t="str"/>
      <x:c r="U62" s="80" t="str">
        <x:v>QUEUED</x:v>
      </x:c>
      <x:c r="V62" s="99" t="str"/>
    </x:row>
    <x:row r="63">
      <x:c r="A63" s="103" t="str"/>
      <x:c r="B63" s="98" t="str"/>
      <x:c r="C63" s="80" t="str"/>
      <x:c r="D63" s="80" t="str"/>
      <x:c r="E63" s="80" t="str"/>
      <x:c r="F63" s="80" t="str"/>
      <x:c r="G63" s="80" t="str"/>
      <x:c r="H63" s="80" t="str"/>
      <x:c r="I63" s="80" t="str"/>
      <x:c r="J63" s="80" t="str">
        <x:v>LinkedIn</x:v>
      </x:c>
      <x:c r="K63" s="80" t="str">
        <x:v>dead_form_teardown</x:v>
      </x:c>
      <x:c r="L63" s="80" t="str"/>
      <x:c r="M63" s="80" t="n">
        <x:v>0</x:v>
      </x:c>
      <x:c r="N63" s="80" t="str"/>
      <x:c r="O63" s="80" t="str"/>
      <x:c r="P63" s="80" t="str"/>
      <x:c r="Q63" s="80" t="str"/>
      <x:c r="R63" s="80" t="str"/>
      <x:c r="S63" s="80" t="str"/>
      <x:c r="T63" s="80" t="str"/>
      <x:c r="U63" s="80" t="str">
        <x:v>QUEUED</x:v>
      </x:c>
      <x:c r="V63" s="99" t="str"/>
    </x:row>
    <x:row r="64">
      <x:c r="A64" s="103" t="str"/>
      <x:c r="B64" s="98" t="str"/>
      <x:c r="C64" s="80" t="str"/>
      <x:c r="D64" s="80" t="str"/>
      <x:c r="E64" s="80" t="str"/>
      <x:c r="F64" s="80" t="str"/>
      <x:c r="G64" s="80" t="str"/>
      <x:c r="H64" s="80" t="str"/>
      <x:c r="I64" s="80" t="str"/>
      <x:c r="J64" s="80" t="str">
        <x:v>LinkedIn</x:v>
      </x:c>
      <x:c r="K64" s="80" t="str">
        <x:v>dead_form_teardown</x:v>
      </x:c>
      <x:c r="L64" s="80" t="str"/>
      <x:c r="M64" s="80" t="n">
        <x:v>0</x:v>
      </x:c>
      <x:c r="N64" s="80" t="str"/>
      <x:c r="O64" s="80" t="str"/>
      <x:c r="P64" s="80" t="str"/>
      <x:c r="Q64" s="80" t="str"/>
      <x:c r="R64" s="80" t="str"/>
      <x:c r="S64" s="80" t="str"/>
      <x:c r="T64" s="80" t="str"/>
      <x:c r="U64" s="80" t="str">
        <x:v>QUEUED</x:v>
      </x:c>
      <x:c r="V64" s="99" t="str"/>
    </x:row>
    <x:row r="65">
      <x:c r="A65" s="103" t="str"/>
      <x:c r="B65" s="98" t="str"/>
      <x:c r="C65" s="80" t="str"/>
      <x:c r="D65" s="80" t="str"/>
      <x:c r="E65" s="80" t="str"/>
      <x:c r="F65" s="80" t="str"/>
      <x:c r="G65" s="80" t="str"/>
      <x:c r="H65" s="80" t="str"/>
      <x:c r="I65" s="80" t="str"/>
      <x:c r="J65" s="80" t="str">
        <x:v>LinkedIn</x:v>
      </x:c>
      <x:c r="K65" s="80" t="str">
        <x:v>dead_form_teardown</x:v>
      </x:c>
      <x:c r="L65" s="80" t="str"/>
      <x:c r="M65" s="80" t="n">
        <x:v>0</x:v>
      </x:c>
      <x:c r="N65" s="80" t="str"/>
      <x:c r="O65" s="80" t="str"/>
      <x:c r="P65" s="80" t="str"/>
      <x:c r="Q65" s="80" t="str"/>
      <x:c r="R65" s="80" t="str"/>
      <x:c r="S65" s="80" t="str"/>
      <x:c r="T65" s="80" t="str"/>
      <x:c r="U65" s="80" t="str">
        <x:v>QUEUED</x:v>
      </x:c>
      <x:c r="V65" s="99" t="str"/>
    </x:row>
    <x:row r="66">
      <x:c r="A66" s="103" t="str"/>
      <x:c r="B66" s="98" t="str"/>
      <x:c r="C66" s="80" t="str"/>
      <x:c r="D66" s="80" t="str"/>
      <x:c r="E66" s="80" t="str"/>
      <x:c r="F66" s="80" t="str"/>
      <x:c r="G66" s="80" t="str"/>
      <x:c r="H66" s="80" t="str"/>
      <x:c r="I66" s="80" t="str"/>
      <x:c r="J66" s="80" t="str">
        <x:v>LinkedIn</x:v>
      </x:c>
      <x:c r="K66" s="80" t="str">
        <x:v>dead_form_teardown</x:v>
      </x:c>
      <x:c r="L66" s="80" t="str"/>
      <x:c r="M66" s="80" t="n">
        <x:v>0</x:v>
      </x:c>
      <x:c r="N66" s="80" t="str"/>
      <x:c r="O66" s="80" t="str"/>
      <x:c r="P66" s="80" t="str"/>
      <x:c r="Q66" s="80" t="str"/>
      <x:c r="R66" s="80" t="str"/>
      <x:c r="S66" s="80" t="str"/>
      <x:c r="T66" s="80" t="str"/>
      <x:c r="U66" s="80" t="str">
        <x:v>QUEUED</x:v>
      </x:c>
      <x:c r="V66" s="99" t="str"/>
    </x:row>
    <x:row r="67">
      <x:c r="A67" s="103" t="str"/>
      <x:c r="B67" s="98" t="str"/>
      <x:c r="C67" s="80" t="str"/>
      <x:c r="D67" s="80" t="str"/>
      <x:c r="E67" s="80" t="str"/>
      <x:c r="F67" s="80" t="str"/>
      <x:c r="G67" s="80" t="str"/>
      <x:c r="H67" s="80" t="str"/>
      <x:c r="I67" s="80" t="str"/>
      <x:c r="J67" s="80" t="str">
        <x:v>LinkedIn</x:v>
      </x:c>
      <x:c r="K67" s="80" t="str">
        <x:v>dead_form_teardown</x:v>
      </x:c>
      <x:c r="L67" s="80" t="str"/>
      <x:c r="M67" s="80" t="n">
        <x:v>0</x:v>
      </x:c>
      <x:c r="N67" s="80" t="str"/>
      <x:c r="O67" s="80" t="str"/>
      <x:c r="P67" s="80" t="str"/>
      <x:c r="Q67" s="80" t="str"/>
      <x:c r="R67" s="80" t="str"/>
      <x:c r="S67" s="80" t="str"/>
      <x:c r="T67" s="80" t="str"/>
      <x:c r="U67" s="80" t="str">
        <x:v>QUEUED</x:v>
      </x:c>
      <x:c r="V67" s="99" t="str"/>
    </x:row>
    <x:row r="68">
      <x:c r="A68" s="103" t="str"/>
      <x:c r="B68" s="98" t="str"/>
      <x:c r="C68" s="80" t="str"/>
      <x:c r="D68" s="80" t="str"/>
      <x:c r="E68" s="80" t="str"/>
      <x:c r="F68" s="80" t="str"/>
      <x:c r="G68" s="80" t="str"/>
      <x:c r="H68" s="80" t="str"/>
      <x:c r="I68" s="80" t="str"/>
      <x:c r="J68" s="80" t="str">
        <x:v>LinkedIn</x:v>
      </x:c>
      <x:c r="K68" s="80" t="str">
        <x:v>dead_form_teardown</x:v>
      </x:c>
      <x:c r="L68" s="80" t="str"/>
      <x:c r="M68" s="80" t="n">
        <x:v>0</x:v>
      </x:c>
      <x:c r="N68" s="80" t="str"/>
      <x:c r="O68" s="80" t="str"/>
      <x:c r="P68" s="80" t="str"/>
      <x:c r="Q68" s="80" t="str"/>
      <x:c r="R68" s="80" t="str"/>
      <x:c r="S68" s="80" t="str"/>
      <x:c r="T68" s="80" t="str"/>
      <x:c r="U68" s="80" t="str">
        <x:v>QUEUED</x:v>
      </x:c>
      <x:c r="V68" s="99" t="str"/>
    </x:row>
    <x:row r="69">
      <x:c r="A69" s="103" t="str"/>
      <x:c r="B69" s="98" t="str"/>
      <x:c r="C69" s="80" t="str"/>
      <x:c r="D69" s="80" t="str"/>
      <x:c r="E69" s="80" t="str"/>
      <x:c r="F69" s="80" t="str"/>
      <x:c r="G69" s="80" t="str"/>
      <x:c r="H69" s="80" t="str"/>
      <x:c r="I69" s="80" t="str"/>
      <x:c r="J69" s="80" t="str">
        <x:v>LinkedIn</x:v>
      </x:c>
      <x:c r="K69" s="80" t="str">
        <x:v>dead_form_teardown</x:v>
      </x:c>
      <x:c r="L69" s="80" t="str"/>
      <x:c r="M69" s="80" t="n">
        <x:v>0</x:v>
      </x:c>
      <x:c r="N69" s="80" t="str"/>
      <x:c r="O69" s="80" t="str"/>
      <x:c r="P69" s="80" t="str"/>
      <x:c r="Q69" s="80" t="str"/>
      <x:c r="R69" s="80" t="str"/>
      <x:c r="S69" s="80" t="str"/>
      <x:c r="T69" s="80" t="str"/>
      <x:c r="U69" s="80" t="str">
        <x:v>QUEUED</x:v>
      </x:c>
      <x:c r="V69" s="99" t="str"/>
    </x:row>
    <x:row r="70">
      <x:c r="A70" s="103" t="str"/>
      <x:c r="B70" s="98" t="str"/>
      <x:c r="C70" s="80" t="str"/>
      <x:c r="D70" s="80" t="str"/>
      <x:c r="E70" s="80" t="str"/>
      <x:c r="F70" s="80" t="str"/>
      <x:c r="G70" s="80" t="str"/>
      <x:c r="H70" s="80" t="str"/>
      <x:c r="I70" s="80" t="str"/>
      <x:c r="J70" s="80" t="str">
        <x:v>LinkedIn</x:v>
      </x:c>
      <x:c r="K70" s="80" t="str">
        <x:v>dead_form_teardown</x:v>
      </x:c>
      <x:c r="L70" s="80" t="str"/>
      <x:c r="M70" s="80" t="n">
        <x:v>0</x:v>
      </x:c>
      <x:c r="N70" s="80" t="str"/>
      <x:c r="O70" s="80" t="str"/>
      <x:c r="P70" s="80" t="str"/>
      <x:c r="Q70" s="80" t="str"/>
      <x:c r="R70" s="80" t="str"/>
      <x:c r="S70" s="80" t="str"/>
      <x:c r="T70" s="80" t="str"/>
      <x:c r="U70" s="80" t="str">
        <x:v>QUEUED</x:v>
      </x:c>
      <x:c r="V70" s="99" t="str"/>
    </x:row>
    <x:row r="71">
      <x:c r="A71" s="103" t="str"/>
      <x:c r="B71" s="98" t="str"/>
      <x:c r="C71" s="80" t="str"/>
      <x:c r="D71" s="80" t="str"/>
      <x:c r="E71" s="80" t="str"/>
      <x:c r="F71" s="80" t="str"/>
      <x:c r="G71" s="80" t="str"/>
      <x:c r="H71" s="80" t="str"/>
      <x:c r="I71" s="80" t="str"/>
      <x:c r="J71" s="80" t="str">
        <x:v>LinkedIn</x:v>
      </x:c>
      <x:c r="K71" s="80" t="str">
        <x:v>dead_form_teardown</x:v>
      </x:c>
      <x:c r="L71" s="80" t="str"/>
      <x:c r="M71" s="80" t="n">
        <x:v>0</x:v>
      </x:c>
      <x:c r="N71" s="80" t="str"/>
      <x:c r="O71" s="80" t="str"/>
      <x:c r="P71" s="80" t="str"/>
      <x:c r="Q71" s="80" t="str"/>
      <x:c r="R71" s="80" t="str"/>
      <x:c r="S71" s="80" t="str"/>
      <x:c r="T71" s="80" t="str"/>
      <x:c r="U71" s="80" t="str">
        <x:v>QUEUED</x:v>
      </x:c>
      <x:c r="V71" s="99" t="str"/>
    </x:row>
    <x:row r="72">
      <x:c r="A72" s="103" t="str"/>
      <x:c r="B72" s="98" t="str"/>
      <x:c r="C72" s="80" t="str"/>
      <x:c r="D72" s="80" t="str"/>
      <x:c r="E72" s="80" t="str"/>
      <x:c r="F72" s="80" t="str"/>
      <x:c r="G72" s="80" t="str"/>
      <x:c r="H72" s="80" t="str"/>
      <x:c r="I72" s="80" t="str"/>
      <x:c r="J72" s="80" t="str">
        <x:v>LinkedIn</x:v>
      </x:c>
      <x:c r="K72" s="80" t="str">
        <x:v>dead_form_teardown</x:v>
      </x:c>
      <x:c r="L72" s="80" t="str"/>
      <x:c r="M72" s="80" t="n">
        <x:v>0</x:v>
      </x:c>
      <x:c r="N72" s="80" t="str"/>
      <x:c r="O72" s="80" t="str"/>
      <x:c r="P72" s="80" t="str"/>
      <x:c r="Q72" s="80" t="str"/>
      <x:c r="R72" s="80" t="str"/>
      <x:c r="S72" s="80" t="str"/>
      <x:c r="T72" s="80" t="str"/>
      <x:c r="U72" s="80" t="str">
        <x:v>QUEUED</x:v>
      </x:c>
      <x:c r="V72" s="99" t="str"/>
    </x:row>
    <x:row r="73">
      <x:c r="A73" s="103" t="str"/>
      <x:c r="B73" s="98" t="str"/>
      <x:c r="C73" s="80" t="str"/>
      <x:c r="D73" s="80" t="str"/>
      <x:c r="E73" s="80" t="str"/>
      <x:c r="F73" s="80" t="str"/>
      <x:c r="G73" s="80" t="str"/>
      <x:c r="H73" s="80" t="str"/>
      <x:c r="I73" s="80" t="str"/>
      <x:c r="J73" s="80" t="str">
        <x:v>LinkedIn</x:v>
      </x:c>
      <x:c r="K73" s="80" t="str">
        <x:v>dead_form_teardown</x:v>
      </x:c>
      <x:c r="L73" s="80" t="str"/>
      <x:c r="M73" s="80" t="n">
        <x:v>0</x:v>
      </x:c>
      <x:c r="N73" s="80" t="str"/>
      <x:c r="O73" s="80" t="str"/>
      <x:c r="P73" s="80" t="str"/>
      <x:c r="Q73" s="80" t="str"/>
      <x:c r="R73" s="80" t="str"/>
      <x:c r="S73" s="80" t="str"/>
      <x:c r="T73" s="80" t="str"/>
      <x:c r="U73" s="80" t="str">
        <x:v>QUEUED</x:v>
      </x:c>
      <x:c r="V73" s="99" t="str"/>
    </x:row>
    <x:row r="74">
      <x:c r="A74" s="103" t="str"/>
      <x:c r="B74" s="98" t="str"/>
      <x:c r="C74" s="80" t="str"/>
      <x:c r="D74" s="80" t="str"/>
      <x:c r="E74" s="80" t="str"/>
      <x:c r="F74" s="80" t="str"/>
      <x:c r="G74" s="80" t="str"/>
      <x:c r="H74" s="80" t="str"/>
      <x:c r="I74" s="80" t="str"/>
      <x:c r="J74" s="80" t="str">
        <x:v>LinkedIn</x:v>
      </x:c>
      <x:c r="K74" s="80" t="str">
        <x:v>dead_form_teardown</x:v>
      </x:c>
      <x:c r="L74" s="80" t="str"/>
      <x:c r="M74" s="80" t="n">
        <x:v>0</x:v>
      </x:c>
      <x:c r="N74" s="80" t="str"/>
      <x:c r="O74" s="80" t="str"/>
      <x:c r="P74" s="80" t="str"/>
      <x:c r="Q74" s="80" t="str"/>
      <x:c r="R74" s="80" t="str"/>
      <x:c r="S74" s="80" t="str"/>
      <x:c r="T74" s="80" t="str"/>
      <x:c r="U74" s="80" t="str">
        <x:v>QUEUED</x:v>
      </x:c>
      <x:c r="V74" s="99" t="str"/>
    </x:row>
    <x:row r="75">
      <x:c r="A75" s="103" t="str"/>
      <x:c r="B75" s="98" t="str"/>
      <x:c r="C75" s="80" t="str"/>
      <x:c r="D75" s="80" t="str"/>
      <x:c r="E75" s="80" t="str"/>
      <x:c r="F75" s="80" t="str"/>
      <x:c r="G75" s="80" t="str"/>
      <x:c r="H75" s="80" t="str"/>
      <x:c r="I75" s="80" t="str"/>
      <x:c r="J75" s="80" t="str">
        <x:v>LinkedIn</x:v>
      </x:c>
      <x:c r="K75" s="80" t="str">
        <x:v>dead_form_teardown</x:v>
      </x:c>
      <x:c r="L75" s="80" t="str"/>
      <x:c r="M75" s="80" t="n">
        <x:v>0</x:v>
      </x:c>
      <x:c r="N75" s="80" t="str"/>
      <x:c r="O75" s="80" t="str"/>
      <x:c r="P75" s="80" t="str"/>
      <x:c r="Q75" s="80" t="str"/>
      <x:c r="R75" s="80" t="str"/>
      <x:c r="S75" s="80" t="str"/>
      <x:c r="T75" s="80" t="str"/>
      <x:c r="U75" s="80" t="str">
        <x:v>QUEUED</x:v>
      </x:c>
      <x:c r="V75" s="99" t="str"/>
    </x:row>
    <x:row r="76">
      <x:c r="A76" s="103" t="str"/>
      <x:c r="B76" s="98" t="str"/>
      <x:c r="C76" s="80" t="str"/>
      <x:c r="D76" s="80" t="str"/>
      <x:c r="E76" s="80" t="str"/>
      <x:c r="F76" s="80" t="str"/>
      <x:c r="G76" s="80" t="str"/>
      <x:c r="H76" s="80" t="str"/>
      <x:c r="I76" s="80" t="str"/>
      <x:c r="J76" s="80" t="str">
        <x:v>LinkedIn</x:v>
      </x:c>
      <x:c r="K76" s="80" t="str">
        <x:v>dead_form_teardown</x:v>
      </x:c>
      <x:c r="L76" s="80" t="str"/>
      <x:c r="M76" s="80" t="n">
        <x:v>0</x:v>
      </x:c>
      <x:c r="N76" s="80" t="str"/>
      <x:c r="O76" s="80" t="str"/>
      <x:c r="P76" s="80" t="str"/>
      <x:c r="Q76" s="80" t="str"/>
      <x:c r="R76" s="80" t="str"/>
      <x:c r="S76" s="80" t="str"/>
      <x:c r="T76" s="80" t="str"/>
      <x:c r="U76" s="80" t="str">
        <x:v>QUEUED</x:v>
      </x:c>
      <x:c r="V76" s="99" t="str"/>
    </x:row>
    <x:row r="77">
      <x:c r="A77" s="103" t="str"/>
      <x:c r="B77" s="98" t="str"/>
      <x:c r="C77" s="80" t="str"/>
      <x:c r="D77" s="80" t="str"/>
      <x:c r="E77" s="80" t="str"/>
      <x:c r="F77" s="80" t="str"/>
      <x:c r="G77" s="80" t="str"/>
      <x:c r="H77" s="80" t="str"/>
      <x:c r="I77" s="80" t="str"/>
      <x:c r="J77" s="80" t="str">
        <x:v>LinkedIn</x:v>
      </x:c>
      <x:c r="K77" s="80" t="str">
        <x:v>dead_form_teardown</x:v>
      </x:c>
      <x:c r="L77" s="80" t="str"/>
      <x:c r="M77" s="80" t="n">
        <x:v>0</x:v>
      </x:c>
      <x:c r="N77" s="80" t="str"/>
      <x:c r="O77" s="80" t="str"/>
      <x:c r="P77" s="80" t="str"/>
      <x:c r="Q77" s="80" t="str"/>
      <x:c r="R77" s="80" t="str"/>
      <x:c r="S77" s="80" t="str"/>
      <x:c r="T77" s="80" t="str"/>
      <x:c r="U77" s="80" t="str">
        <x:v>QUEUED</x:v>
      </x:c>
      <x:c r="V77" s="99" t="str"/>
    </x:row>
    <x:row r="78">
      <x:c r="A78" s="103" t="str"/>
      <x:c r="B78" s="98" t="str"/>
      <x:c r="C78" s="80" t="str"/>
      <x:c r="D78" s="80" t="str"/>
      <x:c r="E78" s="80" t="str"/>
      <x:c r="F78" s="80" t="str"/>
      <x:c r="G78" s="80" t="str"/>
      <x:c r="H78" s="80" t="str"/>
      <x:c r="I78" s="80" t="str"/>
      <x:c r="J78" s="80" t="str">
        <x:v>LinkedIn</x:v>
      </x:c>
      <x:c r="K78" s="80" t="str">
        <x:v>dead_form_teardown</x:v>
      </x:c>
      <x:c r="L78" s="80" t="str"/>
      <x:c r="M78" s="80" t="n">
        <x:v>0</x:v>
      </x:c>
      <x:c r="N78" s="80" t="str"/>
      <x:c r="O78" s="80" t="str"/>
      <x:c r="P78" s="80" t="str"/>
      <x:c r="Q78" s="80" t="str"/>
      <x:c r="R78" s="80" t="str"/>
      <x:c r="S78" s="80" t="str"/>
      <x:c r="T78" s="80" t="str"/>
      <x:c r="U78" s="80" t="str">
        <x:v>QUEUED</x:v>
      </x:c>
      <x:c r="V78" s="99" t="str"/>
    </x:row>
    <x:row r="79">
      <x:c r="A79" s="103" t="str"/>
      <x:c r="B79" s="98" t="str"/>
      <x:c r="C79" s="80" t="str"/>
      <x:c r="D79" s="80" t="str"/>
      <x:c r="E79" s="80" t="str"/>
      <x:c r="F79" s="80" t="str"/>
      <x:c r="G79" s="80" t="str"/>
      <x:c r="H79" s="80" t="str"/>
      <x:c r="I79" s="80" t="str"/>
      <x:c r="J79" s="80" t="str">
        <x:v>LinkedIn</x:v>
      </x:c>
      <x:c r="K79" s="80" t="str">
        <x:v>dead_form_teardown</x:v>
      </x:c>
      <x:c r="L79" s="80" t="str"/>
      <x:c r="M79" s="80" t="n">
        <x:v>0</x:v>
      </x:c>
      <x:c r="N79" s="80" t="str"/>
      <x:c r="O79" s="80" t="str"/>
      <x:c r="P79" s="80" t="str"/>
      <x:c r="Q79" s="80" t="str"/>
      <x:c r="R79" s="80" t="str"/>
      <x:c r="S79" s="80" t="str"/>
      <x:c r="T79" s="80" t="str"/>
      <x:c r="U79" s="80" t="str">
        <x:v>QUEUED</x:v>
      </x:c>
      <x:c r="V79" s="99" t="str"/>
    </x:row>
    <x:row r="80">
      <x:c r="A80" s="103" t="str"/>
      <x:c r="B80" s="98" t="str"/>
      <x:c r="C80" s="80" t="str"/>
      <x:c r="D80" s="80" t="str"/>
      <x:c r="E80" s="80" t="str"/>
      <x:c r="F80" s="80" t="str"/>
      <x:c r="G80" s="80" t="str"/>
      <x:c r="H80" s="80" t="str"/>
      <x:c r="I80" s="80" t="str"/>
      <x:c r="J80" s="80" t="str">
        <x:v>LinkedIn</x:v>
      </x:c>
      <x:c r="K80" s="80" t="str">
        <x:v>dead_form_teardown</x:v>
      </x:c>
      <x:c r="L80" s="80" t="str"/>
      <x:c r="M80" s="80" t="n">
        <x:v>0</x:v>
      </x:c>
      <x:c r="N80" s="80" t="str"/>
      <x:c r="O80" s="80" t="str"/>
      <x:c r="P80" s="80" t="str"/>
      <x:c r="Q80" s="80" t="str"/>
      <x:c r="R80" s="80" t="str"/>
      <x:c r="S80" s="80" t="str"/>
      <x:c r="T80" s="80" t="str"/>
      <x:c r="U80" s="80" t="str">
        <x:v>QUEUED</x:v>
      </x:c>
      <x:c r="V80" s="99" t="str"/>
    </x:row>
    <x:row r="81">
      <x:c r="A81" s="103" t="str"/>
      <x:c r="B81" s="98" t="str"/>
      <x:c r="C81" s="80" t="str"/>
      <x:c r="D81" s="80" t="str"/>
      <x:c r="E81" s="80" t="str"/>
      <x:c r="F81" s="80" t="str"/>
      <x:c r="G81" s="80" t="str"/>
      <x:c r="H81" s="80" t="str"/>
      <x:c r="I81" s="80" t="str"/>
      <x:c r="J81" s="80" t="str">
        <x:v>LinkedIn</x:v>
      </x:c>
      <x:c r="K81" s="80" t="str">
        <x:v>dead_form_teardown</x:v>
      </x:c>
      <x:c r="L81" s="80" t="str"/>
      <x:c r="M81" s="80" t="n">
        <x:v>0</x:v>
      </x:c>
      <x:c r="N81" s="80" t="str"/>
      <x:c r="O81" s="80" t="str"/>
      <x:c r="P81" s="80" t="str"/>
      <x:c r="Q81" s="80" t="str"/>
      <x:c r="R81" s="80" t="str"/>
      <x:c r="S81" s="80" t="str"/>
      <x:c r="T81" s="80" t="str"/>
      <x:c r="U81" s="80" t="str">
        <x:v>QUEUED</x:v>
      </x:c>
      <x:c r="V81" s="99" t="str"/>
    </x:row>
    <x:row r="82">
      <x:c r="A82" s="103" t="str"/>
      <x:c r="B82" s="98" t="str"/>
      <x:c r="C82" s="80" t="str"/>
      <x:c r="D82" s="80" t="str"/>
      <x:c r="E82" s="80" t="str"/>
      <x:c r="F82" s="80" t="str"/>
      <x:c r="G82" s="80" t="str"/>
      <x:c r="H82" s="80" t="str"/>
      <x:c r="I82" s="80" t="str"/>
      <x:c r="J82" s="80" t="str">
        <x:v>LinkedIn</x:v>
      </x:c>
      <x:c r="K82" s="80" t="str">
        <x:v>dead_form_teardown</x:v>
      </x:c>
      <x:c r="L82" s="80" t="str"/>
      <x:c r="M82" s="80" t="n">
        <x:v>0</x:v>
      </x:c>
      <x:c r="N82" s="80" t="str"/>
      <x:c r="O82" s="80" t="str"/>
      <x:c r="P82" s="80" t="str"/>
      <x:c r="Q82" s="80" t="str"/>
      <x:c r="R82" s="80" t="str"/>
      <x:c r="S82" s="80" t="str"/>
      <x:c r="T82" s="80" t="str"/>
      <x:c r="U82" s="80" t="str">
        <x:v>QUEUED</x:v>
      </x:c>
      <x:c r="V82" s="99" t="str"/>
    </x:row>
    <x:row r="83">
      <x:c r="A83" s="103" t="str"/>
      <x:c r="B83" s="98" t="str"/>
      <x:c r="C83" s="80" t="str"/>
      <x:c r="D83" s="80" t="str"/>
      <x:c r="E83" s="80" t="str"/>
      <x:c r="F83" s="80" t="str"/>
      <x:c r="G83" s="80" t="str"/>
      <x:c r="H83" s="80" t="str"/>
      <x:c r="I83" s="80" t="str"/>
      <x:c r="J83" s="80" t="str">
        <x:v>LinkedIn</x:v>
      </x:c>
      <x:c r="K83" s="80" t="str">
        <x:v>dead_form_teardown</x:v>
      </x:c>
      <x:c r="L83" s="80" t="str"/>
      <x:c r="M83" s="80" t="n">
        <x:v>0</x:v>
      </x:c>
      <x:c r="N83" s="80" t="str"/>
      <x:c r="O83" s="80" t="str"/>
      <x:c r="P83" s="80" t="str"/>
      <x:c r="Q83" s="80" t="str"/>
      <x:c r="R83" s="80" t="str"/>
      <x:c r="S83" s="80" t="str"/>
      <x:c r="T83" s="80" t="str"/>
      <x:c r="U83" s="80" t="str">
        <x:v>QUEUED</x:v>
      </x:c>
      <x:c r="V83" s="99" t="str"/>
    </x:row>
    <x:row r="84">
      <x:c r="A84" s="103" t="str"/>
      <x:c r="B84" s="98" t="str"/>
      <x:c r="C84" s="80" t="str"/>
      <x:c r="D84" s="80" t="str"/>
      <x:c r="E84" s="80" t="str"/>
      <x:c r="F84" s="80" t="str"/>
      <x:c r="G84" s="80" t="str"/>
      <x:c r="H84" s="80" t="str"/>
      <x:c r="I84" s="80" t="str"/>
      <x:c r="J84" s="80" t="str">
        <x:v>LinkedIn</x:v>
      </x:c>
      <x:c r="K84" s="80" t="str">
        <x:v>dead_form_teardown</x:v>
      </x:c>
      <x:c r="L84" s="80" t="str"/>
      <x:c r="M84" s="80" t="n">
        <x:v>0</x:v>
      </x:c>
      <x:c r="N84" s="80" t="str"/>
      <x:c r="O84" s="80" t="str"/>
      <x:c r="P84" s="80" t="str"/>
      <x:c r="Q84" s="80" t="str"/>
      <x:c r="R84" s="80" t="str"/>
      <x:c r="S84" s="80" t="str"/>
      <x:c r="T84" s="80" t="str"/>
      <x:c r="U84" s="80" t="str">
        <x:v>QUEUED</x:v>
      </x:c>
      <x:c r="V84" s="99" t="str"/>
    </x:row>
    <x:row r="85">
      <x:c r="A85" s="103" t="str"/>
      <x:c r="B85" s="98" t="str"/>
      <x:c r="C85" s="80" t="str"/>
      <x:c r="D85" s="80" t="str"/>
      <x:c r="E85" s="80" t="str"/>
      <x:c r="F85" s="80" t="str"/>
      <x:c r="G85" s="80" t="str"/>
      <x:c r="H85" s="80" t="str"/>
      <x:c r="I85" s="80" t="str"/>
      <x:c r="J85" s="80" t="str">
        <x:v>LinkedIn</x:v>
      </x:c>
      <x:c r="K85" s="80" t="str">
        <x:v>dead_form_teardown</x:v>
      </x:c>
      <x:c r="L85" s="80" t="str"/>
      <x:c r="M85" s="80" t="n">
        <x:v>0</x:v>
      </x:c>
      <x:c r="N85" s="80" t="str"/>
      <x:c r="O85" s="80" t="str"/>
      <x:c r="P85" s="80" t="str"/>
      <x:c r="Q85" s="80" t="str"/>
      <x:c r="R85" s="80" t="str"/>
      <x:c r="S85" s="80" t="str"/>
      <x:c r="T85" s="80" t="str"/>
      <x:c r="U85" s="80" t="str">
        <x:v>QUEUED</x:v>
      </x:c>
      <x:c r="V85" s="99" t="str"/>
    </x:row>
    <x:row r="86">
      <x:c r="A86" s="103" t="str"/>
      <x:c r="B86" s="98" t="str"/>
      <x:c r="C86" s="80" t="str"/>
      <x:c r="D86" s="80" t="str"/>
      <x:c r="E86" s="80" t="str"/>
      <x:c r="F86" s="80" t="str"/>
      <x:c r="G86" s="80" t="str"/>
      <x:c r="H86" s="80" t="str"/>
      <x:c r="I86" s="80" t="str"/>
      <x:c r="J86" s="80" t="str">
        <x:v>LinkedIn</x:v>
      </x:c>
      <x:c r="K86" s="80" t="str">
        <x:v>dead_form_teardown</x:v>
      </x:c>
      <x:c r="L86" s="80" t="str"/>
      <x:c r="M86" s="80" t="n">
        <x:v>0</x:v>
      </x:c>
      <x:c r="N86" s="80" t="str"/>
      <x:c r="O86" s="80" t="str"/>
      <x:c r="P86" s="80" t="str"/>
      <x:c r="Q86" s="80" t="str"/>
      <x:c r="R86" s="80" t="str"/>
      <x:c r="S86" s="80" t="str"/>
      <x:c r="T86" s="80" t="str"/>
      <x:c r="U86" s="80" t="str">
        <x:v>QUEUED</x:v>
      </x:c>
      <x:c r="V86" s="99" t="str"/>
    </x:row>
    <x:row r="87">
      <x:c r="A87" s="103" t="str"/>
      <x:c r="B87" s="98" t="str"/>
      <x:c r="C87" s="80" t="str"/>
      <x:c r="D87" s="80" t="str"/>
      <x:c r="E87" s="80" t="str"/>
      <x:c r="F87" s="80" t="str"/>
      <x:c r="G87" s="80" t="str"/>
      <x:c r="H87" s="80" t="str"/>
      <x:c r="I87" s="80" t="str"/>
      <x:c r="J87" s="80" t="str">
        <x:v>LinkedIn</x:v>
      </x:c>
      <x:c r="K87" s="80" t="str">
        <x:v>dead_form_teardown</x:v>
      </x:c>
      <x:c r="L87" s="80" t="str"/>
      <x:c r="M87" s="80" t="n">
        <x:v>0</x:v>
      </x:c>
      <x:c r="N87" s="80" t="str"/>
      <x:c r="O87" s="80" t="str"/>
      <x:c r="P87" s="80" t="str"/>
      <x:c r="Q87" s="80" t="str"/>
      <x:c r="R87" s="80" t="str"/>
      <x:c r="S87" s="80" t="str"/>
      <x:c r="T87" s="80" t="str"/>
      <x:c r="U87" s="80" t="str">
        <x:v>QUEUED</x:v>
      </x:c>
      <x:c r="V87" s="99" t="str"/>
    </x:row>
    <x:row r="88">
      <x:c r="A88" s="103" t="str"/>
      <x:c r="B88" s="98" t="str"/>
      <x:c r="C88" s="80" t="str"/>
      <x:c r="D88" s="80" t="str"/>
      <x:c r="E88" s="80" t="str"/>
      <x:c r="F88" s="80" t="str"/>
      <x:c r="G88" s="80" t="str"/>
      <x:c r="H88" s="80" t="str"/>
      <x:c r="I88" s="80" t="str"/>
      <x:c r="J88" s="80" t="str">
        <x:v>LinkedIn</x:v>
      </x:c>
      <x:c r="K88" s="80" t="str">
        <x:v>dead_form_teardown</x:v>
      </x:c>
      <x:c r="L88" s="80" t="str"/>
      <x:c r="M88" s="80" t="n">
        <x:v>0</x:v>
      </x:c>
      <x:c r="N88" s="80" t="str"/>
      <x:c r="O88" s="80" t="str"/>
      <x:c r="P88" s="80" t="str"/>
      <x:c r="Q88" s="80" t="str"/>
      <x:c r="R88" s="80" t="str"/>
      <x:c r="S88" s="80" t="str"/>
      <x:c r="T88" s="80" t="str"/>
      <x:c r="U88" s="80" t="str">
        <x:v>QUEUED</x:v>
      </x:c>
      <x:c r="V88" s="99" t="str"/>
    </x:row>
    <x:row r="89">
      <x:c r="A89" s="103" t="str"/>
      <x:c r="B89" s="98" t="str"/>
      <x:c r="C89" s="80" t="str"/>
      <x:c r="D89" s="80" t="str"/>
      <x:c r="E89" s="80" t="str"/>
      <x:c r="F89" s="80" t="str"/>
      <x:c r="G89" s="80" t="str"/>
      <x:c r="H89" s="80" t="str"/>
      <x:c r="I89" s="80" t="str"/>
      <x:c r="J89" s="80" t="str">
        <x:v>LinkedIn</x:v>
      </x:c>
      <x:c r="K89" s="80" t="str">
        <x:v>dead_form_teardown</x:v>
      </x:c>
      <x:c r="L89" s="80" t="str"/>
      <x:c r="M89" s="80" t="n">
        <x:v>0</x:v>
      </x:c>
      <x:c r="N89" s="80" t="str"/>
      <x:c r="O89" s="80" t="str"/>
      <x:c r="P89" s="80" t="str"/>
      <x:c r="Q89" s="80" t="str"/>
      <x:c r="R89" s="80" t="str"/>
      <x:c r="S89" s="80" t="str"/>
      <x:c r="T89" s="80" t="str"/>
      <x:c r="U89" s="80" t="str">
        <x:v>QUEUED</x:v>
      </x:c>
      <x:c r="V89" s="99" t="str"/>
    </x:row>
    <x:row r="90">
      <x:c r="A90" s="103" t="str"/>
      <x:c r="B90" s="98" t="str"/>
      <x:c r="C90" s="80" t="str"/>
      <x:c r="D90" s="80" t="str"/>
      <x:c r="E90" s="80" t="str"/>
      <x:c r="F90" s="80" t="str"/>
      <x:c r="G90" s="80" t="str"/>
      <x:c r="H90" s="80" t="str"/>
      <x:c r="I90" s="80" t="str"/>
      <x:c r="J90" s="80" t="str">
        <x:v>LinkedIn</x:v>
      </x:c>
      <x:c r="K90" s="80" t="str">
        <x:v>dead_form_teardown</x:v>
      </x:c>
      <x:c r="L90" s="80" t="str"/>
      <x:c r="M90" s="80" t="n">
        <x:v>0</x:v>
      </x:c>
      <x:c r="N90" s="80" t="str"/>
      <x:c r="O90" s="80" t="str"/>
      <x:c r="P90" s="80" t="str"/>
      <x:c r="Q90" s="80" t="str"/>
      <x:c r="R90" s="80" t="str"/>
      <x:c r="S90" s="80" t="str"/>
      <x:c r="T90" s="80" t="str"/>
      <x:c r="U90" s="80" t="str">
        <x:v>QUEUED</x:v>
      </x:c>
      <x:c r="V90" s="99" t="str"/>
    </x:row>
    <x:row r="91">
      <x:c r="A91" s="103" t="str"/>
      <x:c r="B91" s="98" t="str"/>
      <x:c r="C91" s="80" t="str"/>
      <x:c r="D91" s="80" t="str"/>
      <x:c r="E91" s="80" t="str"/>
      <x:c r="F91" s="80" t="str"/>
      <x:c r="G91" s="80" t="str"/>
      <x:c r="H91" s="80" t="str"/>
      <x:c r="I91" s="80" t="str"/>
      <x:c r="J91" s="80" t="str">
        <x:v>LinkedIn</x:v>
      </x:c>
      <x:c r="K91" s="80" t="str">
        <x:v>dead_form_teardown</x:v>
      </x:c>
      <x:c r="L91" s="80" t="str"/>
      <x:c r="M91" s="80" t="n">
        <x:v>0</x:v>
      </x:c>
      <x:c r="N91" s="80" t="str"/>
      <x:c r="O91" s="80" t="str"/>
      <x:c r="P91" s="80" t="str"/>
      <x:c r="Q91" s="80" t="str"/>
      <x:c r="R91" s="80" t="str"/>
      <x:c r="S91" s="80" t="str"/>
      <x:c r="T91" s="80" t="str"/>
      <x:c r="U91" s="80" t="str">
        <x:v>QUEUED</x:v>
      </x:c>
      <x:c r="V91" s="99" t="str"/>
    </x:row>
    <x:row r="92">
      <x:c r="A92" s="103" t="str"/>
      <x:c r="B92" s="98" t="str"/>
      <x:c r="C92" s="80" t="str"/>
      <x:c r="D92" s="80" t="str"/>
      <x:c r="E92" s="80" t="str"/>
      <x:c r="F92" s="80" t="str"/>
      <x:c r="G92" s="80" t="str"/>
      <x:c r="H92" s="80" t="str"/>
      <x:c r="I92" s="80" t="str"/>
      <x:c r="J92" s="80" t="str">
        <x:v>LinkedIn</x:v>
      </x:c>
      <x:c r="K92" s="80" t="str">
        <x:v>dead_form_teardown</x:v>
      </x:c>
      <x:c r="L92" s="80" t="str"/>
      <x:c r="M92" s="80" t="n">
        <x:v>0</x:v>
      </x:c>
      <x:c r="N92" s="80" t="str"/>
      <x:c r="O92" s="80" t="str"/>
      <x:c r="P92" s="80" t="str"/>
      <x:c r="Q92" s="80" t="str"/>
      <x:c r="R92" s="80" t="str"/>
      <x:c r="S92" s="80" t="str"/>
      <x:c r="T92" s="80" t="str"/>
      <x:c r="U92" s="80" t="str">
        <x:v>QUEUED</x:v>
      </x:c>
      <x:c r="V92" s="99" t="str"/>
    </x:row>
    <x:row r="93">
      <x:c r="A93" s="103" t="str"/>
      <x:c r="B93" s="98" t="str"/>
      <x:c r="C93" s="80" t="str"/>
      <x:c r="D93" s="80" t="str"/>
      <x:c r="E93" s="80" t="str"/>
      <x:c r="F93" s="80" t="str"/>
      <x:c r="G93" s="80" t="str"/>
      <x:c r="H93" s="80" t="str"/>
      <x:c r="I93" s="80" t="str"/>
      <x:c r="J93" s="80" t="str">
        <x:v>LinkedIn</x:v>
      </x:c>
      <x:c r="K93" s="80" t="str">
        <x:v>dead_form_teardown</x:v>
      </x:c>
      <x:c r="L93" s="80" t="str"/>
      <x:c r="M93" s="80" t="n">
        <x:v>0</x:v>
      </x:c>
      <x:c r="N93" s="80" t="str"/>
      <x:c r="O93" s="80" t="str"/>
      <x:c r="P93" s="80" t="str"/>
      <x:c r="Q93" s="80" t="str"/>
      <x:c r="R93" s="80" t="str"/>
      <x:c r="S93" s="80" t="str"/>
      <x:c r="T93" s="80" t="str"/>
      <x:c r="U93" s="80" t="str">
        <x:v>QUEUED</x:v>
      </x:c>
      <x:c r="V93" s="99" t="str"/>
    </x:row>
    <x:row r="94">
      <x:c r="A94" s="103" t="str"/>
      <x:c r="B94" s="98" t="str"/>
      <x:c r="C94" s="80" t="str"/>
      <x:c r="D94" s="80" t="str"/>
      <x:c r="E94" s="80" t="str"/>
      <x:c r="F94" s="80" t="str"/>
      <x:c r="G94" s="80" t="str"/>
      <x:c r="H94" s="80" t="str"/>
      <x:c r="I94" s="80" t="str"/>
      <x:c r="J94" s="80" t="str">
        <x:v>LinkedIn</x:v>
      </x:c>
      <x:c r="K94" s="80" t="str">
        <x:v>dead_form_teardown</x:v>
      </x:c>
      <x:c r="L94" s="80" t="str"/>
      <x:c r="M94" s="80" t="n">
        <x:v>0</x:v>
      </x:c>
      <x:c r="N94" s="80" t="str"/>
      <x:c r="O94" s="80" t="str"/>
      <x:c r="P94" s="80" t="str"/>
      <x:c r="Q94" s="80" t="str"/>
      <x:c r="R94" s="80" t="str"/>
      <x:c r="S94" s="80" t="str"/>
      <x:c r="T94" s="80" t="str"/>
      <x:c r="U94" s="80" t="str">
        <x:v>QUEUED</x:v>
      </x:c>
      <x:c r="V94" s="99" t="str"/>
    </x:row>
    <x:row r="95">
      <x:c r="A95" s="103" t="str"/>
      <x:c r="B95" s="98" t="str"/>
      <x:c r="C95" s="80" t="str"/>
      <x:c r="D95" s="80" t="str"/>
      <x:c r="E95" s="80" t="str"/>
      <x:c r="F95" s="80" t="str"/>
      <x:c r="G95" s="80" t="str"/>
      <x:c r="H95" s="80" t="str"/>
      <x:c r="I95" s="80" t="str"/>
      <x:c r="J95" s="80" t="str">
        <x:v>LinkedIn</x:v>
      </x:c>
      <x:c r="K95" s="80" t="str">
        <x:v>dead_form_teardown</x:v>
      </x:c>
      <x:c r="L95" s="80" t="str"/>
      <x:c r="M95" s="80" t="n">
        <x:v>0</x:v>
      </x:c>
      <x:c r="N95" s="80" t="str"/>
      <x:c r="O95" s="80" t="str"/>
      <x:c r="P95" s="80" t="str"/>
      <x:c r="Q95" s="80" t="str"/>
      <x:c r="R95" s="80" t="str"/>
      <x:c r="S95" s="80" t="str"/>
      <x:c r="T95" s="80" t="str"/>
      <x:c r="U95" s="80" t="str">
        <x:v>QUEUED</x:v>
      </x:c>
      <x:c r="V95" s="99" t="str"/>
    </x:row>
    <x:row r="96">
      <x:c r="A96" s="103" t="str"/>
      <x:c r="B96" s="98" t="str"/>
      <x:c r="C96" s="80" t="str"/>
      <x:c r="D96" s="80" t="str"/>
      <x:c r="E96" s="80" t="str"/>
      <x:c r="F96" s="80" t="str"/>
      <x:c r="G96" s="80" t="str"/>
      <x:c r="H96" s="80" t="str"/>
      <x:c r="I96" s="80" t="str"/>
      <x:c r="J96" s="80" t="str">
        <x:v>LinkedIn</x:v>
      </x:c>
      <x:c r="K96" s="80" t="str">
        <x:v>dead_form_teardown</x:v>
      </x:c>
      <x:c r="L96" s="80" t="str"/>
      <x:c r="M96" s="80" t="n">
        <x:v>0</x:v>
      </x:c>
      <x:c r="N96" s="80" t="str"/>
      <x:c r="O96" s="80" t="str"/>
      <x:c r="P96" s="80" t="str"/>
      <x:c r="Q96" s="80" t="str"/>
      <x:c r="R96" s="80" t="str"/>
      <x:c r="S96" s="80" t="str"/>
      <x:c r="T96" s="80" t="str"/>
      <x:c r="U96" s="80" t="str">
        <x:v>QUEUED</x:v>
      </x:c>
      <x:c r="V96" s="99" t="str"/>
    </x:row>
    <x:row r="97">
      <x:c r="A97" s="103" t="str"/>
      <x:c r="B97" s="98" t="str"/>
      <x:c r="C97" s="80" t="str"/>
      <x:c r="D97" s="80" t="str"/>
      <x:c r="E97" s="80" t="str"/>
      <x:c r="F97" s="80" t="str"/>
      <x:c r="G97" s="80" t="str"/>
      <x:c r="H97" s="80" t="str"/>
      <x:c r="I97" s="80" t="str"/>
      <x:c r="J97" s="80" t="str">
        <x:v>LinkedIn</x:v>
      </x:c>
      <x:c r="K97" s="80" t="str">
        <x:v>dead_form_teardown</x:v>
      </x:c>
      <x:c r="L97" s="80" t="str"/>
      <x:c r="M97" s="80" t="n">
        <x:v>0</x:v>
      </x:c>
      <x:c r="N97" s="80" t="str"/>
      <x:c r="O97" s="80" t="str"/>
      <x:c r="P97" s="80" t="str"/>
      <x:c r="Q97" s="80" t="str"/>
      <x:c r="R97" s="80" t="str"/>
      <x:c r="S97" s="80" t="str"/>
      <x:c r="T97" s="80" t="str"/>
      <x:c r="U97" s="80" t="str">
        <x:v>QUEUED</x:v>
      </x:c>
      <x:c r="V97" s="99" t="str"/>
    </x:row>
    <x:row r="98">
      <x:c r="A98" s="103" t="str"/>
      <x:c r="B98" s="98" t="str"/>
      <x:c r="C98" s="80" t="str"/>
      <x:c r="D98" s="80" t="str"/>
      <x:c r="E98" s="80" t="str"/>
      <x:c r="F98" s="80" t="str"/>
      <x:c r="G98" s="80" t="str"/>
      <x:c r="H98" s="80" t="str"/>
      <x:c r="I98" s="80" t="str"/>
      <x:c r="J98" s="80" t="str">
        <x:v>LinkedIn</x:v>
      </x:c>
      <x:c r="K98" s="80" t="str">
        <x:v>dead_form_teardown</x:v>
      </x:c>
      <x:c r="L98" s="80" t="str"/>
      <x:c r="M98" s="80" t="n">
        <x:v>0</x:v>
      </x:c>
      <x:c r="N98" s="80" t="str"/>
      <x:c r="O98" s="80" t="str"/>
      <x:c r="P98" s="80" t="str"/>
      <x:c r="Q98" s="80" t="str"/>
      <x:c r="R98" s="80" t="str"/>
      <x:c r="S98" s="80" t="str"/>
      <x:c r="T98" s="80" t="str"/>
      <x:c r="U98" s="80" t="str">
        <x:v>QUEUED</x:v>
      </x:c>
      <x:c r="V98" s="99" t="str"/>
    </x:row>
    <x:row r="99">
      <x:c r="A99" s="103" t="str"/>
      <x:c r="B99" s="98" t="str"/>
      <x:c r="C99" s="80" t="str"/>
      <x:c r="D99" s="80" t="str"/>
      <x:c r="E99" s="80" t="str"/>
      <x:c r="F99" s="80" t="str"/>
      <x:c r="G99" s="80" t="str"/>
      <x:c r="H99" s="80" t="str"/>
      <x:c r="I99" s="80" t="str"/>
      <x:c r="J99" s="80" t="str">
        <x:v>LinkedIn</x:v>
      </x:c>
      <x:c r="K99" s="80" t="str">
        <x:v>dead_form_teardown</x:v>
      </x:c>
      <x:c r="L99" s="80" t="str"/>
      <x:c r="M99" s="80" t="n">
        <x:v>0</x:v>
      </x:c>
      <x:c r="N99" s="80" t="str"/>
      <x:c r="O99" s="80" t="str"/>
      <x:c r="P99" s="80" t="str"/>
      <x:c r="Q99" s="80" t="str"/>
      <x:c r="R99" s="80" t="str"/>
      <x:c r="S99" s="80" t="str"/>
      <x:c r="T99" s="80" t="str"/>
      <x:c r="U99" s="80" t="str">
        <x:v>QUEUED</x:v>
      </x:c>
      <x:c r="V99" s="99" t="str"/>
    </x:row>
    <x:row r="100">
      <x:c r="A100" s="103" t="str"/>
      <x:c r="B100" s="98" t="str"/>
      <x:c r="C100" s="80" t="str"/>
      <x:c r="D100" s="80" t="str"/>
      <x:c r="E100" s="80" t="str"/>
      <x:c r="F100" s="80" t="str"/>
      <x:c r="G100" s="80" t="str"/>
      <x:c r="H100" s="80" t="str"/>
      <x:c r="I100" s="80" t="str"/>
      <x:c r="J100" s="80" t="str">
        <x:v>LinkedIn</x:v>
      </x:c>
      <x:c r="K100" s="80" t="str">
        <x:v>dead_form_teardown</x:v>
      </x:c>
      <x:c r="L100" s="80" t="str"/>
      <x:c r="M100" s="80" t="n">
        <x:v>0</x:v>
      </x:c>
      <x:c r="N100" s="80" t="str"/>
      <x:c r="O100" s="80" t="str"/>
      <x:c r="P100" s="80" t="str"/>
      <x:c r="Q100" s="80" t="str"/>
      <x:c r="R100" s="80" t="str"/>
      <x:c r="S100" s="80" t="str"/>
      <x:c r="T100" s="80" t="str"/>
      <x:c r="U100" s="80" t="str">
        <x:v>QUEUED</x:v>
      </x:c>
      <x:c r="V100" s="99" t="str"/>
    </x:row>
    <x:row r="101">
      <x:c r="A101" s="103" t="str"/>
      <x:c r="B101" s="98" t="str"/>
      <x:c r="C101" s="80" t="str"/>
      <x:c r="D101" s="80" t="str"/>
      <x:c r="E101" s="80" t="str"/>
      <x:c r="F101" s="80" t="str"/>
      <x:c r="G101" s="80" t="str"/>
      <x:c r="H101" s="80" t="str"/>
      <x:c r="I101" s="80" t="str"/>
      <x:c r="J101" s="80" t="str">
        <x:v>LinkedIn</x:v>
      </x:c>
      <x:c r="K101" s="80" t="str">
        <x:v>dead_form_teardown</x:v>
      </x:c>
      <x:c r="L101" s="80" t="str"/>
      <x:c r="M101" s="80" t="n">
        <x:v>0</x:v>
      </x:c>
      <x:c r="N101" s="80" t="str"/>
      <x:c r="O101" s="80" t="str"/>
      <x:c r="P101" s="80" t="str"/>
      <x:c r="Q101" s="80" t="str"/>
      <x:c r="R101" s="80" t="str"/>
      <x:c r="S101" s="80" t="str"/>
      <x:c r="T101" s="80" t="str"/>
      <x:c r="U101" s="80" t="str">
        <x:v>QUEUED</x:v>
      </x:c>
      <x:c r="V101" s="99" t="str"/>
    </x:row>
    <x:row r="102">
      <x:c r="A102" s="103" t="str"/>
      <x:c r="B102" s="98" t="str"/>
      <x:c r="C102" s="80" t="str"/>
      <x:c r="D102" s="80" t="str"/>
      <x:c r="E102" s="80" t="str"/>
      <x:c r="F102" s="80" t="str"/>
      <x:c r="G102" s="80" t="str"/>
      <x:c r="H102" s="80" t="str"/>
      <x:c r="I102" s="80" t="str"/>
      <x:c r="J102" s="80" t="str">
        <x:v>LinkedIn</x:v>
      </x:c>
      <x:c r="K102" s="80" t="str">
        <x:v>dead_form_teardown</x:v>
      </x:c>
      <x:c r="L102" s="80" t="str"/>
      <x:c r="M102" s="80" t="n">
        <x:v>0</x:v>
      </x:c>
      <x:c r="N102" s="80" t="str"/>
      <x:c r="O102" s="80" t="str"/>
      <x:c r="P102" s="80" t="str"/>
      <x:c r="Q102" s="80" t="str"/>
      <x:c r="R102" s="80" t="str"/>
      <x:c r="S102" s="80" t="str"/>
      <x:c r="T102" s="80" t="str"/>
      <x:c r="U102" s="80" t="str">
        <x:v>QUEUED</x:v>
      </x:c>
      <x:c r="V102" s="99" t="str"/>
    </x:row>
    <x:row r="103">
      <x:c r="A103" s="103" t="str"/>
      <x:c r="B103" s="98" t="str"/>
      <x:c r="C103" s="80" t="str"/>
      <x:c r="D103" s="80" t="str"/>
      <x:c r="E103" s="80" t="str"/>
      <x:c r="F103" s="80" t="str"/>
      <x:c r="G103" s="80" t="str"/>
      <x:c r="H103" s="80" t="str"/>
      <x:c r="I103" s="80" t="str"/>
      <x:c r="J103" s="80" t="str">
        <x:v>LinkedIn</x:v>
      </x:c>
      <x:c r="K103" s="80" t="str">
        <x:v>dead_form_teardown</x:v>
      </x:c>
      <x:c r="L103" s="80" t="str"/>
      <x:c r="M103" s="80" t="n">
        <x:v>0</x:v>
      </x:c>
      <x:c r="N103" s="80" t="str"/>
      <x:c r="O103" s="80" t="str"/>
      <x:c r="P103" s="80" t="str"/>
      <x:c r="Q103" s="80" t="str"/>
      <x:c r="R103" s="80" t="str"/>
      <x:c r="S103" s="80" t="str"/>
      <x:c r="T103" s="80" t="str"/>
      <x:c r="U103" s="80" t="str">
        <x:v>QUEUED</x:v>
      </x:c>
      <x:c r="V103" s="99" t="str"/>
    </x:row>
    <x:row r="104">
      <x:c r="A104" s="104" t="str"/>
      <x:c r="B104" s="101" t="str"/>
      <x:c r="C104" s="87" t="str"/>
      <x:c r="D104" s="87" t="str"/>
      <x:c r="E104" s="87" t="str"/>
      <x:c r="F104" s="87" t="str"/>
      <x:c r="G104" s="87" t="str"/>
      <x:c r="H104" s="87" t="str"/>
      <x:c r="I104" s="87" t="str"/>
      <x:c r="J104" s="87" t="str">
        <x:v>LinkedIn</x:v>
      </x:c>
      <x:c r="K104" s="87" t="str">
        <x:v>dead_form_teardown</x:v>
      </x:c>
      <x:c r="L104" s="87" t="str"/>
      <x:c r="M104" s="87" t="n">
        <x:v>0</x:v>
      </x:c>
      <x:c r="N104" s="87" t="str"/>
      <x:c r="O104" s="87" t="str"/>
      <x:c r="P104" s="87" t="str"/>
      <x:c r="Q104" s="87" t="str"/>
      <x:c r="R104" s="87" t="str"/>
      <x:c r="S104" s="87" t="str"/>
      <x:c r="T104" s="87" t="str"/>
      <x:c r="U104" s="87" t="str">
        <x:v>QUEUED</x:v>
      </x:c>
      <x:c r="V104" s="102" t="str"/>
    </x:row>
  </x:sheetData>
  <x:mergeCells>
    <x:mergeCell ref="A1:V2"/>
  </x:mergeCells>
  <x:dataValidations count="6">
    <x:dataValidation type="list" sqref="J5:J104">
      <x:formula1>"LinkedIn,Email,Call,Partner"</x:formula1>
    </x:dataValidation>
    <x:dataValidation type="list" sqref="L5:L104">
      <x:formula1>"true,"</x:formula1>
    </x:dataValidation>
    <x:dataValidation type="list" sqref="N5:N104">
      <x:formula1>"true,"</x:formula1>
    </x:dataValidation>
    <x:dataValidation type="list" sqref="O5:O104">
      <x:formula1>"positive,neutral,negative,"</x:formula1>
    </x:dataValidation>
    <x:dataValidation type="list" sqref="Q5:T104">
      <x:formula1>"true,"</x:formula1>
    </x:dataValidation>
    <x:dataValidation type="list" sqref="U5:U104">
      <x:formula1>"QUEUED,AWAITING_REPLY,REPLIED,BUILD_TEARDOWN,ASK_INSTALL_MAPPING,INSTALL_CALL_BOOKED,CLOSED,PASSED"</x:formula1>
    </x:dataValidation>
  </x:dataValidations>
  <x:pageMargins left="0.7" right="0.7" top="0.75" bottom="0.75" header="0.3" footer="0.3"/>
  <x:tableParts count="1">
    <x:tablePart xmlns:r="http://schemas.openxmlformats.org/officeDocument/2006/relationships" r:id="Rff19c7524d0949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17.780000686645508" hidden="0" customWidth="1"/>
    <x:col min="3" max="3" width="35.560001373291016" hidden="0" customWidth="1"/>
    <x:col min="4" max="4" width="17.780000686645508" hidden="0" customWidth="1"/>
    <x:col min="5" max="5" width="12.220000267028809" hidden="0" customWidth="1"/>
    <x:col min="6" max="6" width="12.220000267028809" hidden="0" customWidth="1"/>
    <x:col min="7" max="7" width="12.220000267028809" hidden="0" customWidth="1"/>
    <x:col min="8" max="8" width="28.889999389648438" hidden="0" customWidth="1"/>
  </x:cols>
  <x:sheetData>
    <x:row r="1" ht="24" customHeight="1">
      <x:c r="A1" s="68" t="str">
        <x:v>Deal Threads 30-Day Outbound Sprint
Daily execution plan. Do the minimum before creating more strategy.</x:v>
      </x:c>
      <x:c r="B1" s="68" t="str">
        <x:v>Deal Threads 30-Day Outbound Sprint
Daily execution plan. Do the minimum before creating more strategy.</x:v>
      </x:c>
      <x:c r="C1" s="68" t="str">
        <x:v>Deal Threads 30-Day Outbound Sprint
Daily execution plan. Do the minimum before creating more strategy.</x:v>
      </x:c>
      <x:c r="D1" s="68" t="str">
        <x:v>Deal Threads 30-Day Outbound Sprint
Daily execution plan. Do the minimum before creating more strategy.</x:v>
      </x:c>
      <x:c r="E1" s="68" t="str">
        <x:v>Deal Threads 30-Day Outbound Sprint
Daily execution plan. Do the minimum before creating more strategy.</x:v>
      </x:c>
      <x:c r="F1" s="68" t="str">
        <x:v>Deal Threads 30-Day Outbound Sprint
Daily execution plan. Do the minimum before creating more strategy.</x:v>
      </x:c>
      <x:c r="G1" s="68" t="str">
        <x:v>Deal Threads 30-Day Outbound Sprint
Daily execution plan. Do the minimum before creating more strategy.</x:v>
      </x:c>
      <x:c r="H1" s="68" t="str">
        <x:v>Deal Threads 30-Day Outbound Sprint
Daily execution plan. Do the minimum before creating more strategy.</x:v>
      </x:c>
    </x:row>
    <x:row r="2" ht="24" customHeight="1">
      <x:c r="A2" s="68" t="str">
        <x:v>Deal Threads 30-Day Outbound Sprint
Daily execution plan. Do the minimum before creating more strategy.</x:v>
      </x:c>
      <x:c r="B2" s="68" t="str">
        <x:v>Deal Threads 30-Day Outbound Sprint
Daily execution plan. Do the minimum before creating more strategy.</x:v>
      </x:c>
      <x:c r="C2" s="68" t="str">
        <x:v>Deal Threads 30-Day Outbound Sprint
Daily execution plan. Do the minimum before creating more strategy.</x:v>
      </x:c>
      <x:c r="D2" s="68" t="str">
        <x:v>Deal Threads 30-Day Outbound Sprint
Daily execution plan. Do the minimum before creating more strategy.</x:v>
      </x:c>
      <x:c r="E2" s="68" t="str">
        <x:v>Deal Threads 30-Day Outbound Sprint
Daily execution plan. Do the minimum before creating more strategy.</x:v>
      </x:c>
      <x:c r="F2" s="68" t="str">
        <x:v>Deal Threads 30-Day Outbound Sprint
Daily execution plan. Do the minimum before creating more strategy.</x:v>
      </x:c>
      <x:c r="G2" s="68" t="str">
        <x:v>Deal Threads 30-Day Outbound Sprint
Daily execution plan. Do the minimum before creating more strategy.</x:v>
      </x:c>
      <x:c r="H2" s="68" t="str">
        <x:v>Deal Threads 30-Day Outbound Sprint
Daily execution plan. Do the minimum before creating more strategy.</x:v>
      </x:c>
    </x:row>
    <x:row r="3">
      <x:c r="A3" s="69"/>
      <x:c r="B3" s="69"/>
      <x:c r="C3" s="69"/>
      <x:c r="D3" s="69"/>
      <x:c r="E3" s="69"/>
      <x:c r="F3" s="69"/>
      <x:c r="G3" s="69"/>
      <x:c r="H3" s="69"/>
    </x:row>
    <x:row r="4">
      <x:c r="A4" s="76" t="str">
        <x:v>Day</x:v>
      </x:c>
      <x:c r="B4" s="77" t="str">
        <x:v>Theme</x:v>
      </x:c>
      <x:c r="C4" s="77" t="str">
        <x:v>Main Job</x:v>
      </x:c>
      <x:c r="D4" s="77" t="str">
        <x:v>Required Output</x:v>
      </x:c>
      <x:c r="E4" s="77" t="str">
        <x:v>Targets</x:v>
      </x:c>
      <x:c r="F4" s="77" t="str">
        <x:v>Sends</x:v>
      </x:c>
      <x:c r="G4" s="77" t="str">
        <x:v>Follow-Ups</x:v>
      </x:c>
      <x:c r="H4" s="78" t="str">
        <x:v>Notes</x:v>
      </x:c>
    </x:row>
    <x:row r="5">
      <x:c r="A5" s="79" t="n">
        <x:v>1</x:v>
      </x:c>
      <x:c r="B5" s="80" t="str">
        <x:v>Setup</x:v>
      </x:c>
      <x:c r="C5" s="81" t="str">
        <x:v>Set up target CSV, workbook, tracking, and first queue.</x:v>
      </x:c>
      <x:c r="D5" s="81" t="str">
        <x:v>25 targets, first board</x:v>
      </x:c>
      <x:c r="E5" s="80" t="n">
        <x:v>25</x:v>
      </x:c>
      <x:c r="F5" s="80" t="n">
        <x:v>0</x:v>
      </x:c>
      <x:c r="G5" s="80" t="n">
        <x:v>0</x:v>
      </x:c>
      <x:c r="H5" s="99" t="str"/>
    </x:row>
    <x:row r="6">
      <x:c r="A6" s="79" t="n">
        <x:v>2</x:v>
      </x:c>
      <x:c r="B6" s="80" t="str">
        <x:v>Send</x:v>
      </x:c>
      <x:c r="C6" s="81" t="str">
        <x:v>Send first 10 teardown asks.</x:v>
      </x:c>
      <x:c r="D6" s="81" t="str">
        <x:v>10 sends logged</x:v>
      </x:c>
      <x:c r="E6" s="80" t="n">
        <x:v>10</x:v>
      </x:c>
      <x:c r="F6" s="80" t="n">
        <x:v>10</x:v>
      </x:c>
      <x:c r="G6" s="80" t="n">
        <x:v>0</x:v>
      </x:c>
      <x:c r="H6" s="99" t="str"/>
    </x:row>
    <x:row r="7">
      <x:c r="A7" s="79" t="n">
        <x:v>3</x:v>
      </x:c>
      <x:c r="B7" s="80" t="str">
        <x:v>Send</x:v>
      </x:c>
      <x:c r="C7" s="81" t="str">
        <x:v>Add 10 targets and send 10 more.</x:v>
      </x:c>
      <x:c r="D7" s="81" t="str">
        <x:v>20 total sends</x:v>
      </x:c>
      <x:c r="E7" s="80" t="n">
        <x:v>10</x:v>
      </x:c>
      <x:c r="F7" s="80" t="n">
        <x:v>10</x:v>
      </x:c>
      <x:c r="G7" s="80" t="n">
        <x:v>5</x:v>
      </x:c>
      <x:c r="H7" s="99" t="str"/>
    </x:row>
    <x:row r="8">
      <x:c r="A8" s="79" t="n">
        <x:v>4</x:v>
      </x:c>
      <x:c r="B8" s="80" t="str">
        <x:v>Proof</x:v>
      </x:c>
      <x:c r="C8" s="81" t="str">
        <x:v>Build first public-quality teardown.</x:v>
      </x:c>
      <x:c r="D8" s="81" t="str">
        <x:v>1 teardown ready</x:v>
      </x:c>
      <x:c r="E8" s="80" t="n">
        <x:v>10</x:v>
      </x:c>
      <x:c r="F8" s="80" t="n">
        <x:v>5</x:v>
      </x:c>
      <x:c r="G8" s="80" t="n">
        <x:v>10</x:v>
      </x:c>
      <x:c r="H8" s="99" t="str"/>
    </x:row>
    <x:row r="9">
      <x:c r="A9" s="79" t="n">
        <x:v>5</x:v>
      </x:c>
      <x:c r="B9" s="80" t="str">
        <x:v>Follow-up</x:v>
      </x:c>
      <x:c r="C9" s="81" t="str">
        <x:v>Follow up all non-replies.</x:v>
      </x:c>
      <x:c r="D9" s="81" t="str">
        <x:v>30+ touches logged</x:v>
      </x:c>
      <x:c r="E9" s="80" t="n">
        <x:v>10</x:v>
      </x:c>
      <x:c r="F9" s="80" t="n">
        <x:v>5</x:v>
      </x:c>
      <x:c r="G9" s="80" t="n">
        <x:v>10</x:v>
      </x:c>
      <x:c r="H9" s="99" t="str"/>
    </x:row>
    <x:row r="10">
      <x:c r="A10" s="79" t="n">
        <x:v>6</x:v>
      </x:c>
      <x:c r="B10" s="80" t="str">
        <x:v>Partners</x:v>
      </x:c>
      <x:c r="C10" s="81" t="str">
        <x:v>Find HubSpot/RevOps consultant targets.</x:v>
      </x:c>
      <x:c r="D10" s="81" t="str">
        <x:v>10 partner targets</x:v>
      </x:c>
      <x:c r="E10" s="80" t="n">
        <x:v>10</x:v>
      </x:c>
      <x:c r="F10" s="80" t="n">
        <x:v>10</x:v>
      </x:c>
      <x:c r="G10" s="80" t="n">
        <x:v>5</x:v>
      </x:c>
      <x:c r="H10" s="99" t="str"/>
    </x:row>
    <x:row r="11">
      <x:c r="A11" s="79" t="n">
        <x:v>7</x:v>
      </x:c>
      <x:c r="B11" s="80" t="str">
        <x:v>Review</x:v>
      </x:c>
      <x:c r="C11" s="81" t="str">
        <x:v>Weekly review and copy adjustment.</x:v>
      </x:c>
      <x:c r="D11" s="81" t="str">
        <x:v>bottleneck chosen</x:v>
      </x:c>
      <x:c r="E11" s="80" t="n">
        <x:v>0</x:v>
      </x:c>
      <x:c r="F11" s="80" t="n">
        <x:v>0</x:v>
      </x:c>
      <x:c r="G11" s="80" t="n">
        <x:v>0</x:v>
      </x:c>
      <x:c r="H11" s="99" t="str"/>
    </x:row>
    <x:row r="12">
      <x:c r="A12" s="79" t="n">
        <x:v>8</x:v>
      </x:c>
      <x:c r="B12" s="80" t="str">
        <x:v>Segment</x:v>
      </x:c>
      <x:c r="C12" s="81" t="str">
        <x:v>Send founder-led SaaS targets.</x:v>
      </x:c>
      <x:c r="D12" s="81" t="str">
        <x:v>10 sends logged</x:v>
      </x:c>
      <x:c r="E12" s="80" t="n">
        <x:v>10</x:v>
      </x:c>
      <x:c r="F12" s="80" t="n">
        <x:v>10</x:v>
      </x:c>
      <x:c r="G12" s="80" t="n">
        <x:v>10</x:v>
      </x:c>
      <x:c r="H12" s="99" t="str"/>
    </x:row>
    <x:row r="13">
      <x:c r="A13" s="79" t="n">
        <x:v>9</x:v>
      </x:c>
      <x:c r="B13" s="80" t="str">
        <x:v>Segment</x:v>
      </x:c>
      <x:c r="C13" s="81" t="str">
        <x:v>Send RevOps/GTM targets.</x:v>
      </x:c>
      <x:c r="D13" s="81" t="str">
        <x:v>10 sends logged</x:v>
      </x:c>
      <x:c r="E13" s="80" t="n">
        <x:v>10</x:v>
      </x:c>
      <x:c r="F13" s="80" t="n">
        <x:v>10</x:v>
      </x:c>
      <x:c r="G13" s="80" t="n">
        <x:v>10</x:v>
      </x:c>
      <x:c r="H13" s="99" t="str"/>
    </x:row>
    <x:row r="14">
      <x:c r="A14" s="79" t="n">
        <x:v>10</x:v>
      </x:c>
      <x:c r="B14" s="80" t="str">
        <x:v>Proof</x:v>
      </x:c>
      <x:c r="C14" s="81" t="str">
        <x:v>Produce 2 teardowns.</x:v>
      </x:c>
      <x:c r="D14" s="81" t="str">
        <x:v>2 teardowns ready</x:v>
      </x:c>
      <x:c r="E14" s="80" t="n">
        <x:v>10</x:v>
      </x:c>
      <x:c r="F14" s="80" t="n">
        <x:v>5</x:v>
      </x:c>
      <x:c r="G14" s="80" t="n">
        <x:v>10</x:v>
      </x:c>
      <x:c r="H14" s="99" t="str"/>
    </x:row>
    <x:row r="15">
      <x:c r="A15" s="79" t="n">
        <x:v>11</x:v>
      </x:c>
      <x:c r="B15" s="80" t="str">
        <x:v>Install</x:v>
      </x:c>
      <x:c r="C15" s="81" t="str">
        <x:v>Ask teardown viewers for install mapping.</x:v>
      </x:c>
      <x:c r="D15" s="81" t="str">
        <x:v>install CTA sent</x:v>
      </x:c>
      <x:c r="E15" s="80" t="n">
        <x:v>10</x:v>
      </x:c>
      <x:c r="F15" s="80" t="n">
        <x:v>5</x:v>
      </x:c>
      <x:c r="G15" s="80" t="n">
        <x:v>10</x:v>
      </x:c>
      <x:c r="H15" s="99" t="str"/>
    </x:row>
    <x:row r="16">
      <x:c r="A16" s="79" t="n">
        <x:v>12</x:v>
      </x:c>
      <x:c r="B16" s="80" t="str">
        <x:v>Follow-up</x:v>
      </x:c>
      <x:c r="C16" s="81" t="str">
        <x:v>Send all due follow-ups.</x:v>
      </x:c>
      <x:c r="D16" s="81" t="str">
        <x:v>all due follow-ups sent</x:v>
      </x:c>
      <x:c r="E16" s="80" t="n">
        <x:v>10</x:v>
      </x:c>
      <x:c r="F16" s="80" t="n">
        <x:v>5</x:v>
      </x:c>
      <x:c r="G16" s="80" t="n">
        <x:v>15</x:v>
      </x:c>
      <x:c r="H16" s="99" t="str"/>
    </x:row>
    <x:row r="17">
      <x:c r="A17" s="79" t="n">
        <x:v>13</x:v>
      </x:c>
      <x:c r="B17" s="80" t="str">
        <x:v>Partners</x:v>
      </x:c>
      <x:c r="C17" s="81" t="str">
        <x:v>Partner outreach day.</x:v>
      </x:c>
      <x:c r="D17" s="81" t="str">
        <x:v>10 partner messages</x:v>
      </x:c>
      <x:c r="E17" s="80" t="n">
        <x:v>10</x:v>
      </x:c>
      <x:c r="F17" s="80" t="n">
        <x:v>10</x:v>
      </x:c>
      <x:c r="G17" s="80" t="n">
        <x:v>5</x:v>
      </x:c>
      <x:c r="H17" s="99" t="str"/>
    </x:row>
    <x:row r="18">
      <x:c r="A18" s="79" t="n">
        <x:v>14</x:v>
      </x:c>
      <x:c r="B18" s="80" t="str">
        <x:v>Review</x:v>
      </x:c>
      <x:c r="C18" s="81" t="str">
        <x:v>Weekly review and top opener decision.</x:v>
      </x:c>
      <x:c r="D18" s="81" t="str">
        <x:v>best opener selected</x:v>
      </x:c>
      <x:c r="E18" s="80" t="n">
        <x:v>0</x:v>
      </x:c>
      <x:c r="F18" s="80" t="n">
        <x:v>0</x:v>
      </x:c>
      <x:c r="G18" s="80" t="n">
        <x:v>0</x:v>
      </x:c>
      <x:c r="H18" s="99" t="str"/>
    </x:row>
    <x:row r="19">
      <x:c r="A19" s="79" t="n">
        <x:v>15</x:v>
      </x:c>
      <x:c r="B19" s="80" t="str">
        <x:v>Lookalikes</x:v>
      </x:c>
      <x:c r="C19" s="81" t="str">
        <x:v>Double down on best segment.</x:v>
      </x:c>
      <x:c r="D19" s="81" t="str">
        <x:v>20 lookalike targets</x:v>
      </x:c>
      <x:c r="E19" s="80" t="n">
        <x:v>20</x:v>
      </x:c>
      <x:c r="F19" s="80" t="n">
        <x:v>10</x:v>
      </x:c>
      <x:c r="G19" s="80" t="n">
        <x:v>10</x:v>
      </x:c>
      <x:c r="H19" s="99" t="str"/>
    </x:row>
    <x:row r="20">
      <x:c r="A20" s="79" t="n">
        <x:v>16</x:v>
      </x:c>
      <x:c r="B20" s="80" t="str">
        <x:v>Send</x:v>
      </x:c>
      <x:c r="C20" s="81" t="str">
        <x:v>Send 10 best-segment touches.</x:v>
      </x:c>
      <x:c r="D20" s="81" t="str">
        <x:v>10 sends logged</x:v>
      </x:c>
      <x:c r="E20" s="80" t="n">
        <x:v>10</x:v>
      </x:c>
      <x:c r="F20" s="80" t="n">
        <x:v>10</x:v>
      </x:c>
      <x:c r="G20" s="80" t="n">
        <x:v>10</x:v>
      </x:c>
      <x:c r="H20" s="99" t="str"/>
    </x:row>
    <x:row r="21">
      <x:c r="A21" s="79" t="n">
        <x:v>17</x:v>
      </x:c>
      <x:c r="B21" s="80" t="str">
        <x:v>Proof</x:v>
      </x:c>
      <x:c r="C21" s="81" t="str">
        <x:v>Build teardown from best segment.</x:v>
      </x:c>
      <x:c r="D21" s="81" t="str">
        <x:v>1 teardown</x:v>
      </x:c>
      <x:c r="E21" s="80" t="n">
        <x:v>10</x:v>
      </x:c>
      <x:c r="F21" s="80" t="n">
        <x:v>5</x:v>
      </x:c>
      <x:c r="G21" s="80" t="n">
        <x:v>10</x:v>
      </x:c>
      <x:c r="H21" s="99" t="str"/>
    </x:row>
    <x:row r="22">
      <x:c r="A22" s="79" t="n">
        <x:v>18</x:v>
      </x:c>
      <x:c r="B22" s="80" t="str">
        <x:v>Install</x:v>
      </x:c>
      <x:c r="C22" s="81" t="str">
        <x:v>Install-call push.</x:v>
      </x:c>
      <x:c r="D22" s="81" t="str">
        <x:v>5 install asks</x:v>
      </x:c>
      <x:c r="E22" s="80" t="n">
        <x:v>10</x:v>
      </x:c>
      <x:c r="F22" s="80" t="n">
        <x:v>5</x:v>
      </x:c>
      <x:c r="G22" s="80" t="n">
        <x:v>10</x:v>
      </x:c>
      <x:c r="H22" s="99" t="str"/>
    </x:row>
    <x:row r="23">
      <x:c r="A23" s="79" t="n">
        <x:v>19</x:v>
      </x:c>
      <x:c r="B23" s="80" t="str">
        <x:v>Objections</x:v>
      </x:c>
      <x:c r="C23" s="81" t="str">
        <x:v>Document top objections.</x:v>
      </x:c>
      <x:c r="D23" s="81" t="str">
        <x:v>3 objections updated</x:v>
      </x:c>
      <x:c r="E23" s="80" t="n">
        <x:v>10</x:v>
      </x:c>
      <x:c r="F23" s="80" t="n">
        <x:v>5</x:v>
      </x:c>
      <x:c r="G23" s="80" t="n">
        <x:v>10</x:v>
      </x:c>
      <x:c r="H23" s="99" t="str"/>
    </x:row>
    <x:row r="24">
      <x:c r="A24" s="79" t="n">
        <x:v>20</x:v>
      </x:c>
      <x:c r="B24" s="80" t="str">
        <x:v>Packaging</x:v>
      </x:c>
      <x:c r="C24" s="81" t="str">
        <x:v>Create anonymized before/after asset.</x:v>
      </x:c>
      <x:c r="D24" s="81" t="str">
        <x:v>1 proof asset</x:v>
      </x:c>
      <x:c r="E24" s="80" t="n">
        <x:v>10</x:v>
      </x:c>
      <x:c r="F24" s="80" t="n">
        <x:v>5</x:v>
      </x:c>
      <x:c r="G24" s="80" t="n">
        <x:v>10</x:v>
      </x:c>
      <x:c r="H24" s="99" t="str"/>
    </x:row>
    <x:row r="25">
      <x:c r="A25" s="79" t="n">
        <x:v>21</x:v>
      </x:c>
      <x:c r="B25" s="80" t="str">
        <x:v>Review</x:v>
      </x:c>
      <x:c r="C25" s="81" t="str">
        <x:v>Weekly review and beta bottleneck.</x:v>
      </x:c>
      <x:c r="D25" s="81" t="str">
        <x:v>bottleneck chosen</x:v>
      </x:c>
      <x:c r="E25" s="80" t="n">
        <x:v>0</x:v>
      </x:c>
      <x:c r="F25" s="80" t="n">
        <x:v>0</x:v>
      </x:c>
      <x:c r="G25" s="80" t="n">
        <x:v>0</x:v>
      </x:c>
      <x:c r="H25" s="99" t="str"/>
    </x:row>
    <x:row r="26">
      <x:c r="A26" s="79" t="n">
        <x:v>22</x:v>
      </x:c>
      <x:c r="B26" s="80" t="str">
        <x:v>Send</x:v>
      </x:c>
      <x:c r="C26" s="81" t="str">
        <x:v>Send 10 new targets.</x:v>
      </x:c>
      <x:c r="D26" s="81" t="str">
        <x:v>10 sends logged</x:v>
      </x:c>
      <x:c r="E26" s="80" t="n">
        <x:v>10</x:v>
      </x:c>
      <x:c r="F26" s="80" t="n">
        <x:v>10</x:v>
      </x:c>
      <x:c r="G26" s="80" t="n">
        <x:v>10</x:v>
      </x:c>
      <x:c r="H26" s="99" t="str"/>
    </x:row>
    <x:row r="27">
      <x:c r="A27" s="79" t="n">
        <x:v>23</x:v>
      </x:c>
      <x:c r="B27" s="80" t="str">
        <x:v>Reply</x:v>
      </x:c>
      <x:c r="C27" s="81" t="str">
        <x:v>Reply handling within 24h.</x:v>
      </x:c>
      <x:c r="D27" s="81" t="str">
        <x:v>all replies handled</x:v>
      </x:c>
      <x:c r="E27" s="80" t="n">
        <x:v>10</x:v>
      </x:c>
      <x:c r="F27" s="80" t="n">
        <x:v>5</x:v>
      </x:c>
      <x:c r="G27" s="80" t="n">
        <x:v>15</x:v>
      </x:c>
      <x:c r="H27" s="99" t="str"/>
    </x:row>
    <x:row r="28">
      <x:c r="A28" s="79" t="n">
        <x:v>24</x:v>
      </x:c>
      <x:c r="B28" s="80" t="str">
        <x:v>Proof</x:v>
      </x:c>
      <x:c r="C28" s="81" t="str">
        <x:v>Teardown production.</x:v>
      </x:c>
      <x:c r="D28" s="81" t="str">
        <x:v>2 teardowns delivered</x:v>
      </x:c>
      <x:c r="E28" s="80" t="n">
        <x:v>10</x:v>
      </x:c>
      <x:c r="F28" s="80" t="n">
        <x:v>5</x:v>
      </x:c>
      <x:c r="G28" s="80" t="n">
        <x:v>10</x:v>
      </x:c>
      <x:c r="H28" s="99" t="str"/>
    </x:row>
    <x:row r="29">
      <x:c r="A29" s="79" t="n">
        <x:v>25</x:v>
      </x:c>
      <x:c r="B29" s="80" t="str">
        <x:v>Partners</x:v>
      </x:c>
      <x:c r="C29" s="81" t="str">
        <x:v>Partner channel push.</x:v>
      </x:c>
      <x:c r="D29" s="81" t="str">
        <x:v>10 partner targets</x:v>
      </x:c>
      <x:c r="E29" s="80" t="n">
        <x:v>10</x:v>
      </x:c>
      <x:c r="F29" s="80" t="n">
        <x:v>10</x:v>
      </x:c>
      <x:c r="G29" s="80" t="n">
        <x:v>5</x:v>
      </x:c>
      <x:c r="H29" s="99" t="str"/>
    </x:row>
    <x:row r="30">
      <x:c r="A30" s="79" t="n">
        <x:v>26</x:v>
      </x:c>
      <x:c r="B30" s="80" t="str">
        <x:v>Install</x:v>
      </x:c>
      <x:c r="C30" s="81" t="str">
        <x:v>Install mapping push.</x:v>
      </x:c>
      <x:c r="D30" s="81" t="str">
        <x:v>5 install CTAs</x:v>
      </x:c>
      <x:c r="E30" s="80" t="n">
        <x:v>10</x:v>
      </x:c>
      <x:c r="F30" s="80" t="n">
        <x:v>5</x:v>
      </x:c>
      <x:c r="G30" s="80" t="n">
        <x:v>10</x:v>
      </x:c>
      <x:c r="H30" s="99" t="str"/>
    </x:row>
    <x:row r="31">
      <x:c r="A31" s="79" t="n">
        <x:v>27</x:v>
      </x:c>
      <x:c r="B31" s="80" t="str">
        <x:v>Proof</x:v>
      </x:c>
      <x:c r="C31" s="81" t="str">
        <x:v>Proof capture requests.</x:v>
      </x:c>
      <x:c r="D31" s="81" t="str">
        <x:v>quote/screenshot ask</x:v>
      </x:c>
      <x:c r="E31" s="80" t="n">
        <x:v>5</x:v>
      </x:c>
      <x:c r="F31" s="80" t="n">
        <x:v>5</x:v>
      </x:c>
      <x:c r="G31" s="80" t="n">
        <x:v>10</x:v>
      </x:c>
      <x:c r="H31" s="99" t="str"/>
    </x:row>
    <x:row r="32">
      <x:c r="A32" s="79" t="n">
        <x:v>28</x:v>
      </x:c>
      <x:c r="B32" s="80" t="str">
        <x:v>Review</x:v>
      </x:c>
      <x:c r="C32" s="81" t="str">
        <x:v>Weekly review and paid ask prep.</x:v>
      </x:c>
      <x:c r="D32" s="81" t="str">
        <x:v>paid ask ready</x:v>
      </x:c>
      <x:c r="E32" s="80" t="n">
        <x:v>0</x:v>
      </x:c>
      <x:c r="F32" s="80" t="n">
        <x:v>0</x:v>
      </x:c>
      <x:c r="G32" s="80" t="n">
        <x:v>0</x:v>
      </x:c>
      <x:c r="H32" s="99" t="str"/>
    </x:row>
    <x:row r="33">
      <x:c r="A33" s="79" t="n">
        <x:v>29</x:v>
      </x:c>
      <x:c r="B33" s="80" t="str">
        <x:v>Cleanup</x:v>
      </x:c>
      <x:c r="C33" s="81" t="str">
        <x:v>Clean tracker and stale next actions.</x:v>
      </x:c>
      <x:c r="D33" s="81" t="str">
        <x:v>no stale actions</x:v>
      </x:c>
      <x:c r="E33" s="80" t="n">
        <x:v>5</x:v>
      </x:c>
      <x:c r="F33" s="80" t="n">
        <x:v>0</x:v>
      </x:c>
      <x:c r="G33" s="80" t="n">
        <x:v>10</x:v>
      </x:c>
      <x:c r="H33" s="99" t="str"/>
    </x:row>
    <x:row r="34">
      <x:c r="A34" s="86" t="n">
        <x:v>30</x:v>
      </x:c>
      <x:c r="B34" s="87" t="str">
        <x:v>Retro</x:v>
      </x:c>
      <x:c r="C34" s="88" t="str">
        <x:v>Retrospective and next sprint.</x:v>
      </x:c>
      <x:c r="D34" s="88" t="str">
        <x:v>scale/change/refine decision</x:v>
      </x:c>
      <x:c r="E34" s="87" t="n">
        <x:v>0</x:v>
      </x:c>
      <x:c r="F34" s="87" t="n">
        <x:v>0</x:v>
      </x:c>
      <x:c r="G34" s="87" t="n">
        <x:v>0</x:v>
      </x:c>
      <x:c r="H34" s="102" t="str"/>
    </x:row>
  </x:sheetData>
  <x:mergeCells>
    <x:mergeCell ref="A1:H2"/>
  </x:mergeCells>
  <x:pageMargins left="0.7" right="0.7" top="0.75" bottom="0.75" header="0.3" footer="0.3"/>
  <x:tableParts count="1">
    <x:tablePart xmlns:r="http://schemas.openxmlformats.org/officeDocument/2006/relationships" r:id="Ra4191c46140543f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15.5600004196167" hidden="0" customWidth="1"/>
    <x:col min="3" max="3" width="14.4399995803833" hidden="0" customWidth="1"/>
    <x:col min="4" max="4" width="40" hidden="0" customWidth="1"/>
    <x:col min="5" max="5" width="27.780000686645508" hidden="0" customWidth="1"/>
    <x:col min="6" max="6" width="22.219999313354492" hidden="0" customWidth="1"/>
  </x:cols>
  <x:sheetData>
    <x:row r="1" ht="24" customHeight="1">
      <x:c r="A1" s="68" t="str">
        <x:v>Deal Threads Industrial Intake Sequence Library
Use these as controlled variants for automation, robotics, machine vision, and project-based technical services.</x:v>
      </x:c>
      <x:c r="B1" s="68" t="str">
        <x:v>Deal Threads Industrial Intake Sequence Library
Use these as controlled variants for automation, robotics, machine vision, and project-based technical services.</x:v>
      </x:c>
      <x:c r="C1" s="68" t="str">
        <x:v>Deal Threads Industrial Intake Sequence Library
Use these as controlled variants for automation, robotics, machine vision, and project-based technical services.</x:v>
      </x:c>
      <x:c r="D1" s="68" t="str">
        <x:v>Deal Threads Industrial Intake Sequence Library
Use these as controlled variants for automation, robotics, machine vision, and project-based technical services.</x:v>
      </x:c>
      <x:c r="E1" s="68" t="str">
        <x:v>Deal Threads Industrial Intake Sequence Library
Use these as controlled variants for automation, robotics, machine vision, and project-based technical services.</x:v>
      </x:c>
      <x:c r="F1" s="68" t="str">
        <x:v>Deal Threads Industrial Intake Sequence Library
Use these as controlled variants for automation, robotics, machine vision, and project-based technical services.</x:v>
      </x:c>
    </x:row>
    <x:row r="2" ht="24" customHeight="1">
      <x:c r="A2" s="68" t="str">
        <x:v>Deal Threads Industrial Intake Sequence Library
Use these as controlled variants for automation, robotics, machine vision, and project-based technical services.</x:v>
      </x:c>
      <x:c r="B2" s="68" t="str">
        <x:v>Deal Threads Industrial Intake Sequence Library
Use these as controlled variants for automation, robotics, machine vision, and project-based technical services.</x:v>
      </x:c>
      <x:c r="C2" s="68" t="str">
        <x:v>Deal Threads Industrial Intake Sequence Library
Use these as controlled variants for automation, robotics, machine vision, and project-based technical services.</x:v>
      </x:c>
      <x:c r="D2" s="68" t="str">
        <x:v>Deal Threads Industrial Intake Sequence Library
Use these as controlled variants for automation, robotics, machine vision, and project-based technical services.</x:v>
      </x:c>
      <x:c r="E2" s="68" t="str">
        <x:v>Deal Threads Industrial Intake Sequence Library
Use these as controlled variants for automation, robotics, machine vision, and project-based technical services.</x:v>
      </x:c>
      <x:c r="F2" s="68" t="str">
        <x:v>Deal Threads Industrial Intake Sequence Library
Use these as controlled variants for automation, robotics, machine vision, and project-based technical services.</x:v>
      </x:c>
    </x:row>
    <x:row r="3">
      <x:c r="A3" s="69"/>
      <x:c r="B3" s="69"/>
      <x:c r="C3" s="69"/>
      <x:c r="D3" s="69"/>
      <x:c r="E3" s="69"/>
      <x:c r="F3" s="69"/>
    </x:row>
    <x:row r="4">
      <x:c r="A4" s="76" t="str">
        <x:v>Sequence</x:v>
      </x:c>
      <x:c r="B4" s="77" t="str">
        <x:v>Touch</x:v>
      </x:c>
      <x:c r="C4" s="77" t="str">
        <x:v>Channel</x:v>
      </x:c>
      <x:c r="D4" s="77" t="str">
        <x:v>Copy</x:v>
      </x:c>
      <x:c r="E4" s="77" t="str">
        <x:v>When To Use</x:v>
      </x:c>
      <x:c r="F4" s="78" t="str">
        <x:v>CTA</x:v>
      </x:c>
    </x:row>
    <x:row r="5">
      <x:c r="A5" s="79" t="str">
        <x:v>Project Intake</x:v>
      </x:c>
      <x:c r="B5" s="80" t="str">
        <x:v>1</x:v>
      </x:c>
      <x:c r="C5" s="80" t="str">
        <x:v>LinkedIn/Email</x:v>
      </x:c>
      <x:c r="D5" s="81" t="str">
        <x:v>I looked at your quote/contact intake and noticed it captures the lead, but probably still leaves sales figuring out the actual project profile manually. Want me to send a quick intake teardown?</x:v>
      </x:c>
      <x:c r="E5" s="81" t="str">
        <x:v>Default first touch</x:v>
      </x:c>
      <x:c r="F5" s="99" t="str">
        <x:v>Want the teardown?</x:v>
      </x:c>
    </x:row>
    <x:row r="6">
      <x:c r="A6" s="79" t="str">
        <x:v>Project Intake</x:v>
      </x:c>
      <x:c r="B6" s="80" t="str">
        <x:v>2</x:v>
      </x:c>
      <x:c r="C6" s="80" t="str">
        <x:v>Follow-up</x:v>
      </x:c>
      <x:c r="D6" s="81" t="str">
        <x:v>One specific thing I noticed: the intake captures the request, but not the process, equipment, constraints, timeline, or urgency sales needs before replying.</x:v>
      </x:c>
      <x:c r="E6" s="81" t="str">
        <x:v>No reply after 2-3 days</x:v>
      </x:c>
      <x:c r="F6" s="99" t="str">
        <x:v>Still worth sending?</x:v>
      </x:c>
    </x:row>
    <x:row r="7">
      <x:c r="A7" s="79" t="str">
        <x:v>Project Intake</x:v>
      </x:c>
      <x:c r="B7" s="80" t="str">
        <x:v>3</x:v>
      </x:c>
      <x:c r="C7" s="80" t="str">
        <x:v>Follow-up</x:v>
      </x:c>
      <x:c r="D7" s="81" t="str">
        <x:v>The project profile I would want sales or engineering to see: process/problem, timeline, equipment context, constraints, unknowns, and recommended opener.</x:v>
      </x:c>
      <x:c r="E7" s="81" t="str">
        <x:v>No reply after 5-7 days</x:v>
      </x:c>
      <x:c r="F7" s="99" t="str">
        <x:v>Want me to map it?</x:v>
      </x:c>
    </x:row>
    <x:row r="8">
      <x:c r="A8" s="79" t="str">
        <x:v>Project Intake</x:v>
      </x:c>
      <x:c r="B8" s="80" t="str">
        <x:v>4</x:v>
      </x:c>
      <x:c r="C8" s="80" t="str">
        <x:v>Follow-up</x:v>
      </x:c>
      <x:c r="D8" s="81" t="str">
        <x:v>Should I close the loop here, or would it still be useful if I sent the intake teardown later?</x:v>
      </x:c>
      <x:c r="E8" s="81" t="str">
        <x:v>Close loop</x:v>
      </x:c>
      <x:c r="F8" s="99" t="str">
        <x:v>Close or later?</x:v>
      </x:c>
    </x:row>
    <x:row r="9">
      <x:c r="A9" s="79" t="str">
        <x:v>Machine Vision</x:v>
      </x:c>
      <x:c r="B9" s="80" t="str">
        <x:v>1</x:v>
      </x:c>
      <x:c r="C9" s="80" t="str">
        <x:v>LinkedIn/Email</x:v>
      </x:c>
      <x:c r="D9" s="81" t="str">
        <x:v>The intake probably gets the lead, but not defect type, line speed, camera/lighting constraints, validation needs, or timeline.</x:v>
      </x:c>
      <x:c r="E9" s="81" t="str">
        <x:v>Machine vision accounts</x:v>
      </x:c>
      <x:c r="F9" s="99" t="str">
        <x:v>Want the intake map?</x:v>
      </x:c>
    </x:row>
    <x:row r="10">
      <x:c r="A10" s="79" t="str">
        <x:v>Robotics</x:v>
      </x:c>
      <x:c r="B10" s="80" t="str">
        <x:v>1</x:v>
      </x:c>
      <x:c r="C10" s="80" t="str">
        <x:v>LinkedIn/Email</x:v>
      </x:c>
      <x:c r="D10" s="81" t="str">
        <x:v>The form likely captures interest, but not payload, robot cell type, current equipment, facility constraints, or implementation timeline.</x:v>
      </x:c>
      <x:c r="E10" s="81" t="str">
        <x:v>Robotics integrators</x:v>
      </x:c>
      <x:c r="F10" s="99" t="str">
        <x:v>Want the before/after?</x:v>
      </x:c>
    </x:row>
    <x:row r="11">
      <x:c r="A11" s="79" t="str">
        <x:v>Automation Consulting</x:v>
      </x:c>
      <x:c r="B11" s="80" t="str">
        <x:v>1</x:v>
      </x:c>
      <x:c r="C11" s="80" t="str">
        <x:v>LinkedIn/Email</x:v>
      </x:c>
      <x:c r="D11" s="81" t="str">
        <x:v>The quote path could pre-build the project profile before callback: process, ROI target, equipment, timeline, budget, and stakeholders.</x:v>
      </x:c>
      <x:c r="E11" s="81" t="str">
        <x:v>Consultants/integrators</x:v>
      </x:c>
      <x:c r="F11" s="99" t="str">
        <x:v>Want the teardown?</x:v>
      </x:c>
    </x:row>
    <x:row r="12">
      <x:c r="A12" s="79" t="str">
        <x:v>Teardown Sent</x:v>
      </x:c>
      <x:c r="B12" s="80" t="str">
        <x:v>1</x:v>
      </x:c>
      <x:c r="C12" s="80" t="str">
        <x:v>Follow-up</x:v>
      </x:c>
      <x:c r="D12" s="81" t="str">
        <x:v>Curious what stood out. The install path looks lightweight: 3-5 better project-intake questions, enrichment behind the scenes, and a project-ready profile before callback.</x:v>
      </x:c>
      <x:c r="E12" s="81" t="str">
        <x:v>After teardown delivered</x:v>
      </x:c>
      <x:c r="F12" s="99" t="str">
        <x:v>Map the install?</x:v>
      </x:c>
    </x:row>
    <x:row r="13">
      <x:c r="A13" s="79" t="str">
        <x:v>Teardown Sent</x:v>
      </x:c>
      <x:c r="B13" s="80" t="str">
        <x:v>2</x:v>
      </x:c>
      <x:c r="C13" s="80" t="str">
        <x:v>Follow-up</x:v>
      </x:c>
      <x:c r="D13" s="81" t="str">
        <x:v>The beta can run on one approved contact/quote page with separate CRM fields and a weekly usefulness check from sales or engineering.</x:v>
      </x:c>
      <x:c r="E13" s="81" t="str">
        <x:v>Risk reversal</x:v>
      </x:c>
      <x:c r="F13" s="99" t="str">
        <x:v>Worth a quick map?</x:v>
      </x:c>
    </x:row>
    <x:row r="14">
      <x:c r="A14" s="79" t="str">
        <x:v>Install Ask</x:v>
      </x:c>
      <x:c r="B14" s="80" t="str">
        <x:v>1</x:v>
      </x:c>
      <x:c r="C14" s="80" t="str">
        <x:v>DM/Email</x:v>
      </x:c>
      <x:c r="D14" s="81" t="str">
        <x:v>The teardown points to one clear install path. Worth a 20-minute call to map page, project fields, routing, and proof metric?</x:v>
      </x:c>
      <x:c r="E14" s="81" t="str">
        <x:v>Engaged prospect</x:v>
      </x:c>
      <x:c r="F14" s="99" t="str">
        <x:v>20-minute map?</x:v>
      </x:c>
    </x:row>
    <x:row r="15">
      <x:c r="A15" s="79" t="str">
        <x:v>Proof Ask</x:v>
      </x:c>
      <x:c r="B15" s="80" t="str">
        <x:v>1</x:v>
      </x:c>
      <x:c r="C15" s="80" t="str">
        <x:v>Email</x:v>
      </x:c>
      <x:c r="D15" s="81" t="str">
        <x:v>For the beta, the key proof is whether sales or engineering marks the project profile useful before callback. Can we review first profiles weekly?</x:v>
      </x:c>
      <x:c r="E15" s="81" t="str">
        <x:v>Beta setup</x:v>
      </x:c>
      <x:c r="F15" s="99" t="str">
        <x:v>Weekly proof review?</x:v>
      </x:c>
    </x:row>
    <x:row r="16">
      <x:c r="A16" s="79" t="str">
        <x:v>No Fit</x:v>
      </x:c>
      <x:c r="B16" s="80" t="str">
        <x:v>1</x:v>
      </x:c>
      <x:c r="C16" s="80" t="str">
        <x:v>Reply</x:v>
      </x:c>
      <x:c r="D16" s="81" t="str">
        <x:v>Totally fair. Appreciate you taking a look.</x:v>
      </x:c>
      <x:c r="E16" s="81" t="str">
        <x:v>Clear no</x:v>
      </x:c>
      <x:c r="F16" s="99" t="str">
        <x:v>None</x:v>
      </x:c>
    </x:row>
    <x:row r="17">
      <x:c r="A17" s="79" t="str">
        <x:v>Not Now</x:v>
      </x:c>
      <x:c r="B17" s="80" t="str">
        <x:v>1</x:v>
      </x:c>
      <x:c r="C17" s="80" t="str">
        <x:v>Reply</x:v>
      </x:c>
      <x:c r="D17" s="81" t="str">
        <x:v>Makes sense. Should I close the loop, or send the teardown later as a reference when this becomes timely?</x:v>
      </x:c>
      <x:c r="E17" s="81" t="str">
        <x:v>Timing objection</x:v>
      </x:c>
      <x:c r="F17" s="99" t="str">
        <x:v>Close or later?</x:v>
      </x:c>
    </x:row>
    <x:row r="18">
      <x:c r="A18" s="86" t="str">
        <x:v>Send Info</x:v>
      </x:c>
      <x:c r="B18" s="87" t="str">
        <x:v>1</x:v>
      </x:c>
      <x:c r="C18" s="87" t="str">
        <x:v>Reply</x:v>
      </x:c>
      <x:c r="D18" s="88" t="str">
        <x:v>The most useful info is usually a teardown of your actual form. Want me to use the one on your site, or another page?</x:v>
      </x:c>
      <x:c r="E18" s="88" t="str">
        <x:v>Send info reply</x:v>
      </x:c>
      <x:c r="F18" s="102" t="str">
        <x:v>Which form?</x:v>
      </x:c>
    </x:row>
  </x:sheetData>
  <x:mergeCells>
    <x:mergeCell ref="A1:F2"/>
  </x:mergeCells>
  <x:pageMargins left="0.7" right="0.7" top="0.75" bottom="0.75" header="0.3" footer="0.3"/>
  <x:tableParts count="1">
    <x:tablePart xmlns:r="http://schemas.openxmlformats.org/officeDocument/2006/relationships" r:id="R7af905ad5a53433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8.889999389648438" hidden="0" customWidth="1"/>
    <x:col min="3" max="3" width="34.439998626708984" hidden="0" customWidth="1"/>
    <x:col min="4" max="4" width="23.329999923706055" hidden="0" customWidth="1"/>
    <x:col min="5" max="5" width="16.110000610351562" hidden="0" customWidth="1"/>
    <x:col min="6" max="6" width="27.780000686645508" hidden="0" customWidth="1"/>
  </x:cols>
  <x:sheetData>
    <x:row r="1" ht="24" customHeight="1">
      <x:c r="A1" s="68" t="str">
        <x:v>Deal Threads Industrial Intake Reply Router
Reply fast, keep it useful, and move to the next proof step.</x:v>
      </x:c>
      <x:c r="B1" s="68" t="str">
        <x:v>Deal Threads Industrial Intake Reply Router
Reply fast, keep it useful, and move to the next proof step.</x:v>
      </x:c>
      <x:c r="C1" s="68" t="str">
        <x:v>Deal Threads Industrial Intake Reply Router
Reply fast, keep it useful, and move to the next proof step.</x:v>
      </x:c>
      <x:c r="D1" s="68" t="str">
        <x:v>Deal Threads Industrial Intake Reply Router
Reply fast, keep it useful, and move to the next proof step.</x:v>
      </x:c>
      <x:c r="E1" s="68" t="str">
        <x:v>Deal Threads Industrial Intake Reply Router
Reply fast, keep it useful, and move to the next proof step.</x:v>
      </x:c>
      <x:c r="F1" s="68" t="str">
        <x:v>Deal Threads Industrial Intake Reply Router
Reply fast, keep it useful, and move to the next proof step.</x:v>
      </x:c>
    </x:row>
    <x:row r="2" ht="24" customHeight="1">
      <x:c r="A2" s="68" t="str">
        <x:v>Deal Threads Industrial Intake Reply Router
Reply fast, keep it useful, and move to the next proof step.</x:v>
      </x:c>
      <x:c r="B2" s="68" t="str">
        <x:v>Deal Threads Industrial Intake Reply Router
Reply fast, keep it useful, and move to the next proof step.</x:v>
      </x:c>
      <x:c r="C2" s="68" t="str">
        <x:v>Deal Threads Industrial Intake Reply Router
Reply fast, keep it useful, and move to the next proof step.</x:v>
      </x:c>
      <x:c r="D2" s="68" t="str">
        <x:v>Deal Threads Industrial Intake Reply Router
Reply fast, keep it useful, and move to the next proof step.</x:v>
      </x:c>
      <x:c r="E2" s="68" t="str">
        <x:v>Deal Threads Industrial Intake Reply Router
Reply fast, keep it useful, and move to the next proof step.</x:v>
      </x:c>
      <x:c r="F2" s="68" t="str">
        <x:v>Deal Threads Industrial Intake Reply Router
Reply fast, keep it useful, and move to the next proof step.</x:v>
      </x:c>
    </x:row>
    <x:row r="3">
      <x:c r="A3" s="69"/>
      <x:c r="B3" s="69"/>
      <x:c r="C3" s="69"/>
      <x:c r="D3" s="69"/>
      <x:c r="E3" s="69"/>
      <x:c r="F3" s="69"/>
    </x:row>
    <x:row r="4">
      <x:c r="A4" s="76" t="str">
        <x:v>Reply Type</x:v>
      </x:c>
      <x:c r="B4" s="77" t="str">
        <x:v>Signal</x:v>
      </x:c>
      <x:c r="C4" s="77" t="str">
        <x:v>Response</x:v>
      </x:c>
      <x:c r="D4" s="77" t="str">
        <x:v>Next Action</x:v>
      </x:c>
      <x:c r="E4" s="77" t="str">
        <x:v>Status To Log</x:v>
      </x:c>
      <x:c r="F4" s="78" t="str">
        <x:v>Notes</x:v>
      </x:c>
    </x:row>
    <x:row r="5">
      <x:c r="A5" s="79" t="str">
        <x:v>Teardown yes</x:v>
      </x:c>
      <x:c r="B5" s="81" t="str">
        <x:v>send it, sure, go ahead</x:v>
      </x:c>
      <x:c r="C5" s="81" t="str">
        <x:v>Perfect. I will keep it tight: what the intake captures, what sales or engineering still has to figure out, what the project profile could include, and the install path if useful.</x:v>
      </x:c>
      <x:c r="D5" s="81" t="str">
        <x:v>Build teardown within 24h</x:v>
      </x:c>
      <x:c r="E5" s="80" t="str">
        <x:v>BUILD_TEARDOWN</x:v>
      </x:c>
      <x:c r="F5" s="99" t="str"/>
    </x:row>
    <x:row r="6">
      <x:c r="A6" s="79" t="str">
        <x:v>Curious</x:v>
      </x:c>
      <x:c r="B6" s="81" t="str">
        <x:v>what is this?</x:v>
      </x:c>
      <x:c r="C6" s="81" t="str">
        <x:v>Deal Threads turns quote/contact form submissions into project-ready buyer profiles before sales follows up. Want me to show that using your current intake?</x:v>
      </x:c>
      <x:c r="D6" s="81" t="str">
        <x:v>Ask for form URL or use site form</x:v>
      </x:c>
      <x:c r="E6" s="80" t="str">
        <x:v>REPLIED</x:v>
      </x:c>
      <x:c r="F6" s="99" t="str"/>
    </x:row>
    <x:row r="7">
      <x:c r="A7" s="79" t="str">
        <x:v>Send info</x:v>
      </x:c>
      <x:c r="B7" s="81" t="str">
        <x:v>send me info</x:v>
      </x:c>
      <x:c r="C7" s="81" t="str">
        <x:v>The most useful info is a teardown of your actual intake. Want me to use the one on your site, or another page?</x:v>
      </x:c>
      <x:c r="D7" s="81" t="str">
        <x:v>Get form URL</x:v>
      </x:c>
      <x:c r="E7" s="80" t="str">
        <x:v>REPLIED</x:v>
      </x:c>
      <x:c r="F7" s="99" t="str"/>
    </x:row>
    <x:row r="8">
      <x:c r="A8" s="79" t="str">
        <x:v>Already have chat</x:v>
      </x:c>
      <x:c r="B8" s="81" t="str">
        <x:v>we use chat</x:v>
      </x:c>
      <x:c r="C8" s="81" t="str">
        <x:v>The useful question is whether the chat creates a project-ready profile or mostly answers questions/books meetings.</x:v>
      </x:c>
      <x:c r="D8" s="81" t="str">
        <x:v>Offer comparison teardown</x:v>
      </x:c>
      <x:c r="E8" s="80" t="str">
        <x:v>REPLIED</x:v>
      </x:c>
      <x:c r="F8" s="99" t="str"/>
    </x:row>
    <x:row r="9">
      <x:c r="A9" s="79" t="str">
        <x:v>Privacy</x:v>
      </x:c>
      <x:c r="B9" s="81" t="str">
        <x:v>security/privacy</x:v>
      </x:c>
      <x:c r="C9" s="81" t="str">
        <x:v>For beta, keep scope narrow: approved page, approved fields, separate CRM properties, no unnecessary sensitive data.</x:v>
      </x:c>
      <x:c r="D9" s="81" t="str">
        <x:v>Send trust/install scope</x:v>
      </x:c>
      <x:c r="E9" s="80" t="str">
        <x:v>REPLIED</x:v>
      </x:c>
      <x:c r="F9" s="99" t="str"/>
    </x:row>
    <x:row r="10">
      <x:c r="A10" s="79" t="str">
        <x:v>Not now</x:v>
      </x:c>
      <x:c r="B10" s="81" t="str">
        <x:v>bad timing</x:v>
      </x:c>
      <x:c r="C10" s="81" t="str">
        <x:v>Makes sense. Should I close the loop, or send the teardown later as a reference?</x:v>
      </x:c>
      <x:c r="D10" s="81" t="str">
        <x:v>Schedule later or close</x:v>
      </x:c>
      <x:c r="E10" s="80" t="str">
        <x:v>REPLIED</x:v>
      </x:c>
      <x:c r="F10" s="99" t="str"/>
    </x:row>
    <x:row r="11">
      <x:c r="A11" s="79" t="str">
        <x:v>No</x:v>
      </x:c>
      <x:c r="B11" s="81" t="str">
        <x:v>not interested</x:v>
      </x:c>
      <x:c r="C11" s="81" t="str">
        <x:v>Totally fair. Appreciate you taking a look.</x:v>
      </x:c>
      <x:c r="D11" s="81" t="str">
        <x:v>Mark passed</x:v>
      </x:c>
      <x:c r="E11" s="80" t="str">
        <x:v>PASSED</x:v>
      </x:c>
      <x:c r="F11" s="99" t="str"/>
    </x:row>
    <x:row r="12">
      <x:c r="A12" s="86" t="str">
        <x:v>Install interest</x:v>
      </x:c>
      <x:c r="B12" s="88" t="str">
        <x:v>how would setup work?</x:v>
      </x:c>
      <x:c r="C12" s="88" t="str">
        <x:v>Usually: page URL, CRM owner, approved fields, routing owner, script tag access, and one smoke test.</x:v>
      </x:c>
      <x:c r="D12" s="88" t="str">
        <x:v>Book install mapping</x:v>
      </x:c>
      <x:c r="E12" s="87" t="str">
        <x:v>INSTALL_CALL_BOOKED</x:v>
      </x:c>
      <x:c r="F12" s="102" t="str"/>
    </x:row>
  </x:sheetData>
  <x:mergeCells>
    <x:mergeCell ref="A1:F2"/>
  </x:mergeCells>
  <x:pageMargins left="0.7" right="0.7" top="0.75" bottom="0.75" header="0.3" footer="0.3"/>
  <x:tableParts count="1">
    <x:tablePart xmlns:r="http://schemas.openxmlformats.org/officeDocument/2006/relationships" r:id="Rc18283b387d24cd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36.66999816894531" hidden="0" customWidth="1"/>
    <x:col min="3" max="3" width="13.329999923706055" hidden="0" customWidth="1"/>
    <x:col min="4" max="4" width="16.670000076293945" hidden="0" customWidth="1"/>
    <x:col min="5" max="5" width="14.4399995803833" hidden="0" customWidth="1"/>
    <x:col min="6" max="6" width="20" hidden="0" customWidth="1"/>
    <x:col min="7" max="7" width="16.670000076293945" hidden="0" customWidth="1"/>
    <x:col min="8" max="8" width="28.889999389648438" hidden="0" customWidth="1"/>
  </x:cols>
  <x:sheetData>
    <x:row r="1" ht="24" customHeight="1">
      <x:c r="A1" s="68" t="str">
        <x:v>Deal Threads Weekly Outbound Review
Use Friday. Decide what to stop, fix, or double down on.</x:v>
      </x:c>
      <x:c r="B1" s="68" t="str">
        <x:v>Deal Threads Weekly Outbound Review
Use Friday. Decide what to stop, fix, or double down on.</x:v>
      </x:c>
      <x:c r="C1" s="68" t="str">
        <x:v>Deal Threads Weekly Outbound Review
Use Friday. Decide what to stop, fix, or double down on.</x:v>
      </x:c>
      <x:c r="D1" s="68" t="str">
        <x:v>Deal Threads Weekly Outbound Review
Use Friday. Decide what to stop, fix, or double down on.</x:v>
      </x:c>
      <x:c r="E1" s="68" t="str">
        <x:v>Deal Threads Weekly Outbound Review
Use Friday. Decide what to stop, fix, or double down on.</x:v>
      </x:c>
      <x:c r="F1" s="68" t="str">
        <x:v>Deal Threads Weekly Outbound Review
Use Friday. Decide what to stop, fix, or double down on.</x:v>
      </x:c>
      <x:c r="G1" s="68" t="str">
        <x:v>Deal Threads Weekly Outbound Review
Use Friday. Decide what to stop, fix, or double down on.</x:v>
      </x:c>
      <x:c r="H1" s="68" t="str">
        <x:v>Deal Threads Weekly Outbound Review
Use Friday. Decide what to stop, fix, or double down on.</x:v>
      </x:c>
    </x:row>
    <x:row r="2" ht="24" customHeight="1">
      <x:c r="A2" s="68" t="str">
        <x:v>Deal Threads Weekly Outbound Review
Use Friday. Decide what to stop, fix, or double down on.</x:v>
      </x:c>
      <x:c r="B2" s="68" t="str">
        <x:v>Deal Threads Weekly Outbound Review
Use Friday. Decide what to stop, fix, or double down on.</x:v>
      </x:c>
      <x:c r="C2" s="68" t="str">
        <x:v>Deal Threads Weekly Outbound Review
Use Friday. Decide what to stop, fix, or double down on.</x:v>
      </x:c>
      <x:c r="D2" s="68" t="str">
        <x:v>Deal Threads Weekly Outbound Review
Use Friday. Decide what to stop, fix, or double down on.</x:v>
      </x:c>
      <x:c r="E2" s="68" t="str">
        <x:v>Deal Threads Weekly Outbound Review
Use Friday. Decide what to stop, fix, or double down on.</x:v>
      </x:c>
      <x:c r="F2" s="68" t="str">
        <x:v>Deal Threads Weekly Outbound Review
Use Friday. Decide what to stop, fix, or double down on.</x:v>
      </x:c>
      <x:c r="G2" s="68" t="str">
        <x:v>Deal Threads Weekly Outbound Review
Use Friday. Decide what to stop, fix, or double down on.</x:v>
      </x:c>
      <x:c r="H2" s="68" t="str">
        <x:v>Deal Threads Weekly Outbound Review
Use Friday. Decide what to stop, fix, or double down on.</x:v>
      </x:c>
    </x:row>
    <x:row r="3">
      <x:c r="A3" s="69"/>
      <x:c r="B3" s="69"/>
      <x:c r="C3" s="69"/>
      <x:c r="D3" s="69"/>
      <x:c r="E3" s="69"/>
      <x:c r="F3" s="69"/>
      <x:c r="G3" s="69"/>
      <x:c r="H3" s="69"/>
    </x:row>
    <x:row r="4">
      <x:c r="A4" s="94" t="str">
        <x:v>Area</x:v>
      </x:c>
      <x:c r="B4" s="95" t="str">
        <x:v>Question</x:v>
      </x:c>
      <x:c r="C4" s="95" t="str">
        <x:v>Owner</x:v>
      </x:c>
      <x:c r="D4" s="95" t="str">
        <x:v>Metric</x:v>
      </x:c>
      <x:c r="E4" s="95" t="str">
        <x:v>Status</x:v>
      </x:c>
      <x:c r="F4" s="95" t="str">
        <x:v>Decision</x:v>
      </x:c>
      <x:c r="G4" s="95" t="str">
        <x:v>Due Date</x:v>
      </x:c>
      <x:c r="H4" s="96" t="str">
        <x:v>Notes</x:v>
      </x:c>
    </x:row>
    <x:row r="5">
      <x:c r="A5" s="79" t="str">
        <x:v>Targets</x:v>
      </x:c>
      <x:c r="B5" s="81" t="str">
        <x:v>Which segment produced the most high-fit targets?</x:v>
      </x:c>
      <x:c r="C5" s="80" t="str">
        <x:v>Ryan</x:v>
      </x:c>
      <x:c r="D5" s="80" t="str">
        <x:v>high-fit targets</x:v>
      </x:c>
      <x:c r="E5" s="80" t="str">
        <x:v>Open</x:v>
      </x:c>
      <x:c r="F5" s="80" t="str"/>
      <x:c r="G5" s="98" t="str"/>
      <x:c r="H5" s="99" t="str"/>
    </x:row>
    <x:row r="6">
      <x:c r="A6" s="79" t="str">
        <x:v>First Touch</x:v>
      </x:c>
      <x:c r="B6" s="81" t="str">
        <x:v>Which opener got replies?</x:v>
      </x:c>
      <x:c r="C6" s="80" t="str">
        <x:v>Ryan</x:v>
      </x:c>
      <x:c r="D6" s="80" t="str">
        <x:v>reply rate</x:v>
      </x:c>
      <x:c r="E6" s="80" t="str">
        <x:v>Open</x:v>
      </x:c>
      <x:c r="F6" s="80" t="str"/>
      <x:c r="G6" s="98" t="str"/>
      <x:c r="H6" s="99" t="str"/>
    </x:row>
    <x:row r="7">
      <x:c r="A7" s="79" t="str">
        <x:v>Follow-Up</x:v>
      </x:c>
      <x:c r="B7" s="81" t="str">
        <x:v>Are follow-ups creating replies or annoyance?</x:v>
      </x:c>
      <x:c r="C7" s="80" t="str">
        <x:v>Ryan</x:v>
      </x:c>
      <x:c r="D7" s="80" t="str">
        <x:v>follow-up reply rate</x:v>
      </x:c>
      <x:c r="E7" s="80" t="str">
        <x:v>Open</x:v>
      </x:c>
      <x:c r="F7" s="80" t="str"/>
      <x:c r="G7" s="98" t="str"/>
      <x:c r="H7" s="99" t="str"/>
    </x:row>
    <x:row r="8">
      <x:c r="A8" s="79" t="str">
        <x:v>Teardowns</x:v>
      </x:c>
      <x:c r="B8" s="81" t="str">
        <x:v>Which teardown got an install-map ask?</x:v>
      </x:c>
      <x:c r="C8" s="80" t="str">
        <x:v>Ryan</x:v>
      </x:c>
      <x:c r="D8" s="80" t="str">
        <x:v>teardown-to-call</x:v>
      </x:c>
      <x:c r="E8" s="80" t="str">
        <x:v>Open</x:v>
      </x:c>
      <x:c r="F8" s="80" t="str"/>
      <x:c r="G8" s="98" t="str"/>
      <x:c r="H8" s="99" t="str"/>
    </x:row>
    <x:row r="9">
      <x:c r="A9" s="79" t="str">
        <x:v>Objections</x:v>
      </x:c>
      <x:c r="B9" s="81" t="str">
        <x:v>Which objection repeated?</x:v>
      </x:c>
      <x:c r="C9" s="80" t="str">
        <x:v>Ryan</x:v>
      </x:c>
      <x:c r="D9" s="80" t="str">
        <x:v>objection count</x:v>
      </x:c>
      <x:c r="E9" s="80" t="str">
        <x:v>Open</x:v>
      </x:c>
      <x:c r="F9" s="80" t="str"/>
      <x:c r="G9" s="98" t="str"/>
      <x:c r="H9" s="99" t="str"/>
    </x:row>
    <x:row r="10">
      <x:c r="A10" s="79" t="str">
        <x:v>Partners</x:v>
      </x:c>
      <x:c r="B10" s="81" t="str">
        <x:v>Did consultants respond differently than direct buyers?</x:v>
      </x:c>
      <x:c r="C10" s="80" t="str">
        <x:v>Ryan</x:v>
      </x:c>
      <x:c r="D10" s="80" t="str">
        <x:v>partner reply rate</x:v>
      </x:c>
      <x:c r="E10" s="80" t="str">
        <x:v>Open</x:v>
      </x:c>
      <x:c r="F10" s="80" t="str"/>
      <x:c r="G10" s="98" t="str"/>
      <x:c r="H10" s="99" t="str"/>
    </x:row>
    <x:row r="11">
      <x:c r="A11" s="79" t="str">
        <x:v>Proof</x:v>
      </x:c>
      <x:c r="B11" s="81" t="str">
        <x:v>What proof asset would make next week's sends easier?</x:v>
      </x:c>
      <x:c r="C11" s="80" t="str">
        <x:v>Ryan</x:v>
      </x:c>
      <x:c r="D11" s="80" t="str">
        <x:v>proof gaps</x:v>
      </x:c>
      <x:c r="E11" s="80" t="str">
        <x:v>Open</x:v>
      </x:c>
      <x:c r="F11" s="80" t="str"/>
      <x:c r="G11" s="98" t="str"/>
      <x:c r="H11" s="99" t="str"/>
    </x:row>
    <x:row r="12">
      <x:c r="A12" s="79" t="str">
        <x:v>Offer</x:v>
      </x:c>
      <x:c r="B12" s="81" t="str">
        <x:v>Is the free teardown still the best CTA?</x:v>
      </x:c>
      <x:c r="C12" s="80" t="str">
        <x:v>Ryan</x:v>
      </x:c>
      <x:c r="D12" s="80" t="str">
        <x:v>yes rate</x:v>
      </x:c>
      <x:c r="E12" s="80" t="str">
        <x:v>Open</x:v>
      </x:c>
      <x:c r="F12" s="80" t="str"/>
      <x:c r="G12" s="98" t="str"/>
      <x:c r="H12" s="99" t="str"/>
    </x:row>
    <x:row r="13">
      <x:c r="A13" s="79" t="str">
        <x:v>Automation</x:v>
      </x:c>
      <x:c r="B13" s="81" t="str">
        <x:v>Which step still creates friction?</x:v>
      </x:c>
      <x:c r="C13" s="80" t="str">
        <x:v>Ryan</x:v>
      </x:c>
      <x:c r="D13" s="80" t="str">
        <x:v>manual time</x:v>
      </x:c>
      <x:c r="E13" s="80" t="str">
        <x:v>Open</x:v>
      </x:c>
      <x:c r="F13" s="80" t="str"/>
      <x:c r="G13" s="98" t="str"/>
      <x:c r="H13" s="99" t="str"/>
    </x:row>
    <x:row r="14">
      <x:c r="A14" s="79" t="str">
        <x:v>Next Week</x:v>
      </x:c>
      <x:c r="B14" s="81" t="str">
        <x:v>Which segment gets the next 50 accounts?</x:v>
      </x:c>
      <x:c r="C14" s="80" t="str">
        <x:v>Ryan</x:v>
      </x:c>
      <x:c r="D14" s="80" t="str">
        <x:v>decision</x:v>
      </x:c>
      <x:c r="E14" s="80" t="str">
        <x:v>Open</x:v>
      </x:c>
      <x:c r="F14" s="80" t="str"/>
      <x:c r="G14" s="98" t="str"/>
      <x:c r="H14" s="99" t="str"/>
    </x:row>
    <x:row r="15">
      <x:c r="A15" s="79" t="str">
        <x:v>Copy</x:v>
      </x:c>
      <x:c r="B15" s="81" t="str">
        <x:v>What buyer phrase should update the message library?</x:v>
      </x:c>
      <x:c r="C15" s="80" t="str">
        <x:v>Ryan</x:v>
      </x:c>
      <x:c r="D15" s="80" t="str">
        <x:v>buyer language</x:v>
      </x:c>
      <x:c r="E15" s="80" t="str">
        <x:v>Open</x:v>
      </x:c>
      <x:c r="F15" s="80" t="str"/>
      <x:c r="G15" s="98" t="str"/>
      <x:c r="H15" s="99" t="str"/>
    </x:row>
    <x:row r="16">
      <x:c r="A16" s="79" t="str">
        <x:v>Product</x:v>
      </x:c>
      <x:c r="B16" s="81" t="str">
        <x:v>What did outreach reveal about the product/spec?</x:v>
      </x:c>
      <x:c r="C16" s="80" t="str">
        <x:v>Ryan</x:v>
      </x:c>
      <x:c r="D16" s="80" t="str">
        <x:v>learning</x:v>
      </x:c>
      <x:c r="E16" s="80" t="str">
        <x:v>Open</x:v>
      </x:c>
      <x:c r="F16" s="80" t="str"/>
      <x:c r="G16" s="98" t="str"/>
      <x:c r="H16" s="99" t="str"/>
    </x:row>
    <x:row r="17">
      <x:c r="A17" s="79" t="str">
        <x:v>Stop Rule</x:v>
      </x:c>
      <x:c r="B17" s="81" t="str">
        <x:v>What are we no longer doing?</x:v>
      </x:c>
      <x:c r="C17" s="80" t="str">
        <x:v>Ryan</x:v>
      </x:c>
      <x:c r="D17" s="80" t="str">
        <x:v>decision</x:v>
      </x:c>
      <x:c r="E17" s="80" t="str">
        <x:v>Open</x:v>
      </x:c>
      <x:c r="F17" s="80" t="str"/>
      <x:c r="G17" s="98" t="str"/>
      <x:c r="H17" s="99" t="str"/>
    </x:row>
    <x:row r="18">
      <x:c r="A18" s="86" t="str">
        <x:v>Scale Rule</x:v>
      </x:c>
      <x:c r="B18" s="88" t="str">
        <x:v>What are we doubling down on?</x:v>
      </x:c>
      <x:c r="C18" s="87" t="str">
        <x:v>Ryan</x:v>
      </x:c>
      <x:c r="D18" s="87" t="str">
        <x:v>decision</x:v>
      </x:c>
      <x:c r="E18" s="87" t="str">
        <x:v>Open</x:v>
      </x:c>
      <x:c r="F18" s="87" t="str"/>
      <x:c r="G18" s="101" t="str"/>
      <x:c r="H18" s="102" t="str"/>
    </x:row>
  </x:sheetData>
  <x:mergeCells>
    <x:mergeCell ref="A1:H2"/>
  </x:mergeCells>
  <x:dataValidations count="1">
    <x:dataValidation type="list" sqref="E5:E18">
      <x:formula1>"Open,Done,Blocked,Deferred"</x:formula1>
    </x:dataValidation>
  </x:dataValidations>
  <x:pageMargins left="0.7" right="0.7" top="0.75" bottom="0.75" header="0.3" footer="0.3"/>
  <x:tableParts count="1">
    <x:tablePart xmlns:r="http://schemas.openxmlformats.org/officeDocument/2006/relationships" r:id="Rb009719a01e7481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47.779998779296875" hidden="0" customWidth="1"/>
    <x:col min="3" max="3" width="30" hidden="0" customWidth="1"/>
    <x:col min="4" max="4" width="18.889999389648438" hidden="0" customWidth="1"/>
    <x:col min="5" max="5" width="15.5600004196167" hidden="0" customWidth="1"/>
    <x:col min="6" max="6" width="31.110000610351562" hidden="0" customWidth="1"/>
  </x:cols>
  <x:sheetData>
    <x:row r="1" ht="24" customHeight="1">
      <x:c r="A1" s="68" t="str">
        <x:v>Deal Threads Automation Commands
Use these to generate queues and log outcomes without hand-editing CSV files.</x:v>
      </x:c>
      <x:c r="B1" s="68" t="str">
        <x:v>Deal Threads Automation Commands
Use these to generate queues and log outcomes without hand-editing CSV files.</x:v>
      </x:c>
      <x:c r="C1" s="68" t="str">
        <x:v>Deal Threads Automation Commands
Use these to generate queues and log outcomes without hand-editing CSV files.</x:v>
      </x:c>
      <x:c r="D1" s="68" t="str">
        <x:v>Deal Threads Automation Commands
Use these to generate queues and log outcomes without hand-editing CSV files.</x:v>
      </x:c>
      <x:c r="E1" s="68" t="str">
        <x:v>Deal Threads Automation Commands
Use these to generate queues and log outcomes without hand-editing CSV files.</x:v>
      </x:c>
      <x:c r="F1" s="68" t="str">
        <x:v>Deal Threads Automation Commands
Use these to generate queues and log outcomes without hand-editing CSV files.</x:v>
      </x:c>
    </x:row>
    <x:row r="2" ht="24" customHeight="1">
      <x:c r="A2" s="68" t="str">
        <x:v>Deal Threads Automation Commands
Use these to generate queues and log outcomes without hand-editing CSV files.</x:v>
      </x:c>
      <x:c r="B2" s="68" t="str">
        <x:v>Deal Threads Automation Commands
Use these to generate queues and log outcomes without hand-editing CSV files.</x:v>
      </x:c>
      <x:c r="C2" s="68" t="str">
        <x:v>Deal Threads Automation Commands
Use these to generate queues and log outcomes without hand-editing CSV files.</x:v>
      </x:c>
      <x:c r="D2" s="68" t="str">
        <x:v>Deal Threads Automation Commands
Use these to generate queues and log outcomes without hand-editing CSV files.</x:v>
      </x:c>
      <x:c r="E2" s="68" t="str">
        <x:v>Deal Threads Automation Commands
Use these to generate queues and log outcomes without hand-editing CSV files.</x:v>
      </x:c>
      <x:c r="F2" s="68" t="str">
        <x:v>Deal Threads Automation Commands
Use these to generate queues and log outcomes without hand-editing CSV files.</x:v>
      </x:c>
    </x:row>
    <x:row r="3">
      <x:c r="A3" s="69"/>
      <x:c r="B3" s="69"/>
      <x:c r="C3" s="69"/>
      <x:c r="D3" s="69"/>
      <x:c r="E3" s="69"/>
      <x:c r="F3" s="69"/>
    </x:row>
    <x:row r="4">
      <x:c r="A4" s="76" t="str">
        <x:v>Task</x:v>
      </x:c>
      <x:c r="B4" s="77" t="str">
        <x:v>Command</x:v>
      </x:c>
      <x:c r="C4" s="77" t="str">
        <x:v>Output</x:v>
      </x:c>
      <x:c r="D4" s="77" t="str">
        <x:v>When</x:v>
      </x:c>
      <x:c r="E4" s="77" t="str">
        <x:v>Owner</x:v>
      </x:c>
      <x:c r="F4" s="78" t="str">
        <x:v>Notes</x:v>
      </x:c>
    </x:row>
    <x:row r="5">
      <x:c r="A5" s="79" t="str">
        <x:v>Generate send board</x:v>
      </x:c>
      <x:c r="B5" s="81" t="str">
        <x:v>python3 'Operations/scripts/deal_threads_build_send_board.py' --targets 'Lead Engine/DealThreads_Targets_Template.csv' --limit 10</x:v>
      </x:c>
      <x:c r="C5" s="81" t="str">
        <x:v>Send board, queue CSV, tracker rows</x:v>
      </x:c>
      <x:c r="D5" s="80" t="str">
        <x:v>Daily morning</x:v>
      </x:c>
      <x:c r="E5" s="80" t="str">
        <x:v>Ryan</x:v>
      </x:c>
      <x:c r="F5" s="99" t="str"/>
    </x:row>
    <x:row r="6">
      <x:c r="A6" s="79" t="str">
        <x:v>Log sent</x:v>
      </x:c>
      <x:c r="B6" s="81" t="str">
        <x:v>python3 'Operations/scripts/deal_threads_log_outcome.py' --id 'company::buyer' --sent --channel LinkedIn --date YYYY-MM-DD</x:v>
      </x:c>
      <x:c r="C6" s="81" t="str">
        <x:v>Tracker updated</x:v>
      </x:c>
      <x:c r="D6" s="80" t="str">
        <x:v>After each send</x:v>
      </x:c>
      <x:c r="E6" s="80" t="str">
        <x:v>Ryan</x:v>
      </x:c>
      <x:c r="F6" s="99" t="str"/>
    </x:row>
    <x:row r="7">
      <x:c r="A7" s="79" t="str">
        <x:v>Log reply</x:v>
      </x:c>
      <x:c r="B7" s="81" t="str">
        <x:v>python3 'Operations/scripts/deal_threads_log_outcome.py' --id 'company::buyer' --replied --sentiment positive --note 'asked for teardown'</x:v>
      </x:c>
      <x:c r="C7" s="81" t="str">
        <x:v>Tracker updated</x:v>
      </x:c>
      <x:c r="D7" s="80" t="str">
        <x:v>When reply arrives</x:v>
      </x:c>
      <x:c r="E7" s="80" t="str">
        <x:v>Ryan</x:v>
      </x:c>
      <x:c r="F7" s="99" t="str"/>
    </x:row>
    <x:row r="8">
      <x:c r="A8" s="79" t="str">
        <x:v>Log teardown requested</x:v>
      </x:c>
      <x:c r="B8" s="81" t="str">
        <x:v>python3 'Operations/scripts/deal_threads_log_outcome.py' --id 'company::buyer' --teardown-requested</x:v>
      </x:c>
      <x:c r="C8" s="81" t="str">
        <x:v>Next action BUILD_TEARDOWN</x:v>
      </x:c>
      <x:c r="D8" s="80" t="str">
        <x:v>After yes</x:v>
      </x:c>
      <x:c r="E8" s="80" t="str">
        <x:v>Ryan</x:v>
      </x:c>
      <x:c r="F8" s="99" t="str"/>
    </x:row>
    <x:row r="9">
      <x:c r="A9" s="79" t="str">
        <x:v>Log teardown sent</x:v>
      </x:c>
      <x:c r="B9" s="81" t="str">
        <x:v>python3 'Operations/scripts/deal_threads_log_outcome.py' --id 'company::buyer' --teardown-sent</x:v>
      </x:c>
      <x:c r="C9" s="81" t="str">
        <x:v>Next action ASK_INSTALL_MAPPING</x:v>
      </x:c>
      <x:c r="D9" s="80" t="str">
        <x:v>After delivery</x:v>
      </x:c>
      <x:c r="E9" s="80" t="str">
        <x:v>Ryan</x:v>
      </x:c>
      <x:c r="F9" s="99" t="str"/>
    </x:row>
    <x:row r="10">
      <x:c r="A10" s="79" t="str">
        <x:v>Log install call</x:v>
      </x:c>
      <x:c r="B10" s="81" t="str">
        <x:v>python3 'Operations/scripts/deal_threads_log_outcome.py' --id 'company::buyer' --install-call</x:v>
      </x:c>
      <x:c r="C10" s="81" t="str">
        <x:v>Next action INSTALL_CALL_BOOKED</x:v>
      </x:c>
      <x:c r="D10" s="80" t="str">
        <x:v>After booked</x:v>
      </x:c>
      <x:c r="E10" s="80" t="str">
        <x:v>Ryan</x:v>
      </x:c>
      <x:c r="F10" s="99" t="str"/>
    </x:row>
    <x:row r="11">
      <x:c r="A11" s="86" t="str">
        <x:v>Weekly review</x:v>
      </x:c>
      <x:c r="B11" s="88" t="str">
        <x:v>Open workbook + send board + tracker, then fill Weekly Review tab</x:v>
      </x:c>
      <x:c r="C11" s="88" t="str">
        <x:v>Decisions for next week</x:v>
      </x:c>
      <x:c r="D11" s="87" t="str">
        <x:v>Friday</x:v>
      </x:c>
      <x:c r="E11" s="87" t="str">
        <x:v>Ryan</x:v>
      </x:c>
      <x:c r="F11" s="102" t="str"/>
    </x:row>
  </x:sheetData>
  <x:mergeCells>
    <x:mergeCell ref="A1:F2"/>
  </x:mergeCells>
  <x:pageMargins left="0.7" right="0.7" top="0.75" bottom="0.75" header="0.3" footer="0.3"/>
  <x:tableParts count="1">
    <x:tablePart xmlns:r="http://schemas.openxmlformats.org/officeDocument/2006/relationships" r:id="Reb256626efc14ae1"/>
  </x:tableParts>
</x:worksheet>
</file>