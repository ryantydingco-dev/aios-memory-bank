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165227b1dc49bd" /></Relationships>
</file>

<file path=xl/workbook.xml><?xml version="1.0" encoding="utf-8"?>
<x:workbook xmlns:x="http://schemas.openxmlformats.org/spreadsheetml/2006/main">
  <x:sheets>
    <x:sheet xmlns:r="http://schemas.openxmlformats.org/officeDocument/2006/relationships" name="Prospect Universe" sheetId="1" r:id="R50d1288655bd43b1"/>
    <x:sheet xmlns:r="http://schemas.openxmlformats.org/officeDocument/2006/relationships" name="Dashboard" sheetId="2" r:id="Rfd216d66d73b475f"/>
    <x:sheet xmlns:r="http://schemas.openxmlformats.org/officeDocument/2006/relationships" name="Top 50" sheetId="3" r:id="R1a6e24f1c7b74b87"/>
    <x:sheet xmlns:r="http://schemas.openxmlformats.org/officeDocument/2006/relationships" name="Signal Model" sheetId="4" r:id="Re1bf4b03bcd64b85"/>
    <x:sheet xmlns:r="http://schemas.openxmlformats.org/officeDocument/2006/relationships" name="Offer &amp; Outreach" sheetId="5" r:id="R8160bc545b9b4389"/>
    <x:sheet xmlns:r="http://schemas.openxmlformats.org/officeDocument/2006/relationships" name="Sources &amp; Coverage" sheetId="6" r:id="Ra23e39b4a4ad481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8">
    <x:font>
      <x:sz val="11"/>
      <x:name val="Carlito"/>
    </x:font>
    <x:font>
      <x:b/>
      <x:sz val="20"/>
      <x:color rgb="FFFFFFFF"/>
      <x:name val="Carlito"/>
    </x:font>
    <x:font>
      <x:sz val="10"/>
      <x:color rgb="FFD9E7F5"/>
      <x:name val="Carlito"/>
    </x:font>
    <x:font>
      <x:b/>
      <x:sz val="10"/>
      <x:color rgb="FF5C6B7A"/>
      <x:name val="Carlito"/>
    </x:font>
    <x:font>
      <x:b/>
      <x:sz val="20"/>
      <x:color rgb="FF17324D"/>
      <x:name val="Carlito"/>
    </x:font>
    <x:font>
      <x:b/>
      <x:sz val="11"/>
      <x:color rgb="FFFFFFFF"/>
      <x:name val="Carlito"/>
    </x:font>
    <x:font>
      <x:i/>
      <x:sz val="11"/>
      <x:color rgb="FF624A00"/>
      <x:name val="Carlito"/>
    </x:font>
    <x:font>
      <x:b/>
      <x:sz val="20"/>
      <x:color rgb="FFFFFFFF"/>
      <x:name val="Aptos"/>
    </x:font>
    <x:font>
      <x:sz val="11"/>
      <x:name val="Aptos"/>
    </x:font>
    <x:font>
      <x:sz val="10"/>
      <x:color rgb="FFD9E7F5"/>
      <x:name val="Aptos"/>
    </x:font>
    <x:font>
      <x:b/>
      <x:sz val="10"/>
      <x:color rgb="FF5C6B7A"/>
      <x:name val="Aptos"/>
    </x:font>
    <x:font>
      <x:b/>
      <x:sz val="20"/>
      <x:color rgb="FF17324D"/>
      <x:name val="Aptos"/>
    </x:font>
    <x:font>
      <x:b/>
      <x:sz val="11"/>
      <x:color rgb="FFFFFFFF"/>
      <x:name val="Aptos"/>
    </x:font>
    <x:font>
      <x:i/>
      <x:sz val="11"/>
      <x:color rgb="FF624A00"/>
      <x:name val="Aptos"/>
    </x:font>
    <x:font>
      <x:sz val="10"/>
      <x:color rgb="FF17212B"/>
      <x:name val="Aptos"/>
    </x:font>
    <x:font>
      <x:b/>
      <x:sz val="10"/>
      <x:color rgb="FFFFFFFF"/>
      <x:name val="Aptos"/>
    </x:font>
    <x:font>
      <x:b/>
      <x:sz val="11"/>
      <x:color rgb="FF624A00"/>
      <x:name val="Carlito"/>
    </x:font>
    <x:font>
      <x:sz val="11"/>
      <x:color rgb="FF624A00"/>
      <x:name val="Carlito"/>
    </x:font>
  </x:fonts>
  <x:fills count="7">
    <x:fill>
      <x:patternFill patternType="none"/>
    </x:fill>
    <x:fill>
      <x:patternFill patternType="gray125"/>
    </x:fill>
    <x:fill>
      <x:patternFill patternType="solid">
        <x:fgColor rgb="FF17324D"/>
      </x:patternFill>
    </x:fill>
    <x:fill>
      <x:patternFill patternType="solid">
        <x:fgColor rgb="FFF3F5F7"/>
      </x:patternFill>
    </x:fill>
    <x:fill>
      <x:patternFill patternType="solid">
        <x:fgColor rgb="FFEAF2FF"/>
      </x:patternFill>
    </x:fill>
    <x:fill>
      <x:patternFill patternType="solid">
        <x:fgColor rgb="FF2563EB"/>
      </x:patternFill>
    </x:fill>
    <x:fill>
      <x:patternFill patternType="solid">
        <x:fgColor rgb="FFFFF2CC"/>
      </x:patternFill>
    </x:fill>
  </x:fills>
  <x:borders count="8">
    <x:border/>
    <x:border/>
    <x:border>
      <x:left style="thin">
        <x:color rgb="FFCBD5E1"/>
      </x:left>
      <x:right style="thin">
        <x:color rgb="FFCBD5E1"/>
      </x:right>
      <x:top style="thin">
        <x:color rgb="FFCBD5E1"/>
      </x:top>
    </x:border>
    <x:border>
      <x:left style="thin">
        <x:color rgb="FFCBD5E1"/>
      </x:left>
      <x:right style="thin">
        <x:color rgb="FFCBD5E1"/>
      </x:right>
      <x:bottom style="thin">
        <x:color rgb="FFCBD5E1"/>
      </x:bottom>
    </x:border>
    <x:border>
      <x:left style="thin">
        <x:color rgb="FFCBD5E1"/>
      </x:left>
      <x:right style="thin">
        <x:color rgb="FFCBD5E1"/>
      </x:right>
      <x:top style="thin">
        <x:color rgb="FFCBD5E1"/>
      </x:top>
    </x:border>
    <x:border>
      <x:left style="thin">
        <x:color rgb="FFCBD5E1"/>
      </x:left>
      <x:right style="thin">
        <x:color rgb="FFCBD5E1"/>
      </x:right>
      <x:bottom style="thin">
        <x:color rgb="FFCBD5E1"/>
      </x:bottom>
    </x:border>
    <x:border>
      <x:left style="thin">
        <x:color rgb="FFD8DEE6"/>
      </x:left>
      <x:right style="thin">
        <x:color rgb="FFD8DEE6"/>
      </x:right>
      <x:top style="thin">
        <x:color rgb="FFD8DEE6"/>
      </x:top>
      <x:bottom style="thin">
        <x:color rgb="FFD8DEE6"/>
      </x:bottom>
    </x:border>
    <x:border>
      <x:left style="thin">
        <x:color rgb="FFD8DEE6"/>
      </x:left>
      <x:right style="thin">
        <x:color rgb="FFD8DEE6"/>
      </x:right>
      <x:top style="thin">
        <x:color rgb="FFD8DEE6"/>
      </x:top>
      <x:bottom style="thin">
        <x:color rgb="FFD8DEE6"/>
      </x:bottom>
    </x:border>
  </x:borders>
  <x:cellStyleXfs count="1">
    <x:xf numFmtId="0" fontId="0" fillId="0" borderId="0"/>
  </x:cellStyleXfs>
  <x:cellXfs count="9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horizontal="center"/>
    </x:xf>
    <x:xf numFmtId="0" fontId="3" fillId="3" borderId="1" xfId="0" applyNumberFormat="1" applyFont="1" applyFill="1" applyBorder="1" applyAlignment="1">
      <x:alignment horizontal="center"/>
    </x:xf>
    <x:xf numFmtId="0" fontId="0" fillId="4" borderId="0" xfId="0" applyNumberFormat="1" applyFont="1" applyFill="1" applyBorder="1"/>
    <x:xf numFmtId="0" fontId="0" fillId="4" borderId="1"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0" xfId="0" applyNumberFormat="1" applyFont="1" applyFill="1" applyBorder="1" applyAlignment="1">
      <x:alignment horizontal="center"/>
    </x:xf>
    <x:xf numFmtId="0" fontId="4" fillId="4" borderId="1" xfId="0" applyNumberFormat="1" applyFont="1" applyFill="1" applyBorder="1" applyAlignment="1">
      <x:alignment horizontal="center"/>
    </x:xf>
    <x:xf numFmtId="0" fontId="3" fillId="3" borderId="2" xfId="0" applyNumberFormat="1" applyFont="1" applyFill="1" applyBorder="1" applyAlignment="1">
      <x:alignment horizontal="center"/>
    </x:xf>
    <x:xf numFmtId="0" fontId="4" fillId="4" borderId="3" xfId="0" applyNumberFormat="1" applyFont="1" applyFill="1" applyBorder="1" applyAlignment="1">
      <x:alignment horizontal="center"/>
    </x:xf>
    <x:xf numFmtId="0" fontId="3" fillId="3" borderId="4" xfId="0" applyNumberFormat="1" applyFont="1" applyFill="1" applyBorder="1" applyAlignment="1">
      <x:alignment horizontal="center"/>
    </x:xf>
    <x:xf numFmtId="0" fontId="4" fillId="4" borderId="5" xfId="0" applyNumberFormat="1" applyFont="1" applyFill="1" applyBorder="1" applyAlignment="1">
      <x:alignment horizontal="center"/>
    </x:xf>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0" xfId="0" applyNumberFormat="1" applyFont="1" applyFill="1" applyBorder="1" applyAlignment="1">
      <x:alignment vertical="center"/>
    </x:xf>
    <x:xf numFmtId="0" fontId="5" fillId="5" borderId="1" xfId="0" applyNumberFormat="1" applyFont="1" applyFill="1" applyBorder="1" applyAlignment="1">
      <x:alignment vertical="center"/>
    </x:xf>
    <x:xf numFmtId="0" fontId="5" fillId="5" borderId="6" xfId="0" applyNumberFormat="1" applyFont="1" applyFill="1" applyBorder="1" applyAlignment="1">
      <x:alignment vertical="center"/>
    </x:xf>
    <x:xf numFmtId="0" fontId="0" fillId="0" borderId="6" xfId="0" applyNumberFormat="1" applyFont="1" applyFill="1" applyBorder="1"/>
    <x:xf numFmtId="0" fontId="5" fillId="5" borderId="7" xfId="0" applyNumberFormat="1" applyFont="1" applyFill="1" applyBorder="1" applyAlignment="1">
      <x:alignment vertical="center"/>
    </x:xf>
    <x:xf numFmtId="0" fontId="0" fillId="0" borderId="7"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6" fillId="6" borderId="0" xfId="0" applyNumberFormat="1" applyFont="1" applyFill="1" applyBorder="1" applyAlignment="1">
      <x:alignment wrapText="1"/>
    </x:xf>
    <x:xf numFmtId="0" fontId="6" fillId="6" borderId="1" xfId="0" applyNumberFormat="1" applyFont="1" applyFill="1" applyBorder="1" applyAlignment="1">
      <x:alignment wrapText="1"/>
    </x:xf>
    <x:xf numFmtId="0" fontId="7" fillId="2" borderId="0" xfId="0" applyNumberFormat="1" applyFont="1" applyFill="1" applyBorder="1" applyAlignment="1">
      <x:alignment vertical="center"/>
    </x:xf>
    <x:xf numFmtId="0" fontId="8" fillId="0" borderId="0" xfId="0" applyNumberFormat="1" applyFont="1" applyFill="1" applyBorder="1"/>
    <x:xf numFmtId="0" fontId="9" fillId="2" borderId="0" xfId="0" applyNumberFormat="1" applyFont="1" applyFill="1" applyBorder="1" applyAlignment="1">
      <x:alignment vertical="center"/>
    </x:xf>
    <x:xf numFmtId="0" fontId="10" fillId="3" borderId="2" xfId="0" applyNumberFormat="1" applyFont="1" applyFill="1" applyBorder="1" applyAlignment="1">
      <x:alignment horizontal="center"/>
    </x:xf>
    <x:xf numFmtId="0" fontId="11" fillId="4" borderId="3" xfId="0" applyNumberFormat="1" applyFont="1" applyFill="1" applyBorder="1" applyAlignment="1">
      <x:alignment horizontal="center"/>
    </x:xf>
    <x:xf numFmtId="0" fontId="12" fillId="5" borderId="6" xfId="0" applyNumberFormat="1" applyFont="1" applyFill="1" applyBorder="1" applyAlignment="1">
      <x:alignment vertical="center"/>
    </x:xf>
    <x:xf numFmtId="0" fontId="8" fillId="0" borderId="6" xfId="0" applyNumberFormat="1" applyFont="1" applyFill="1" applyBorder="1"/>
    <x:xf numFmtId="0" fontId="13" fillId="6" borderId="0" xfId="0" applyNumberFormat="1" applyFont="1" applyFill="1" applyBorder="1" applyAlignment="1">
      <x:alignment wrapText="1"/>
    </x:xf>
    <x:xf numFmtId="0" fontId="7" fillId="2" borderId="1" xfId="0" applyNumberFormat="1" applyFont="1" applyFill="1" applyBorder="1" applyAlignment="1">
      <x:alignment vertical="center"/>
    </x:xf>
    <x:xf numFmtId="0" fontId="8" fillId="0" borderId="1" xfId="0" applyNumberFormat="1" applyFont="1" applyFill="1" applyBorder="1"/>
    <x:xf numFmtId="0" fontId="9" fillId="2" borderId="1" xfId="0" applyNumberFormat="1" applyFont="1" applyFill="1" applyBorder="1" applyAlignment="1">
      <x:alignment vertical="center"/>
    </x:xf>
    <x:xf numFmtId="0" fontId="10" fillId="3" borderId="4" xfId="0" applyNumberFormat="1" applyFont="1" applyFill="1" applyBorder="1" applyAlignment="1">
      <x:alignment horizontal="center"/>
    </x:xf>
    <x:xf numFmtId="0" fontId="11" fillId="4" borderId="5" xfId="0" applyNumberFormat="1" applyFont="1" applyFill="1" applyBorder="1" applyAlignment="1">
      <x:alignment horizontal="center"/>
    </x:xf>
    <x:xf numFmtId="0" fontId="12" fillId="5" borderId="7" xfId="0" applyNumberFormat="1" applyFont="1" applyFill="1" applyBorder="1" applyAlignment="1">
      <x:alignment vertical="center"/>
    </x:xf>
    <x:xf numFmtId="0" fontId="8" fillId="0" borderId="7" xfId="0" applyNumberFormat="1" applyFont="1" applyFill="1" applyBorder="1"/>
    <x:xf numFmtId="0" fontId="13" fillId="6" borderId="1" xfId="0" applyNumberFormat="1" applyFont="1" applyFill="1" applyBorder="1" applyAlignment="1">
      <x:alignment wrapText="1"/>
    </x:xf>
    <x:xf numFmtId="0" fontId="14" fillId="0" borderId="0" xfId="0" applyNumberFormat="1" applyFont="1" applyFill="1" applyBorder="1"/>
    <x:xf numFmtId="0" fontId="14" fillId="0" borderId="1" xfId="0" applyNumberFormat="1" applyFont="1" applyFill="1" applyBorder="1"/>
    <x:xf numFmtId="0" fontId="14" fillId="2" borderId="0" xfId="0" applyNumberFormat="1" applyFont="1" applyFill="1" applyBorder="1"/>
    <x:xf numFmtId="0" fontId="14" fillId="2" borderId="1" xfId="0" applyNumberFormat="1" applyFont="1" applyFill="1" applyBorder="1"/>
    <x:xf numFmtId="0" fontId="15" fillId="2" borderId="0" xfId="0" applyNumberFormat="1" applyFont="1" applyFill="1" applyBorder="1"/>
    <x:xf numFmtId="0" fontId="15" fillId="2" borderId="1" xfId="0" applyNumberFormat="1" applyFont="1" applyFill="1" applyBorder="1"/>
    <x:xf numFmtId="0" fontId="15" fillId="2" borderId="0" xfId="0" applyNumberFormat="1" applyFont="1" applyFill="1" applyBorder="1" applyAlignment="1">
      <x:alignment wrapText="1"/>
    </x:xf>
    <x:xf numFmtId="0" fontId="15" fillId="2" borderId="1" xfId="0" applyNumberFormat="1" applyFont="1" applyFill="1" applyBorder="1" applyAlignment="1">
      <x:alignment wrapText="1"/>
    </x:xf>
    <x:xf numFmtId="0" fontId="15" fillId="2" borderId="0" xfId="0" applyNumberFormat="1" applyFont="1" applyFill="1" applyBorder="1" applyAlignment="1">
      <x:alignment vertical="center" wrapText="1"/>
    </x:xf>
    <x:xf numFmtId="0" fontId="15" fillId="2" borderId="1" xfId="0" applyNumberFormat="1" applyFont="1" applyFill="1" applyBorder="1" applyAlignment="1">
      <x:alignment vertical="center" wrapText="1"/>
    </x:xf>
    <x:xf numFmtId="0" fontId="14" fillId="0" borderId="0" xfId="0" applyNumberFormat="1" applyFont="1" applyFill="1" applyBorder="1" applyAlignment="1">
      <x:alignment horizontal="center"/>
    </x:xf>
    <x:xf numFmtId="0" fontId="14" fillId="0" borderId="1" xfId="0" applyNumberFormat="1" applyFont="1" applyFill="1" applyBorder="1" applyAlignment="1">
      <x:alignment horizontal="center"/>
    </x:xf>
    <x:xf numFmtId="200" fontId="14" fillId="0" borderId="0" xfId="0" applyNumberFormat="1" applyFont="1" applyFill="1" applyBorder="1" applyAlignment="1">
      <x:alignment horizontal="center"/>
    </x:xf>
    <x:xf numFmtId="200" fontId="14" fillId="0" borderId="1" xfId="0" applyNumberFormat="1" applyFont="1" applyFill="1" applyBorder="1" applyAlignment="1">
      <x:alignment horizontal="center"/>
    </x:xf>
    <x:xf numFmtId="200" fontId="14" fillId="0" borderId="0" xfId="0" applyNumberFormat="1" applyFont="1" applyFill="1" applyBorder="1"/>
    <x:xf numFmtId="200" fontId="14" fillId="0" borderId="1" xfId="0" applyNumberFormat="1" applyFont="1" applyFill="1" applyBorder="1"/>
    <x:xf numFmtId="0" fontId="14" fillId="0" borderId="0" xfId="0" applyNumberFormat="1" applyFont="1" applyFill="1" applyBorder="1" applyAlignment="1">
      <x:alignment wrapText="1"/>
    </x:xf>
    <x:xf numFmtId="0" fontId="14" fillId="0" borderId="1"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16" fillId="6" borderId="0" xfId="0" applyNumberFormat="1" applyFont="1" applyFill="1" applyBorder="1"/>
    <x:xf numFmtId="0" fontId="16" fillId="6" borderId="1" xfId="0" applyNumberFormat="1" applyFont="1" applyFill="1" applyBorder="1"/>
    <x:xf numFmtId="0" fontId="16" fillId="6" borderId="0" xfId="0" applyNumberFormat="1" applyFont="1" applyFill="1" applyBorder="1" applyAlignment="1">
      <x:alignment wrapText="1"/>
    </x:xf>
    <x:xf numFmtId="0" fontId="16" fillId="6" borderId="1" xfId="0" applyNumberFormat="1" applyFont="1" applyFill="1" applyBorder="1" applyAlignment="1">
      <x:alignment wrapText="1"/>
    </x:xf>
    <x:xf numFmtId="0" fontId="5" fillId="5" borderId="6" xfId="0" applyNumberFormat="1" applyFont="1" applyFill="1" applyBorder="1" applyAlignment="1">
      <x:alignment vertical="center" wrapText="1"/>
    </x:xf>
    <x:xf numFmtId="0" fontId="0" fillId="0" borderId="0" xfId="0" applyNumberFormat="1" applyFont="1" applyFill="1" applyBorder="1" applyAlignment="1">
      <x:alignment wrapText="1"/>
    </x:xf>
    <x:xf numFmtId="0" fontId="5" fillId="5" borderId="7" xfId="0" applyNumberFormat="1" applyFont="1" applyFill="1" applyBorder="1" applyAlignment="1">
      <x:alignment vertical="center" wrapText="1"/>
    </x:xf>
    <x:xf numFmtId="0" fontId="0" fillId="0" borderId="1" xfId="0" applyNumberFormat="1" applyFont="1" applyFill="1" applyBorder="1" applyAlignment="1">
      <x:alignment wrapText="1"/>
    </x:xf>
    <x:xf numFmtId="0" fontId="17" fillId="6" borderId="0" xfId="0" applyNumberFormat="1" applyFont="1" applyFill="1" applyBorder="1"/>
    <x:xf numFmtId="0" fontId="17" fillId="6" borderId="1" xfId="0" applyNumberFormat="1" applyFont="1" applyFill="1" applyBorder="1"/>
    <x:xf numFmtId="0" fontId="17" fillId="6" borderId="0" xfId="0" applyNumberFormat="1" applyFont="1" applyFill="1" applyBorder="1" applyAlignment="1">
      <x:alignment wrapText="1"/>
    </x:xf>
  </x:cellXfs>
  <x:cellStyles count="1">
    <x:cellStyle name="Normal" xfId="0"/>
  </x:cellStyles>
  <x:dxfs count="6">
    <x:dxf>
      <x:font>
        <x:b/>
        <x:color rgb="FF14532D"/>
      </x:font>
      <x:fill>
        <x:patternFill patternType="solid">
          <x:bgColor rgb="FFDFF3E4"/>
        </x:patternFill>
      </x:fill>
    </x:dxf>
    <x:dxf>
      <x:font>
        <x:b/>
        <x:color rgb="FF6B4E00"/>
      </x:font>
      <x:fill>
        <x:patternFill patternType="solid">
          <x:bgColor rgb="FFFFF2CC"/>
        </x:patternFill>
      </x:fill>
    </x:dxf>
    <x:dxf>
      <x:font>
        <x:color rgb="FF7F1D1D"/>
      </x:font>
      <x:fill>
        <x:patternFill patternType="solid">
          <x:bgColor rgb="FFFCE1E1"/>
        </x:patternFill>
      </x:fill>
    </x:dxf>
    <x:dxf>
      <x:font>
        <x:b/>
        <x:color rgb="FF14532D"/>
      </x:font>
      <x:fill>
        <x:patternFill patternType="solid">
          <x:bgColor rgb="FFDFF3E4"/>
        </x:patternFill>
      </x:fill>
    </x:dxf>
    <x:dxf>
      <x:font>
        <x:b/>
        <x:color rgb="FF6B4E00"/>
      </x:font>
      <x:fill>
        <x:patternFill patternType="solid">
          <x:bgColor rgb="FFFFF2CC"/>
        </x:patternFill>
      </x:fill>
    </x:dxf>
    <x:dxf>
      <x:font>
        <x:color rgb="FF7F1D1D"/>
      </x:font>
      <x:fill>
        <x:patternFill patternType="solid">
          <x:bgColor rgb="FFFCE1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3ac1da168448f6" /><Relationship Type="http://schemas.openxmlformats.org/officeDocument/2006/relationships/theme" Target="/xl/theme/theme1.xml" Id="R5e72d247bb144d43" /><Relationship Type="http://schemas.openxmlformats.org/officeDocument/2006/relationships/sharedStrings" Target="/xl/sharedStrings.xml" Id="Re358c12a02b444e8" /><Relationship Type="http://schemas.openxmlformats.org/officeDocument/2006/relationships/worksheet" Target="/xl/worksheets/sheet1.xml" Id="R50d1288655bd43b1" /><Relationship Type="http://schemas.openxmlformats.org/officeDocument/2006/relationships/worksheet" Target="/xl/worksheets/sheet2.xml" Id="Rfd216d66d73b475f" /><Relationship Type="http://schemas.openxmlformats.org/officeDocument/2006/relationships/worksheet" Target="/xl/worksheets/sheet3.xml" Id="R1a6e24f1c7b74b87" /><Relationship Type="http://schemas.openxmlformats.org/officeDocument/2006/relationships/worksheet" Target="/xl/worksheets/sheet4.xml" Id="Re1bf4b03bcd64b85" /><Relationship Type="http://schemas.openxmlformats.org/officeDocument/2006/relationships/worksheet" Target="/xl/worksheets/sheet5.xml" Id="R8160bc545b9b4389" /><Relationship Type="http://schemas.openxmlformats.org/officeDocument/2006/relationships/worksheet" Target="/xl/worksheets/sheet6.xml" Id="Ra23e39b4a4ad481e" /></Relationships>
</file>

<file path=xl/drawings/_rels/drawing1.xml.rels>&#65279;<?xml version="1.0" encoding="utf-8"?><Relationships xmlns="http://schemas.openxmlformats.org/package/2006/relationships"><Relationship Type="http://schemas.openxmlformats.org/officeDocument/2006/relationships/chart" Target="/xl/drawings/charts/chart1.xml" Id="R2efd6a3226dd463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Prospect mix by readiness</a:t>
            </a:r>
          </a:p>
        </c:rich>
      </c:tx>
    </c:title>
    <c:plotArea>
      <c:doughnutChart>
        <c:ser>
          <c:idx val="0"/>
          <c:order val="0"/>
          <c:tx>
            <c:v>Accounts</c:v>
          </c:tx>
          <c:cat>
            <c:strRef>
              <c:f>'Dashboard'!$A$13:$A$16</c:f>
              <c:strCache>
                <c:ptCount val="0"/>
              </c:strCache>
            </c:strRef>
          </c:cat>
          <c:val>
            <c:numRef>
              <c:f>'Dashboard'!$B$13:$B$16</c:f>
              <c:numCache>
                <c:formatCode>General</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11</xdr:row>
      <xdr:rowOff>0</xdr:rowOff>
    </xdr:from>
    <xdr:to>
      <xdr:col>14</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fd6a3226dd463d"/>
        </a:graphicData>
      </a:graphic>
    </xdr:graphicFrame>
    <xdr:clientData/>
  </xdr:twoCellAnchor>
</xdr:wsDr>
</file>

<file path=xl/tables/table1.xml><?xml version="1.0" encoding="utf-8"?>
<x:table xmlns:x="http://schemas.openxmlformats.org/spreadsheetml/2006/main" id="1" name="ProspectUniverse" displayName="ProspectUniverse" ref="A1:BC1001" headerRowCount="1" totalsRowCount="0" totalsRowShown="0">
  <x:autoFilter ref="A1:BC1001"/>
  <x:tableColumns count="55">
    <x:tableColumn id="1" name="rank"/>
    <x:tableColumn id="2" name="tier"/>
    <x:tableColumn id="3" name="total_score"/>
    <x:tableColumn id="4" name="company"/>
    <x:tableColumn id="5" name="website"/>
    <x:tableColumn id="6" name="final_url"/>
    <x:tableColumn id="7" name="city"/>
    <x:tableColumn id="8" name="state"/>
    <x:tableColumn id="9" name="vertical"/>
    <x:tableColumn id="10" name="first_name"/>
    <x:tableColumn id="11" name="last_name"/>
    <x:tableColumn id="12" name="title"/>
    <x:tableColumn id="13" name="email"/>
    <x:tableColumn id="14" name="email_status"/>
    <x:tableColumn id="15" name="phone"/>
    <x:tableColumn id="16" name="linkedin"/>
    <x:tableColumn id="17" name="employee_range"/>
    <x:tableColumn id="18" name="annual_revenue_range"/>
    <x:tableColumn id="19" name="google_rating"/>
    <x:tableColumn id="20" name="google_review_count"/>
    <x:tableColumn id="21" name="complaint_types"/>
    <x:tableColumn id="22" name="fit_score"/>
    <x:tableColumn id="23" name="paid_demand_score"/>
    <x:tableColumn id="24" name="creative_gap_score"/>
    <x:tableColumn id="25" name="proof_score"/>
    <x:tableColumn id="26" name="reachability_score"/>
    <x:tableColumn id="27" name="meta_pixel"/>
    <x:tableColumn id="28" name="google_ads_tag"/>
    <x:tableColumn id="29" name="google_tag_manager"/>
    <x:tableColumn id="30" name="tiktok_pixel"/>
    <x:tableColumn id="31" name="call_tracking"/>
    <x:tableColumn id="32" name="lead_platform"/>
    <x:tableColumn id="33" name="has_video"/>
    <x:tableColumn id="34" name="has_gallery"/>
    <x:tableColumn id="35" name="has_testimonials"/>
    <x:tableColumn id="36" name="has_financing"/>
    <x:tableColumn id="37" name="has_offer"/>
    <x:tableColumn id="38" name="instagram_link"/>
    <x:tableColumn id="39" name="facebook_link"/>
    <x:tableColumn id="40" name="youtube_link"/>
    <x:tableColumn id="41" name="latest_copyright_year"/>
    <x:tableColumn id="42" name="primary_need_signal"/>
    <x:tableColumn id="43" name="evidence_summary"/>
    <x:tableColumn id="44" name="personalization_line"/>
    <x:tableColumn id="45" name="sample_concept"/>
    <x:tableColumn id="46" name="subject_line"/>
    <x:tableColumn id="47" name="email_1"/>
    <x:tableColumn id="48" name="follow_up_1"/>
    <x:tableColumn id="49" name="call_opener"/>
    <x:tableColumn id="50" name="meta_ad_library_check_url"/>
    <x:tableColumn id="51" name="scan_status"/>
    <x:tableColumn id="52" name="scanned_at"/>
    <x:tableColumn id="53" name="source_labels"/>
    <x:tableColumn id="54" name="source_urls"/>
    <x:tableColumn id="55" name="excluded_reason"/>
  </x:tableColumns>
  <x:tableStyleInfo name="TableStyleMedium2" showFirstColumn="0" showLastColumn="0" showRowStripes="1" showColumnStripes="0"/>
</x:table>
</file>

<file path=xl/tables/table2.xml><?xml version="1.0" encoding="utf-8"?>
<x:table xmlns:x="http://schemas.openxmlformats.org/spreadsheetml/2006/main" id="2" name="Top50Prospects" displayName="Top50Prospects" ref="A1:BC51" headerRowCount="1" totalsRowCount="0" totalsRowShown="0">
  <x:autoFilter ref="A1:BC51"/>
  <x:tableColumns count="55">
    <x:tableColumn id="1" name="rank"/>
    <x:tableColumn id="2" name="tier"/>
    <x:tableColumn id="3" name="total_score"/>
    <x:tableColumn id="4" name="company"/>
    <x:tableColumn id="5" name="website"/>
    <x:tableColumn id="6" name="final_url"/>
    <x:tableColumn id="7" name="city"/>
    <x:tableColumn id="8" name="state"/>
    <x:tableColumn id="9" name="vertical"/>
    <x:tableColumn id="10" name="first_name"/>
    <x:tableColumn id="11" name="last_name"/>
    <x:tableColumn id="12" name="title"/>
    <x:tableColumn id="13" name="email"/>
    <x:tableColumn id="14" name="email_status"/>
    <x:tableColumn id="15" name="phone"/>
    <x:tableColumn id="16" name="linkedin"/>
    <x:tableColumn id="17" name="employee_range"/>
    <x:tableColumn id="18" name="annual_revenue_range"/>
    <x:tableColumn id="19" name="google_rating"/>
    <x:tableColumn id="20" name="google_review_count"/>
    <x:tableColumn id="21" name="complaint_types"/>
    <x:tableColumn id="22" name="fit_score"/>
    <x:tableColumn id="23" name="paid_demand_score"/>
    <x:tableColumn id="24" name="creative_gap_score"/>
    <x:tableColumn id="25" name="proof_score"/>
    <x:tableColumn id="26" name="reachability_score"/>
    <x:tableColumn id="27" name="meta_pixel"/>
    <x:tableColumn id="28" name="google_ads_tag"/>
    <x:tableColumn id="29" name="google_tag_manager"/>
    <x:tableColumn id="30" name="tiktok_pixel"/>
    <x:tableColumn id="31" name="call_tracking"/>
    <x:tableColumn id="32" name="lead_platform"/>
    <x:tableColumn id="33" name="has_video"/>
    <x:tableColumn id="34" name="has_gallery"/>
    <x:tableColumn id="35" name="has_testimonials"/>
    <x:tableColumn id="36" name="has_financing"/>
    <x:tableColumn id="37" name="has_offer"/>
    <x:tableColumn id="38" name="instagram_link"/>
    <x:tableColumn id="39" name="facebook_link"/>
    <x:tableColumn id="40" name="youtube_link"/>
    <x:tableColumn id="41" name="latest_copyright_year"/>
    <x:tableColumn id="42" name="primary_need_signal"/>
    <x:tableColumn id="43" name="evidence_summary"/>
    <x:tableColumn id="44" name="personalization_line"/>
    <x:tableColumn id="45" name="sample_concept"/>
    <x:tableColumn id="46" name="subject_line"/>
    <x:tableColumn id="47" name="email_1"/>
    <x:tableColumn id="48" name="follow_up_1"/>
    <x:tableColumn id="49" name="call_opener"/>
    <x:tableColumn id="50" name="meta_ad_library_check_url"/>
    <x:tableColumn id="51" name="scan_status"/>
    <x:tableColumn id="52" name="scanned_at"/>
    <x:tableColumn id="53" name="source_labels"/>
    <x:tableColumn id="54" name="source_urls"/>
    <x:tableColumn id="55" name="excluded_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a6b340c9b8d48b4" /></Relationships>
</file>

<file path=xl/worksheets/_rels/sheet2.xml.rels>&#65279;<?xml version="1.0" encoding="utf-8"?><Relationships xmlns="http://schemas.openxmlformats.org/package/2006/relationships"><Relationship Type="http://schemas.openxmlformats.org/officeDocument/2006/relationships/drawing" Target="/xl/drawings/drawing1.xml" Id="R59d34b94c9cd4763" /></Relationships>
</file>

<file path=xl/worksheets/_rels/sheet3.xml.rels>&#65279;<?xml version="1.0" encoding="utf-8"?><Relationships xmlns="http://schemas.openxmlformats.org/package/2006/relationships"><Relationship Type="http://schemas.openxmlformats.org/officeDocument/2006/relationships/table" Target="/xl/tables/table2.xml" Id="Raabde0a6139b4d3f"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5" hidden="0" customWidth="1"/>
    <x:col min="3" max="3" width="10" hidden="0" customWidth="1"/>
    <x:col min="4" max="4" width="30" hidden="0" customWidth="1"/>
    <x:col min="5" max="5" width="24" hidden="0" customWidth="1"/>
    <x:col min="6" max="6" width="24" hidden="0" customWidth="1"/>
    <x:col min="7" max="7" width="17" hidden="0" customWidth="1"/>
    <x:col min="8" max="8" width="17" hidden="0" customWidth="1"/>
    <x:col min="9" max="9" width="17" hidden="0" customWidth="1"/>
    <x:col min="10" max="10" width="16" hidden="0" customWidth="1"/>
    <x:col min="11" max="11" width="16" hidden="0" customWidth="1"/>
    <x:col min="12" max="12" width="16" hidden="0" customWidth="1"/>
    <x:col min="13" max="13" width="24" hidden="0" customWidth="1"/>
    <x:col min="14" max="14" width="24" hidden="0" customWidth="1"/>
    <x:col min="15" max="15" width="24" hidden="0" customWidth="1"/>
    <x:col min="16" max="16" width="24" hidden="0" customWidth="1"/>
    <x:col min="42" max="42" width="34" hidden="0" customWidth="1"/>
    <x:col min="43" max="43" width="34" hidden="0" customWidth="1"/>
    <x:col min="44" max="44" width="36" hidden="0" customWidth="1"/>
    <x:col min="45" max="45" width="36" hidden="0" customWidth="1"/>
    <x:col min="46" max="46" width="48" hidden="0" customWidth="1"/>
    <x:col min="47" max="47" width="48" hidden="0" customWidth="1"/>
    <x:col min="48" max="48" width="48" hidden="0" customWidth="1"/>
    <x:col min="49" max="49" width="48" hidden="0" customWidth="1"/>
    <x:col min="50" max="50" width="30" hidden="0" customWidth="1"/>
    <x:col min="51" max="51" width="30" hidden="0" customWidth="1"/>
    <x:col min="52" max="52" width="30" hidden="0" customWidth="1"/>
    <x:col min="53" max="53" width="30" hidden="0" customWidth="1"/>
    <x:col min="54" max="54" width="30" hidden="0" customWidth="1"/>
  </x:cols>
  <x:sheetData>
    <x:row r="1" ht="18" customHeight="1">
      <x:c r="A1" s="68" t="str">
        <x:v>rank</x:v>
      </x:c>
      <x:c r="B1" s="68" t="str">
        <x:v>tier</x:v>
      </x:c>
      <x:c r="C1" s="68" t="str">
        <x:v>total_score</x:v>
      </x:c>
      <x:c r="D1" s="68" t="str">
        <x:v>company</x:v>
      </x:c>
      <x:c r="E1" s="68" t="str">
        <x:v>website</x:v>
      </x:c>
      <x:c r="F1" s="68" t="str">
        <x:v>final_url</x:v>
      </x:c>
      <x:c r="G1" s="68" t="str">
        <x:v>city</x:v>
      </x:c>
      <x:c r="H1" s="68" t="str">
        <x:v>state</x:v>
      </x:c>
      <x:c r="I1" s="68" t="str">
        <x:v>vertical</x:v>
      </x:c>
      <x:c r="J1" s="68" t="str">
        <x:v>first_name</x:v>
      </x:c>
      <x:c r="K1" s="68" t="str">
        <x:v>last_name</x:v>
      </x:c>
      <x:c r="L1" s="68" t="str">
        <x:v>title</x:v>
      </x:c>
      <x:c r="M1" s="68" t="str">
        <x:v>email</x:v>
      </x:c>
      <x:c r="N1" s="68" t="str">
        <x:v>email_status</x:v>
      </x:c>
      <x:c r="O1" s="68" t="str">
        <x:v>phone</x:v>
      </x:c>
      <x:c r="P1" s="68" t="str">
        <x:v>linkedin</x:v>
      </x:c>
      <x:c r="Q1" s="68" t="str">
        <x:v>employee_range</x:v>
      </x:c>
      <x:c r="R1" s="68" t="str">
        <x:v>annual_revenue_range</x:v>
      </x:c>
      <x:c r="S1" s="68" t="str">
        <x:v>google_rating</x:v>
      </x:c>
      <x:c r="T1" s="68" t="str">
        <x:v>google_review_count</x:v>
      </x:c>
      <x:c r="U1" s="68" t="str">
        <x:v>complaint_types</x:v>
      </x:c>
      <x:c r="V1" s="68" t="str">
        <x:v>fit_score</x:v>
      </x:c>
      <x:c r="W1" s="68" t="str">
        <x:v>paid_demand_score</x:v>
      </x:c>
      <x:c r="X1" s="68" t="str">
        <x:v>creative_gap_score</x:v>
      </x:c>
      <x:c r="Y1" s="68" t="str">
        <x:v>proof_score</x:v>
      </x:c>
      <x:c r="Z1" s="68" t="str">
        <x:v>reachability_score</x:v>
      </x:c>
      <x:c r="AA1" s="68" t="str">
        <x:v>meta_pixel</x:v>
      </x:c>
      <x:c r="AB1" s="68" t="str">
        <x:v>google_ads_tag</x:v>
      </x:c>
      <x:c r="AC1" s="68" t="str">
        <x:v>google_tag_manager</x:v>
      </x:c>
      <x:c r="AD1" s="68" t="str">
        <x:v>tiktok_pixel</x:v>
      </x:c>
      <x:c r="AE1" s="68" t="str">
        <x:v>call_tracking</x:v>
      </x:c>
      <x:c r="AF1" s="68" t="str">
        <x:v>lead_platform</x:v>
      </x:c>
      <x:c r="AG1" s="68" t="str">
        <x:v>has_video</x:v>
      </x:c>
      <x:c r="AH1" s="68" t="str">
        <x:v>has_gallery</x:v>
      </x:c>
      <x:c r="AI1" s="68" t="str">
        <x:v>has_testimonials</x:v>
      </x:c>
      <x:c r="AJ1" s="68" t="str">
        <x:v>has_financing</x:v>
      </x:c>
      <x:c r="AK1" s="68" t="str">
        <x:v>has_offer</x:v>
      </x:c>
      <x:c r="AL1" s="68" t="str">
        <x:v>instagram_link</x:v>
      </x:c>
      <x:c r="AM1" s="68" t="str">
        <x:v>facebook_link</x:v>
      </x:c>
      <x:c r="AN1" s="68" t="str">
        <x:v>youtube_link</x:v>
      </x:c>
      <x:c r="AO1" s="68" t="str">
        <x:v>latest_copyright_year</x:v>
      </x:c>
      <x:c r="AP1" s="68" t="str">
        <x:v>primary_need_signal</x:v>
      </x:c>
      <x:c r="AQ1" s="68" t="str">
        <x:v>evidence_summary</x:v>
      </x:c>
      <x:c r="AR1" s="68" t="str">
        <x:v>personalization_line</x:v>
      </x:c>
      <x:c r="AS1" s="68" t="str">
        <x:v>sample_concept</x:v>
      </x:c>
      <x:c r="AT1" s="68" t="str">
        <x:v>subject_line</x:v>
      </x:c>
      <x:c r="AU1" s="68" t="str">
        <x:v>email_1</x:v>
      </x:c>
      <x:c r="AV1" s="68" t="str">
        <x:v>follow_up_1</x:v>
      </x:c>
      <x:c r="AW1" s="68" t="str">
        <x:v>call_opener</x:v>
      </x:c>
      <x:c r="AX1" s="68" t="str">
        <x:v>meta_ad_library_check_url</x:v>
      </x:c>
      <x:c r="AY1" s="68" t="str">
        <x:v>scan_status</x:v>
      </x:c>
      <x:c r="AZ1" s="68" t="str">
        <x:v>scanned_at</x:v>
      </x:c>
      <x:c r="BA1" s="68" t="str">
        <x:v>source_labels</x:v>
      </x:c>
      <x:c r="BB1" s="68" t="str">
        <x:v>source_urls</x:v>
      </x:c>
      <x:c r="BC1" s="68" t="str">
        <x:v>excluded_reason</x:v>
      </x:c>
    </x:row>
    <x:row r="2" ht="18" customHeight="1">
      <x:c r="A2" s="70" t="str">
        <x:v>1</x:v>
      </x:c>
      <x:c r="B2" s="70" t="str">
        <x:v>A - Layup</x:v>
      </x:c>
      <x:c r="C2" s="72" t="str">
        <x:v>94</x:v>
      </x:c>
      <x:c r="D2" s="60" t="str">
        <x:v>Vista Roofing Inc.</x:v>
      </x:c>
      <x:c r="E2" s="60" t="str">
        <x:v>https://vistaroofinginc.com</x:v>
      </x:c>
      <x:c r="F2" s="60" t="str">
        <x:v>https://vistaroofinginc.com</x:v>
      </x:c>
      <x:c r="G2" s="60" t="str">
        <x:v>West Columbia</x:v>
      </x:c>
      <x:c r="H2" s="60" t="str">
        <x:v>South Carolina</x:v>
      </x:c>
      <x:c r="I2" s="60" t="str">
        <x:v>Roofing</x:v>
      </x:c>
      <x:c r="J2" s="60" t="str">
        <x:v>Ben</x:v>
      </x:c>
      <x:c r="K2" s="60" t="str">
        <x:v>Stiles</x:v>
      </x:c>
      <x:c r="L2" s="60" t="str">
        <x:v>Co-Owner</x:v>
      </x:c>
      <x:c r="M2" s="60" t="str">
        <x:v>ben@vistaroofinginc.com</x:v>
      </x:c>
      <x:c r="N2" s="60" t="str">
        <x:v>Verified with BounceBan on 08 Jun 26 12:06</x:v>
      </x:c>
      <x:c r="O2" s="60" t="str"/>
      <x:c r="P2" s="60" t="str">
        <x:v>https://www.linkedin.com/in/ben-stiles-39a9b92a4</x:v>
      </x:c>
      <x:c r="Q2" s="60" t="str">
        <x:v>2-10</x:v>
      </x:c>
      <x:c r="R2" s="60" t="str">
        <x:v>500000-999999</x:v>
      </x:c>
      <x:c r="S2" s="60" t="str"/>
      <x:c r="T2" s="74" t="str">
        <x:v>0</x:v>
      </x:c>
      <x:c r="U2" s="60" t="str"/>
      <x:c r="V2" s="74" t="str">
        <x:v>30</x:v>
      </x:c>
      <x:c r="W2" s="74" t="str">
        <x:v>30</x:v>
      </x:c>
      <x:c r="X2" s="74" t="str">
        <x:v>12</x:v>
      </x:c>
      <x:c r="Y2" s="74" t="str">
        <x:v>15</x:v>
      </x:c>
      <x:c r="Z2" s="74" t="str">
        <x:v>7</x:v>
      </x:c>
      <x:c r="AA2" s="74" t="str">
        <x:v>1</x:v>
      </x:c>
      <x:c r="AB2" s="74" t="str">
        <x:v>1</x:v>
      </x:c>
      <x:c r="AC2" s="74" t="str">
        <x:v>1</x:v>
      </x:c>
      <x:c r="AD2" s="74" t="str">
        <x:v>0</x:v>
      </x:c>
      <x:c r="AE2" s="74" t="str">
        <x:v>1</x:v>
      </x:c>
      <x:c r="AF2" s="74" t="str"/>
      <x:c r="AG2" s="74" t="str">
        <x:v>0</x:v>
      </x:c>
      <x:c r="AH2" s="74" t="str">
        <x:v>1</x:v>
      </x:c>
      <x:c r="AI2" s="74" t="str">
        <x:v>1</x:v>
      </x:c>
      <x:c r="AJ2" s="74" t="str">
        <x:v>1</x:v>
      </x:c>
      <x:c r="AK2" s="74" t="str">
        <x:v>1</x:v>
      </x:c>
      <x:c r="AL2" s="74" t="str">
        <x:v>1</x:v>
      </x:c>
      <x:c r="AM2" s="74" t="str">
        <x:v>1</x:v>
      </x:c>
      <x:c r="AN2" s="74" t="str">
        <x:v>1</x:v>
      </x:c>
      <x:c r="AO2" s="60" t="str">
        <x:v>2026</x:v>
      </x:c>
      <x:c r="AP2" s="76" t="str">
        <x:v>Meta tracking detected; no embedded homepage video found</x:v>
      </x:c>
      <x:c r="AQ2" s="76" t="str">
        <x:v>Meta Pixel; Google Ads tag; call tracking; project/gallery proof; testimonials; financing; visible service offer; no embedded homepage video detected</x:v>
      </x:c>
      <x:c r="AR2" s="76" t="str">
        <x:v>I noticed Vista Roofing Inc.'s site has Meta tracking installed, but I couldn't find an embedded video on the homepage.</x:v>
      </x:c>
      <x:c r="AS2" s="76" t="str">
        <x:v>storm-to-inspection before/after ad</x:v>
      </x:c>
      <x:c r="AT2" s="76" t="str">
        <x:v>Vista Roofing Inc. ad concept</x:v>
      </x:c>
      <x:c r="AU2" s="76" t="str">
        <x:v>Hi Ben — I noticed Vista Roofing Inc.'s site has Meta tracking installed, but I couldn't find an embedded video on the homepage. I mapped a private 15-second storm-to-inspection before/after ad for Vista Roofing Inc. using only public brand context—not for publishing, just to show the angle. We build three client-approved video ad concepts in seven days, then turn the winners into fresh variations. No filming day required. Worth sending the private sample?</x:v>
      </x:c>
      <x:c r="AV2" s="76" t="str">
        <x:v>Quick follow-up: the sample angle is a storm-to-inspection before/after ad. If it misses the mark, no problem—I won't keep chasing. Should I send it?</x:v>
      </x:c>
      <x:c r="AW2" s="76" t="str">
        <x:v>Hi Ben, Ryan here. I was looking at Vista Roofing Inc.'s public marketing and noticed: meta tracking detected; no embedded homepage video found. I mapped one private storm-to-inspection before/after ad as an example. Did I catch you with 30 seconds?</x:v>
      </x:c>
      <x:c r="AX2" s="60" t="str">
        <x:v>https://www.facebook.com/ads/library/?active_status=active&amp;ad_type=all&amp;country=US&amp;q=Vista%20Roofing%20Inc.&amp;search_type=keyword_unordered</x:v>
      </x:c>
      <x:c r="AY2" s="60" t="str">
        <x:v>ok:200</x:v>
      </x:c>
      <x:c r="AZ2" s="60" t="n">
        <x:v>46232.722858796296</x:v>
      </x:c>
      <x:c r="BA2" s="60" t="str">
        <x:v>AI Ark SC trades export</x:v>
      </x:c>
      <x:c r="BB2" s="60" t="str">
        <x:v>https://vistaroofinginc.com | https://www.linkedin.com/company/vista-roofing-inc</x:v>
      </x:c>
      <x:c r="BC2" s="60" t="str"/>
    </x:row>
    <x:row r="3" ht="18" customHeight="1">
      <x:c r="A3" s="70" t="str">
        <x:v>2</x:v>
      </x:c>
      <x:c r="B3" s="70" t="str">
        <x:v>A - Layup</x:v>
      </x:c>
      <x:c r="C3" s="72" t="str">
        <x:v>93</x:v>
      </x:c>
      <x:c r="D3" s="60" t="str">
        <x:v>Preferred Choice Heating and Air</x:v>
      </x:c>
      <x:c r="E3" s="60" t="str">
        <x:v>https://preferredchoiceheatingandair.com</x:v>
      </x:c>
      <x:c r="F3" s="60" t="str">
        <x:v>https://www.preferredchoiceheatingandair.com/</x:v>
      </x:c>
      <x:c r="G3" s="60" t="str">
        <x:v>Greenville</x:v>
      </x:c>
      <x:c r="H3" s="60" t="str">
        <x:v>South Carolina</x:v>
      </x:c>
      <x:c r="I3" s="60" t="str">
        <x:v>HVAC</x:v>
      </x:c>
      <x:c r="J3" s="60" t="str">
        <x:v>Preferred Choice Heating and Air</x:v>
      </x:c>
      <x:c r="K3" s="60" t="str"/>
      <x:c r="L3" s="60" t="str">
        <x:v>Owner / decision maker to verify</x:v>
      </x:c>
      <x:c r="M3" s="60" t="str"/>
      <x:c r="N3" s="60" t="str"/>
      <x:c r="O3" s="60" t="str">
        <x:v>(864) 283-6754</x:v>
      </x:c>
      <x:c r="P3" s="60" t="str"/>
      <x:c r="Q3" s="60" t="str"/>
      <x:c r="R3" s="60" t="str"/>
      <x:c r="S3" s="60" t="str">
        <x:v>4.9</x:v>
      </x:c>
      <x:c r="T3" s="74" t="str">
        <x:v>281</x:v>
      </x:c>
      <x:c r="U3" s="60" t="str"/>
      <x:c r="V3" s="74" t="str">
        <x:v>29</x:v>
      </x:c>
      <x:c r="W3" s="74" t="str">
        <x:v>28</x:v>
      </x:c>
      <x:c r="X3" s="74" t="str">
        <x:v>16</x:v>
      </x:c>
      <x:c r="Y3" s="74" t="str">
        <x:v>15</x:v>
      </x:c>
      <x:c r="Z3" s="74" t="str">
        <x:v>5</x:v>
      </x:c>
      <x:c r="AA3" s="74" t="str">
        <x:v>1</x:v>
      </x:c>
      <x:c r="AB3" s="74" t="str">
        <x:v>1</x:v>
      </x:c>
      <x:c r="AC3" s="74" t="str">
        <x:v>1</x:v>
      </x:c>
      <x:c r="AD3" s="74" t="str">
        <x:v>0</x:v>
      </x:c>
      <x:c r="AE3" s="74" t="str">
        <x:v>0</x:v>
      </x:c>
      <x:c r="AF3" s="74" t="str">
        <x:v>podium</x:v>
      </x:c>
      <x:c r="AG3" s="74" t="str">
        <x:v>0</x:v>
      </x:c>
      <x:c r="AH3" s="74" t="str">
        <x:v>1</x:v>
      </x:c>
      <x:c r="AI3" s="74" t="str">
        <x:v>1</x:v>
      </x:c>
      <x:c r="AJ3" s="74" t="str">
        <x:v>0</x:v>
      </x:c>
      <x:c r="AK3" s="74" t="str">
        <x:v>1</x:v>
      </x:c>
      <x:c r="AL3" s="74" t="str">
        <x:v>0</x:v>
      </x:c>
      <x:c r="AM3" s="74" t="str">
        <x:v>1</x:v>
      </x:c>
      <x:c r="AN3" s="74" t="str">
        <x:v>0</x:v>
      </x:c>
      <x:c r="AO3" s="60" t="str">
        <x:v>2026</x:v>
      </x:c>
      <x:c r="AP3" s="76" t="str">
        <x:v>Meta tracking detected; no embedded homepage video found</x:v>
      </x:c>
      <x:c r="AQ3" s="76" t="str">
        <x:v>Meta Pixel; Google Ads tag; project/gallery proof; testimonials; visible service offer; no embedded homepage video detected</x:v>
      </x:c>
      <x:c r="AR3" s="76" t="str">
        <x:v>I noticed Preferred Choice Heating and Air's site has Meta tracking installed, but I couldn't find an embedded video on the homepage.</x:v>
      </x:c>
      <x:c r="AS3" s="76" t="str">
        <x:v>no-cool-call to same-day comfort ad</x:v>
      </x:c>
      <x:c r="AT3" s="76" t="str">
        <x:v>Preferred Choice Heating and Air ad concept</x:v>
      </x:c>
      <x:c r="AU3" s="76" t="str">
        <x:v>Hi Preferred Choice Heating and Air — I noticed Preferred Choice Heating and Air's site has Meta tracking installed, but I couldn't find an embedded video on the homepage. I mapped a private 15-second no-cool-call to same-day comfort ad for Preferred Choice Heating and Air using only public brand context—not for publishing, just to show the angle. We build three client-approved video ad concepts in seven days, then turn the winners into fresh variations. No filming day required. Worth sending the private sample?</x:v>
      </x:c>
      <x:c r="AV3" s="76" t="str">
        <x:v>Quick follow-up: the sample angle is a no-cool-call to same-day comfort ad. If it misses the mark, no problem—I won't keep chasing. Should I send it?</x:v>
      </x:c>
      <x:c r="AW3" s="76" t="str">
        <x:v>Hi Preferred Choice Heating and Air, Ryan here. I was looking at Preferred Choice Heating and Air's public marketing and noticed: meta tracking detected; no embedded homepage video found. I mapped one private no-cool-call to same-day comfort ad as an example. Did I catch you with 30 seconds?</x:v>
      </x:c>
      <x:c r="AX3" s="60" t="str">
        <x:v>https://www.facebook.com/ads/library/?active_status=active&amp;ad_type=all&amp;country=US&amp;q=Preferred%20Choice%20Heating%20and%20Air&amp;search_type=keyword_unordered</x:v>
      </x:c>
      <x:c r="AY3" s="60" t="str">
        <x:v>ok:200</x:v>
      </x:c>
      <x:c r="AZ3" s="60" t="n">
        <x:v>46232.722858796296</x:v>
      </x:c>
      <x:c r="BA3" s="60" t="str">
        <x:v>Google Maps home-services export</x:v>
      </x:c>
      <x:c r="BB3" s="60" t="str">
        <x:v>https://maps.google.com/?cid=13046129050059339488&amp;g_mp=Cidnb29nbGUubWFwcy5wbGFjZXMudjEuUGxhY2VzLlNlYXJjaFRleHQQAhgEIAA | https://preferredchoiceheatingandair.com</x:v>
      </x:c>
      <x:c r="BC3" s="60" t="str"/>
    </x:row>
    <x:row r="4" ht="18" customHeight="1">
      <x:c r="A4" s="70" t="str">
        <x:v>3</x:v>
      </x:c>
      <x:c r="B4" s="70" t="str">
        <x:v>A - Layup</x:v>
      </x:c>
      <x:c r="C4" s="72" t="str">
        <x:v>93</x:v>
      </x:c>
      <x:c r="D4" s="60" t="str">
        <x:v>Willow Ash Roofing</x:v>
      </x:c>
      <x:c r="E4" s="60" t="str">
        <x:v>https://willowashroofing.com</x:v>
      </x:c>
      <x:c r="F4" s="60" t="str">
        <x:v>https://willowashroofing.com</x:v>
      </x:c>
      <x:c r="G4" s="60" t="str">
        <x:v>Mount Pleasant</x:v>
      </x:c>
      <x:c r="H4" s="60" t="str">
        <x:v>South Carolina</x:v>
      </x:c>
      <x:c r="I4" s="60" t="str">
        <x:v>Roofing</x:v>
      </x:c>
      <x:c r="J4" s="60" t="str">
        <x:v>Adam</x:v>
      </x:c>
      <x:c r="K4" s="60" t="str">
        <x:v>Lacey</x:v>
      </x:c>
      <x:c r="L4" s="60" t="str">
        <x:v>Owner</x:v>
      </x:c>
      <x:c r="M4" s="60" t="str">
        <x:v>adam@willowashroofing.com</x:v>
      </x:c>
      <x:c r="N4" s="60" t="str">
        <x:v>Verified with BounceBan on 08 Jun 26 12:06</x:v>
      </x:c>
      <x:c r="O4" s="60" t="str">
        <x:v>+1 562 519 0891</x:v>
      </x:c>
      <x:c r="P4" s="60" t="str">
        <x:v>https://www.linkedin.com/in/adam-lacey-8b4ba358</x:v>
      </x:c>
      <x:c r="Q4" s="60" t="str">
        <x:v>2-10</x:v>
      </x:c>
      <x:c r="R4" s="60" t="str">
        <x:v>0-99999</x:v>
      </x:c>
      <x:c r="S4" s="60" t="str">
        <x:v>4.9</x:v>
      </x:c>
      <x:c r="T4" s="74" t="str">
        <x:v>217</x:v>
      </x:c>
      <x:c r="U4" s="60" t="str"/>
      <x:c r="V4" s="74" t="str">
        <x:v>30</x:v>
      </x:c>
      <x:c r="W4" s="74" t="str">
        <x:v>26</x:v>
      </x:c>
      <x:c r="X4" s="74" t="str">
        <x:v>12</x:v>
      </x:c>
      <x:c r="Y4" s="74" t="str">
        <x:v>15</x:v>
      </x:c>
      <x:c r="Z4" s="74" t="str">
        <x:v>10</x:v>
      </x:c>
      <x:c r="AA4" s="74" t="str">
        <x:v>1</x:v>
      </x:c>
      <x:c r="AB4" s="74" t="str">
        <x:v>0</x:v>
      </x:c>
      <x:c r="AC4" s="74" t="str">
        <x:v>1</x:v>
      </x:c>
      <x:c r="AD4" s="74" t="str">
        <x:v>0</x:v>
      </x:c>
      <x:c r="AE4" s="74" t="str">
        <x:v>1</x:v>
      </x:c>
      <x:c r="AF4" s="74" t="str">
        <x:v>birdeye</x:v>
      </x:c>
      <x:c r="AG4" s="74" t="str">
        <x:v>0</x:v>
      </x:c>
      <x:c r="AH4" s="74" t="str">
        <x:v>1</x:v>
      </x:c>
      <x:c r="AI4" s="74" t="str">
        <x:v>1</x:v>
      </x:c>
      <x:c r="AJ4" s="74" t="str">
        <x:v>1</x:v>
      </x:c>
      <x:c r="AK4" s="74" t="str">
        <x:v>1</x:v>
      </x:c>
      <x:c r="AL4" s="74" t="str">
        <x:v>1</x:v>
      </x:c>
      <x:c r="AM4" s="74" t="str">
        <x:v>1</x:v>
      </x:c>
      <x:c r="AN4" s="74" t="str">
        <x:v>0</x:v>
      </x:c>
      <x:c r="AO4" s="60" t="str">
        <x:v>2026</x:v>
      </x:c>
      <x:c r="AP4" s="76" t="str">
        <x:v>Meta tracking detected; no embedded homepage video found</x:v>
      </x:c>
      <x:c r="AQ4" s="76" t="str">
        <x:v>Meta Pixel; call tracking; project/gallery proof; testimonials; financing; visible service offer; no embedded homepage video detected</x:v>
      </x:c>
      <x:c r="AR4" s="76" t="str">
        <x:v>I noticed Willow Ash Roofing's site has Meta tracking installed, but I couldn't find an embedded video on the homepage.</x:v>
      </x:c>
      <x:c r="AS4" s="76" t="str">
        <x:v>storm-to-inspection before/after ad</x:v>
      </x:c>
      <x:c r="AT4" s="76" t="str">
        <x:v>Willow Ash Roofing ad concept</x:v>
      </x:c>
      <x:c r="AU4" s="76" t="str">
        <x:v>Hi Adam — I noticed Willow Ash Roofing's site has Meta tracking installed, but I couldn't find an embedded video on the homepage. I mapped a private 15-second storm-to-inspection before/after ad for Willow Ash Roofing using only public brand context—not for publishing, just to show the angle. We build three client-approved video ad concepts in seven days, then turn the winners into fresh variations. No filming day required. Worth sending the private sample?</x:v>
      </x:c>
      <x:c r="AV4" s="76" t="str">
        <x:v>Quick follow-up: the sample angle is a storm-to-inspection before/after ad. If it misses the mark, no problem—I won't keep chasing. Should I send it?</x:v>
      </x:c>
      <x:c r="AW4" s="76" t="str">
        <x:v>Hi Adam, Ryan here. I was looking at Willow Ash Roofing's public marketing and noticed: meta tracking detected; no embedded homepage video found. I mapped one private storm-to-inspection before/after ad as an example. Did I catch you with 30 seconds?</x:v>
      </x:c>
      <x:c r="AX4" s="60" t="str">
        <x:v>https://www.facebook.com/ads/library/?active_status=active&amp;ad_type=all&amp;country=US&amp;q=Willow%20Ash%20Roofing&amp;search_type=keyword_unordered</x:v>
      </x:c>
      <x:c r="AY4" s="60" t="str">
        <x:v>ok:200</x:v>
      </x:c>
      <x:c r="AZ4" s="60" t="n">
        <x:v>46232.722858796296</x:v>
      </x:c>
      <x:c r="BA4" s="60" t="str">
        <x:v>AI Ark SC trades export | Google Maps home-services export</x:v>
      </x:c>
      <x:c r="BB4" s="60" t="str">
        <x:v>https://maps.google.com/?cid=2108505434043845802&amp;g_mp=Cidnb29nbGUubWFwcy5wbGFjZXMudjEuUGxhY2VzLlNlYXJjaFRleHQQAhgEIAA | https://willowashroofing.com | https://www.linkedin.com/company/willow-ash-roofing</x:v>
      </x:c>
      <x:c r="BC4" s="60" t="str"/>
    </x:row>
    <x:row r="5" ht="18" customHeight="1">
      <x:c r="A5" s="70" t="str">
        <x:v>4</x:v>
      </x:c>
      <x:c r="B5" s="70" t="str">
        <x:v>A - Layup</x:v>
      </x:c>
      <x:c r="C5" s="72" t="str">
        <x:v>89</x:v>
      </x:c>
      <x:c r="D5" s="60" t="str">
        <x:v>Precision Plumbing, Heating &amp; Air</x:v>
      </x:c>
      <x:c r="E5" s="60" t="str">
        <x:v>https://precisionplumbingpro.com</x:v>
      </x:c>
      <x:c r="F5" s="60" t="str">
        <x:v>https://www.precisionplumbingpro.com/</x:v>
      </x:c>
      <x:c r="G5" s="60" t="str">
        <x:v>Rock Hill</x:v>
      </x:c>
      <x:c r="H5" s="60" t="str">
        <x:v>South Carolina</x:v>
      </x:c>
      <x:c r="I5" s="60" t="str">
        <x:v>HVAC</x:v>
      </x:c>
      <x:c r="J5" s="60" t="str">
        <x:v>Precision Plumbing, Heating &amp; Air</x:v>
      </x:c>
      <x:c r="K5" s="60" t="str"/>
      <x:c r="L5" s="60" t="str">
        <x:v>Owner / decision maker to verify</x:v>
      </x:c>
      <x:c r="M5" s="60" t="str"/>
      <x:c r="N5" s="60" t="str"/>
      <x:c r="O5" s="60" t="str">
        <x:v>(803) 887-3883</x:v>
      </x:c>
      <x:c r="P5" s="60" t="str"/>
      <x:c r="Q5" s="60" t="str"/>
      <x:c r="R5" s="60" t="str"/>
      <x:c r="S5" s="60" t="str">
        <x:v>5</x:v>
      </x:c>
      <x:c r="T5" s="74" t="str">
        <x:v>39</x:v>
      </x:c>
      <x:c r="U5" s="60" t="str"/>
      <x:c r="V5" s="74" t="str">
        <x:v>26</x:v>
      </x:c>
      <x:c r="W5" s="74" t="str">
        <x:v>28</x:v>
      </x:c>
      <x:c r="X5" s="74" t="str">
        <x:v>16</x:v>
      </x:c>
      <x:c r="Y5" s="74" t="str">
        <x:v>14</x:v>
      </x:c>
      <x:c r="Z5" s="74" t="str">
        <x:v>5</x:v>
      </x:c>
      <x:c r="AA5" s="74" t="str">
        <x:v>1</x:v>
      </x:c>
      <x:c r="AB5" s="74" t="str">
        <x:v>1</x:v>
      </x:c>
      <x:c r="AC5" s="74" t="str">
        <x:v>1</x:v>
      </x:c>
      <x:c r="AD5" s="74" t="str">
        <x:v>0</x:v>
      </x:c>
      <x:c r="AE5" s="74" t="str">
        <x:v>0</x:v>
      </x:c>
      <x:c r="AF5" s="74" t="str">
        <x:v>housecallpro</x:v>
      </x:c>
      <x:c r="AG5" s="74" t="str">
        <x:v>0</x:v>
      </x:c>
      <x:c r="AH5" s="74" t="str">
        <x:v>1</x:v>
      </x:c>
      <x:c r="AI5" s="74" t="str">
        <x:v>1</x:v>
      </x:c>
      <x:c r="AJ5" s="74" t="str">
        <x:v>0</x:v>
      </x:c>
      <x:c r="AK5" s="74" t="str">
        <x:v>1</x:v>
      </x:c>
      <x:c r="AL5" s="74" t="str">
        <x:v>0</x:v>
      </x:c>
      <x:c r="AM5" s="74" t="str">
        <x:v>1</x:v>
      </x:c>
      <x:c r="AN5" s="74" t="str">
        <x:v>0</x:v>
      </x:c>
      <x:c r="AO5" s="60" t="str">
        <x:v>2026</x:v>
      </x:c>
      <x:c r="AP5" s="76" t="str">
        <x:v>Meta tracking detected; no embedded homepage video found</x:v>
      </x:c>
      <x:c r="AQ5" s="76" t="str">
        <x:v>Meta Pixel; Google Ads tag; project/gallery proof; testimonials; visible service offer; no embedded homepage video detected</x:v>
      </x:c>
      <x:c r="AR5" s="76" t="str">
        <x:v>I noticed Precision Plumbing, Heating &amp; Air's site has Meta tracking installed, but I couldn't find an embedded video on the homepage.</x:v>
      </x:c>
      <x:c r="AS5" s="76" t="str">
        <x:v>no-cool-call to same-day comfort ad</x:v>
      </x:c>
      <x:c r="AT5" s="76" t="str">
        <x:v>Precision Plumbing, Heating &amp; Air ad concept</x:v>
      </x:c>
      <x:c r="AU5" s="76" t="str">
        <x:v>Hi Precision Plumbing, Heating &amp; Air — I noticed Precision Plumbing, Heating &amp; Air's site has Meta tracking installed, but I couldn't find an embedded video on the homepage. I mapped a private 15-second no-cool-call to same-day comfort ad for Precision Plumbing, Heating &amp; Air using only public brand context—not for publishing, just to show the angle. We build three client-approved video ad concepts in seven days, then turn the winners into fresh variations. No filming day required. Worth sending the private sample?</x:v>
      </x:c>
      <x:c r="AV5" s="76" t="str">
        <x:v>Quick follow-up: the sample angle is a no-cool-call to same-day comfort ad. If it misses the mark, no problem—I won't keep chasing. Should I send it?</x:v>
      </x:c>
      <x:c r="AW5" s="76" t="str">
        <x:v>Hi Precision Plumbing, Heating &amp; Air, Ryan here. I was looking at Precision Plumbing, Heating &amp; Air's public marketing and noticed: meta tracking detected; no embedded homepage video found. I mapped one private no-cool-call to same-day comfort ad as an example. Did I catch you with 30 seconds?</x:v>
      </x:c>
      <x:c r="AX5" s="60" t="str">
        <x:v>https://www.facebook.com/ads/library/?active_status=active&amp;ad_type=all&amp;country=US&amp;q=Precision%20Plumbing%2C%20Heating%20%26%20Air&amp;search_type=keyword_unordered</x:v>
      </x:c>
      <x:c r="AY5" s="60" t="str">
        <x:v>ok:200</x:v>
      </x:c>
      <x:c r="AZ5" s="60" t="n">
        <x:v>46232.722858796296</x:v>
      </x:c>
      <x:c r="BA5" s="60" t="str">
        <x:v>Google Maps home-services export</x:v>
      </x:c>
      <x:c r="BB5" s="60" t="str">
        <x:v>https://maps.google.com/?cid=16240964714450746680&amp;g_mp=Cidnb29nbGUubWFwcy5wbGFjZXMudjEuUGxhY2VzLlNlYXJjaFRleHQQAhgEIAA | https://maps.google.com/?cid=4747713071696353124&amp;g_mp=Cidnb29nbGUubWFwcy5wbGFjZXMudjEuUGxhY2VzLlNlYXJjaFRleHQQAhgEIAA | https://precisionplumbingpro.com</x:v>
      </x:c>
      <x:c r="BC5" s="60" t="str"/>
    </x:row>
    <x:row r="6" ht="18" customHeight="1">
      <x:c r="A6" s="70" t="str">
        <x:v>5</x:v>
      </x:c>
      <x:c r="B6" s="70" t="str">
        <x:v>A - Layup</x:v>
      </x:c>
      <x:c r="C6" s="72" t="str">
        <x:v>89</x:v>
      </x:c>
      <x:c r="D6" s="60" t="str">
        <x:v>Buffington Homes, L.P.</x:v>
      </x:c>
      <x:c r="E6" s="60" t="str">
        <x:v>https://buffingtonhomes.com</x:v>
      </x:c>
      <x:c r="F6" s="60" t="str">
        <x:v>https://buffingtonhomes.com</x:v>
      </x:c>
      <x:c r="G6" s="60" t="str">
        <x:v>Johns Island</x:v>
      </x:c>
      <x:c r="H6" s="60" t="str">
        <x:v>South Carolina</x:v>
      </x:c>
      <x:c r="I6" s="60" t="str">
        <x:v>Remodeling</x:v>
      </x:c>
      <x:c r="J6" s="60" t="str">
        <x:v>Trevor</x:v>
      </x:c>
      <x:c r="K6" s="60" t="str">
        <x:v>Buffington</x:v>
      </x:c>
      <x:c r="L6" s="60" t="str">
        <x:v>Owner</x:v>
      </x:c>
      <x:c r="M6" s="60" t="str">
        <x:v>trevor@buffingtonhomes.com</x:v>
      </x:c>
      <x:c r="N6" s="60" t="str">
        <x:v>Verified with BounceBan on 08 Jun 26 12:06</x:v>
      </x:c>
      <x:c r="O6" s="60" t="str">
        <x:v>+1 843 532 4822</x:v>
      </x:c>
      <x:c r="P6" s="60" t="str">
        <x:v>https://www.linkedin.com/in/trevor-buffington-96b93110</x:v>
      </x:c>
      <x:c r="Q6" s="60" t="str">
        <x:v>2-10</x:v>
      </x:c>
      <x:c r="R6" s="60" t="str">
        <x:v>500000-999999</x:v>
      </x:c>
      <x:c r="S6" s="60" t="str"/>
      <x:c r="T6" s="74" t="str">
        <x:v>0</x:v>
      </x:c>
      <x:c r="U6" s="60" t="str"/>
      <x:c r="V6" s="74" t="str">
        <x:v>27</x:v>
      </x:c>
      <x:c r="W6" s="74" t="str">
        <x:v>25</x:v>
      </x:c>
      <x:c r="X6" s="74" t="str">
        <x:v>15</x:v>
      </x:c>
      <x:c r="Y6" s="74" t="str">
        <x:v>12</x:v>
      </x:c>
      <x:c r="Z6" s="74" t="str">
        <x:v>10</x:v>
      </x:c>
      <x:c r="AA6" s="74" t="str">
        <x:v>1</x:v>
      </x:c>
      <x:c r="AB6" s="74" t="str">
        <x:v>1</x:v>
      </x:c>
      <x:c r="AC6" s="74" t="str">
        <x:v>1</x:v>
      </x:c>
      <x:c r="AD6" s="74" t="str">
        <x:v>0</x:v>
      </x:c>
      <x:c r="AE6" s="74" t="str">
        <x:v>0</x:v>
      </x:c>
      <x:c r="AF6" s="74" t="str"/>
      <x:c r="AG6" s="74" t="str">
        <x:v>0</x:v>
      </x:c>
      <x:c r="AH6" s="74" t="str">
        <x:v>1</x:v>
      </x:c>
      <x:c r="AI6" s="74" t="str">
        <x:v>1</x:v>
      </x:c>
      <x:c r="AJ6" s="74" t="str">
        <x:v>0</x:v>
      </x:c>
      <x:c r="AK6" s="74" t="str">
        <x:v>1</x:v>
      </x:c>
      <x:c r="AL6" s="74" t="str">
        <x:v>1</x:v>
      </x:c>
      <x:c r="AM6" s="74" t="str">
        <x:v>1</x:v>
      </x:c>
      <x:c r="AN6" s="74" t="str">
        <x:v>0</x:v>
      </x:c>
      <x:c r="AO6" s="60" t="str">
        <x:v>2020</x:v>
      </x:c>
      <x:c r="AP6" s="76" t="str">
        <x:v>Meta tracking detected; no embedded homepage video found</x:v>
      </x:c>
      <x:c r="AQ6" s="76" t="str">
        <x:v>Meta Pixel; Google Ads tag; project/gallery proof; testimonials; visible service offer; no embedded homepage video detected</x:v>
      </x:c>
      <x:c r="AR6" s="76" t="str">
        <x:v>I noticed Buffington Homes, L.P.'s site has Meta tracking installed, but I couldn't find an embedded video on the homepage.</x:v>
      </x:c>
      <x:c r="AS6" s="76" t="str">
        <x:v>project reveal with budget-and-timeline proof</x:v>
      </x:c>
      <x:c r="AT6" s="76" t="str">
        <x:v>Buffington Homes, L.P. ad concept</x:v>
      </x:c>
      <x:c r="AU6" s="76" t="str">
        <x:v>Hi Trevor — I noticed Buffington Homes, L.P.'s site has Meta tracking installed, but I couldn't find an embedded video on the homepage. I mapped a private 15-second project reveal with budget-and-timeline proof for Buffington Homes, L.P. using only public brand context—not for publishing, just to show the angle. We build three client-approved video ad concepts in seven days, then turn the winners into fresh variations. No filming day required. Worth sending the private sample?</x:v>
      </x:c>
      <x:c r="AV6" s="76" t="str">
        <x:v>Quick follow-up: the sample angle is a project reveal with budget-and-timeline proof. If it misses the mark, no problem—I won't keep chasing. Should I send it?</x:v>
      </x:c>
      <x:c r="AW6" s="76" t="str">
        <x:v>Hi Trevor, Ryan here. I was looking at Buffington Homes, L.P.'s public marketing and noticed: meta tracking detected; no embedded homepage video found. I mapped one private project reveal with budget-and-timeline proof as an example. Did I catch you with 30 seconds?</x:v>
      </x:c>
      <x:c r="AX6" s="60" t="str">
        <x:v>https://www.facebook.com/ads/library/?active_status=active&amp;ad_type=all&amp;country=US&amp;q=Buffington%20Homes%2C%20L.P.&amp;search_type=keyword_unordered</x:v>
      </x:c>
      <x:c r="AY6" s="60" t="str">
        <x:v>ok:200</x:v>
      </x:c>
      <x:c r="AZ6" s="60" t="n">
        <x:v>46232.722858796296</x:v>
      </x:c>
      <x:c r="BA6" s="60" t="str">
        <x:v>AI Ark SC trades export</x:v>
      </x:c>
      <x:c r="BB6" s="60" t="str">
        <x:v>https://buffingtonhomes.com | https://www.linkedin.com/company/buffington-homes-l.p.</x:v>
      </x:c>
      <x:c r="BC6" s="60" t="str"/>
    </x:row>
    <x:row r="7" ht="18" customHeight="1">
      <x:c r="A7" s="70" t="str">
        <x:v>6</x:v>
      </x:c>
      <x:c r="B7" s="70" t="str">
        <x:v>A - Layup</x:v>
      </x:c>
      <x:c r="C7" s="72" t="str">
        <x:v>87</x:v>
      </x:c>
      <x:c r="D7" s="60" t="str">
        <x:v>Carolina Home Exteriors | Sunroom | Screen Room | Patio Enclosure | Pool Lanai | Home Improvement</x:v>
      </x:c>
      <x:c r="E7" s="60" t="str">
        <x:v>https://carolinahomeexteriors.com</x:v>
      </x:c>
      <x:c r="F7" s="60" t="str">
        <x:v>https://carolinahomeexteriors.com</x:v>
      </x:c>
      <x:c r="G7" s="60" t="str">
        <x:v>Myrtle Beach</x:v>
      </x:c>
      <x:c r="H7" s="60" t="str">
        <x:v>South Carolina</x:v>
      </x:c>
      <x:c r="I7" s="60" t="str">
        <x:v>Windows &amp; Doors</x:v>
      </x:c>
      <x:c r="J7" s="60" t="str">
        <x:v>Edward T.</x:v>
      </x:c>
      <x:c r="K7" s="60" t="str">
        <x:v>Cligrow, III (Ted), MBA</x:v>
      </x:c>
      <x:c r="L7" s="60" t="str">
        <x:v>President and Owner</x:v>
      </x:c>
      <x:c r="M7" s="60" t="str"/>
      <x:c r="N7" s="60" t="str"/>
      <x:c r="O7" s="60" t="str">
        <x:v>+1 843 504 4809</x:v>
      </x:c>
      <x:c r="P7" s="60" t="str">
        <x:v>https://www.linkedin.com/in/tedcligrow</x:v>
      </x:c>
      <x:c r="Q7" s="60" t="str">
        <x:v>11-50</x:v>
      </x:c>
      <x:c r="R7" s="60" t="str">
        <x:v>500000-999999</x:v>
      </x:c>
      <x:c r="S7" s="60" t="str"/>
      <x:c r="T7" s="74" t="str">
        <x:v>0</x:v>
      </x:c>
      <x:c r="U7" s="60" t="str"/>
      <x:c r="V7" s="74" t="str">
        <x:v>30</x:v>
      </x:c>
      <x:c r="W7" s="74" t="str">
        <x:v>25</x:v>
      </x:c>
      <x:c r="X7" s="74" t="str">
        <x:v>16</x:v>
      </x:c>
      <x:c r="Y7" s="74" t="str">
        <x:v>11</x:v>
      </x:c>
      <x:c r="Z7" s="74" t="str">
        <x:v>5</x:v>
      </x:c>
      <x:c r="AA7" s="74" t="str">
        <x:v>1</x:v>
      </x:c>
      <x:c r="AB7" s="74" t="str">
        <x:v>1</x:v>
      </x:c>
      <x:c r="AC7" s="74" t="str">
        <x:v>1</x:v>
      </x:c>
      <x:c r="AD7" s="74" t="str">
        <x:v>0</x:v>
      </x:c>
      <x:c r="AE7" s="74" t="str">
        <x:v>0</x:v>
      </x:c>
      <x:c r="AF7" s="74" t="str"/>
      <x:c r="AG7" s="74" t="str">
        <x:v>0</x:v>
      </x:c>
      <x:c r="AH7" s="74" t="str">
        <x:v>1</x:v>
      </x:c>
      <x:c r="AI7" s="74" t="str">
        <x:v>0</x:v>
      </x:c>
      <x:c r="AJ7" s="74" t="str">
        <x:v>1</x:v>
      </x:c>
      <x:c r="AK7" s="74" t="str">
        <x:v>1</x:v>
      </x:c>
      <x:c r="AL7" s="74" t="str">
        <x:v>0</x:v>
      </x:c>
      <x:c r="AM7" s="74" t="str">
        <x:v>0</x:v>
      </x:c>
      <x:c r="AN7" s="74" t="str">
        <x:v>0</x:v>
      </x:c>
      <x:c r="AO7" s="60" t="str">
        <x:v>0</x:v>
      </x:c>
      <x:c r="AP7" s="76" t="str">
        <x:v>Meta tracking detected; no embedded homepage video found</x:v>
      </x:c>
      <x:c r="AQ7" s="76" t="str">
        <x:v>Meta Pixel; Google Ads tag; project/gallery proof; financing; visible service offer; no embedded homepage video detected</x:v>
      </x:c>
      <x:c r="AR7" s="76" t="str">
        <x:v>I noticed Carolina Home Exteriors | Sunroom | Screen Room | Patio Enclosure | Pool Lanai | Home Improvement's site has Meta tracking installed, but I couldn't find an embedded video on the homepage.</x:v>
      </x:c>
      <x:c r="AS7" s="76" t="str">
        <x:v>energy-loss to installed-window transformation ad</x:v>
      </x:c>
      <x:c r="AT7" s="76" t="str">
        <x:v>Carolina Home Exteriors | Sunroom | Screen Room | Patio Enclosure | Pool Lanai | Home Improvement ad concept</x:v>
      </x:c>
      <x:c r="AU7" s="76" t="str">
        <x:v>Hi Edward T. — I noticed Carolina Home Exteriors | Sunroom | Screen Room | Patio Enclosure | Pool Lanai | Home Improvement's site has Meta tracking installed, but I couldn't find an embedded video on the homepage. I mapped a private 15-second energy-loss to installed-window transformation ad for Carolina Home Exteriors | Sunroom | Screen Room | Patio Enclosure | Pool Lanai | Home Improvement using only public brand context—not for publishing, just to show the angle. We build three client-approved video ad concepts in seven days, then turn the winners into fresh variations. No filming day required. Worth sending the private sample?</x:v>
      </x:c>
      <x:c r="AV7" s="76" t="str">
        <x:v>Quick follow-up: the sample angle is a energy-loss to installed-window transformation ad. If it misses the mark, no problem—I won't keep chasing. Should I send it?</x:v>
      </x:c>
      <x:c r="AW7" s="76" t="str">
        <x:v>Hi Edward T., Ryan here. I was looking at Carolina Home Exteriors | Sunroom | Screen Room | Patio Enclosure | Pool Lanai | Home Improvement's public marketing and noticed: meta tracking detected; no embedded homepage video found. I mapped one private energy-loss to installed-window transformation ad as an example. Did I catch you with 30 seconds?</x:v>
      </x:c>
      <x:c r="AX7" s="60" t="str">
        <x:v>https://www.facebook.com/ads/library/?active_status=active&amp;ad_type=all&amp;country=US&amp;q=Carolina%20Home%20Exteriors%20%7C%20Sunroom%20%7C%20Screen%20Room%20%7C%20Patio%20Enclosure%20%7C%20Pool%20Lanai%20%7C%20Home%20Improvement&amp;search_type=keyword_unordered</x:v>
      </x:c>
      <x:c r="AY7" s="60" t="str">
        <x:v>ok:200</x:v>
      </x:c>
      <x:c r="AZ7" s="60" t="n">
        <x:v>46232.722858796296</x:v>
      </x:c>
      <x:c r="BA7" s="60" t="str">
        <x:v>AI Ark SC trades export</x:v>
      </x:c>
      <x:c r="BB7" s="60" t="str">
        <x:v>https://carolinahomeexteriors.com | https://www.linkedin.com/company/carolina-home-exteriors</x:v>
      </x:c>
      <x:c r="BC7" s="60" t="str"/>
    </x:row>
    <x:row r="8" ht="18" customHeight="1">
      <x:c r="A8" s="70" t="str">
        <x:v>7</x:v>
      </x:c>
      <x:c r="B8" s="70" t="str">
        <x:v>A - Layup</x:v>
      </x:c>
      <x:c r="C8" s="72" t="str">
        <x:v>87</x:v>
      </x:c>
      <x:c r="D8" s="60" t="str">
        <x:v>Southern National Roofing</x:v>
      </x:c>
      <x:c r="E8" s="60" t="str">
        <x:v>https://southernnationalroofing.com</x:v>
      </x:c>
      <x:c r="F8" s="60" t="str">
        <x:v>https://southernnationalroofing.com</x:v>
      </x:c>
      <x:c r="G8" s="60" t="str">
        <x:v>Sumter</x:v>
      </x:c>
      <x:c r="H8" s="60" t="str">
        <x:v>South Carolina</x:v>
      </x:c>
      <x:c r="I8" s="60" t="str">
        <x:v>Roofing</x:v>
      </x:c>
      <x:c r="J8" s="60" t="str">
        <x:v>Southern National Roofing</x:v>
      </x:c>
      <x:c r="K8" s="60" t="str"/>
      <x:c r="L8" s="60" t="str">
        <x:v>Owner / decision maker to verify</x:v>
      </x:c>
      <x:c r="M8" s="60" t="str"/>
      <x:c r="N8" s="60" t="str"/>
      <x:c r="O8" s="60" t="str">
        <x:v>(803) 882-3135</x:v>
      </x:c>
      <x:c r="P8" s="60" t="str"/>
      <x:c r="Q8" s="60" t="str"/>
      <x:c r="R8" s="60" t="str"/>
      <x:c r="S8" s="60" t="str">
        <x:v>4.3</x:v>
      </x:c>
      <x:c r="T8" s="74" t="str">
        <x:v>175</x:v>
      </x:c>
      <x:c r="U8" s="60" t="str"/>
      <x:c r="V8" s="74" t="str">
        <x:v>29</x:v>
      </x:c>
      <x:c r="W8" s="74" t="str">
        <x:v>23</x:v>
      </x:c>
      <x:c r="X8" s="74" t="str">
        <x:v>16</x:v>
      </x:c>
      <x:c r="Y8" s="74" t="str">
        <x:v>14</x:v>
      </x:c>
      <x:c r="Z8" s="74" t="str">
        <x:v>5</x:v>
      </x:c>
      <x:c r="AA8" s="74" t="str">
        <x:v>1</x:v>
      </x:c>
      <x:c r="AB8" s="74" t="str">
        <x:v>0</x:v>
      </x:c>
      <x:c r="AC8" s="74" t="str">
        <x:v>1</x:v>
      </x:c>
      <x:c r="AD8" s="74" t="str">
        <x:v>0</x:v>
      </x:c>
      <x:c r="AE8" s="74" t="str">
        <x:v>1</x:v>
      </x:c>
      <x:c r="AF8" s="74" t="str"/>
      <x:c r="AG8" s="74" t="str">
        <x:v>0</x:v>
      </x:c>
      <x:c r="AH8" s="74" t="str">
        <x:v>1</x:v>
      </x:c>
      <x:c r="AI8" s="74" t="str">
        <x:v>0</x:v>
      </x:c>
      <x:c r="AJ8" s="74" t="str">
        <x:v>1</x:v>
      </x:c>
      <x:c r="AK8" s="74" t="str">
        <x:v>1</x:v>
      </x:c>
      <x:c r="AL8" s="74" t="str">
        <x:v>0</x:v>
      </x:c>
      <x:c r="AM8" s="74" t="str">
        <x:v>1</x:v>
      </x:c>
      <x:c r="AN8" s="74" t="str">
        <x:v>0</x:v>
      </x:c>
      <x:c r="AO8" s="60" t="str">
        <x:v>0</x:v>
      </x:c>
      <x:c r="AP8" s="76" t="str">
        <x:v>Meta tracking detected; no embedded homepage video found</x:v>
      </x:c>
      <x:c r="AQ8" s="76" t="str">
        <x:v>Meta Pixel; call tracking; project/gallery proof; financing; visible service offer; no embedded homepage video detected</x:v>
      </x:c>
      <x:c r="AR8" s="76" t="str">
        <x:v>I noticed Southern National Roofing's site has Meta tracking installed, but I couldn't find an embedded video on the homepage.</x:v>
      </x:c>
      <x:c r="AS8" s="76" t="str">
        <x:v>storm-to-inspection before/after ad</x:v>
      </x:c>
      <x:c r="AT8" s="76" t="str">
        <x:v>Southern National Roofing ad concept</x:v>
      </x:c>
      <x:c r="AU8" s="76" t="str">
        <x:v>Hi Southern National Roofing — I noticed Southern National Roofing's site has Meta tracking installed, but I couldn't find an embedded video on the homepage. I mapped a private 15-second storm-to-inspection before/after ad for Southern National Roofing using only public brand context—not for publishing, just to show the angle. We build three client-approved video ad concepts in seven days, then turn the winners into fresh variations. No filming day required. Worth sending the private sample?</x:v>
      </x:c>
      <x:c r="AV8" s="76" t="str">
        <x:v>Quick follow-up: the sample angle is a storm-to-inspection before/after ad. If it misses the mark, no problem—I won't keep chasing. Should I send it?</x:v>
      </x:c>
      <x:c r="AW8" s="76" t="str">
        <x:v>Hi Southern National Roofing, Ryan here. I was looking at Southern National Roofing's public marketing and noticed: meta tracking detected; no embedded homepage video found. I mapped one private storm-to-inspection before/after ad as an example. Did I catch you with 30 seconds?</x:v>
      </x:c>
      <x:c r="AX8" s="60" t="str">
        <x:v>https://www.facebook.com/ads/library/?active_status=active&amp;ad_type=all&amp;country=US&amp;q=Southern%20National%20Roofing&amp;search_type=keyword_unordered</x:v>
      </x:c>
      <x:c r="AY8" s="60" t="str">
        <x:v>ok:200</x:v>
      </x:c>
      <x:c r="AZ8" s="60" t="n">
        <x:v>46232.722858796296</x:v>
      </x:c>
      <x:c r="BA8" s="60" t="str">
        <x:v>Google Maps home-services export</x:v>
      </x:c>
      <x:c r="BB8" s="60" t="str">
        <x:v>https://maps.google.com/?cid=2746684153530733963&amp;g_mp=Cidnb29nbGUubWFwcy5wbGFjZXMudjEuUGxhY2VzLlNlYXJjaFRleHQQAhgEIAA | https://maps.google.com/?cid=842086455686901953&amp;g_mp=Cidnb29nbGUubWFwcy5wbGFjZXMudjEuUGxhY2VzLlNlYXJjaFRleHQQAhgEIAA | https://southernnationalroofing.com</x:v>
      </x:c>
      <x:c r="BC8" s="60" t="str"/>
    </x:row>
    <x:row r="9" ht="18" customHeight="1">
      <x:c r="A9" s="70" t="str">
        <x:v>8</x:v>
      </x:c>
      <x:c r="B9" s="70" t="str">
        <x:v>A - Layup</x:v>
      </x:c>
      <x:c r="C9" s="72" t="str">
        <x:v>87</x:v>
      </x:c>
      <x:c r="D9" s="60" t="str">
        <x:v>Air Pros Heating and Cooling</x:v>
      </x:c>
      <x:c r="E9" s="60" t="str">
        <x:v>https://airproscooling.com</x:v>
      </x:c>
      <x:c r="F9" s="60" t="str">
        <x:v>https://airproscooling.com</x:v>
      </x:c>
      <x:c r="G9" s="60" t="str">
        <x:v>Charleston</x:v>
      </x:c>
      <x:c r="H9" s="60" t="str">
        <x:v>South Carolina</x:v>
      </x:c>
      <x:c r="I9" s="60" t="str">
        <x:v>HVAC</x:v>
      </x:c>
      <x:c r="J9" s="60" t="str">
        <x:v>Air Pros Heating and Cooling</x:v>
      </x:c>
      <x:c r="K9" s="60" t="str"/>
      <x:c r="L9" s="60" t="str">
        <x:v>Owner / decision maker to verify</x:v>
      </x:c>
      <x:c r="M9" s="60" t="str"/>
      <x:c r="N9" s="60" t="str"/>
      <x:c r="O9" s="60" t="str">
        <x:v>(843) 225-6052</x:v>
      </x:c>
      <x:c r="P9" s="60" t="str"/>
      <x:c r="Q9" s="60" t="str"/>
      <x:c r="R9" s="60" t="str"/>
      <x:c r="S9" s="60" t="str">
        <x:v>4.8</x:v>
      </x:c>
      <x:c r="T9" s="74" t="str">
        <x:v>155</x:v>
      </x:c>
      <x:c r="U9" s="60" t="str">
        <x:v>missed_calls, slow_response</x:v>
      </x:c>
      <x:c r="V9" s="74" t="str">
        <x:v>28</x:v>
      </x:c>
      <x:c r="W9" s="74" t="str">
        <x:v>21</x:v>
      </x:c>
      <x:c r="X9" s="74" t="str">
        <x:v>18</x:v>
      </x:c>
      <x:c r="Y9" s="74" t="str">
        <x:v>15</x:v>
      </x:c>
      <x:c r="Z9" s="74" t="str">
        <x:v>5</x:v>
      </x:c>
      <x:c r="AA9" s="74" t="str">
        <x:v>0</x:v>
      </x:c>
      <x:c r="AB9" s="74" t="str">
        <x:v>1</x:v>
      </x:c>
      <x:c r="AC9" s="74" t="str">
        <x:v>1</x:v>
      </x:c>
      <x:c r="AD9" s="74" t="str">
        <x:v>0</x:v>
      </x:c>
      <x:c r="AE9" s="74" t="str">
        <x:v>1</x:v>
      </x:c>
      <x:c r="AF9" s="74" t="str"/>
      <x:c r="AG9" s="74" t="str">
        <x:v>0</x:v>
      </x:c>
      <x:c r="AH9" s="74" t="str">
        <x:v>1</x:v>
      </x:c>
      <x:c r="AI9" s="74" t="str">
        <x:v>1</x:v>
      </x:c>
      <x:c r="AJ9" s="74" t="str">
        <x:v>1</x:v>
      </x:c>
      <x:c r="AK9" s="74" t="str">
        <x:v>1</x:v>
      </x:c>
      <x:c r="AL9" s="74" t="str">
        <x:v>0</x:v>
      </x:c>
      <x:c r="AM9" s="74" t="str">
        <x:v>1</x:v>
      </x:c>
      <x:c r="AN9" s="74" t="str">
        <x:v>0</x:v>
      </x:c>
      <x:c r="AO9" s="60" t="str">
        <x:v>2025</x:v>
      </x:c>
      <x:c r="AP9" s="76" t="str">
        <x:v>Google Ads tag detected; no embedded homepage video found</x:v>
      </x:c>
      <x:c r="AQ9" s="76" t="str">
        <x:v>Google Ads tag; call tracking; project/gallery proof; testimonials; financing; visible service offer; no embedded homepage video detected</x:v>
      </x:c>
      <x:c r="AR9" s="76" t="str">
        <x:v>I noticed Air Pros Heating and Cooling's site has a Google Ads tag installed, but I couldn't find an embedded video on the homepage.</x:v>
      </x:c>
      <x:c r="AS9" s="76" t="str">
        <x:v>no-cool-call to same-day comfort ad</x:v>
      </x:c>
      <x:c r="AT9" s="76" t="str">
        <x:v>Air Pros Heating and Cooling ad concept</x:v>
      </x:c>
      <x:c r="AU9" s="76" t="str">
        <x:v>Hi Air Pros Heating and Cooling — I noticed Air Pros Heating and Cooling's site has a Google Ads tag installed, but I couldn't find an embedded video on the homepage. I mapped a private 15-second no-cool-call to same-day comfort ad for Air Pros Heating and Cooling using only public brand context—not for publishing, just to show the angle. We build three client-approved video ad concepts in seven days, then turn the winners into fresh variations. No filming day required. Worth sending the private sample?</x:v>
      </x:c>
      <x:c r="AV9" s="76" t="str">
        <x:v>Quick follow-up: the sample angle is a no-cool-call to same-day comfort ad. If it misses the mark, no problem—I won't keep chasing. Should I send it?</x:v>
      </x:c>
      <x:c r="AW9" s="76" t="str">
        <x:v>Hi Air Pros Heating and Cooling, Ryan here. I was looking at Air Pros Heating and Cooling's public marketing and noticed: google ads tag detected; no embedded homepage video found. I mapped one private no-cool-call to same-day comfort ad as an example. Did I catch you with 30 seconds?</x:v>
      </x:c>
      <x:c r="AX9" s="60" t="str">
        <x:v>https://www.facebook.com/ads/library/?active_status=active&amp;ad_type=all&amp;country=US&amp;q=Air%20Pros%20Heating%20and%20Cooling&amp;search_type=keyword_unordered</x:v>
      </x:c>
      <x:c r="AY9" s="60" t="str">
        <x:v>ok:200</x:v>
      </x:c>
      <x:c r="AZ9" s="60" t="n">
        <x:v>46232.722858796296</x:v>
      </x:c>
      <x:c r="BA9" s="60" t="str">
        <x:v>Google Maps home-services export</x:v>
      </x:c>
      <x:c r="BB9" s="60" t="str">
        <x:v>https://airproscooling.com | https://maps.google.com/?cid=2959326301694451527&amp;g_mp=Cidnb29nbGUubWFwcy5wbGFjZXMudjEuUGxhY2VzLlNlYXJjaFRleHQQAhgEIAA</x:v>
      </x:c>
      <x:c r="BC9" s="60" t="str"/>
    </x:row>
    <x:row r="10" ht="18" customHeight="1">
      <x:c r="A10" s="70" t="str">
        <x:v>9</x:v>
      </x:c>
      <x:c r="B10" s="70" t="str">
        <x:v>A - Layup</x:v>
      </x:c>
      <x:c r="C10" s="72" t="str">
        <x:v>86</x:v>
      </x:c>
      <x:c r="D10" s="60" t="str">
        <x:v>AC Heating and Air Conditioning Services</x:v>
      </x:c>
      <x:c r="E10" s="60" t="str">
        <x:v>https://achvac.com</x:v>
      </x:c>
      <x:c r="F10" s="60" t="str">
        <x:v>https://www.achvac.com/</x:v>
      </x:c>
      <x:c r="G10" s="60" t="str">
        <x:v>Charleston</x:v>
      </x:c>
      <x:c r="H10" s="60" t="str">
        <x:v>South Carolina</x:v>
      </x:c>
      <x:c r="I10" s="60" t="str">
        <x:v>HVAC</x:v>
      </x:c>
      <x:c r="J10" s="60" t="str">
        <x:v>AC Heating and Air Conditioning Services</x:v>
      </x:c>
      <x:c r="K10" s="60" t="str"/>
      <x:c r="L10" s="60" t="str">
        <x:v>Owner / decision maker to verify</x:v>
      </x:c>
      <x:c r="M10" s="60" t="str"/>
      <x:c r="N10" s="60" t="str"/>
      <x:c r="O10" s="60" t="str">
        <x:v>(843) 556-7641</x:v>
      </x:c>
      <x:c r="P10" s="60" t="str"/>
      <x:c r="Q10" s="60" t="str"/>
      <x:c r="R10" s="60" t="str"/>
      <x:c r="S10" s="60" t="str">
        <x:v>4.8</x:v>
      </x:c>
      <x:c r="T10" s="74" t="str">
        <x:v>45</x:v>
      </x:c>
      <x:c r="U10" s="60" t="str"/>
      <x:c r="V10" s="74" t="str">
        <x:v>26</x:v>
      </x:c>
      <x:c r="W10" s="74" t="str">
        <x:v>25</x:v>
      </x:c>
      <x:c r="X10" s="74" t="str">
        <x:v>15</x:v>
      </x:c>
      <x:c r="Y10" s="74" t="str">
        <x:v>15</x:v>
      </x:c>
      <x:c r="Z10" s="74" t="str">
        <x:v>5</x:v>
      </x:c>
      <x:c r="AA10" s="74" t="str">
        <x:v>1</x:v>
      </x:c>
      <x:c r="AB10" s="74" t="str">
        <x:v>1</x:v>
      </x:c>
      <x:c r="AC10" s="74" t="str">
        <x:v>1</x:v>
      </x:c>
      <x:c r="AD10" s="74" t="str">
        <x:v>0</x:v>
      </x:c>
      <x:c r="AE10" s="74" t="str">
        <x:v>0</x:v>
      </x:c>
      <x:c r="AF10" s="74" t="str"/>
      <x:c r="AG10" s="74" t="str">
        <x:v>0</x:v>
      </x:c>
      <x:c r="AH10" s="74" t="str">
        <x:v>1</x:v>
      </x:c>
      <x:c r="AI10" s="74" t="str">
        <x:v>1</x:v>
      </x:c>
      <x:c r="AJ10" s="74" t="str">
        <x:v>1</x:v>
      </x:c>
      <x:c r="AK10" s="74" t="str">
        <x:v>1</x:v>
      </x:c>
      <x:c r="AL10" s="74" t="str">
        <x:v>1</x:v>
      </x:c>
      <x:c r="AM10" s="74" t="str">
        <x:v>1</x:v>
      </x:c>
      <x:c r="AN10" s="74" t="str">
        <x:v>0</x:v>
      </x:c>
      <x:c r="AO10" s="60" t="str">
        <x:v>2021</x:v>
      </x:c>
      <x:c r="AP10" s="76" t="str">
        <x:v>Meta tracking detected; no embedded homepage video found</x:v>
      </x:c>
      <x:c r="AQ10" s="76" t="str">
        <x:v>Meta Pixel; Google Ads tag; project/gallery proof; testimonials; financing; visible service offer; no embedded homepage video detected</x:v>
      </x:c>
      <x:c r="AR10" s="76" t="str">
        <x:v>I noticed AC Heating and Air Conditioning Services's site has Meta tracking installed, but I couldn't find an embedded video on the homepage.</x:v>
      </x:c>
      <x:c r="AS10" s="76" t="str">
        <x:v>no-cool-call to same-day comfort ad</x:v>
      </x:c>
      <x:c r="AT10" s="76" t="str">
        <x:v>AC Heating and Air Conditioning Services ad concept</x:v>
      </x:c>
      <x:c r="AU10" s="76" t="str">
        <x:v>Hi AC Heating and Air Conditioning Services — I noticed AC Heating and Air Conditioning Services's site has Meta tracking installed, but I couldn't find an embedded video on the homepage. I mapped a private 15-second no-cool-call to same-day comfort ad for AC Heating and Air Conditioning Services using only public brand context—not for publishing, just to show the angle. We build three client-approved video ad concepts in seven days, then turn the winners into fresh variations. No filming day required. Worth sending the private sample?</x:v>
      </x:c>
      <x:c r="AV10" s="76" t="str">
        <x:v>Quick follow-up: the sample angle is a no-cool-call to same-day comfort ad. If it misses the mark, no problem—I won't keep chasing. Should I send it?</x:v>
      </x:c>
      <x:c r="AW10" s="76" t="str">
        <x:v>Hi AC Heating and Air Conditioning Services, Ryan here. I was looking at AC Heating and Air Conditioning Services's public marketing and noticed: meta tracking detected; no embedded homepage video found. I mapped one private no-cool-call to same-day comfort ad as an example. Did I catch you with 30 seconds?</x:v>
      </x:c>
      <x:c r="AX10" s="60" t="str">
        <x:v>https://www.facebook.com/ads/library/?active_status=active&amp;ad_type=all&amp;country=US&amp;q=AC%20Heating%20and%20Air%20Conditioning%20Services&amp;search_type=keyword_unordered</x:v>
      </x:c>
      <x:c r="AY10" s="60" t="str">
        <x:v>ok:200</x:v>
      </x:c>
      <x:c r="AZ10" s="60" t="n">
        <x:v>46232.722858796296</x:v>
      </x:c>
      <x:c r="BA10" s="60" t="str">
        <x:v>Google Maps home-services export</x:v>
      </x:c>
      <x:c r="BB10" s="60" t="str">
        <x:v>https://achvac.com | https://maps.google.com/?cid=13421459150029309363&amp;g_mp=Cidnb29nbGUubWFwcy5wbGFjZXMudjEuUGxhY2VzLlNlYXJjaFRleHQQAhgEIAA</x:v>
      </x:c>
      <x:c r="BC10" s="60" t="str"/>
    </x:row>
    <x:row r="11" ht="18" customHeight="1">
      <x:c r="A11" s="70" t="str">
        <x:v>10</x:v>
      </x:c>
      <x:c r="B11" s="70" t="str">
        <x:v>A - Layup</x:v>
      </x:c>
      <x:c r="C11" s="72" t="str">
        <x:v>86</x:v>
      </x:c>
      <x:c r="D11" s="60" t="str">
        <x:v>Palmetto Heating &amp; Air LLC</x:v>
      </x:c>
      <x:c r="E11" s="60" t="str">
        <x:v>https://palmettoac.com</x:v>
      </x:c>
      <x:c r="F11" s="60" t="str">
        <x:v>https://palmettoac.com</x:v>
      </x:c>
      <x:c r="G11" s="60" t="str">
        <x:v>Greenville</x:v>
      </x:c>
      <x:c r="H11" s="60" t="str">
        <x:v>South Carolina</x:v>
      </x:c>
      <x:c r="I11" s="60" t="str">
        <x:v>HVAC</x:v>
      </x:c>
      <x:c r="J11" s="60" t="str">
        <x:v>Palmetto Heating &amp; Air LLC</x:v>
      </x:c>
      <x:c r="K11" s="60" t="str"/>
      <x:c r="L11" s="60" t="str">
        <x:v>Owner / decision maker to verify</x:v>
      </x:c>
      <x:c r="M11" s="60" t="str"/>
      <x:c r="N11" s="60" t="str"/>
      <x:c r="O11" s="60" t="str">
        <x:v>(864) 651-9003</x:v>
      </x:c>
      <x:c r="P11" s="60" t="str"/>
      <x:c r="Q11" s="60" t="str"/>
      <x:c r="R11" s="60" t="str"/>
      <x:c r="S11" s="60" t="str">
        <x:v>4.8</x:v>
      </x:c>
      <x:c r="T11" s="74" t="str">
        <x:v>68</x:v>
      </x:c>
      <x:c r="U11" s="60" t="str">
        <x:v>missed_calls, slow_response</x:v>
      </x:c>
      <x:c r="V11" s="74" t="str">
        <x:v>26</x:v>
      </x:c>
      <x:c r="W11" s="74" t="str">
        <x:v>25</x:v>
      </x:c>
      <x:c r="X11" s="74" t="str">
        <x:v>18</x:v>
      </x:c>
      <x:c r="Y11" s="74" t="str">
        <x:v>12</x:v>
      </x:c>
      <x:c r="Z11" s="74" t="str">
        <x:v>5</x:v>
      </x:c>
      <x:c r="AA11" s="74" t="str">
        <x:v>1</x:v>
      </x:c>
      <x:c r="AB11" s="74" t="str">
        <x:v>1</x:v>
      </x:c>
      <x:c r="AC11" s="74" t="str">
        <x:v>1</x:v>
      </x:c>
      <x:c r="AD11" s="74" t="str">
        <x:v>0</x:v>
      </x:c>
      <x:c r="AE11" s="74" t="str">
        <x:v>0</x:v>
      </x:c>
      <x:c r="AF11" s="74" t="str"/>
      <x:c r="AG11" s="74" t="str">
        <x:v>0</x:v>
      </x:c>
      <x:c r="AH11" s="74" t="str">
        <x:v>0</x:v>
      </x:c>
      <x:c r="AI11" s="74" t="str">
        <x:v>1</x:v>
      </x:c>
      <x:c r="AJ11" s="74" t="str">
        <x:v>1</x:v>
      </x:c>
      <x:c r="AK11" s="74" t="str">
        <x:v>1</x:v>
      </x:c>
      <x:c r="AL11" s="74" t="str">
        <x:v>0</x:v>
      </x:c>
      <x:c r="AM11" s="74" t="str">
        <x:v>1</x:v>
      </x:c>
      <x:c r="AN11" s="74" t="str">
        <x:v>0</x:v>
      </x:c>
      <x:c r="AO11" s="60" t="str">
        <x:v>2026</x:v>
      </x:c>
      <x:c r="AP11" s="76" t="str">
        <x:v>Meta tracking detected; no embedded homepage video found</x:v>
      </x:c>
      <x:c r="AQ11" s="76" t="str">
        <x:v>Meta Pixel; Google Ads tag; testimonials; financing; visible service offer; no embedded homepage video detected</x:v>
      </x:c>
      <x:c r="AR11" s="76" t="str">
        <x:v>I noticed Palmetto Heating &amp; Air LLC's site has Meta tracking installed, but I couldn't find an embedded video on the homepage.</x:v>
      </x:c>
      <x:c r="AS11" s="76" t="str">
        <x:v>no-cool-call to same-day comfort ad</x:v>
      </x:c>
      <x:c r="AT11" s="76" t="str">
        <x:v>Palmetto Heating &amp; Air LLC ad concept</x:v>
      </x:c>
      <x:c r="AU11" s="76" t="str">
        <x:v>Hi Palmetto Heating &amp; Air LLC — I noticed Palmetto Heating &amp; Air LLC's site has Meta tracking installed, but I couldn't find an embedded video on the homepage. I mapped a private 15-second no-cool-call to same-day comfort ad for Palmetto Heating &amp; Air LLC using only public brand context—not for publishing, just to show the angle. We build three client-approved video ad concepts in seven days, then turn the winners into fresh variations. No filming day required. Worth sending the private sample?</x:v>
      </x:c>
      <x:c r="AV11" s="76" t="str">
        <x:v>Quick follow-up: the sample angle is a no-cool-call to same-day comfort ad. If it misses the mark, no problem—I won't keep chasing. Should I send it?</x:v>
      </x:c>
      <x:c r="AW11" s="76" t="str">
        <x:v>Hi Palmetto Heating &amp; Air LLC, Ryan here. I was looking at Palmetto Heating &amp; Air LLC's public marketing and noticed: meta tracking detected; no embedded homepage video found. I mapped one private no-cool-call to same-day comfort ad as an example. Did I catch you with 30 seconds?</x:v>
      </x:c>
      <x:c r="AX11" s="60" t="str">
        <x:v>https://www.facebook.com/ads/library/?active_status=active&amp;ad_type=all&amp;country=US&amp;q=Palmetto%20Heating%20%26%20Air%20LLC&amp;search_type=keyword_unordered</x:v>
      </x:c>
      <x:c r="AY11" s="60" t="str">
        <x:v>ok:200</x:v>
      </x:c>
      <x:c r="AZ11" s="60" t="n">
        <x:v>46232.722858796296</x:v>
      </x:c>
      <x:c r="BA11" s="60" t="str">
        <x:v>Google Maps home-services export</x:v>
      </x:c>
      <x:c r="BB11" s="60" t="str">
        <x:v>https://maps.google.com/?cid=13248583052234476314&amp;g_mp=Cidnb29nbGUubWFwcy5wbGFjZXMudjEuUGxhY2VzLlNlYXJjaFRleHQQAhgEIAA | https://palmettoac.com</x:v>
      </x:c>
      <x:c r="BC11" s="60" t="str"/>
    </x:row>
    <x:row r="12" ht="18" customHeight="1">
      <x:c r="A12" s="70" t="str">
        <x:v>11</x:v>
      </x:c>
      <x:c r="B12" s="70" t="str">
        <x:v>A - Layup</x:v>
      </x:c>
      <x:c r="C12" s="72" t="str">
        <x:v>86</x:v>
      </x:c>
      <x:c r="D12" s="60" t="str">
        <x:v>Duckett Plumbing</x:v>
      </x:c>
      <x:c r="E12" s="60" t="str">
        <x:v>https://duckettplumbing.com</x:v>
      </x:c>
      <x:c r="F12" s="60" t="str">
        <x:v>https://duckettplumbing.com</x:v>
      </x:c>
      <x:c r="G12" s="60" t="str">
        <x:v>Greenville</x:v>
      </x:c>
      <x:c r="H12" s="60" t="str">
        <x:v>South Carolina</x:v>
      </x:c>
      <x:c r="I12" s="60" t="str">
        <x:v>Plumbing</x:v>
      </x:c>
      <x:c r="J12" s="60" t="str">
        <x:v>Duckett Plumbing</x:v>
      </x:c>
      <x:c r="K12" s="60" t="str"/>
      <x:c r="L12" s="60" t="str">
        <x:v>Owner / decision maker to verify</x:v>
      </x:c>
      <x:c r="M12" s="60" t="str"/>
      <x:c r="N12" s="60" t="str"/>
      <x:c r="O12" s="60" t="str">
        <x:v>(864) 387-2715</x:v>
      </x:c>
      <x:c r="P12" s="60" t="str"/>
      <x:c r="Q12" s="60" t="str"/>
      <x:c r="R12" s="60" t="str"/>
      <x:c r="S12" s="60" t="str">
        <x:v>4.3</x:v>
      </x:c>
      <x:c r="T12" s="74" t="str">
        <x:v>295</x:v>
      </x:c>
      <x:c r="U12" s="60" t="str">
        <x:v>scheduling</x:v>
      </x:c>
      <x:c r="V12" s="74" t="str">
        <x:v>25</x:v>
      </x:c>
      <x:c r="W12" s="74" t="str">
        <x:v>21</x:v>
      </x:c>
      <x:c r="X12" s="74" t="str">
        <x:v>20</x:v>
      </x:c>
      <x:c r="Y12" s="74" t="str">
        <x:v>15</x:v>
      </x:c>
      <x:c r="Z12" s="74" t="str">
        <x:v>5</x:v>
      </x:c>
      <x:c r="AA12" s="74" t="str">
        <x:v>0</x:v>
      </x:c>
      <x:c r="AB12" s="74" t="str">
        <x:v>1</x:v>
      </x:c>
      <x:c r="AC12" s="74" t="str">
        <x:v>1</x:v>
      </x:c>
      <x:c r="AD12" s="74" t="str">
        <x:v>0</x:v>
      </x:c>
      <x:c r="AE12" s="74" t="str">
        <x:v>1</x:v>
      </x:c>
      <x:c r="AF12" s="74" t="str"/>
      <x:c r="AG12" s="74" t="str">
        <x:v>0</x:v>
      </x:c>
      <x:c r="AH12" s="74" t="str">
        <x:v>1</x:v>
      </x:c>
      <x:c r="AI12" s="74" t="str">
        <x:v>1</x:v>
      </x:c>
      <x:c r="AJ12" s="74" t="str">
        <x:v>0</x:v>
      </x:c>
      <x:c r="AK12" s="74" t="str">
        <x:v>1</x:v>
      </x:c>
      <x:c r="AL12" s="74" t="str">
        <x:v>0</x:v>
      </x:c>
      <x:c r="AM12" s="74" t="str">
        <x:v>1</x:v>
      </x:c>
      <x:c r="AN12" s="74" t="str">
        <x:v>0</x:v>
      </x:c>
      <x:c r="AO12" s="60" t="str">
        <x:v>2024</x:v>
      </x:c>
      <x:c r="AP12" s="76" t="str">
        <x:v>Google Ads tag detected; no embedded homepage video found</x:v>
      </x:c>
      <x:c r="AQ12" s="76" t="str">
        <x:v>Google Ads tag; call tracking; project/gallery proof; testimonials; visible service offer; no embedded homepage video detected</x:v>
      </x:c>
      <x:c r="AR12" s="76" t="str">
        <x:v>I noticed Duckett Plumbing's site has a Google Ads tag installed, but I couldn't find an embedded video on the homepage.</x:v>
      </x:c>
      <x:c r="AS12" s="76" t="str">
        <x:v>small symptom to prevented-emergency ad</x:v>
      </x:c>
      <x:c r="AT12" s="76" t="str">
        <x:v>Duckett Plumbing ad concept</x:v>
      </x:c>
      <x:c r="AU12" s="76" t="str">
        <x:v>Hi Duckett Plumbing — I noticed Duckett Plumbing's site has a Google Ads tag installed, but I couldn't find an embedded video on the homepage. I mapped a private 15-second small symptom to prevented-emergency ad for Duckett Plumbing using only public brand context—not for publishing, just to show the angle. We build three client-approved video ad concepts in seven days, then turn the winners into fresh variations. No filming day required. Worth sending the private sample?</x:v>
      </x:c>
      <x:c r="AV12" s="76" t="str">
        <x:v>Quick follow-up: the sample angle is a small symptom to prevented-emergency ad. If it misses the mark, no problem—I won't keep chasing. Should I send it?</x:v>
      </x:c>
      <x:c r="AW12" s="76" t="str">
        <x:v>Hi Duckett Plumbing, Ryan here. I was looking at Duckett Plumbing's public marketing and noticed: google ads tag detected; no embedded homepage video found. I mapped one private small symptom to prevented-emergency ad as an example. Did I catch you with 30 seconds?</x:v>
      </x:c>
      <x:c r="AX12" s="60" t="str">
        <x:v>https://www.facebook.com/ads/library/?active_status=active&amp;ad_type=all&amp;country=US&amp;q=Duckett%20Plumbing&amp;search_type=keyword_unordered</x:v>
      </x:c>
      <x:c r="AY12" s="60" t="str">
        <x:v>ok:200</x:v>
      </x:c>
      <x:c r="AZ12" s="60" t="n">
        <x:v>46232.722858796296</x:v>
      </x:c>
      <x:c r="BA12" s="60" t="str">
        <x:v>Google Maps home-services export</x:v>
      </x:c>
      <x:c r="BB12" s="60" t="str">
        <x:v>https://duckettplumbing.com | https://maps.google.com/?cid=4629178297444097769&amp;g_mp=Cidnb29nbGUubWFwcy5wbGFjZXMudjEuUGxhY2VzLlNlYXJjaFRleHQQAhgEIAA</x:v>
      </x:c>
      <x:c r="BC12" s="60" t="str"/>
    </x:row>
    <x:row r="13" ht="18" customHeight="1">
      <x:c r="A13" s="70" t="str">
        <x:v>12</x:v>
      </x:c>
      <x:c r="B13" s="70" t="str">
        <x:v>A - Layup</x:v>
      </x:c>
      <x:c r="C13" s="72" t="str">
        <x:v>85</x:v>
      </x:c>
      <x:c r="D13" s="60" t="str">
        <x:v>Air Repair AL</x:v>
      </x:c>
      <x:c r="E13" s="60" t="str">
        <x:v>https://airrepairal.com</x:v>
      </x:c>
      <x:c r="F13" s="60" t="str">
        <x:v>https://www.airrepairal.com/</x:v>
      </x:c>
      <x:c r="G13" s="60" t="str">
        <x:v>Greenville</x:v>
      </x:c>
      <x:c r="H13" s="60" t="str">
        <x:v>South Carolina</x:v>
      </x:c>
      <x:c r="I13" s="60" t="str">
        <x:v>HVAC</x:v>
      </x:c>
      <x:c r="J13" s="60" t="str">
        <x:v>Air Repair AL</x:v>
      </x:c>
      <x:c r="K13" s="60" t="str"/>
      <x:c r="L13" s="60" t="str">
        <x:v>Owner / decision maker to verify</x:v>
      </x:c>
      <x:c r="M13" s="60" t="str"/>
      <x:c r="N13" s="60" t="str"/>
      <x:c r="O13" s="60" t="str">
        <x:v>(864) 777-1111</x:v>
      </x:c>
      <x:c r="P13" s="60" t="str"/>
      <x:c r="Q13" s="60" t="str"/>
      <x:c r="R13" s="60" t="str"/>
      <x:c r="S13" s="60" t="str">
        <x:v>4.7</x:v>
      </x:c>
      <x:c r="T13" s="74" t="str">
        <x:v>489</x:v>
      </x:c>
      <x:c r="U13" s="60" t="str"/>
      <x:c r="V13" s="74" t="str">
        <x:v>29</x:v>
      </x:c>
      <x:c r="W13" s="74" t="str">
        <x:v>28</x:v>
      </x:c>
      <x:c r="X13" s="74" t="str">
        <x:v>12</x:v>
      </x:c>
      <x:c r="Y13" s="74" t="str">
        <x:v>11</x:v>
      </x:c>
      <x:c r="Z13" s="74" t="str">
        <x:v>5</x:v>
      </x:c>
      <x:c r="AA13" s="74" t="str">
        <x:v>1</x:v>
      </x:c>
      <x:c r="AB13" s="74" t="str">
        <x:v>1</x:v>
      </x:c>
      <x:c r="AC13" s="74" t="str">
        <x:v>1</x:v>
      </x:c>
      <x:c r="AD13" s="74" t="str">
        <x:v>0</x:v>
      </x:c>
      <x:c r="AE13" s="74" t="str">
        <x:v>0</x:v>
      </x:c>
      <x:c r="AF13" s="74" t="str">
        <x:v>podium</x:v>
      </x:c>
      <x:c r="AG13" s="74" t="str">
        <x:v>0</x:v>
      </x:c>
      <x:c r="AH13" s="74" t="str">
        <x:v>1</x:v>
      </x:c>
      <x:c r="AI13" s="74" t="str">
        <x:v>0</x:v>
      </x:c>
      <x:c r="AJ13" s="74" t="str">
        <x:v>0</x:v>
      </x:c>
      <x:c r="AK13" s="74" t="str">
        <x:v>1</x:v>
      </x:c>
      <x:c r="AL13" s="74" t="str">
        <x:v>0</x:v>
      </x:c>
      <x:c r="AM13" s="74" t="str">
        <x:v>1</x:v>
      </x:c>
      <x:c r="AN13" s="74" t="str">
        <x:v>1</x:v>
      </x:c>
      <x:c r="AO13" s="60" t="str">
        <x:v>2026</x:v>
      </x:c>
      <x:c r="AP13" s="76" t="str">
        <x:v>Meta tracking detected; no embedded homepage video found</x:v>
      </x:c>
      <x:c r="AQ13" s="76" t="str">
        <x:v>Meta Pixel; Google Ads tag; project/gallery proof; visible service offer; no embedded homepage video detected</x:v>
      </x:c>
      <x:c r="AR13" s="76" t="str">
        <x:v>I noticed Air Repair AL's site has Meta tracking installed, but I couldn't find an embedded video on the homepage.</x:v>
      </x:c>
      <x:c r="AS13" s="76" t="str">
        <x:v>no-cool-call to same-day comfort ad</x:v>
      </x:c>
      <x:c r="AT13" s="76" t="str">
        <x:v>Air Repair AL ad concept</x:v>
      </x:c>
      <x:c r="AU13" s="76" t="str">
        <x:v>Hi Air Repair AL — I noticed Air Repair AL's site has Meta tracking installed, but I couldn't find an embedded video on the homepage. I mapped a private 15-second no-cool-call to same-day comfort ad for Air Repair AL using only public brand context—not for publishing, just to show the angle. We build three client-approved video ad concepts in seven days, then turn the winners into fresh variations. No filming day required. Worth sending the private sample?</x:v>
      </x:c>
      <x:c r="AV13" s="76" t="str">
        <x:v>Quick follow-up: the sample angle is a no-cool-call to same-day comfort ad. If it misses the mark, no problem—I won't keep chasing. Should I send it?</x:v>
      </x:c>
      <x:c r="AW13" s="76" t="str">
        <x:v>Hi Air Repair AL, Ryan here. I was looking at Air Repair AL's public marketing and noticed: meta tracking detected; no embedded homepage video found. I mapped one private no-cool-call to same-day comfort ad as an example. Did I catch you with 30 seconds?</x:v>
      </x:c>
      <x:c r="AX13" s="60" t="str">
        <x:v>https://www.facebook.com/ads/library/?active_status=active&amp;ad_type=all&amp;country=US&amp;q=Air%20Repair%20AL&amp;search_type=keyword_unordered</x:v>
      </x:c>
      <x:c r="AY13" s="60" t="str">
        <x:v>ok:200</x:v>
      </x:c>
      <x:c r="AZ13" s="60" t="n">
        <x:v>46232.722858796296</x:v>
      </x:c>
      <x:c r="BA13" s="60" t="str">
        <x:v>Google Maps home-services export</x:v>
      </x:c>
      <x:c r="BB13" s="60" t="str">
        <x:v>https://airrepairal.com | https://maps.google.com/?cid=454799349211071959&amp;g_mp=Cidnb29nbGUubWFwcy5wbGFjZXMudjEuUGxhY2VzLlNlYXJjaFRleHQQAhgEIAA</x:v>
      </x:c>
      <x:c r="BC13" s="60" t="str"/>
    </x:row>
    <x:row r="14" ht="18" customHeight="1">
      <x:c r="A14" s="70" t="str">
        <x:v>13</x:v>
      </x:c>
      <x:c r="B14" s="70" t="str">
        <x:v>A - Layup</x:v>
      </x:c>
      <x:c r="C14" s="72" t="str">
        <x:v>85</x:v>
      </x:c>
      <x:c r="D14" s="60" t="str">
        <x:v>Aptus Home Services, HVAC, Plumbing &amp; Electric</x:v>
      </x:c>
      <x:c r="E14" s="60" t="str">
        <x:v>https://aptushomeservices.com</x:v>
      </x:c>
      <x:c r="F14" s="60" t="str">
        <x:v>https://aptushomeservices.com</x:v>
      </x:c>
      <x:c r="G14" s="60" t="str">
        <x:v>Mount Pleasant</x:v>
      </x:c>
      <x:c r="H14" s="60" t="str">
        <x:v>South Carolina</x:v>
      </x:c>
      <x:c r="I14" s="60" t="str">
        <x:v>HVAC</x:v>
      </x:c>
      <x:c r="J14" s="60" t="str">
        <x:v>Aptus Home Services, HVAC, Plumbing &amp; Electric</x:v>
      </x:c>
      <x:c r="K14" s="60" t="str"/>
      <x:c r="L14" s="60" t="str">
        <x:v>Owner / decision maker to verify</x:v>
      </x:c>
      <x:c r="M14" s="60" t="str"/>
      <x:c r="N14" s="60" t="str"/>
      <x:c r="O14" s="60" t="str">
        <x:v>(843) 588-4211</x:v>
      </x:c>
      <x:c r="P14" s="60" t="str"/>
      <x:c r="Q14" s="60" t="str"/>
      <x:c r="R14" s="60" t="str"/>
      <x:c r="S14" s="60" t="str">
        <x:v>5</x:v>
      </x:c>
      <x:c r="T14" s="74" t="str">
        <x:v>188</x:v>
      </x:c>
      <x:c r="U14" s="60" t="str"/>
      <x:c r="V14" s="74" t="str">
        <x:v>28</x:v>
      </x:c>
      <x:c r="W14" s="74" t="str">
        <x:v>26</x:v>
      </x:c>
      <x:c r="X14" s="74" t="str">
        <x:v>12</x:v>
      </x:c>
      <x:c r="Y14" s="74" t="str">
        <x:v>14</x:v>
      </x:c>
      <x:c r="Z14" s="74" t="str">
        <x:v>5</x:v>
      </x:c>
      <x:c r="AA14" s="74" t="str">
        <x:v>1</x:v>
      </x:c>
      <x:c r="AB14" s="74" t="str">
        <x:v>0</x:v>
      </x:c>
      <x:c r="AC14" s="74" t="str">
        <x:v>1</x:v>
      </x:c>
      <x:c r="AD14" s="74" t="str">
        <x:v>0</x:v>
      </x:c>
      <x:c r="AE14" s="74" t="str">
        <x:v>1</x:v>
      </x:c>
      <x:c r="AF14" s="74" t="str">
        <x:v>podium</x:v>
      </x:c>
      <x:c r="AG14" s="74" t="str">
        <x:v>0</x:v>
      </x:c>
      <x:c r="AH14" s="74" t="str">
        <x:v>1</x:v>
      </x:c>
      <x:c r="AI14" s="74" t="str">
        <x:v>0</x:v>
      </x:c>
      <x:c r="AJ14" s="74" t="str">
        <x:v>1</x:v>
      </x:c>
      <x:c r="AK14" s="74" t="str">
        <x:v>1</x:v>
      </x:c>
      <x:c r="AL14" s="74" t="str">
        <x:v>1</x:v>
      </x:c>
      <x:c r="AM14" s="74" t="str">
        <x:v>1</x:v>
      </x:c>
      <x:c r="AN14" s="74" t="str">
        <x:v>1</x:v>
      </x:c>
      <x:c r="AO14" s="60" t="str">
        <x:v>2026</x:v>
      </x:c>
      <x:c r="AP14" s="76" t="str">
        <x:v>Meta tracking detected; no embedded homepage video found</x:v>
      </x:c>
      <x:c r="AQ14" s="76" t="str">
        <x:v>Meta Pixel; call tracking; project/gallery proof; financing; visible service offer; no embedded homepage video detected</x:v>
      </x:c>
      <x:c r="AR14" s="76" t="str">
        <x:v>I noticed Aptus Home Services, HVAC, Plumbing &amp; Electric's site has Meta tracking installed, but I couldn't find an embedded video on the homepage.</x:v>
      </x:c>
      <x:c r="AS14" s="76" t="str">
        <x:v>no-cool-call to same-day comfort ad</x:v>
      </x:c>
      <x:c r="AT14" s="76" t="str">
        <x:v>Aptus Home Services, HVAC, Plumbing &amp; Electric ad concept</x:v>
      </x:c>
      <x:c r="AU14" s="76" t="str">
        <x:v>Hi Aptus Home Services, HVAC, Plumbing &amp; Electric — I noticed Aptus Home Services, HVAC, Plumbing &amp; Electric's site has Meta tracking installed, but I couldn't find an embedded video on the homepage. I mapped a private 15-second no-cool-call to same-day comfort ad for Aptus Home Services, HVAC, Plumbing &amp; Electric using only public brand context—not for publishing, just to show the angle. We build three client-approved video ad concepts in seven days, then turn the winners into fresh variations. No filming day required. Worth sending the private sample?</x:v>
      </x:c>
      <x:c r="AV14" s="76" t="str">
        <x:v>Quick follow-up: the sample angle is a no-cool-call to same-day comfort ad. If it misses the mark, no problem—I won't keep chasing. Should I send it?</x:v>
      </x:c>
      <x:c r="AW14" s="76" t="str">
        <x:v>Hi Aptus Home Services, HVAC, Plumbing &amp; Electric, Ryan here. I was looking at Aptus Home Services, HVAC, Plumbing &amp; Electric's public marketing and noticed: meta tracking detected; no embedded homepage video found. I mapped one private no-cool-call to same-day comfort ad as an example. Did I catch you with 30 seconds?</x:v>
      </x:c>
      <x:c r="AX14" s="60" t="str">
        <x:v>https://www.facebook.com/ads/library/?active_status=active&amp;ad_type=all&amp;country=US&amp;q=Aptus%20Home%20Services%2C%20HVAC%2C%20Plumbing%20%26%20Electric&amp;search_type=keyword_unordered</x:v>
      </x:c>
      <x:c r="AY14" s="60" t="str">
        <x:v>ok:200</x:v>
      </x:c>
      <x:c r="AZ14" s="60" t="n">
        <x:v>46232.722858796296</x:v>
      </x:c>
      <x:c r="BA14" s="60" t="str">
        <x:v>Google Maps home-services export</x:v>
      </x:c>
      <x:c r="BB14" s="60" t="str">
        <x:v>https://aptushomeservices.com | https://maps.google.com/?cid=3968008000611051317&amp;g_mp=Cidnb29nbGUubWFwcy5wbGFjZXMudjEuUGxhY2VzLlNlYXJjaFRleHQQAhgEIAA</x:v>
      </x:c>
      <x:c r="BC14" s="60" t="str"/>
    </x:row>
    <x:row r="15" ht="18" customHeight="1">
      <x:c r="A15" s="70" t="str">
        <x:v>14</x:v>
      </x:c>
      <x:c r="B15" s="70" t="str">
        <x:v>A - Layup</x:v>
      </x:c>
      <x:c r="C15" s="72" t="str">
        <x:v>85</x:v>
      </x:c>
      <x:c r="D15" s="60" t="str">
        <x:v>The Red Shirt Guys Roofing</x:v>
      </x:c>
      <x:c r="E15" s="60" t="str">
        <x:v>https://theredshirtguys.com</x:v>
      </x:c>
      <x:c r="F15" s="60" t="str">
        <x:v>https://theredshirtguys.com</x:v>
      </x:c>
      <x:c r="G15" s="60" t="str">
        <x:v>Columbia</x:v>
      </x:c>
      <x:c r="H15" s="60" t="str">
        <x:v>South Carolina</x:v>
      </x:c>
      <x:c r="I15" s="60" t="str">
        <x:v>Roofing</x:v>
      </x:c>
      <x:c r="J15" s="60" t="str">
        <x:v>The Red Shirt Guys Roofing</x:v>
      </x:c>
      <x:c r="K15" s="60" t="str"/>
      <x:c r="L15" s="60" t="str">
        <x:v>Owner / decision maker to verify</x:v>
      </x:c>
      <x:c r="M15" s="60" t="str"/>
      <x:c r="N15" s="60" t="str"/>
      <x:c r="O15" s="60" t="str">
        <x:v>(803) 243-3968</x:v>
      </x:c>
      <x:c r="P15" s="60" t="str"/>
      <x:c r="Q15" s="60" t="str"/>
      <x:c r="R15" s="60" t="str"/>
      <x:c r="S15" s="60" t="str">
        <x:v>4.9</x:v>
      </x:c>
      <x:c r="T15" s="74" t="str">
        <x:v>225</x:v>
      </x:c>
      <x:c r="U15" s="60" t="str"/>
      <x:c r="V15" s="74" t="str">
        <x:v>29</x:v>
      </x:c>
      <x:c r="W15" s="74" t="str">
        <x:v>25</x:v>
      </x:c>
      <x:c r="X15" s="74" t="str">
        <x:v>15</x:v>
      </x:c>
      <x:c r="Y15" s="74" t="str">
        <x:v>11</x:v>
      </x:c>
      <x:c r="Z15" s="74" t="str">
        <x:v>5</x:v>
      </x:c>
      <x:c r="AA15" s="74" t="str">
        <x:v>1</x:v>
      </x:c>
      <x:c r="AB15" s="74" t="str">
        <x:v>1</x:v>
      </x:c>
      <x:c r="AC15" s="74" t="str">
        <x:v>1</x:v>
      </x:c>
      <x:c r="AD15" s="74" t="str">
        <x:v>0</x:v>
      </x:c>
      <x:c r="AE15" s="74" t="str">
        <x:v>0</x:v>
      </x:c>
      <x:c r="AF15" s="74" t="str"/>
      <x:c r="AG15" s="74" t="str">
        <x:v>0</x:v>
      </x:c>
      <x:c r="AH15" s="74" t="str">
        <x:v>1</x:v>
      </x:c>
      <x:c r="AI15" s="74" t="str">
        <x:v>0</x:v>
      </x:c>
      <x:c r="AJ15" s="74" t="str">
        <x:v>0</x:v>
      </x:c>
      <x:c r="AK15" s="74" t="str">
        <x:v>1</x:v>
      </x:c>
      <x:c r="AL15" s="74" t="str">
        <x:v>1</x:v>
      </x:c>
      <x:c r="AM15" s="74" t="str">
        <x:v>1</x:v>
      </x:c>
      <x:c r="AN15" s="74" t="str">
        <x:v>0</x:v>
      </x:c>
      <x:c r="AO15" s="60" t="str">
        <x:v>2024</x:v>
      </x:c>
      <x:c r="AP15" s="76" t="str">
        <x:v>Meta tracking detected; no embedded homepage video found</x:v>
      </x:c>
      <x:c r="AQ15" s="76" t="str">
        <x:v>Meta Pixel; Google Ads tag; project/gallery proof; visible service offer; no embedded homepage video detected</x:v>
      </x:c>
      <x:c r="AR15" s="76" t="str">
        <x:v>I noticed The Red Shirt Guys Roofing's site has Meta tracking installed, but I couldn't find an embedded video on the homepage.</x:v>
      </x:c>
      <x:c r="AS15" s="76" t="str">
        <x:v>storm-to-inspection before/after ad</x:v>
      </x:c>
      <x:c r="AT15" s="76" t="str">
        <x:v>The Red Shirt Guys Roofing ad concept</x:v>
      </x:c>
      <x:c r="AU15" s="76" t="str">
        <x:v>Hi The Red Shirt Guys Roofing — I noticed The Red Shirt Guys Roofing's site has Meta tracking installed, but I couldn't find an embedded video on the homepage. I mapped a private 15-second storm-to-inspection before/after ad for The Red Shirt Guys Roofing using only public brand context—not for publishing, just to show the angle. We build three client-approved video ad concepts in seven days, then turn the winners into fresh variations. No filming day required. Worth sending the private sample?</x:v>
      </x:c>
      <x:c r="AV15" s="76" t="str">
        <x:v>Quick follow-up: the sample angle is a storm-to-inspection before/after ad. If it misses the mark, no problem—I won't keep chasing. Should I send it?</x:v>
      </x:c>
      <x:c r="AW15" s="76" t="str">
        <x:v>Hi The Red Shirt Guys Roofing, Ryan here. I was looking at The Red Shirt Guys Roofing's public marketing and noticed: meta tracking detected; no embedded homepage video found. I mapped one private storm-to-inspection before/after ad as an example. Did I catch you with 30 seconds?</x:v>
      </x:c>
      <x:c r="AX15" s="60" t="str">
        <x:v>https://www.facebook.com/ads/library/?active_status=active&amp;ad_type=all&amp;country=US&amp;q=The%20Red%20Shirt%20Guys%20Roofing&amp;search_type=keyword_unordered</x:v>
      </x:c>
      <x:c r="AY15" s="60" t="str">
        <x:v>ok:200</x:v>
      </x:c>
      <x:c r="AZ15" s="60" t="n">
        <x:v>46232.722858796296</x:v>
      </x:c>
      <x:c r="BA15" s="60" t="str">
        <x:v>Google Maps home-services export</x:v>
      </x:c>
      <x:c r="BB15" s="60" t="str">
        <x:v>https://maps.google.com/?cid=9918663524188870465&amp;g_mp=Cidnb29nbGUubWFwcy5wbGFjZXMudjEuUGxhY2VzLlNlYXJjaFRleHQQAhgEIAA | https://theredshirtguys.com</x:v>
      </x:c>
      <x:c r="BC15" s="60" t="str"/>
    </x:row>
    <x:row r="16" ht="18" customHeight="1">
      <x:c r="A16" s="70" t="str">
        <x:v>15</x:v>
      </x:c>
      <x:c r="B16" s="70" t="str">
        <x:v>A - Layup</x:v>
      </x:c>
      <x:c r="C16" s="72" t="str">
        <x:v>84</x:v>
      </x:c>
      <x:c r="D16" s="60" t="str">
        <x:v>RestoPros of Savannah - Beaufort</x:v>
      </x:c>
      <x:c r="E16" s="60" t="str">
        <x:v>https://restopros.co</x:v>
      </x:c>
      <x:c r="F16" s="60" t="str">
        <x:v>https://www.restopros.co/</x:v>
      </x:c>
      <x:c r="G16" s="60" t="str">
        <x:v>Bluffton</x:v>
      </x:c>
      <x:c r="H16" s="60" t="str">
        <x:v>South Carolina</x:v>
      </x:c>
      <x:c r="I16" s="60" t="str">
        <x:v>Restoration</x:v>
      </x:c>
      <x:c r="J16" s="60" t="str">
        <x:v>Matt</x:v>
      </x:c>
      <x:c r="K16" s="60" t="str">
        <x:v>Hudson</x:v>
      </x:c>
      <x:c r="L16" s="60" t="str">
        <x:v>Company Owner</x:v>
      </x:c>
      <x:c r="M16" s="60" t="str">
        <x:v>mhudson@restopros.co</x:v>
      </x:c>
      <x:c r="N16" s="60" t="str">
        <x:v>Verified with BounceBan on 08 Jun 26 12:06</x:v>
      </x:c>
      <x:c r="O16" s="60" t="str">
        <x:v>+1 508 989 8830</x:v>
      </x:c>
      <x:c r="P16" s="60" t="str">
        <x:v>https://www.linkedin.com/in/matt-hudson-499a7a89</x:v>
      </x:c>
      <x:c r="Q16" s="60" t="str">
        <x:v>11-50</x:v>
      </x:c>
      <x:c r="R16" s="60" t="str">
        <x:v>0-99999</x:v>
      </x:c>
      <x:c r="S16" s="60" t="str"/>
      <x:c r="T16" s="74" t="str">
        <x:v>0</x:v>
      </x:c>
      <x:c r="U16" s="60" t="str"/>
      <x:c r="V16" s="74" t="str">
        <x:v>30</x:v>
      </x:c>
      <x:c r="W16" s="74" t="str">
        <x:v>25</x:v>
      </x:c>
      <x:c r="X16" s="74" t="str">
        <x:v>12</x:v>
      </x:c>
      <x:c r="Y16" s="74" t="str">
        <x:v>7</x:v>
      </x:c>
      <x:c r="Z16" s="74" t="str">
        <x:v>10</x:v>
      </x:c>
      <x:c r="AA16" s="74" t="str">
        <x:v>1</x:v>
      </x:c>
      <x:c r="AB16" s="74" t="str">
        <x:v>1</x:v>
      </x:c>
      <x:c r="AC16" s="74" t="str">
        <x:v>1</x:v>
      </x:c>
      <x:c r="AD16" s="74" t="str">
        <x:v>0</x:v>
      </x:c>
      <x:c r="AE16" s="74" t="str">
        <x:v>0</x:v>
      </x:c>
      <x:c r="AF16" s="74" t="str"/>
      <x:c r="AG16" s="74" t="str">
        <x:v>0</x:v>
      </x:c>
      <x:c r="AH16" s="74" t="str">
        <x:v>0</x:v>
      </x:c>
      <x:c r="AI16" s="74" t="str">
        <x:v>1</x:v>
      </x:c>
      <x:c r="AJ16" s="74" t="str">
        <x:v>0</x:v>
      </x:c>
      <x:c r="AK16" s="74" t="str">
        <x:v>1</x:v>
      </x:c>
      <x:c r="AL16" s="74" t="str">
        <x:v>1</x:v>
      </x:c>
      <x:c r="AM16" s="74" t="str">
        <x:v>1</x:v>
      </x:c>
      <x:c r="AN16" s="74" t="str">
        <x:v>1</x:v>
      </x:c>
      <x:c r="AO16" s="60" t="str">
        <x:v>0</x:v>
      </x:c>
      <x:c r="AP16" s="76" t="str">
        <x:v>Meta tracking detected; no embedded homepage video found</x:v>
      </x:c>
      <x:c r="AQ16" s="76" t="str">
        <x:v>Meta Pixel; Google Ads tag; testimonials; visible service offer; no embedded homepage video detected</x:v>
      </x:c>
      <x:c r="AR16" s="76" t="str">
        <x:v>I noticed RestoPros of Savannah - Beaufort's site has Meta tracking installed, but I couldn't find an embedded video on the homepage.</x:v>
      </x:c>
      <x:c r="AS16" s="76" t="str">
        <x:v>first-24-hours emergency-response ad</x:v>
      </x:c>
      <x:c r="AT16" s="76" t="str">
        <x:v>RestoPros of Savannah - Beaufort ad concept</x:v>
      </x:c>
      <x:c r="AU16" s="76" t="str">
        <x:v>Hi Matt — I noticed RestoPros of Savannah - Beaufort's site has Meta tracking installed, but I couldn't find an embedded video on the homepage. I mapped a private 15-second first-24-hours emergency-response ad for RestoPros of Savannah - Beaufort using only public brand context—not for publishing, just to show the angle. We build three client-approved video ad concepts in seven days, then turn the winners into fresh variations. No filming day required. Worth sending the private sample?</x:v>
      </x:c>
      <x:c r="AV16" s="76" t="str">
        <x:v>Quick follow-up: the sample angle is a first-24-hours emergency-response ad. If it misses the mark, no problem—I won't keep chasing. Should I send it?</x:v>
      </x:c>
      <x:c r="AW16" s="76" t="str">
        <x:v>Hi Matt, Ryan here. I was looking at RestoPros of Savannah - Beaufort's public marketing and noticed: meta tracking detected; no embedded homepage video found. I mapped one private first-24-hours emergency-response ad as an example. Did I catch you with 30 seconds?</x:v>
      </x:c>
      <x:c r="AX16" s="60" t="str">
        <x:v>https://www.facebook.com/ads/library/?active_status=active&amp;ad_type=all&amp;country=US&amp;q=RestoPros%20of%20Savannah%20-%20Beaufort&amp;search_type=keyword_unordered</x:v>
      </x:c>
      <x:c r="AY16" s="60" t="str">
        <x:v>ok:200</x:v>
      </x:c>
      <x:c r="AZ16" s="60" t="n">
        <x:v>46232.722858796296</x:v>
      </x:c>
      <x:c r="BA16" s="60" t="str">
        <x:v>AI Ark SC trades export</x:v>
      </x:c>
      <x:c r="BB16" s="60" t="str">
        <x:v>https://restopros.co | https://www.linkedin.com/company/restopros-of-savannah-beaufort</x:v>
      </x:c>
      <x:c r="BC16" s="60" t="str"/>
    </x:row>
    <x:row r="17" ht="18" customHeight="1">
      <x:c r="A17" s="70" t="str">
        <x:v>16</x:v>
      </x:c>
      <x:c r="B17" s="70" t="str">
        <x:v>B - Strong</x:v>
      </x:c>
      <x:c r="C17" s="72" t="str">
        <x:v>83</x:v>
      </x:c>
      <x:c r="D17" s="60" t="str">
        <x:v>Patio Enclosures by Great Day Improvements</x:v>
      </x:c>
      <x:c r="E17" s="60" t="str">
        <x:v>https://patioenclosures.com</x:v>
      </x:c>
      <x:c r="F17" s="60" t="str">
        <x:v>https://www.patioenclosures.com/</x:v>
      </x:c>
      <x:c r="G17" s="60" t="str">
        <x:v>Taylors</x:v>
      </x:c>
      <x:c r="H17" s="60" t="str">
        <x:v>South Carolina</x:v>
      </x:c>
      <x:c r="I17" s="60" t="str">
        <x:v>Windows &amp; Doors</x:v>
      </x:c>
      <x:c r="J17" s="60" t="str">
        <x:v>Genia</x:v>
      </x:c>
      <x:c r="K17" s="60" t="str">
        <x:v>Hester</x:v>
      </x:c>
      <x:c r="L17" s="60" t="str">
        <x:v>Owner</x:v>
      </x:c>
      <x:c r="M17" s="60" t="str"/>
      <x:c r="N17" s="60" t="str"/>
      <x:c r="O17" s="60" t="str"/>
      <x:c r="P17" s="60" t="str">
        <x:v>https://www.linkedin.com/in/genia-hester-5713284</x:v>
      </x:c>
      <x:c r="Q17" s="60" t="str">
        <x:v>201-500</x:v>
      </x:c>
      <x:c r="R17" s="60" t="str">
        <x:v>10000000-24999999</x:v>
      </x:c>
      <x:c r="S17" s="60" t="str"/>
      <x:c r="T17" s="74" t="str">
        <x:v>0</x:v>
      </x:c>
      <x:c r="U17" s="60" t="str"/>
      <x:c r="V17" s="74" t="str">
        <x:v>30</x:v>
      </x:c>
      <x:c r="W17" s="74" t="str">
        <x:v>30</x:v>
      </x:c>
      <x:c r="X17" s="74" t="str">
        <x:v>12</x:v>
      </x:c>
      <x:c r="Y17" s="74" t="str">
        <x:v>9</x:v>
      </x:c>
      <x:c r="Z17" s="74" t="str">
        <x:v>2</x:v>
      </x:c>
      <x:c r="AA17" s="74" t="str">
        <x:v>1</x:v>
      </x:c>
      <x:c r="AB17" s="74" t="str">
        <x:v>1</x:v>
      </x:c>
      <x:c r="AC17" s="74" t="str">
        <x:v>1</x:v>
      </x:c>
      <x:c r="AD17" s="74" t="str">
        <x:v>1</x:v>
      </x:c>
      <x:c r="AE17" s="74" t="str">
        <x:v>0</x:v>
      </x:c>
      <x:c r="AF17" s="74" t="str"/>
      <x:c r="AG17" s="74" t="str">
        <x:v>0</x:v>
      </x:c>
      <x:c r="AH17" s="74" t="str">
        <x:v>1</x:v>
      </x:c>
      <x:c r="AI17" s="74" t="str">
        <x:v>1</x:v>
      </x:c>
      <x:c r="AJ17" s="74" t="str">
        <x:v>0</x:v>
      </x:c>
      <x:c r="AK17" s="74" t="str">
        <x:v>0</x:v>
      </x:c>
      <x:c r="AL17" s="74" t="str">
        <x:v>1</x:v>
      </x:c>
      <x:c r="AM17" s="74" t="str">
        <x:v>1</x:v>
      </x:c>
      <x:c r="AN17" s="74" t="str">
        <x:v>1</x:v>
      </x:c>
      <x:c r="AO17" s="60" t="str">
        <x:v>0</x:v>
      </x:c>
      <x:c r="AP17" s="76" t="str">
        <x:v>Meta tracking detected; no embedded homepage video found</x:v>
      </x:c>
      <x:c r="AQ17" s="76" t="str">
        <x:v>Meta Pixel; Google Ads tag; TikTok Pixel; project/gallery proof; testimonials; no embedded homepage video detected</x:v>
      </x:c>
      <x:c r="AR17" s="76" t="str">
        <x:v>I noticed Patio Enclosures by Great Day Improvements's site has Meta tracking installed, but I couldn't find an embedded video on the homepage.</x:v>
      </x:c>
      <x:c r="AS17" s="76" t="str">
        <x:v>energy-loss to installed-window transformation ad</x:v>
      </x:c>
      <x:c r="AT17" s="76" t="str">
        <x:v>Patio Enclosures by Great Day Improvements ad concept</x:v>
      </x:c>
      <x:c r="AU17" s="76" t="str">
        <x:v>Hi Genia — I noticed Patio Enclosures by Great Day Improvements's site has Meta tracking installed, but I couldn't find an embedded video on the homepage. I mapped a private 15-second energy-loss to installed-window transformation ad for Patio Enclosures by Great Day Improvements using only public brand context—not for publishing, just to show the angle. We build three client-approved video ad concepts in seven days, then turn the winners into fresh variations. No filming day required. Worth sending the private sample?</x:v>
      </x:c>
      <x:c r="AV17" s="76" t="str">
        <x:v>Quick follow-up: the sample angle is a energy-loss to installed-window transformation ad. If it misses the mark, no problem—I won't keep chasing. Should I send it?</x:v>
      </x:c>
      <x:c r="AW17" s="76" t="str">
        <x:v>Hi Genia, Ryan here. I was looking at Patio Enclosures by Great Day Improvements's public marketing and noticed: meta tracking detected; no embedded homepage video found. I mapped one private energy-loss to installed-window transformation ad as an example. Did I catch you with 30 seconds?</x:v>
      </x:c>
      <x:c r="AX17" s="60" t="str">
        <x:v>https://www.facebook.com/ads/library/?active_status=active&amp;ad_type=all&amp;country=US&amp;q=Patio%20Enclosures%20by%20Great%20Day%20Improvements&amp;search_type=keyword_unordered</x:v>
      </x:c>
      <x:c r="AY17" s="60" t="str">
        <x:v>ok:200</x:v>
      </x:c>
      <x:c r="AZ17" s="60" t="n">
        <x:v>46232.722858796296</x:v>
      </x:c>
      <x:c r="BA17" s="60" t="str">
        <x:v>AI Ark SC trades export</x:v>
      </x:c>
      <x:c r="BB17" s="60" t="str">
        <x:v>https://patioenclosures.com | https://www.linkedin.com/company/patio-enclosures</x:v>
      </x:c>
      <x:c r="BC17" s="60" t="str"/>
    </x:row>
    <x:row r="18" ht="18" customHeight="1">
      <x:c r="A18" s="70" t="str">
        <x:v>17</x:v>
      </x:c>
      <x:c r="B18" s="70" t="str">
        <x:v>A - Layup</x:v>
      </x:c>
      <x:c r="C18" s="72" t="str">
        <x:v>83</x:v>
      </x:c>
      <x:c r="D18" s="60" t="str">
        <x:v>Berkeley Heating &amp; Air Conditioning</x:v>
      </x:c>
      <x:c r="E18" s="60" t="str">
        <x:v>https://berkeleyheating.com</x:v>
      </x:c>
      <x:c r="F18" s="60" t="str">
        <x:v>https://berkeleyheating.com</x:v>
      </x:c>
      <x:c r="G18" s="60" t="str">
        <x:v>North Charleston</x:v>
      </x:c>
      <x:c r="H18" s="60" t="str">
        <x:v>South Carolina</x:v>
      </x:c>
      <x:c r="I18" s="60" t="str">
        <x:v>HVAC</x:v>
      </x:c>
      <x:c r="J18" s="60" t="str">
        <x:v>Berkeley Heating &amp; Air Conditioning</x:v>
      </x:c>
      <x:c r="K18" s="60" t="str"/>
      <x:c r="L18" s="60" t="str">
        <x:v>Owner / decision maker to verify</x:v>
      </x:c>
      <x:c r="M18" s="60" t="str"/>
      <x:c r="N18" s="60" t="str"/>
      <x:c r="O18" s="60" t="str">
        <x:v>(843) 277-6030</x:v>
      </x:c>
      <x:c r="P18" s="60" t="str"/>
      <x:c r="Q18" s="60" t="str"/>
      <x:c r="R18" s="60" t="str"/>
      <x:c r="S18" s="60" t="str">
        <x:v>4.6</x:v>
      </x:c>
      <x:c r="T18" s="74" t="str">
        <x:v>211</x:v>
      </x:c>
      <x:c r="U18" s="60" t="str"/>
      <x:c r="V18" s="74" t="str">
        <x:v>28</x:v>
      </x:c>
      <x:c r="W18" s="74" t="str">
        <x:v>25</x:v>
      </x:c>
      <x:c r="X18" s="74" t="str">
        <x:v>12</x:v>
      </x:c>
      <x:c r="Y18" s="74" t="str">
        <x:v>13</x:v>
      </x:c>
      <x:c r="Z18" s="74" t="str">
        <x:v>5</x:v>
      </x:c>
      <x:c r="AA18" s="74" t="str">
        <x:v>1</x:v>
      </x:c>
      <x:c r="AB18" s="74" t="str">
        <x:v>1</x:v>
      </x:c>
      <x:c r="AC18" s="74" t="str">
        <x:v>1</x:v>
      </x:c>
      <x:c r="AD18" s="74" t="str">
        <x:v>0</x:v>
      </x:c>
      <x:c r="AE18" s="74" t="str">
        <x:v>0</x:v>
      </x:c>
      <x:c r="AF18" s="74" t="str"/>
      <x:c r="AG18" s="74" t="str">
        <x:v>0</x:v>
      </x:c>
      <x:c r="AH18" s="74" t="str">
        <x:v>0</x:v>
      </x:c>
      <x:c r="AI18" s="74" t="str">
        <x:v>1</x:v>
      </x:c>
      <x:c r="AJ18" s="74" t="str">
        <x:v>1</x:v>
      </x:c>
      <x:c r="AK18" s="74" t="str">
        <x:v>1</x:v>
      </x:c>
      <x:c r="AL18" s="74" t="str">
        <x:v>0</x:v>
      </x:c>
      <x:c r="AM18" s="74" t="str">
        <x:v>1</x:v>
      </x:c>
      <x:c r="AN18" s="74" t="str">
        <x:v>1</x:v>
      </x:c>
      <x:c r="AO18" s="60" t="str">
        <x:v>2026</x:v>
      </x:c>
      <x:c r="AP18" s="76" t="str">
        <x:v>Meta tracking detected; no embedded homepage video found</x:v>
      </x:c>
      <x:c r="AQ18" s="76" t="str">
        <x:v>Meta Pixel; Google Ads tag; testimonials; financing; visible service offer; no embedded homepage video detected</x:v>
      </x:c>
      <x:c r="AR18" s="76" t="str">
        <x:v>I noticed Berkeley Heating &amp; Air Conditioning's site has Meta tracking installed, but I couldn't find an embedded video on the homepage.</x:v>
      </x:c>
      <x:c r="AS18" s="76" t="str">
        <x:v>no-cool-call to same-day comfort ad</x:v>
      </x:c>
      <x:c r="AT18" s="76" t="str">
        <x:v>Berkeley Heating &amp; Air Conditioning ad concept</x:v>
      </x:c>
      <x:c r="AU18" s="76" t="str">
        <x:v>Hi Berkeley Heating &amp; Air Conditioning — I noticed Berkeley Heating &amp; Air Conditioning's site has Meta tracking installed, but I couldn't find an embedded video on the homepage. I mapped a private 15-second no-cool-call to same-day comfort ad for Berkeley Heating &amp; Air Conditioning using only public brand context—not for publishing, just to show the angle. We build three client-approved video ad concepts in seven days, then turn the winners into fresh variations. No filming day required. Worth sending the private sample?</x:v>
      </x:c>
      <x:c r="AV18" s="76" t="str">
        <x:v>Quick follow-up: the sample angle is a no-cool-call to same-day comfort ad. If it misses the mark, no problem—I won't keep chasing. Should I send it?</x:v>
      </x:c>
      <x:c r="AW18" s="76" t="str">
        <x:v>Hi Berkeley Heating &amp; Air Conditioning, Ryan here. I was looking at Berkeley Heating &amp; Air Conditioning's public marketing and noticed: meta tracking detected; no embedded homepage video found. I mapped one private no-cool-call to same-day comfort ad as an example. Did I catch you with 30 seconds?</x:v>
      </x:c>
      <x:c r="AX18" s="60" t="str">
        <x:v>https://www.facebook.com/ads/library/?active_status=active&amp;ad_type=all&amp;country=US&amp;q=Berkeley%20Heating%20%26%20Air%20Conditioning&amp;search_type=keyword_unordered</x:v>
      </x:c>
      <x:c r="AY18" s="60" t="str">
        <x:v>ok:200</x:v>
      </x:c>
      <x:c r="AZ18" s="60" t="n">
        <x:v>46232.722858796296</x:v>
      </x:c>
      <x:c r="BA18" s="60" t="str">
        <x:v>Google Maps home-services export</x:v>
      </x:c>
      <x:c r="BB18" s="60" t="str">
        <x:v>https://berkeleyheating.com | https://maps.google.com/?cid=1956880769095308759&amp;g_mp=Cidnb29nbGUubWFwcy5wbGFjZXMudjEuUGxhY2VzLlNlYXJjaFRleHQQAhgEIAA</x:v>
      </x:c>
      <x:c r="BC18" s="60" t="str"/>
    </x:row>
    <x:row r="19" ht="18" customHeight="1">
      <x:c r="A19" s="70" t="str">
        <x:v>18</x:v>
      </x:c>
      <x:c r="B19" s="70" t="str">
        <x:v>A - Layup</x:v>
      </x:c>
      <x:c r="C19" s="72" t="str">
        <x:v>82</x:v>
      </x:c>
      <x:c r="D19" s="60" t="str">
        <x:v>ProLift Garage Doors of Charleston</x:v>
      </x:c>
      <x:c r="E19" s="60" t="str">
        <x:v>https://proliftdoors.com</x:v>
      </x:c>
      <x:c r="F19" s="60" t="str">
        <x:v>https://www.proliftdoors.com/</x:v>
      </x:c>
      <x:c r="G19" s="60" t="str">
        <x:v>Mount Pleasant</x:v>
      </x:c>
      <x:c r="H19" s="60" t="str">
        <x:v>South Carolina</x:v>
      </x:c>
      <x:c r="I19" s="60" t="str">
        <x:v>Garage Doors</x:v>
      </x:c>
      <x:c r="J19" s="60" t="str">
        <x:v>Travis</x:v>
      </x:c>
      <x:c r="K19" s="60" t="str">
        <x:v>Nicolette, MBA</x:v>
      </x:c>
      <x:c r="L19" s="60" t="str">
        <x:v>Business Owner</x:v>
      </x:c>
      <x:c r="M19" s="60" t="str">
        <x:v>tnicolette@proliftdoors.com</x:v>
      </x:c>
      <x:c r="N19" s="60" t="str">
        <x:v>Verified with BounceBan on 08 Jun 26 12:06</x:v>
      </x:c>
      <x:c r="O19" s="60" t="str">
        <x:v>+1 803 467 6740</x:v>
      </x:c>
      <x:c r="P19" s="60" t="str">
        <x:v>https://www.linkedin.com/in/travisnicolette</x:v>
      </x:c>
      <x:c r="Q19" s="60" t="str">
        <x:v>2-10</x:v>
      </x:c>
      <x:c r="R19" s="60" t="str">
        <x:v>100000-499999</x:v>
      </x:c>
      <x:c r="S19" s="60" t="str"/>
      <x:c r="T19" s="74" t="str">
        <x:v>0</x:v>
      </x:c>
      <x:c r="U19" s="60" t="str"/>
      <x:c r="V19" s="74" t="str">
        <x:v>23</x:v>
      </x:c>
      <x:c r="W19" s="74" t="str">
        <x:v>25</x:v>
      </x:c>
      <x:c r="X19" s="74" t="str">
        <x:v>12</x:v>
      </x:c>
      <x:c r="Y19" s="74" t="str">
        <x:v>12</x:v>
      </x:c>
      <x:c r="Z19" s="74" t="str">
        <x:v>10</x:v>
      </x:c>
      <x:c r="AA19" s="74" t="str">
        <x:v>1</x:v>
      </x:c>
      <x:c r="AB19" s="74" t="str">
        <x:v>1</x:v>
      </x:c>
      <x:c r="AC19" s="74" t="str">
        <x:v>1</x:v>
      </x:c>
      <x:c r="AD19" s="74" t="str">
        <x:v>0</x:v>
      </x:c>
      <x:c r="AE19" s="74" t="str">
        <x:v>0</x:v>
      </x:c>
      <x:c r="AF19" s="74" t="str"/>
      <x:c r="AG19" s="74" t="str">
        <x:v>0</x:v>
      </x:c>
      <x:c r="AH19" s="74" t="str">
        <x:v>1</x:v>
      </x:c>
      <x:c r="AI19" s="74" t="str">
        <x:v>1</x:v>
      </x:c>
      <x:c r="AJ19" s="74" t="str">
        <x:v>0</x:v>
      </x:c>
      <x:c r="AK19" s="74" t="str">
        <x:v>1</x:v>
      </x:c>
      <x:c r="AL19" s="74" t="str">
        <x:v>1</x:v>
      </x:c>
      <x:c r="AM19" s="74" t="str">
        <x:v>1</x:v>
      </x:c>
      <x:c r="AN19" s="74" t="str">
        <x:v>1</x:v>
      </x:c>
      <x:c r="AO19" s="60" t="str">
        <x:v>2026</x:v>
      </x:c>
      <x:c r="AP19" s="76" t="str">
        <x:v>Meta tracking detected; no embedded homepage video found</x:v>
      </x:c>
      <x:c r="AQ19" s="76" t="str">
        <x:v>Meta Pixel; Google Ads tag; project/gallery proof; testimonials; visible service offer; no embedded homepage video detected</x:v>
      </x:c>
      <x:c r="AR19" s="76" t="str">
        <x:v>I noticed ProLift Garage Doors of Charleston's site has Meta tracking installed, but I couldn't find an embedded video on the homepage.</x:v>
      </x:c>
      <x:c r="AS19" s="76" t="str">
        <x:v>curb-appeal transformation ad</x:v>
      </x:c>
      <x:c r="AT19" s="76" t="str">
        <x:v>ProLift Garage Doors of Charleston ad concept</x:v>
      </x:c>
      <x:c r="AU19" s="76" t="str">
        <x:v>Hi Travis — I noticed ProLift Garage Doors of Charleston's site has Meta tracking installed, but I couldn't find an embedded video on the homepage. I mapped a private 15-second curb-appeal transformation ad for ProLift Garage Doors of Charleston using only public brand context—not for publishing, just to show the angle. We build three client-approved video ad concepts in seven days, then turn the winners into fresh variations. No filming day required. Worth sending the private sample?</x:v>
      </x:c>
      <x:c r="AV19" s="76" t="str">
        <x:v>Quick follow-up: the sample angle is a curb-appeal transformation ad. If it misses the mark, no problem—I won't keep chasing. Should I send it?</x:v>
      </x:c>
      <x:c r="AW19" s="76" t="str">
        <x:v>Hi Travis, Ryan here. I was looking at ProLift Garage Doors of Charleston's public marketing and noticed: meta tracking detected; no embedded homepage video found. I mapped one private curb-appeal transformation ad as an example. Did I catch you with 30 seconds?</x:v>
      </x:c>
      <x:c r="AX19" s="60" t="str">
        <x:v>https://www.facebook.com/ads/library/?active_status=active&amp;ad_type=all&amp;country=US&amp;q=ProLift%20Garage%20Doors%20of%20Charleston&amp;search_type=keyword_unordered</x:v>
      </x:c>
      <x:c r="AY19" s="60" t="str">
        <x:v>ok:200</x:v>
      </x:c>
      <x:c r="AZ19" s="60" t="n">
        <x:v>46232.722858796296</x:v>
      </x:c>
      <x:c r="BA19" s="60" t="str">
        <x:v>AI Ark SC trades export</x:v>
      </x:c>
      <x:c r="BB19" s="60" t="str">
        <x:v>https://proliftdoors.com | https://www.linkedin.com/company/proliftcharleston</x:v>
      </x:c>
      <x:c r="BC19" s="60" t="str"/>
    </x:row>
    <x:row r="20" ht="18" customHeight="1">
      <x:c r="A20" s="70" t="str">
        <x:v>19</x:v>
      </x:c>
      <x:c r="B20" s="70" t="str">
        <x:v>A - Layup</x:v>
      </x:c>
      <x:c r="C20" s="72" t="str">
        <x:v>82</x:v>
      </x:c>
      <x:c r="D20" s="60" t="str">
        <x:v>Flooring Factory</x:v>
      </x:c>
      <x:c r="E20" s="60" t="str">
        <x:v>https://flooringfactorysc.com</x:v>
      </x:c>
      <x:c r="F20" s="60" t="str">
        <x:v>https://www.flooringfactorysc.com/</x:v>
      </x:c>
      <x:c r="G20" s="60" t="str">
        <x:v>Charleston</x:v>
      </x:c>
      <x:c r="H20" s="60" t="str">
        <x:v>South Carolina Metropolitan Area</x:v>
      </x:c>
      <x:c r="I20" s="60" t="str">
        <x:v>Remodeling</x:v>
      </x:c>
      <x:c r="J20" s="60" t="str">
        <x:v>Livia</x:v>
      </x:c>
      <x:c r="K20" s="60" t="str">
        <x:v>Sousa</x:v>
      </x:c>
      <x:c r="L20" s="60" t="str">
        <x:v>Business Owner</x:v>
      </x:c>
      <x:c r="M20" s="60" t="str">
        <x:v>livia@flooringfactorysc.com</x:v>
      </x:c>
      <x:c r="N20" s="60" t="str">
        <x:v>Verified with BounceBan on 08 Jun 26 12:06</x:v>
      </x:c>
      <x:c r="O20" s="60" t="str">
        <x:v>+1 843 514 0684</x:v>
      </x:c>
      <x:c r="P20" s="60" t="str">
        <x:v>https://www.linkedin.com/in/livia-sousa-57b819192</x:v>
      </x:c>
      <x:c r="Q20" s="60" t="str">
        <x:v>2-10</x:v>
      </x:c>
      <x:c r="R20" s="60" t="str">
        <x:v>500000-999999</x:v>
      </x:c>
      <x:c r="S20" s="60" t="str"/>
      <x:c r="T20" s="74" t="str">
        <x:v>0</x:v>
      </x:c>
      <x:c r="U20" s="60" t="str"/>
      <x:c r="V20" s="74" t="str">
        <x:v>27</x:v>
      </x:c>
      <x:c r="W20" s="74" t="str">
        <x:v>25</x:v>
      </x:c>
      <x:c r="X20" s="74" t="str">
        <x:v>12</x:v>
      </x:c>
      <x:c r="Y20" s="74" t="str">
        <x:v>8</x:v>
      </x:c>
      <x:c r="Z20" s="74" t="str">
        <x:v>10</x:v>
      </x:c>
      <x:c r="AA20" s="74" t="str">
        <x:v>1</x:v>
      </x:c>
      <x:c r="AB20" s="74" t="str">
        <x:v>1</x:v>
      </x:c>
      <x:c r="AC20" s="74" t="str">
        <x:v>1</x:v>
      </x:c>
      <x:c r="AD20" s="74" t="str">
        <x:v>0</x:v>
      </x:c>
      <x:c r="AE20" s="74" t="str">
        <x:v>0</x:v>
      </x:c>
      <x:c r="AF20" s="74" t="str"/>
      <x:c r="AG20" s="74" t="str">
        <x:v>0</x:v>
      </x:c>
      <x:c r="AH20" s="74" t="str">
        <x:v>1</x:v>
      </x:c>
      <x:c r="AI20" s="74" t="str">
        <x:v>0</x:v>
      </x:c>
      <x:c r="AJ20" s="74" t="str">
        <x:v>0</x:v>
      </x:c>
      <x:c r="AK20" s="74" t="str">
        <x:v>1</x:v>
      </x:c>
      <x:c r="AL20" s="74" t="str">
        <x:v>1</x:v>
      </x:c>
      <x:c r="AM20" s="74" t="str">
        <x:v>1</x:v>
      </x:c>
      <x:c r="AN20" s="74" t="str">
        <x:v>0</x:v>
      </x:c>
      <x:c r="AO20" s="60" t="str">
        <x:v>2026</x:v>
      </x:c>
      <x:c r="AP20" s="76" t="str">
        <x:v>Meta tracking detected; no embedded homepage video found</x:v>
      </x:c>
      <x:c r="AQ20" s="76" t="str">
        <x:v>Meta Pixel; Google Ads tag; project/gallery proof; visible service offer; no embedded homepage video detected</x:v>
      </x:c>
      <x:c r="AR20" s="76" t="str">
        <x:v>I noticed Flooring Factory's site has Meta tracking installed, but I couldn't find an embedded video on the homepage.</x:v>
      </x:c>
      <x:c r="AS20" s="76" t="str">
        <x:v>project reveal with budget-and-timeline proof</x:v>
      </x:c>
      <x:c r="AT20" s="76" t="str">
        <x:v>Flooring Factory ad concept</x:v>
      </x:c>
      <x:c r="AU20" s="76" t="str">
        <x:v>Hi Livia — I noticed Flooring Factory's site has Meta tracking installed, but I couldn't find an embedded video on the homepage. I mapped a private 15-second project reveal with budget-and-timeline proof for Flooring Factory using only public brand context—not for publishing, just to show the angle. We build three client-approved video ad concepts in seven days, then turn the winners into fresh variations. No filming day required. Worth sending the private sample?</x:v>
      </x:c>
      <x:c r="AV20" s="76" t="str">
        <x:v>Quick follow-up: the sample angle is a project reveal with budget-and-timeline proof. If it misses the mark, no problem—I won't keep chasing. Should I send it?</x:v>
      </x:c>
      <x:c r="AW20" s="76" t="str">
        <x:v>Hi Livia, Ryan here. I was looking at Flooring Factory's public marketing and noticed: meta tracking detected; no embedded homepage video found. I mapped one private project reveal with budget-and-timeline proof as an example. Did I catch you with 30 seconds?</x:v>
      </x:c>
      <x:c r="AX20" s="60" t="str">
        <x:v>https://www.facebook.com/ads/library/?active_status=active&amp;ad_type=all&amp;country=US&amp;q=Flooring%20Factory&amp;search_type=keyword_unordered</x:v>
      </x:c>
      <x:c r="AY20" s="60" t="str">
        <x:v>ok:200</x:v>
      </x:c>
      <x:c r="AZ20" s="60" t="n">
        <x:v>46232.722858796296</x:v>
      </x:c>
      <x:c r="BA20" s="60" t="str">
        <x:v>AI Ark SC trades export</x:v>
      </x:c>
      <x:c r="BB20" s="60" t="str">
        <x:v>https://flooringfactorysc.com | https://www.linkedin.com/company/flooring-factory</x:v>
      </x:c>
      <x:c r="BC20" s="60" t="str"/>
    </x:row>
    <x:row r="21" ht="18" customHeight="1">
      <x:c r="A21" s="70" t="str">
        <x:v>20</x:v>
      </x:c>
      <x:c r="B21" s="70" t="str">
        <x:v>A - Layup</x:v>
      </x:c>
      <x:c r="C21" s="72" t="str">
        <x:v>82</x:v>
      </x:c>
      <x:c r="D21" s="60" t="str">
        <x:v>PROS Heating &amp; Air</x:v>
      </x:c>
      <x:c r="E21" s="60" t="str">
        <x:v>https://prosheatingandair.com</x:v>
      </x:c>
      <x:c r="F21" s="60" t="str">
        <x:v>https://www.prosheatingandair.com/</x:v>
      </x:c>
      <x:c r="G21" s="60" t="str">
        <x:v>Charleston</x:v>
      </x:c>
      <x:c r="H21" s="60" t="str">
        <x:v>South Carolina</x:v>
      </x:c>
      <x:c r="I21" s="60" t="str">
        <x:v>HVAC</x:v>
      </x:c>
      <x:c r="J21" s="60" t="str">
        <x:v>PROS Heating &amp; Air</x:v>
      </x:c>
      <x:c r="K21" s="60" t="str"/>
      <x:c r="L21" s="60" t="str">
        <x:v>Owner / decision maker to verify</x:v>
      </x:c>
      <x:c r="M21" s="60" t="str"/>
      <x:c r="N21" s="60" t="str"/>
      <x:c r="O21" s="60" t="str">
        <x:v>(843) 469-2182</x:v>
      </x:c>
      <x:c r="P21" s="60" t="str"/>
      <x:c r="Q21" s="60" t="str"/>
      <x:c r="R21" s="60" t="str"/>
      <x:c r="S21" s="60" t="str">
        <x:v>5</x:v>
      </x:c>
      <x:c r="T21" s="74" t="str">
        <x:v>147</x:v>
      </x:c>
      <x:c r="U21" s="60" t="str"/>
      <x:c r="V21" s="74" t="str">
        <x:v>28</x:v>
      </x:c>
      <x:c r="W21" s="74" t="str">
        <x:v>21</x:v>
      </x:c>
      <x:c r="X21" s="74" t="str">
        <x:v>19</x:v>
      </x:c>
      <x:c r="Y21" s="74" t="str">
        <x:v>9</x:v>
      </x:c>
      <x:c r="Z21" s="74" t="str">
        <x:v>5</x:v>
      </x:c>
      <x:c r="AA21" s="74" t="str">
        <x:v>0</x:v>
      </x:c>
      <x:c r="AB21" s="74" t="str">
        <x:v>1</x:v>
      </x:c>
      <x:c r="AC21" s="74" t="str">
        <x:v>1</x:v>
      </x:c>
      <x:c r="AD21" s="74" t="str">
        <x:v>0</x:v>
      </x:c>
      <x:c r="AE21" s="74" t="str">
        <x:v>1</x:v>
      </x:c>
      <x:c r="AF21" s="74" t="str"/>
      <x:c r="AG21" s="74" t="str">
        <x:v>0</x:v>
      </x:c>
      <x:c r="AH21" s="74" t="str">
        <x:v>0</x:v>
      </x:c>
      <x:c r="AI21" s="74" t="str">
        <x:v>0</x:v>
      </x:c>
      <x:c r="AJ21" s="74" t="str">
        <x:v>1</x:v>
      </x:c>
      <x:c r="AK21" s="74" t="str">
        <x:v>1</x:v>
      </x:c>
      <x:c r="AL21" s="74" t="str">
        <x:v>0</x:v>
      </x:c>
      <x:c r="AM21" s="74" t="str">
        <x:v>1</x:v>
      </x:c>
      <x:c r="AN21" s="74" t="str">
        <x:v>0</x:v>
      </x:c>
      <x:c r="AO21" s="60" t="str">
        <x:v>2017</x:v>
      </x:c>
      <x:c r="AP21" s="76" t="str">
        <x:v>Google Ads tag detected; no embedded homepage video found</x:v>
      </x:c>
      <x:c r="AQ21" s="76" t="str">
        <x:v>Google Ads tag; call tracking; financing; visible service offer; no embedded homepage video detected</x:v>
      </x:c>
      <x:c r="AR21" s="76" t="str">
        <x:v>I noticed PROS Heating &amp; Air's site has a Google Ads tag installed, but I couldn't find an embedded video on the homepage.</x:v>
      </x:c>
      <x:c r="AS21" s="76" t="str">
        <x:v>no-cool-call to same-day comfort ad</x:v>
      </x:c>
      <x:c r="AT21" s="76" t="str">
        <x:v>PROS Heating &amp; Air ad concept</x:v>
      </x:c>
      <x:c r="AU21" s="76" t="str">
        <x:v>Hi PROS Heating &amp; Air — I noticed PROS Heating &amp; Air's site has a Google Ads tag installed, but I couldn't find an embedded video on the homepage. I mapped a private 15-second no-cool-call to same-day comfort ad for PROS Heating &amp; Air using only public brand context—not for publishing, just to show the angle. We build three client-approved video ad concepts in seven days, then turn the winners into fresh variations. No filming day required. Worth sending the private sample?</x:v>
      </x:c>
      <x:c r="AV21" s="76" t="str">
        <x:v>Quick follow-up: the sample angle is a no-cool-call to same-day comfort ad. If it misses the mark, no problem—I won't keep chasing. Should I send it?</x:v>
      </x:c>
      <x:c r="AW21" s="76" t="str">
        <x:v>Hi PROS Heating &amp; Air, Ryan here. I was looking at PROS Heating &amp; Air's public marketing and noticed: google ads tag detected; no embedded homepage video found. I mapped one private no-cool-call to same-day comfort ad as an example. Did I catch you with 30 seconds?</x:v>
      </x:c>
      <x:c r="AX21" s="60" t="str">
        <x:v>https://www.facebook.com/ads/library/?active_status=active&amp;ad_type=all&amp;country=US&amp;q=PROS%20Heating%20%26%20Air&amp;search_type=keyword_unordered</x:v>
      </x:c>
      <x:c r="AY21" s="60" t="str">
        <x:v>ok:200</x:v>
      </x:c>
      <x:c r="AZ21" s="60" t="n">
        <x:v>46232.722858796296</x:v>
      </x:c>
      <x:c r="BA21" s="60" t="str">
        <x:v>Google Maps home-services export</x:v>
      </x:c>
      <x:c r="BB21" s="60" t="str">
        <x:v>https://maps.google.com/?cid=7226547245292835234&amp;g_mp=Cidnb29nbGUubWFwcy5wbGFjZXMudjEuUGxhY2VzLlNlYXJjaFRleHQQAhgEIAA | https://prosheatingandair.com</x:v>
      </x:c>
      <x:c r="BC21" s="60" t="str"/>
    </x:row>
    <x:row r="22" ht="18" customHeight="1">
      <x:c r="A22" s="70" t="str">
        <x:v>21</x:v>
      </x:c>
      <x:c r="B22" s="70" t="str">
        <x:v>A - Layup</x:v>
      </x:c>
      <x:c r="C22" s="72" t="str">
        <x:v>81</x:v>
      </x:c>
      <x:c r="D22" s="60" t="str">
        <x:v>Bee Roofing Inc</x:v>
      </x:c>
      <x:c r="E22" s="60" t="str">
        <x:v>https://beeroofing.com</x:v>
      </x:c>
      <x:c r="F22" s="60" t="str">
        <x:v>https://beeroofing.com</x:v>
      </x:c>
      <x:c r="G22" s="60" t="str">
        <x:v>Rock Hill</x:v>
      </x:c>
      <x:c r="H22" s="60" t="str">
        <x:v>South Carolina</x:v>
      </x:c>
      <x:c r="I22" s="60" t="str">
        <x:v>Roofing</x:v>
      </x:c>
      <x:c r="J22" s="60" t="str">
        <x:v>Bee Roofing Inc</x:v>
      </x:c>
      <x:c r="K22" s="60" t="str"/>
      <x:c r="L22" s="60" t="str">
        <x:v>Owner / decision maker to verify</x:v>
      </x:c>
      <x:c r="M22" s="60" t="str"/>
      <x:c r="N22" s="60" t="str"/>
      <x:c r="O22" s="60" t="str">
        <x:v>(803) 232-7536</x:v>
      </x:c>
      <x:c r="P22" s="60" t="str"/>
      <x:c r="Q22" s="60" t="str"/>
      <x:c r="R22" s="60" t="str"/>
      <x:c r="S22" s="60" t="str">
        <x:v>4.9</x:v>
      </x:c>
      <x:c r="T22" s="74" t="str">
        <x:v>29</x:v>
      </x:c>
      <x:c r="U22" s="60" t="str"/>
      <x:c r="V22" s="74" t="str">
        <x:v>25</x:v>
      </x:c>
      <x:c r="W22" s="74" t="str">
        <x:v>25</x:v>
      </x:c>
      <x:c r="X22" s="74" t="str">
        <x:v>16</x:v>
      </x:c>
      <x:c r="Y22" s="74" t="str">
        <x:v>10</x:v>
      </x:c>
      <x:c r="Z22" s="74" t="str">
        <x:v>5</x:v>
      </x:c>
      <x:c r="AA22" s="74" t="str">
        <x:v>1</x:v>
      </x:c>
      <x:c r="AB22" s="74" t="str">
        <x:v>1</x:v>
      </x:c>
      <x:c r="AC22" s="74" t="str">
        <x:v>1</x:v>
      </x:c>
      <x:c r="AD22" s="74" t="str">
        <x:v>0</x:v>
      </x:c>
      <x:c r="AE22" s="74" t="str">
        <x:v>0</x:v>
      </x:c>
      <x:c r="AF22" s="74" t="str"/>
      <x:c r="AG22" s="74" t="str">
        <x:v>0</x:v>
      </x:c>
      <x:c r="AH22" s="74" t="str">
        <x:v>0</x:v>
      </x:c>
      <x:c r="AI22" s="74" t="str">
        <x:v>1</x:v>
      </x:c>
      <x:c r="AJ22" s="74" t="str">
        <x:v>1</x:v>
      </x:c>
      <x:c r="AK22" s="74" t="str">
        <x:v>1</x:v>
      </x:c>
      <x:c r="AL22" s="74" t="str">
        <x:v>0</x:v>
      </x:c>
      <x:c r="AM22" s="74" t="str">
        <x:v>1</x:v>
      </x:c>
      <x:c r="AN22" s="74" t="str">
        <x:v>0</x:v>
      </x:c>
      <x:c r="AO22" s="60" t="str">
        <x:v>2025</x:v>
      </x:c>
      <x:c r="AP22" s="76" t="str">
        <x:v>Meta tracking detected; no embedded homepage video found</x:v>
      </x:c>
      <x:c r="AQ22" s="76" t="str">
        <x:v>Meta Pixel; Google Ads tag; testimonials; financing; visible service offer; no embedded homepage video detected</x:v>
      </x:c>
      <x:c r="AR22" s="76" t="str">
        <x:v>I noticed Bee Roofing Inc's site has Meta tracking installed, but I couldn't find an embedded video on the homepage.</x:v>
      </x:c>
      <x:c r="AS22" s="76" t="str">
        <x:v>storm-to-inspection before/after ad</x:v>
      </x:c>
      <x:c r="AT22" s="76" t="str">
        <x:v>Bee Roofing Inc ad concept</x:v>
      </x:c>
      <x:c r="AU22" s="76" t="str">
        <x:v>Hi Bee Roofing Inc — I noticed Bee Roofing Inc's site has Meta tracking installed, but I couldn't find an embedded video on the homepage. I mapped a private 15-second storm-to-inspection before/after ad for Bee Roofing Inc using only public brand context—not for publishing, just to show the angle. We build three client-approved video ad concepts in seven days, then turn the winners into fresh variations. No filming day required. Worth sending the private sample?</x:v>
      </x:c>
      <x:c r="AV22" s="76" t="str">
        <x:v>Quick follow-up: the sample angle is a storm-to-inspection before/after ad. If it misses the mark, no problem—I won't keep chasing. Should I send it?</x:v>
      </x:c>
      <x:c r="AW22" s="76" t="str">
        <x:v>Hi Bee Roofing Inc, Ryan here. I was looking at Bee Roofing Inc's public marketing and noticed: meta tracking detected; no embedded homepage video found. I mapped one private storm-to-inspection before/after ad as an example. Did I catch you with 30 seconds?</x:v>
      </x:c>
      <x:c r="AX22" s="60" t="str">
        <x:v>https://www.facebook.com/ads/library/?active_status=active&amp;ad_type=all&amp;country=US&amp;q=Bee%20Roofing%20Inc&amp;search_type=keyword_unordered</x:v>
      </x:c>
      <x:c r="AY22" s="60" t="str">
        <x:v>ok:200</x:v>
      </x:c>
      <x:c r="AZ22" s="60" t="n">
        <x:v>46232.722858796296</x:v>
      </x:c>
      <x:c r="BA22" s="60" t="str">
        <x:v>Google Maps home-services export</x:v>
      </x:c>
      <x:c r="BB22" s="60" t="str">
        <x:v>https://beeroofing.com | https://maps.google.com/?cid=11707155156042730449&amp;g_mp=Cidnb29nbGUubWFwcy5wbGFjZXMudjEuUGxhY2VzLlNlYXJjaFRleHQQAhgEIAA</x:v>
      </x:c>
      <x:c r="BC22" s="60" t="str"/>
    </x:row>
    <x:row r="23" ht="18" customHeight="1">
      <x:c r="A23" s="70" t="str">
        <x:v>22</x:v>
      </x:c>
      <x:c r="B23" s="70" t="str">
        <x:v>A - Layup</x:v>
      </x:c>
      <x:c r="C23" s="72" t="str">
        <x:v>81</x:v>
      </x:c>
      <x:c r="D23" s="60" t="str">
        <x:v>Firefly Solar</x:v>
      </x:c>
      <x:c r="E23" s="60" t="str">
        <x:v>https://firefly.solar</x:v>
      </x:c>
      <x:c r="F23" s="60" t="str">
        <x:v>https://firefly.solar</x:v>
      </x:c>
      <x:c r="G23" s="60" t="str">
        <x:v>Easley</x:v>
      </x:c>
      <x:c r="H23" s="60" t="str">
        <x:v>South Carolina</x:v>
      </x:c>
      <x:c r="I23" s="60" t="str">
        <x:v>Roofing</x:v>
      </x:c>
      <x:c r="J23" s="60" t="str">
        <x:v>Aaron</x:v>
      </x:c>
      <x:c r="K23" s="60" t="str">
        <x:v>Davis</x:v>
      </x:c>
      <x:c r="L23" s="60" t="str">
        <x:v>Owner - President</x:v>
      </x:c>
      <x:c r="M23" s="60" t="str">
        <x:v>aaron.d@firefly.solar</x:v>
      </x:c>
      <x:c r="N23" s="60" t="str">
        <x:v>Verified with BounceBan on 08 Jun 26 12:06</x:v>
      </x:c>
      <x:c r="O23" s="60" t="str">
        <x:v>+1 646 258 6045</x:v>
      </x:c>
      <x:c r="P23" s="60" t="str">
        <x:v>https://www.linkedin.com/in/aaron-davis-4a6b9928</x:v>
      </x:c>
      <x:c r="Q23" s="60" t="str">
        <x:v>11-50</x:v>
      </x:c>
      <x:c r="R23" s="60" t="str">
        <x:v>1000000-4999999</x:v>
      </x:c>
      <x:c r="S23" s="60" t="str"/>
      <x:c r="T23" s="74" t="str">
        <x:v>0</x:v>
      </x:c>
      <x:c r="U23" s="60" t="str"/>
      <x:c r="V23" s="74" t="str">
        <x:v>30</x:v>
      </x:c>
      <x:c r="W23" s="74" t="str">
        <x:v>25</x:v>
      </x:c>
      <x:c r="X23" s="74" t="str">
        <x:v>12</x:v>
      </x:c>
      <x:c r="Y23" s="74" t="str">
        <x:v>4</x:v>
      </x:c>
      <x:c r="Z23" s="74" t="str">
        <x:v>10</x:v>
      </x:c>
      <x:c r="AA23" s="74" t="str">
        <x:v>1</x:v>
      </x:c>
      <x:c r="AB23" s="74" t="str">
        <x:v>1</x:v>
      </x:c>
      <x:c r="AC23" s="74" t="str">
        <x:v>1</x:v>
      </x:c>
      <x:c r="AD23" s="74" t="str">
        <x:v>0</x:v>
      </x:c>
      <x:c r="AE23" s="74" t="str">
        <x:v>0</x:v>
      </x:c>
      <x:c r="AF23" s="74" t="str"/>
      <x:c r="AG23" s="74" t="str">
        <x:v>0</x:v>
      </x:c>
      <x:c r="AH23" s="74" t="str">
        <x:v>0</x:v>
      </x:c>
      <x:c r="AI23" s="74" t="str">
        <x:v>1</x:v>
      </x:c>
      <x:c r="AJ23" s="74" t="str">
        <x:v>0</x:v>
      </x:c>
      <x:c r="AK23" s="74" t="str">
        <x:v>0</x:v>
      </x:c>
      <x:c r="AL23" s="74" t="str">
        <x:v>1</x:v>
      </x:c>
      <x:c r="AM23" s="74" t="str">
        <x:v>1</x:v>
      </x:c>
      <x:c r="AN23" s="74" t="str">
        <x:v>0</x:v>
      </x:c>
      <x:c r="AO23" s="60" t="str">
        <x:v>0</x:v>
      </x:c>
      <x:c r="AP23" s="76" t="str">
        <x:v>Meta tracking detected; no embedded homepage video found</x:v>
      </x:c>
      <x:c r="AQ23" s="76" t="str">
        <x:v>Meta Pixel; Google Ads tag; testimonials; no embedded homepage video detected</x:v>
      </x:c>
      <x:c r="AR23" s="76" t="str">
        <x:v>I noticed Firefly Solar's site has Meta tracking installed, but I couldn't find an embedded video on the homepage.</x:v>
      </x:c>
      <x:c r="AS23" s="76" t="str">
        <x:v>storm-to-inspection before/after ad</x:v>
      </x:c>
      <x:c r="AT23" s="76" t="str">
        <x:v>Firefly Solar ad concept</x:v>
      </x:c>
      <x:c r="AU23" s="76" t="str">
        <x:v>Hi Aaron — I noticed Firefly Solar's site has Meta tracking installed, but I couldn't find an embedded video on the homepage. I mapped a private 15-second storm-to-inspection before/after ad for Firefly Solar using only public brand context—not for publishing, just to show the angle. We build three client-approved video ad concepts in seven days, then turn the winners into fresh variations. No filming day required. Worth sending the private sample?</x:v>
      </x:c>
      <x:c r="AV23" s="76" t="str">
        <x:v>Quick follow-up: the sample angle is a storm-to-inspection before/after ad. If it misses the mark, no problem—I won't keep chasing. Should I send it?</x:v>
      </x:c>
      <x:c r="AW23" s="76" t="str">
        <x:v>Hi Aaron, Ryan here. I was looking at Firefly Solar's public marketing and noticed: meta tracking detected; no embedded homepage video found. I mapped one private storm-to-inspection before/after ad as an example. Did I catch you with 30 seconds?</x:v>
      </x:c>
      <x:c r="AX23" s="60" t="str">
        <x:v>https://www.facebook.com/ads/library/?active_status=active&amp;ad_type=all&amp;country=US&amp;q=Firefly%20Solar&amp;search_type=keyword_unordered</x:v>
      </x:c>
      <x:c r="AY23" s="60" t="str">
        <x:v>ok:200</x:v>
      </x:c>
      <x:c r="AZ23" s="60" t="n">
        <x:v>46232.722858796296</x:v>
      </x:c>
      <x:c r="BA23" s="60" t="str">
        <x:v>AI Ark SC trades export</x:v>
      </x:c>
      <x:c r="BB23" s="60" t="str">
        <x:v>https://firefly.solar | https://www.linkedin.com/company/fireflylife</x:v>
      </x:c>
      <x:c r="BC23" s="60" t="str"/>
    </x:row>
    <x:row r="24" ht="18" customHeight="1">
      <x:c r="A24" s="70" t="str">
        <x:v>23</x:v>
      </x:c>
      <x:c r="B24" s="70" t="str">
        <x:v>A - Layup</x:v>
      </x:c>
      <x:c r="C24" s="72" t="str">
        <x:v>81</x:v>
      </x:c>
      <x:c r="D24" s="60" t="str">
        <x:v>redbox+ Dumpsters</x:v>
      </x:c>
      <x:c r="E24" s="60" t="str">
        <x:v>https://redboxplus.com</x:v>
      </x:c>
      <x:c r="F24" s="60" t="str">
        <x:v>https://www.redboxplus.com/</x:v>
      </x:c>
      <x:c r="G24" s="60" t="str">
        <x:v>Greenville</x:v>
      </x:c>
      <x:c r="H24" s="60" t="str">
        <x:v>South Carolina</x:v>
      </x:c>
      <x:c r="I24" s="60" t="str">
        <x:v>General Contractor</x:v>
      </x:c>
      <x:c r="J24" s="60" t="str">
        <x:v>Kathy</x:v>
      </x:c>
      <x:c r="K24" s="60" t="str">
        <x:v>Bullock</x:v>
      </x:c>
      <x:c r="L24" s="60" t="str">
        <x:v>Business Owner</x:v>
      </x:c>
      <x:c r="M24" s="60" t="str">
        <x:v>kbullock@redboxplus.com</x:v>
      </x:c>
      <x:c r="N24" s="60" t="str">
        <x:v>Verified with BounceBan on 07 Jun 26 21:05</x:v>
      </x:c>
      <x:c r="O24" s="60" t="str">
        <x:v>+1 843 425 9721</x:v>
      </x:c>
      <x:c r="P24" s="60" t="str">
        <x:v>https://www.linkedin.com/in/kathy-bullock-09bb5644</x:v>
      </x:c>
      <x:c r="Q24" s="60" t="str">
        <x:v>11-50</x:v>
      </x:c>
      <x:c r="R24" s="60" t="str">
        <x:v>1000000-4999999</x:v>
      </x:c>
      <x:c r="S24" s="60" t="str"/>
      <x:c r="T24" s="74" t="str">
        <x:v>0</x:v>
      </x:c>
      <x:c r="U24" s="60" t="str"/>
      <x:c r="V24" s="74" t="str">
        <x:v>27</x:v>
      </x:c>
      <x:c r="W24" s="74" t="str">
        <x:v>17</x:v>
      </x:c>
      <x:c r="X24" s="74" t="str">
        <x:v>15</x:v>
      </x:c>
      <x:c r="Y24" s="74" t="str">
        <x:v>12</x:v>
      </x:c>
      <x:c r="Z24" s="74" t="str">
        <x:v>10</x:v>
      </x:c>
      <x:c r="AA24" s="74" t="str">
        <x:v>1</x:v>
      </x:c>
      <x:c r="AB24" s="74" t="str">
        <x:v>0</x:v>
      </x:c>
      <x:c r="AC24" s="74" t="str">
        <x:v>0</x:v>
      </x:c>
      <x:c r="AD24" s="74" t="str">
        <x:v>1</x:v>
      </x:c>
      <x:c r="AE24" s="74" t="str">
        <x:v>0</x:v>
      </x:c>
      <x:c r="AF24" s="74" t="str"/>
      <x:c r="AG24" s="74" t="str">
        <x:v>0</x:v>
      </x:c>
      <x:c r="AH24" s="74" t="str">
        <x:v>1</x:v>
      </x:c>
      <x:c r="AI24" s="74" t="str">
        <x:v>1</x:v>
      </x:c>
      <x:c r="AJ24" s="74" t="str">
        <x:v>0</x:v>
      </x:c>
      <x:c r="AK24" s="74" t="str">
        <x:v>1</x:v>
      </x:c>
      <x:c r="AL24" s="74" t="str">
        <x:v>1</x:v>
      </x:c>
      <x:c r="AM24" s="74" t="str">
        <x:v>1</x:v>
      </x:c>
      <x:c r="AN24" s="74" t="str">
        <x:v>0</x:v>
      </x:c>
      <x:c r="AO24" s="60" t="str">
        <x:v>2022</x:v>
      </x:c>
      <x:c r="AP24" s="76" t="str">
        <x:v>Meta tracking detected; no embedded homepage video found</x:v>
      </x:c>
      <x:c r="AQ24" s="76" t="str">
        <x:v>Meta Pixel; TikTok Pixel; project/gallery proof; testimonials; visible service offer; no embedded homepage video detected</x:v>
      </x:c>
      <x:c r="AR24" s="76" t="str">
        <x:v>I noticed redbox+ Dumpsters's site has Meta tracking installed, but I couldn't find an embedded video on the homepage.</x:v>
      </x:c>
      <x:c r="AS24" s="76" t="str">
        <x:v>project walkthrough with proof milestones</x:v>
      </x:c>
      <x:c r="AT24" s="76" t="str">
        <x:v>redbox+ Dumpsters ad concept</x:v>
      </x:c>
      <x:c r="AU24" s="76" t="str">
        <x:v>Hi Kathy — I noticed redbox+ Dumpsters's site has Meta tracking installed, but I couldn't find an embedded video on the homepage. I mapped a private 15-second project walkthrough with proof milestones for redbox+ Dumpsters using only public brand context—not for publishing, just to show the angle. We build three client-approved video ad concepts in seven days, then turn the winners into fresh variations. No filming day required. Worth sending the private sample?</x:v>
      </x:c>
      <x:c r="AV24" s="76" t="str">
        <x:v>Quick follow-up: the sample angle is a project walkthrough with proof milestones. If it misses the mark, no problem—I won't keep chasing. Should I send it?</x:v>
      </x:c>
      <x:c r="AW24" s="76" t="str">
        <x:v>Hi Kathy, Ryan here. I was looking at redbox+ Dumpsters's public marketing and noticed: meta tracking detected; no embedded homepage video found. I mapped one private project walkthrough with proof milestones as an example. Did I catch you with 30 seconds?</x:v>
      </x:c>
      <x:c r="AX24" s="60" t="str">
        <x:v>https://www.facebook.com/ads/library/?active_status=active&amp;ad_type=all&amp;country=US&amp;q=redbox%2B%20Dumpsters&amp;search_type=keyword_unordered</x:v>
      </x:c>
      <x:c r="AY24" s="60" t="str">
        <x:v>ok:200</x:v>
      </x:c>
      <x:c r="AZ24" s="60" t="n">
        <x:v>46232.722858796296</x:v>
      </x:c>
      <x:c r="BA24" s="60" t="str">
        <x:v>AI Ark SC trades export</x:v>
      </x:c>
      <x:c r="BB24" s="60" t="str">
        <x:v>https://redboxplus.com | https://www.linkedin.com/company/redboxplusdumpsters</x:v>
      </x:c>
      <x:c r="BC24" s="60" t="str"/>
    </x:row>
    <x:row r="25" ht="18" customHeight="1">
      <x:c r="A25" s="70" t="str">
        <x:v>24</x:v>
      </x:c>
      <x:c r="B25" s="70" t="str">
        <x:v>A - Layup</x:v>
      </x:c>
      <x:c r="C25" s="72" t="str">
        <x:v>80</x:v>
      </x:c>
      <x:c r="D25" s="60" t="str">
        <x:v>MP Landscape Design</x:v>
      </x:c>
      <x:c r="E25" s="60" t="str">
        <x:v>https://mplandscapedesign.com</x:v>
      </x:c>
      <x:c r="F25" s="60" t="str">
        <x:v>https://mplandscapedesign.com</x:v>
      </x:c>
      <x:c r="G25" s="60" t="str">
        <x:v>Mount Pleasant</x:v>
      </x:c>
      <x:c r="H25" s="60" t="str">
        <x:v>South Carolina</x:v>
      </x:c>
      <x:c r="I25" s="60" t="str">
        <x:v>Landscaping &amp; Tree</x:v>
      </x:c>
      <x:c r="J25" s="60" t="str">
        <x:v>Matt</x:v>
      </x:c>
      <x:c r="K25" s="60" t="str">
        <x:v>Preuss</x:v>
      </x:c>
      <x:c r="L25" s="60" t="str">
        <x:v>Owner</x:v>
      </x:c>
      <x:c r="M25" s="60" t="str">
        <x:v>matt@mplandscapedesign.com</x:v>
      </x:c>
      <x:c r="N25" s="60" t="str">
        <x:v>Verified with BounceBan on 08 Jun 26 12:06</x:v>
      </x:c>
      <x:c r="O25" s="60" t="str">
        <x:v>+1 310 462 6628</x:v>
      </x:c>
      <x:c r="P25" s="60" t="str">
        <x:v>https://www.linkedin.com/in/mattpreuss</x:v>
      </x:c>
      <x:c r="Q25" s="60" t="str">
        <x:v>2-10</x:v>
      </x:c>
      <x:c r="R25" s="60" t="str">
        <x:v>100000-499999</x:v>
      </x:c>
      <x:c r="S25" s="60" t="str"/>
      <x:c r="T25" s="74" t="str">
        <x:v>0</x:v>
      </x:c>
      <x:c r="U25" s="60" t="str"/>
      <x:c r="V25" s="74" t="str">
        <x:v>22</x:v>
      </x:c>
      <x:c r="W25" s="74" t="str">
        <x:v>25</x:v>
      </x:c>
      <x:c r="X25" s="74" t="str">
        <x:v>12</x:v>
      </x:c>
      <x:c r="Y25" s="74" t="str">
        <x:v>11</x:v>
      </x:c>
      <x:c r="Z25" s="74" t="str">
        <x:v>10</x:v>
      </x:c>
      <x:c r="AA25" s="74" t="str">
        <x:v>1</x:v>
      </x:c>
      <x:c r="AB25" s="74" t="str">
        <x:v>1</x:v>
      </x:c>
      <x:c r="AC25" s="74" t="str">
        <x:v>1</x:v>
      </x:c>
      <x:c r="AD25" s="74" t="str">
        <x:v>0</x:v>
      </x:c>
      <x:c r="AE25" s="74" t="str">
        <x:v>0</x:v>
      </x:c>
      <x:c r="AF25" s="74" t="str"/>
      <x:c r="AG25" s="74" t="str">
        <x:v>0</x:v>
      </x:c>
      <x:c r="AH25" s="74" t="str">
        <x:v>1</x:v>
      </x:c>
      <x:c r="AI25" s="74" t="str">
        <x:v>0</x:v>
      </x:c>
      <x:c r="AJ25" s="74" t="str">
        <x:v>1</x:v>
      </x:c>
      <x:c r="AK25" s="74" t="str">
        <x:v>1</x:v>
      </x:c>
      <x:c r="AL25" s="74" t="str">
        <x:v>1</x:v>
      </x:c>
      <x:c r="AM25" s="74" t="str">
        <x:v>1</x:v>
      </x:c>
      <x:c r="AN25" s="74" t="str">
        <x:v>0</x:v>
      </x:c>
      <x:c r="AO25" s="60" t="str">
        <x:v>2026</x:v>
      </x:c>
      <x:c r="AP25" s="76" t="str">
        <x:v>Meta tracking detected; no embedded homepage video found</x:v>
      </x:c>
      <x:c r="AQ25" s="76" t="str">
        <x:v>Meta Pixel; Google Ads tag; project/gallery proof; financing; visible service offer; no embedded homepage video detected</x:v>
      </x:c>
      <x:c r="AR25" s="76" t="str">
        <x:v>I noticed MP Landscape Design's site has Meta tracking installed, but I couldn't find an embedded video on the homepage.</x:v>
      </x:c>
      <x:c r="AS25" s="76" t="str">
        <x:v>property transformation ad</x:v>
      </x:c>
      <x:c r="AT25" s="76" t="str">
        <x:v>MP Landscape Design ad concept</x:v>
      </x:c>
      <x:c r="AU25" s="76" t="str">
        <x:v>Hi Matt — I noticed MP Landscape Design's site has Meta tracking installed, but I couldn't find an embedded video on the homepage. I mapped a private 15-second property transformation ad for MP Landscape Design using only public brand context—not for publishing, just to show the angle. We build three client-approved video ad concepts in seven days, then turn the winners into fresh variations. No filming day required. Worth sending the private sample?</x:v>
      </x:c>
      <x:c r="AV25" s="76" t="str">
        <x:v>Quick follow-up: the sample angle is a property transformation ad. If it misses the mark, no problem—I won't keep chasing. Should I send it?</x:v>
      </x:c>
      <x:c r="AW25" s="76" t="str">
        <x:v>Hi Matt, Ryan here. I was looking at MP Landscape Design's public marketing and noticed: meta tracking detected; no embedded homepage video found. I mapped one private property transformation ad as an example. Did I catch you with 30 seconds?</x:v>
      </x:c>
      <x:c r="AX25" s="60" t="str">
        <x:v>https://www.facebook.com/ads/library/?active_status=active&amp;ad_type=all&amp;country=US&amp;q=MP%20Landscape%20Design&amp;search_type=keyword_unordered</x:v>
      </x:c>
      <x:c r="AY25" s="60" t="str">
        <x:v>ok:200</x:v>
      </x:c>
      <x:c r="AZ25" s="60" t="n">
        <x:v>46232.722858796296</x:v>
      </x:c>
      <x:c r="BA25" s="60" t="str">
        <x:v>AI Ark SC trades export</x:v>
      </x:c>
      <x:c r="BB25" s="60" t="str">
        <x:v>https://mplandscapedesign.com | https://www.linkedin.com/company/mp-landscape-design</x:v>
      </x:c>
      <x:c r="BC25" s="60" t="str"/>
    </x:row>
    <x:row r="26" ht="18" customHeight="1">
      <x:c r="A26" s="70" t="str">
        <x:v>25</x:v>
      </x:c>
      <x:c r="B26" s="70" t="str">
        <x:v>A - Layup</x:v>
      </x:c>
      <x:c r="C26" s="72" t="str">
        <x:v>80</x:v>
      </x:c>
      <x:c r="D26" s="60" t="str">
        <x:v>AGL Services</x:v>
      </x:c>
      <x:c r="E26" s="60" t="str">
        <x:v>https://aglair.com</x:v>
      </x:c>
      <x:c r="F26" s="60" t="str">
        <x:v>https://www.aglair.com/</x:v>
      </x:c>
      <x:c r="G26" s="60" t="str">
        <x:v>Johns Island</x:v>
      </x:c>
      <x:c r="H26" s="60" t="str">
        <x:v>South Carolina</x:v>
      </x:c>
      <x:c r="I26" s="60" t="str">
        <x:v>HVAC</x:v>
      </x:c>
      <x:c r="J26" s="60" t="str">
        <x:v>Richard</x:v>
      </x:c>
      <x:c r="K26" s="60" t="str">
        <x:v>Lingle</x:v>
      </x:c>
      <x:c r="L26" s="60" t="str">
        <x:v>Co-Owner</x:v>
      </x:c>
      <x:c r="M26" s="60" t="str">
        <x:v>richardlingle@aglair.com</x:v>
      </x:c>
      <x:c r="N26" s="60" t="str">
        <x:v>Verified with BounceBan on 08 Jun 26 12:06</x:v>
      </x:c>
      <x:c r="O26" s="60" t="str">
        <x:v>+1 843 795 0066</x:v>
      </x:c>
      <x:c r="P26" s="60" t="str">
        <x:v>https://www.linkedin.com/in/richard-lingle-613649162</x:v>
      </x:c>
      <x:c r="Q26" s="60" t="str">
        <x:v>11-50</x:v>
      </x:c>
      <x:c r="R26" s="60" t="str">
        <x:v>100000-499999</x:v>
      </x:c>
      <x:c r="S26" s="60" t="str"/>
      <x:c r="T26" s="74" t="str">
        <x:v>0</x:v>
      </x:c>
      <x:c r="U26" s="60" t="str"/>
      <x:c r="V26" s="74" t="str">
        <x:v>30</x:v>
      </x:c>
      <x:c r="W26" s="74" t="str">
        <x:v>18</x:v>
      </x:c>
      <x:c r="X26" s="74" t="str">
        <x:v>12</x:v>
      </x:c>
      <x:c r="Y26" s="74" t="str">
        <x:v>10</x:v>
      </x:c>
      <x:c r="Z26" s="74" t="str">
        <x:v>10</x:v>
      </x:c>
      <x:c r="AA26" s="74" t="str">
        <x:v>1</x:v>
      </x:c>
      <x:c r="AB26" s="74" t="str">
        <x:v>0</x:v>
      </x:c>
      <x:c r="AC26" s="74" t="str">
        <x:v>1</x:v>
      </x:c>
      <x:c r="AD26" s="74" t="str">
        <x:v>0</x:v>
      </x:c>
      <x:c r="AE26" s="74" t="str">
        <x:v>0</x:v>
      </x:c>
      <x:c r="AF26" s="74" t="str">
        <x:v>podium</x:v>
      </x:c>
      <x:c r="AG26" s="74" t="str">
        <x:v>0</x:v>
      </x:c>
      <x:c r="AH26" s="74" t="str">
        <x:v>0</x:v>
      </x:c>
      <x:c r="AI26" s="74" t="str">
        <x:v>1</x:v>
      </x:c>
      <x:c r="AJ26" s="74" t="str">
        <x:v>1</x:v>
      </x:c>
      <x:c r="AK26" s="74" t="str">
        <x:v>1</x:v>
      </x:c>
      <x:c r="AL26" s="74" t="str">
        <x:v>0</x:v>
      </x:c>
      <x:c r="AM26" s="74" t="str">
        <x:v>1</x:v>
      </x:c>
      <x:c r="AN26" s="74" t="str">
        <x:v>1</x:v>
      </x:c>
      <x:c r="AO26" s="60" t="str">
        <x:v>2026</x:v>
      </x:c>
      <x:c r="AP26" s="76" t="str">
        <x:v>Meta tracking detected; no embedded homepage video found</x:v>
      </x:c>
      <x:c r="AQ26" s="76" t="str">
        <x:v>Meta Pixel; testimonials; financing; visible service offer; no embedded homepage video detected</x:v>
      </x:c>
      <x:c r="AR26" s="76" t="str">
        <x:v>I noticed AGL Services's site has Meta tracking installed, but I couldn't find an embedded video on the homepage.</x:v>
      </x:c>
      <x:c r="AS26" s="76" t="str">
        <x:v>no-cool-call to same-day comfort ad</x:v>
      </x:c>
      <x:c r="AT26" s="76" t="str">
        <x:v>AGL Services ad concept</x:v>
      </x:c>
      <x:c r="AU26" s="76" t="str">
        <x:v>Hi Richard — I noticed AGL Services's site has Meta tracking installed, but I couldn't find an embedded video on the homepage. I mapped a private 15-second no-cool-call to same-day comfort ad for AGL Services using only public brand context—not for publishing, just to show the angle. We build three client-approved video ad concepts in seven days, then turn the winners into fresh variations. No filming day required. Worth sending the private sample?</x:v>
      </x:c>
      <x:c r="AV26" s="76" t="str">
        <x:v>Quick follow-up: the sample angle is a no-cool-call to same-day comfort ad. If it misses the mark, no problem—I won't keep chasing. Should I send it?</x:v>
      </x:c>
      <x:c r="AW26" s="76" t="str">
        <x:v>Hi Richard, Ryan here. I was looking at AGL Services's public marketing and noticed: meta tracking detected; no embedded homepage video found. I mapped one private no-cool-call to same-day comfort ad as an example. Did I catch you with 30 seconds?</x:v>
      </x:c>
      <x:c r="AX26" s="60" t="str">
        <x:v>https://www.facebook.com/ads/library/?active_status=active&amp;ad_type=all&amp;country=US&amp;q=AGL%20Services&amp;search_type=keyword_unordered</x:v>
      </x:c>
      <x:c r="AY26" s="60" t="str">
        <x:v>ok:200</x:v>
      </x:c>
      <x:c r="AZ26" s="60" t="n">
        <x:v>46232.722858796296</x:v>
      </x:c>
      <x:c r="BA26" s="60" t="str">
        <x:v>AI Ark SC trades export</x:v>
      </x:c>
      <x:c r="BB26" s="60" t="str">
        <x:v>https://aglair.com | https://www.linkedin.com/company/agl-services-sc</x:v>
      </x:c>
      <x:c r="BC26" s="60" t="str"/>
    </x:row>
    <x:row r="27" ht="18" customHeight="1">
      <x:c r="A27" s="70" t="str">
        <x:v>26</x:v>
      </x:c>
      <x:c r="B27" s="70" t="str">
        <x:v>A - Layup</x:v>
      </x:c>
      <x:c r="C27" s="72" t="str">
        <x:v>80</x:v>
      </x:c>
      <x:c r="D27" s="60" t="str">
        <x:v>Advantage AC, Tire &amp; Repair</x:v>
      </x:c>
      <x:c r="E27" s="60" t="str">
        <x:v>https://advantagemuffler.net</x:v>
      </x:c>
      <x:c r="F27" s="60" t="str">
        <x:v>https://www.advantagemuffler.net/</x:v>
      </x:c>
      <x:c r="G27" s="60" t="str">
        <x:v>Spartanburg</x:v>
      </x:c>
      <x:c r="H27" s="60" t="str">
        <x:v>South Carolina</x:v>
      </x:c>
      <x:c r="I27" s="60" t="str">
        <x:v>HVAC</x:v>
      </x:c>
      <x:c r="J27" s="60" t="str">
        <x:v>Advantage AC, Tire &amp; Repair</x:v>
      </x:c>
      <x:c r="K27" s="60" t="str"/>
      <x:c r="L27" s="60" t="str">
        <x:v>Owner / decision maker to verify</x:v>
      </x:c>
      <x:c r="M27" s="60" t="str"/>
      <x:c r="N27" s="60" t="str"/>
      <x:c r="O27" s="60" t="str">
        <x:v>(864) 410-2466</x:v>
      </x:c>
      <x:c r="P27" s="60" t="str"/>
      <x:c r="Q27" s="60" t="str"/>
      <x:c r="R27" s="60" t="str"/>
      <x:c r="S27" s="60" t="str">
        <x:v>4.8</x:v>
      </x:c>
      <x:c r="T27" s="74" t="str">
        <x:v>449</x:v>
      </x:c>
      <x:c r="U27" s="60" t="str">
        <x:v>slow_response</x:v>
      </x:c>
      <x:c r="V27" s="74" t="str">
        <x:v>29</x:v>
      </x:c>
      <x:c r="W27" s="74" t="str">
        <x:v>13</x:v>
      </x:c>
      <x:c r="X27" s="74" t="str">
        <x:v>18</x:v>
      </x:c>
      <x:c r="Y27" s="74" t="str">
        <x:v>15</x:v>
      </x:c>
      <x:c r="Z27" s="74" t="str">
        <x:v>5</x:v>
      </x:c>
      <x:c r="AA27" s="74" t="str">
        <x:v>0</x:v>
      </x:c>
      <x:c r="AB27" s="74" t="str">
        <x:v>1</x:v>
      </x:c>
      <x:c r="AC27" s="74" t="str">
        <x:v>1</x:v>
      </x:c>
      <x:c r="AD27" s="74" t="str">
        <x:v>0</x:v>
      </x:c>
      <x:c r="AE27" s="74" t="str">
        <x:v>0</x:v>
      </x:c>
      <x:c r="AF27" s="74" t="str"/>
      <x:c r="AG27" s="74" t="str">
        <x:v>0</x:v>
      </x:c>
      <x:c r="AH27" s="74" t="str">
        <x:v>1</x:v>
      </x:c>
      <x:c r="AI27" s="74" t="str">
        <x:v>1</x:v>
      </x:c>
      <x:c r="AJ27" s="74" t="str">
        <x:v>1</x:v>
      </x:c>
      <x:c r="AK27" s="74" t="str">
        <x:v>0</x:v>
      </x:c>
      <x:c r="AL27" s="74" t="str">
        <x:v>0</x:v>
      </x:c>
      <x:c r="AM27" s="74" t="str">
        <x:v>1</x:v>
      </x:c>
      <x:c r="AN27" s="74" t="str">
        <x:v>0</x:v>
      </x:c>
      <x:c r="AO27" s="60" t="str">
        <x:v>0</x:v>
      </x:c>
      <x:c r="AP27" s="76" t="str">
        <x:v>Google Ads tag detected; no embedded homepage video found</x:v>
      </x:c>
      <x:c r="AQ27" s="76" t="str">
        <x:v>Google Ads tag; project/gallery proof; testimonials; financing; no embedded homepage video detected</x:v>
      </x:c>
      <x:c r="AR27" s="76" t="str">
        <x:v>I noticed Advantage AC, Tire &amp; Repair's site has a Google Ads tag installed, but I couldn't find an embedded video on the homepage.</x:v>
      </x:c>
      <x:c r="AS27" s="76" t="str">
        <x:v>no-cool-call to same-day comfort ad</x:v>
      </x:c>
      <x:c r="AT27" s="76" t="str">
        <x:v>Advantage AC, Tire &amp; Repair ad concept</x:v>
      </x:c>
      <x:c r="AU27" s="76" t="str">
        <x:v>Hi Advantage AC, Tire &amp; Repair — I noticed Advantage AC, Tire &amp; Repair's site has a Google Ads tag installed, but I couldn't find an embedded video on the homepage. I mapped a private 15-second no-cool-call to same-day comfort ad for Advantage AC, Tire &amp; Repair using only public brand context—not for publishing, just to show the angle. We build three client-approved video ad concepts in seven days, then turn the winners into fresh variations. No filming day required. Worth sending the private sample?</x:v>
      </x:c>
      <x:c r="AV27" s="76" t="str">
        <x:v>Quick follow-up: the sample angle is a no-cool-call to same-day comfort ad. If it misses the mark, no problem—I won't keep chasing. Should I send it?</x:v>
      </x:c>
      <x:c r="AW27" s="76" t="str">
        <x:v>Hi Advantage AC, Tire &amp; Repair, Ryan here. I was looking at Advantage AC, Tire &amp; Repair's public marketing and noticed: google ads tag detected; no embedded homepage video found. I mapped one private no-cool-call to same-day comfort ad as an example. Did I catch you with 30 seconds?</x:v>
      </x:c>
      <x:c r="AX27" s="60" t="str">
        <x:v>https://www.facebook.com/ads/library/?active_status=active&amp;ad_type=all&amp;country=US&amp;q=Advantage%20AC%2C%20Tire%20%26%20Repair&amp;search_type=keyword_unordered</x:v>
      </x:c>
      <x:c r="AY27" s="60" t="str">
        <x:v>ok:200</x:v>
      </x:c>
      <x:c r="AZ27" s="60" t="n">
        <x:v>46232.722858796296</x:v>
      </x:c>
      <x:c r="BA27" s="60" t="str">
        <x:v>Google Maps home-services export</x:v>
      </x:c>
      <x:c r="BB27" s="60" t="str">
        <x:v>https://advantagemuffler.net | https://maps.google.com/?cid=5982344988083806862&amp;g_mp=Cidnb29nbGUubWFwcy5wbGFjZXMudjEuUGxhY2VzLlNlYXJjaFRleHQQAhgEIAA</x:v>
      </x:c>
      <x:c r="BC27" s="60" t="str"/>
    </x:row>
    <x:row r="28" ht="18" customHeight="1">
      <x:c r="A28" s="70" t="str">
        <x:v>27</x:v>
      </x:c>
      <x:c r="B28" s="70" t="str">
        <x:v>A - Layup</x:v>
      </x:c>
      <x:c r="C28" s="72" t="str">
        <x:v>79</x:v>
      </x:c>
      <x:c r="D28" s="60" t="str">
        <x:v>Air Solutions Heating and Cooling</x:v>
      </x:c>
      <x:c r="E28" s="60" t="str">
        <x:v>https://airsolutionssc.com</x:v>
      </x:c>
      <x:c r="F28" s="60" t="str">
        <x:v>https://www.airsolutionssc.com/</x:v>
      </x:c>
      <x:c r="G28" s="60" t="str">
        <x:v>Florence</x:v>
      </x:c>
      <x:c r="H28" s="60" t="str">
        <x:v>South Carolina</x:v>
      </x:c>
      <x:c r="I28" s="60" t="str">
        <x:v>HVAC</x:v>
      </x:c>
      <x:c r="J28" s="60" t="str">
        <x:v>Air Solutions Heating and Cooling</x:v>
      </x:c>
      <x:c r="K28" s="60" t="str"/>
      <x:c r="L28" s="60" t="str">
        <x:v>Owner / decision maker to verify</x:v>
      </x:c>
      <x:c r="M28" s="60" t="str"/>
      <x:c r="N28" s="60" t="str"/>
      <x:c r="O28" s="60" t="str">
        <x:v>(843) 755-6879</x:v>
      </x:c>
      <x:c r="P28" s="60" t="str"/>
      <x:c r="Q28" s="60" t="str"/>
      <x:c r="R28" s="60" t="str"/>
      <x:c r="S28" s="60" t="str">
        <x:v>4.8</x:v>
      </x:c>
      <x:c r="T28" s="74" t="str">
        <x:v>364</x:v>
      </x:c>
      <x:c r="U28" s="60" t="str">
        <x:v>slow_response</x:v>
      </x:c>
      <x:c r="V28" s="74" t="str">
        <x:v>29</x:v>
      </x:c>
      <x:c r="W28" s="74" t="str">
        <x:v>28</x:v>
      </x:c>
      <x:c r="X28" s="74" t="str">
        <x:v>14</x:v>
      </x:c>
      <x:c r="Y28" s="74" t="str">
        <x:v>3</x:v>
      </x:c>
      <x:c r="Z28" s="74" t="str">
        <x:v>5</x:v>
      </x:c>
      <x:c r="AA28" s="74" t="str">
        <x:v>1</x:v>
      </x:c>
      <x:c r="AB28" s="74" t="str">
        <x:v>1</x:v>
      </x:c>
      <x:c r="AC28" s="74" t="str">
        <x:v>1</x:v>
      </x:c>
      <x:c r="AD28" s="74" t="str">
        <x:v>0</x:v>
      </x:c>
      <x:c r="AE28" s="74" t="str">
        <x:v>0</x:v>
      </x:c>
      <x:c r="AF28" s="74" t="str">
        <x:v>podium</x:v>
      </x:c>
      <x:c r="AG28" s="74" t="str">
        <x:v>0</x:v>
      </x:c>
      <x:c r="AH28" s="74" t="str">
        <x:v>0</x:v>
      </x:c>
      <x:c r="AI28" s="74" t="str">
        <x:v>0</x:v>
      </x:c>
      <x:c r="AJ28" s="74" t="str">
        <x:v>0</x:v>
      </x:c>
      <x:c r="AK28" s="74" t="str">
        <x:v>0</x:v>
      </x:c>
      <x:c r="AL28" s="74" t="str">
        <x:v>1</x:v>
      </x:c>
      <x:c r="AM28" s="74" t="str">
        <x:v>1</x:v>
      </x:c>
      <x:c r="AN28" s="74" t="str">
        <x:v>1</x:v>
      </x:c>
      <x:c r="AO28" s="60" t="str">
        <x:v>2026</x:v>
      </x:c>
      <x:c r="AP28" s="76" t="str">
        <x:v>Meta tracking detected; no embedded homepage video found</x:v>
      </x:c>
      <x:c r="AQ28" s="76" t="str">
        <x:v>Meta Pixel; Google Ads tag; no embedded homepage video detected</x:v>
      </x:c>
      <x:c r="AR28" s="76" t="str">
        <x:v>I noticed Air Solutions Heating and Cooling's site has Meta tracking installed, but I couldn't find an embedded video on the homepage.</x:v>
      </x:c>
      <x:c r="AS28" s="76" t="str">
        <x:v>no-cool-call to same-day comfort ad</x:v>
      </x:c>
      <x:c r="AT28" s="76" t="str">
        <x:v>Air Solutions Heating and Cooling ad concept</x:v>
      </x:c>
      <x:c r="AU28" s="76" t="str">
        <x:v>Hi Air Solutions Heating and Cooling — I noticed Air Solutions Heating and Cooling's site has Meta tracking installed, but I couldn't find an embedded video on the homepage. I mapped a private 15-second no-cool-call to same-day comfort ad for Air Solutions Heating and Cooling using only public brand context—not for publishing, just to show the angle. We build three client-approved video ad concepts in seven days, then turn the winners into fresh variations. No filming day required. Worth sending the private sample?</x:v>
      </x:c>
      <x:c r="AV28" s="76" t="str">
        <x:v>Quick follow-up: the sample angle is a no-cool-call to same-day comfort ad. If it misses the mark, no problem—I won't keep chasing. Should I send it?</x:v>
      </x:c>
      <x:c r="AW28" s="76" t="str">
        <x:v>Hi Air Solutions Heating and Cooling, Ryan here. I was looking at Air Solutions Heating and Cooling's public marketing and noticed: meta tracking detected; no embedded homepage video found. I mapped one private no-cool-call to same-day comfort ad as an example. Did I catch you with 30 seconds?</x:v>
      </x:c>
      <x:c r="AX28" s="60" t="str">
        <x:v>https://www.facebook.com/ads/library/?active_status=active&amp;ad_type=all&amp;country=US&amp;q=Air%20Solutions%20Heating%20and%20Cooling&amp;search_type=keyword_unordered</x:v>
      </x:c>
      <x:c r="AY28" s="60" t="str">
        <x:v>ok:200</x:v>
      </x:c>
      <x:c r="AZ28" s="60" t="n">
        <x:v>46232.722858796296</x:v>
      </x:c>
      <x:c r="BA28" s="60" t="str">
        <x:v>Google Maps home-services export</x:v>
      </x:c>
      <x:c r="BB28" s="60" t="str">
        <x:v>https://airsolutionssc.com | https://maps.google.com/?cid=7971838879598348295&amp;g_mp=Cidnb29nbGUubWFwcy5wbGFjZXMudjEuUGxhY2VzLlNlYXJjaFRleHQQAhgEIAA</x:v>
      </x:c>
      <x:c r="BC28" s="60" t="str"/>
    </x:row>
    <x:row r="29" ht="18" customHeight="1">
      <x:c r="A29" s="70" t="str">
        <x:v>28</x:v>
      </x:c>
      <x:c r="B29" s="70" t="str">
        <x:v>A - Layup</x:v>
      </x:c>
      <x:c r="C29" s="72" t="str">
        <x:v>79</x:v>
      </x:c>
      <x:c r="D29" s="60" t="str">
        <x:v>J&amp;S Flooring</x:v>
      </x:c>
      <x:c r="E29" s="60" t="str">
        <x:v>https://jsflooring.com</x:v>
      </x:c>
      <x:c r="F29" s="60" t="str">
        <x:v>https://www.jsflooring.com/</x:v>
      </x:c>
      <x:c r="G29" s="60" t="str">
        <x:v>Georgetown</x:v>
      </x:c>
      <x:c r="H29" s="60" t="str">
        <x:v>South Carolina</x:v>
      </x:c>
      <x:c r="I29" s="60" t="str">
        <x:v>Flooring</x:v>
      </x:c>
      <x:c r="J29" s="60" t="str">
        <x:v>Thomas</x:v>
      </x:c>
      <x:c r="K29" s="60" t="str">
        <x:v>Brown</x:v>
      </x:c>
      <x:c r="L29" s="60" t="str">
        <x:v>President/Owner</x:v>
      </x:c>
      <x:c r="M29" s="60" t="str">
        <x:v>tbrown@jsflooring.com</x:v>
      </x:c>
      <x:c r="N29" s="60" t="str">
        <x:v>Verified with BounceBan on 08 Jun 26 12:06</x:v>
      </x:c>
      <x:c r="O29" s="60" t="str"/>
      <x:c r="P29" s="60" t="str">
        <x:v>https://www.linkedin.com/in/thomas-brown-1415b271</x:v>
      </x:c>
      <x:c r="Q29" s="60" t="str">
        <x:v>2-10</x:v>
      </x:c>
      <x:c r="R29" s="60" t="str">
        <x:v>100000-499999</x:v>
      </x:c>
      <x:c r="S29" s="60" t="str"/>
      <x:c r="T29" s="74" t="str">
        <x:v>0</x:v>
      </x:c>
      <x:c r="U29" s="60" t="str"/>
      <x:c r="V29" s="74" t="str">
        <x:v>23</x:v>
      </x:c>
      <x:c r="W29" s="74" t="str">
        <x:v>25</x:v>
      </x:c>
      <x:c r="X29" s="74" t="str">
        <x:v>16</x:v>
      </x:c>
      <x:c r="Y29" s="74" t="str">
        <x:v>8</x:v>
      </x:c>
      <x:c r="Z29" s="74" t="str">
        <x:v>7</x:v>
      </x:c>
      <x:c r="AA29" s="74" t="str">
        <x:v>1</x:v>
      </x:c>
      <x:c r="AB29" s="74" t="str">
        <x:v>1</x:v>
      </x:c>
      <x:c r="AC29" s="74" t="str">
        <x:v>1</x:v>
      </x:c>
      <x:c r="AD29" s="74" t="str">
        <x:v>0</x:v>
      </x:c>
      <x:c r="AE29" s="74" t="str">
        <x:v>0</x:v>
      </x:c>
      <x:c r="AF29" s="74" t="str"/>
      <x:c r="AG29" s="74" t="str">
        <x:v>0</x:v>
      </x:c>
      <x:c r="AH29" s="74" t="str">
        <x:v>1</x:v>
      </x:c>
      <x:c r="AI29" s="74" t="str">
        <x:v>0</x:v>
      </x:c>
      <x:c r="AJ29" s="74" t="str">
        <x:v>1</x:v>
      </x:c>
      <x:c r="AK29" s="74" t="str">
        <x:v>0</x:v>
      </x:c>
      <x:c r="AL29" s="74" t="str">
        <x:v>0</x:v>
      </x:c>
      <x:c r="AM29" s="74" t="str">
        <x:v>1</x:v>
      </x:c>
      <x:c r="AN29" s="74" t="str">
        <x:v>0</x:v>
      </x:c>
      <x:c r="AO29" s="60" t="str">
        <x:v>2026</x:v>
      </x:c>
      <x:c r="AP29" s="76" t="str">
        <x:v>Meta tracking detected; no embedded homepage video found</x:v>
      </x:c>
      <x:c r="AQ29" s="76" t="str">
        <x:v>Meta Pixel; Google Ads tag; project/gallery proof; financing; no embedded homepage video detected</x:v>
      </x:c>
      <x:c r="AR29" s="76" t="str">
        <x:v>I noticed J&amp;S Flooring's site has Meta tracking installed, but I couldn't find an embedded video on the homepage.</x:v>
      </x:c>
      <x:c r="AS29" s="76" t="str">
        <x:v>room transformation before/after ad</x:v>
      </x:c>
      <x:c r="AT29" s="76" t="str">
        <x:v>J&amp;S Flooring ad concept</x:v>
      </x:c>
      <x:c r="AU29" s="76" t="str">
        <x:v>Hi Thomas — I noticed J&amp;S Flooring's site has Meta tracking installed, but I couldn't find an embedded video on the homepage. I mapped a private 15-second room transformation before/after ad for J&amp;S Flooring using only public brand context—not for publishing, just to show the angle. We build three client-approved video ad concepts in seven days, then turn the winners into fresh variations. No filming day required. Worth sending the private sample?</x:v>
      </x:c>
      <x:c r="AV29" s="76" t="str">
        <x:v>Quick follow-up: the sample angle is a room transformation before/after ad. If it misses the mark, no problem—I won't keep chasing. Should I send it?</x:v>
      </x:c>
      <x:c r="AW29" s="76" t="str">
        <x:v>Hi Thomas, Ryan here. I was looking at J&amp;S Flooring's public marketing and noticed: meta tracking detected; no embedded homepage video found. I mapped one private room transformation before/after ad as an example. Did I catch you with 30 seconds?</x:v>
      </x:c>
      <x:c r="AX29" s="60" t="str">
        <x:v>https://www.facebook.com/ads/library/?active_status=active&amp;ad_type=all&amp;country=US&amp;q=J%26S%20Flooring&amp;search_type=keyword_unordered</x:v>
      </x:c>
      <x:c r="AY29" s="60" t="str">
        <x:v>ok:200</x:v>
      </x:c>
      <x:c r="AZ29" s="60" t="n">
        <x:v>46232.722858796296</x:v>
      </x:c>
      <x:c r="BA29" s="60" t="str">
        <x:v>AI Ark SC trades export</x:v>
      </x:c>
      <x:c r="BB29" s="60" t="str">
        <x:v>https://jsflooring.com | https://www.linkedin.com/company/j-s-flooring</x:v>
      </x:c>
      <x:c r="BC29" s="60" t="str"/>
    </x:row>
    <x:row r="30" ht="18" customHeight="1">
      <x:c r="A30" s="70" t="str">
        <x:v>29</x:v>
      </x:c>
      <x:c r="B30" s="70" t="str">
        <x:v>A - Layup</x:v>
      </x:c>
      <x:c r="C30" s="72" t="str">
        <x:v>79</x:v>
      </x:c>
      <x:c r="D30" s="60" t="str">
        <x:v>Carolina Air, Inc</x:v>
      </x:c>
      <x:c r="E30" s="60" t="str">
        <x:v>https://carolina-air.com</x:v>
      </x:c>
      <x:c r="F30" s="60" t="str">
        <x:v>https://carolina-air.com</x:v>
      </x:c>
      <x:c r="G30" s="60" t="str">
        <x:v>Beaufort</x:v>
      </x:c>
      <x:c r="H30" s="60" t="str">
        <x:v>South Carolina</x:v>
      </x:c>
      <x:c r="I30" s="60" t="str">
        <x:v>HVAC</x:v>
      </x:c>
      <x:c r="J30" s="60" t="str">
        <x:v>Carolina Air, Inc</x:v>
      </x:c>
      <x:c r="K30" s="60" t="str"/>
      <x:c r="L30" s="60" t="str">
        <x:v>Owner / decision maker to verify</x:v>
      </x:c>
      <x:c r="M30" s="60" t="str"/>
      <x:c r="N30" s="60" t="str"/>
      <x:c r="O30" s="60" t="str">
        <x:v>(843) 524-2581</x:v>
      </x:c>
      <x:c r="P30" s="60" t="str"/>
      <x:c r="Q30" s="60" t="str"/>
      <x:c r="R30" s="60" t="str"/>
      <x:c r="S30" s="60" t="str">
        <x:v>4.8</x:v>
      </x:c>
      <x:c r="T30" s="74" t="str">
        <x:v>196</x:v>
      </x:c>
      <x:c r="U30" s="60" t="str"/>
      <x:c r="V30" s="74" t="str">
        <x:v>28</x:v>
      </x:c>
      <x:c r="W30" s="74" t="str">
        <x:v>16</x:v>
      </x:c>
      <x:c r="X30" s="74" t="str">
        <x:v>15</x:v>
      </x:c>
      <x:c r="Y30" s="74" t="str">
        <x:v>15</x:v>
      </x:c>
      <x:c r="Z30" s="74" t="str">
        <x:v>5</x:v>
      </x:c>
      <x:c r="AA30" s="74" t="str">
        <x:v>0</x:v>
      </x:c>
      <x:c r="AB30" s="74" t="str">
        <x:v>1</x:v>
      </x:c>
      <x:c r="AC30" s="74" t="str">
        <x:v>1</x:v>
      </x:c>
      <x:c r="AD30" s="74" t="str">
        <x:v>0</x:v>
      </x:c>
      <x:c r="AE30" s="74" t="str">
        <x:v>0</x:v>
      </x:c>
      <x:c r="AF30" s="74" t="str">
        <x:v>podium</x:v>
      </x:c>
      <x:c r="AG30" s="74" t="str">
        <x:v>0</x:v>
      </x:c>
      <x:c r="AH30" s="74" t="str">
        <x:v>1</x:v>
      </x:c>
      <x:c r="AI30" s="74" t="str">
        <x:v>1</x:v>
      </x:c>
      <x:c r="AJ30" s="74" t="str">
        <x:v>0</x:v>
      </x:c>
      <x:c r="AK30" s="74" t="str">
        <x:v>1</x:v>
      </x:c>
      <x:c r="AL30" s="74" t="str">
        <x:v>1</x:v>
      </x:c>
      <x:c r="AM30" s="74" t="str">
        <x:v>1</x:v>
      </x:c>
      <x:c r="AN30" s="74" t="str">
        <x:v>1</x:v>
      </x:c>
      <x:c r="AO30" s="60" t="str">
        <x:v>2020</x:v>
      </x:c>
      <x:c r="AP30" s="76" t="str">
        <x:v>Google Ads tag detected; no embedded homepage video found</x:v>
      </x:c>
      <x:c r="AQ30" s="76" t="str">
        <x:v>Google Ads tag; project/gallery proof; testimonials; visible service offer; no embedded homepage video detected</x:v>
      </x:c>
      <x:c r="AR30" s="76" t="str">
        <x:v>I noticed Carolina Air, Inc's site has a Google Ads tag installed, but I couldn't find an embedded video on the homepage.</x:v>
      </x:c>
      <x:c r="AS30" s="76" t="str">
        <x:v>no-cool-call to same-day comfort ad</x:v>
      </x:c>
      <x:c r="AT30" s="76" t="str">
        <x:v>Carolina Air, Inc ad concept</x:v>
      </x:c>
      <x:c r="AU30" s="76" t="str">
        <x:v>Hi Carolina Air, Inc — I noticed Carolina Air, Inc's site has a Google Ads tag installed, but I couldn't find an embedded video on the homepage. I mapped a private 15-second no-cool-call to same-day comfort ad for Carolina Air, Inc using only public brand context—not for publishing, just to show the angle. We build three client-approved video ad concepts in seven days, then turn the winners into fresh variations. No filming day required. Worth sending the private sample?</x:v>
      </x:c>
      <x:c r="AV30" s="76" t="str">
        <x:v>Quick follow-up: the sample angle is a no-cool-call to same-day comfort ad. If it misses the mark, no problem—I won't keep chasing. Should I send it?</x:v>
      </x:c>
      <x:c r="AW30" s="76" t="str">
        <x:v>Hi Carolina Air, Inc, Ryan here. I was looking at Carolina Air, Inc's public marketing and noticed: google ads tag detected; no embedded homepage video found. I mapped one private no-cool-call to same-day comfort ad as an example. Did I catch you with 30 seconds?</x:v>
      </x:c>
      <x:c r="AX30" s="60" t="str">
        <x:v>https://www.facebook.com/ads/library/?active_status=active&amp;ad_type=all&amp;country=US&amp;q=Carolina%20Air%2C%20Inc&amp;search_type=keyword_unordered</x:v>
      </x:c>
      <x:c r="AY30" s="60" t="str">
        <x:v>ok:200</x:v>
      </x:c>
      <x:c r="AZ30" s="60" t="n">
        <x:v>46232.722858796296</x:v>
      </x:c>
      <x:c r="BA30" s="60" t="str">
        <x:v>Google Maps home-services export</x:v>
      </x:c>
      <x:c r="BB30" s="60" t="str">
        <x:v>https://carolina-air.com | https://maps.google.com/?cid=14960300563692119148&amp;g_mp=Cidnb29nbGUubWFwcy5wbGFjZXMudjEuUGxhY2VzLlNlYXJjaFRleHQQAhgEIAA</x:v>
      </x:c>
      <x:c r="BC30" s="60" t="str"/>
    </x:row>
    <x:row r="31" ht="18" customHeight="1">
      <x:c r="A31" s="70" t="str">
        <x:v>30</x:v>
      </x:c>
      <x:c r="B31" s="70" t="str">
        <x:v>A - Layup</x:v>
      </x:c>
      <x:c r="C31" s="72" t="str">
        <x:v>79</x:v>
      </x:c>
      <x:c r="D31" s="60" t="str">
        <x:v>Blue Ridge Heating and Air</x:v>
      </x:c>
      <x:c r="E31" s="60" t="str">
        <x:v>https://blueridgeheatingair.com</x:v>
      </x:c>
      <x:c r="F31" s="60" t="str">
        <x:v>https://blueridgeheatingair.com</x:v>
      </x:c>
      <x:c r="G31" s="60" t="str">
        <x:v>Greenville</x:v>
      </x:c>
      <x:c r="H31" s="60" t="str">
        <x:v>South Carolina</x:v>
      </x:c>
      <x:c r="I31" s="60" t="str">
        <x:v>HVAC</x:v>
      </x:c>
      <x:c r="J31" s="60" t="str">
        <x:v>Blue Ridge Heating and Air</x:v>
      </x:c>
      <x:c r="K31" s="60" t="str"/>
      <x:c r="L31" s="60" t="str">
        <x:v>Owner / decision maker to verify</x:v>
      </x:c>
      <x:c r="M31" s="60" t="str"/>
      <x:c r="N31" s="60" t="str"/>
      <x:c r="O31" s="60" t="str">
        <x:v>(864) 485-6509</x:v>
      </x:c>
      <x:c r="P31" s="60" t="str"/>
      <x:c r="Q31" s="60" t="str"/>
      <x:c r="R31" s="60" t="str"/>
      <x:c r="S31" s="60" t="str">
        <x:v>5</x:v>
      </x:c>
      <x:c r="T31" s="74" t="str">
        <x:v>313</x:v>
      </x:c>
      <x:c r="U31" s="60" t="str"/>
      <x:c r="V31" s="74" t="str">
        <x:v>29</x:v>
      </x:c>
      <x:c r="W31" s="74" t="str">
        <x:v>16</x:v>
      </x:c>
      <x:c r="X31" s="74" t="str">
        <x:v>15</x:v>
      </x:c>
      <x:c r="Y31" s="74" t="str">
        <x:v>14</x:v>
      </x:c>
      <x:c r="Z31" s="74" t="str">
        <x:v>5</x:v>
      </x:c>
      <x:c r="AA31" s="74" t="str">
        <x:v>0</x:v>
      </x:c>
      <x:c r="AB31" s="74" t="str">
        <x:v>1</x:v>
      </x:c>
      <x:c r="AC31" s="74" t="str">
        <x:v>1</x:v>
      </x:c>
      <x:c r="AD31" s="74" t="str">
        <x:v>0</x:v>
      </x:c>
      <x:c r="AE31" s="74" t="str">
        <x:v>0</x:v>
      </x:c>
      <x:c r="AF31" s="74" t="str">
        <x:v>servicetitan</x:v>
      </x:c>
      <x:c r="AG31" s="74" t="str">
        <x:v>0</x:v>
      </x:c>
      <x:c r="AH31" s="74" t="str">
        <x:v>1</x:v>
      </x:c>
      <x:c r="AI31" s="74" t="str">
        <x:v>0</x:v>
      </x:c>
      <x:c r="AJ31" s="74" t="str">
        <x:v>1</x:v>
      </x:c>
      <x:c r="AK31" s="74" t="str">
        <x:v>1</x:v>
      </x:c>
      <x:c r="AL31" s="74" t="str">
        <x:v>1</x:v>
      </x:c>
      <x:c r="AM31" s="74" t="str">
        <x:v>1</x:v>
      </x:c>
      <x:c r="AN31" s="74" t="str">
        <x:v>1</x:v>
      </x:c>
      <x:c r="AO31" s="60" t="str">
        <x:v>2024</x:v>
      </x:c>
      <x:c r="AP31" s="76" t="str">
        <x:v>Google Ads tag detected; no embedded homepage video found</x:v>
      </x:c>
      <x:c r="AQ31" s="76" t="str">
        <x:v>Google Ads tag; project/gallery proof; financing; visible service offer; no embedded homepage video detected</x:v>
      </x:c>
      <x:c r="AR31" s="76" t="str">
        <x:v>I noticed Blue Ridge Heating and Air's site has a Google Ads tag installed, but I couldn't find an embedded video on the homepage.</x:v>
      </x:c>
      <x:c r="AS31" s="76" t="str">
        <x:v>no-cool-call to same-day comfort ad</x:v>
      </x:c>
      <x:c r="AT31" s="76" t="str">
        <x:v>Blue Ridge Heating and Air ad concept</x:v>
      </x:c>
      <x:c r="AU31" s="76" t="str">
        <x:v>Hi Blue Ridge Heating and Air — I noticed Blue Ridge Heating and Air's site has a Google Ads tag installed, but I couldn't find an embedded video on the homepage. I mapped a private 15-second no-cool-call to same-day comfort ad for Blue Ridge Heating and Air using only public brand context—not for publishing, just to show the angle. We build three client-approved video ad concepts in seven days, then turn the winners into fresh variations. No filming day required. Worth sending the private sample?</x:v>
      </x:c>
      <x:c r="AV31" s="76" t="str">
        <x:v>Quick follow-up: the sample angle is a no-cool-call to same-day comfort ad. If it misses the mark, no problem—I won't keep chasing. Should I send it?</x:v>
      </x:c>
      <x:c r="AW31" s="76" t="str">
        <x:v>Hi Blue Ridge Heating and Air, Ryan here. I was looking at Blue Ridge Heating and Air's public marketing and noticed: google ads tag detected; no embedded homepage video found. I mapped one private no-cool-call to same-day comfort ad as an example. Did I catch you with 30 seconds?</x:v>
      </x:c>
      <x:c r="AX31" s="60" t="str">
        <x:v>https://www.facebook.com/ads/library/?active_status=active&amp;ad_type=all&amp;country=US&amp;q=Blue%20Ridge%20Heating%20and%20Air&amp;search_type=keyword_unordered</x:v>
      </x:c>
      <x:c r="AY31" s="60" t="str">
        <x:v>ok:200</x:v>
      </x:c>
      <x:c r="AZ31" s="60" t="n">
        <x:v>46232.722858796296</x:v>
      </x:c>
      <x:c r="BA31" s="60" t="str">
        <x:v>Google Maps home-services export</x:v>
      </x:c>
      <x:c r="BB31" s="60" t="str">
        <x:v>https://blueridgeheatingair.com | https://maps.google.com/?cid=5802991259489075038&amp;g_mp=Cidnb29nbGUubWFwcy5wbGFjZXMudjEuUGxhY2VzLlNlYXJjaFRleHQQAhgEIAA</x:v>
      </x:c>
      <x:c r="BC31" s="60" t="str"/>
    </x:row>
    <x:row r="32" ht="18" customHeight="1">
      <x:c r="A32" s="70" t="str">
        <x:v>31</x:v>
      </x:c>
      <x:c r="B32" s="70" t="str">
        <x:v>A - Layup</x:v>
      </x:c>
      <x:c r="C32" s="72" t="str">
        <x:v>78</x:v>
      </x:c>
      <x:c r="D32" s="60" t="str">
        <x:v>South Point Roofing &amp; Gutters</x:v>
      </x:c>
      <x:c r="E32" s="60" t="str">
        <x:v>https://southpointconstruction.net</x:v>
      </x:c>
      <x:c r="F32" s="60" t="str">
        <x:v>https://southpointconstruction.net</x:v>
      </x:c>
      <x:c r="G32" s="60" t="str">
        <x:v>Aiken</x:v>
      </x:c>
      <x:c r="H32" s="60" t="str">
        <x:v>South Carolina</x:v>
      </x:c>
      <x:c r="I32" s="60" t="str">
        <x:v>Roofing</x:v>
      </x:c>
      <x:c r="J32" s="60" t="str">
        <x:v>South Point Roofing &amp; Gutters</x:v>
      </x:c>
      <x:c r="K32" s="60" t="str"/>
      <x:c r="L32" s="60" t="str">
        <x:v>Owner / decision maker to verify</x:v>
      </x:c>
      <x:c r="M32" s="60" t="str"/>
      <x:c r="N32" s="60" t="str"/>
      <x:c r="O32" s="60" t="str">
        <x:v>(803) 284-8020</x:v>
      </x:c>
      <x:c r="P32" s="60" t="str"/>
      <x:c r="Q32" s="60" t="str"/>
      <x:c r="R32" s="60" t="str"/>
      <x:c r="S32" s="60" t="str">
        <x:v>4.9</x:v>
      </x:c>
      <x:c r="T32" s="74" t="str">
        <x:v>196</x:v>
      </x:c>
      <x:c r="U32" s="60" t="str"/>
      <x:c r="V32" s="74" t="str">
        <x:v>29</x:v>
      </x:c>
      <x:c r="W32" s="74" t="str">
        <x:v>25</x:v>
      </x:c>
      <x:c r="X32" s="74" t="str">
        <x:v>12</x:v>
      </x:c>
      <x:c r="Y32" s="74" t="str">
        <x:v>7</x:v>
      </x:c>
      <x:c r="Z32" s="74" t="str">
        <x:v>5</x:v>
      </x:c>
      <x:c r="AA32" s="74" t="str">
        <x:v>1</x:v>
      </x:c>
      <x:c r="AB32" s="74" t="str">
        <x:v>1</x:v>
      </x:c>
      <x:c r="AC32" s="74" t="str">
        <x:v>1</x:v>
      </x:c>
      <x:c r="AD32" s="74" t="str">
        <x:v>0</x:v>
      </x:c>
      <x:c r="AE32" s="74" t="str">
        <x:v>0</x:v>
      </x:c>
      <x:c r="AF32" s="74" t="str"/>
      <x:c r="AG32" s="74" t="str">
        <x:v>0</x:v>
      </x:c>
      <x:c r="AH32" s="74" t="str">
        <x:v>0</x:v>
      </x:c>
      <x:c r="AI32" s="74" t="str">
        <x:v>1</x:v>
      </x:c>
      <x:c r="AJ32" s="74" t="str">
        <x:v>0</x:v>
      </x:c>
      <x:c r="AK32" s="74" t="str">
        <x:v>0</x:v>
      </x:c>
      <x:c r="AL32" s="74" t="str">
        <x:v>1</x:v>
      </x:c>
      <x:c r="AM32" s="74" t="str">
        <x:v>1</x:v>
      </x:c>
      <x:c r="AN32" s="74" t="str">
        <x:v>0</x:v>
      </x:c>
      <x:c r="AO32" s="60" t="str">
        <x:v>2025</x:v>
      </x:c>
      <x:c r="AP32" s="76" t="str">
        <x:v>Meta tracking detected; no embedded homepage video found</x:v>
      </x:c>
      <x:c r="AQ32" s="76" t="str">
        <x:v>Meta Pixel; Google Ads tag; testimonials; no embedded homepage video detected</x:v>
      </x:c>
      <x:c r="AR32" s="76" t="str">
        <x:v>I noticed South Point Roofing &amp; Gutters's site has Meta tracking installed, but I couldn't find an embedded video on the homepage.</x:v>
      </x:c>
      <x:c r="AS32" s="76" t="str">
        <x:v>storm-to-inspection before/after ad</x:v>
      </x:c>
      <x:c r="AT32" s="76" t="str">
        <x:v>South Point Roofing &amp; Gutters ad concept</x:v>
      </x:c>
      <x:c r="AU32" s="76" t="str">
        <x:v>Hi South Point Roofing &amp; Gutters — I noticed South Point Roofing &amp; Gutters's site has Meta tracking installed, but I couldn't find an embedded video on the homepage. I mapped a private 15-second storm-to-inspection before/after ad for South Point Roofing &amp; Gutters using only public brand context—not for publishing, just to show the angle. We build three client-approved video ad concepts in seven days, then turn the winners into fresh variations. No filming day required. Worth sending the private sample?</x:v>
      </x:c>
      <x:c r="AV32" s="76" t="str">
        <x:v>Quick follow-up: the sample angle is a storm-to-inspection before/after ad. If it misses the mark, no problem—I won't keep chasing. Should I send it?</x:v>
      </x:c>
      <x:c r="AW32" s="76" t="str">
        <x:v>Hi South Point Roofing &amp; Gutters, Ryan here. I was looking at South Point Roofing &amp; Gutters's public marketing and noticed: meta tracking detected; no embedded homepage video found. I mapped one private storm-to-inspection before/after ad as an example. Did I catch you with 30 seconds?</x:v>
      </x:c>
      <x:c r="AX32" s="60" t="str">
        <x:v>https://www.facebook.com/ads/library/?active_status=active&amp;ad_type=all&amp;country=US&amp;q=South%20Point%20Roofing%20%26%20Gutters&amp;search_type=keyword_unordered</x:v>
      </x:c>
      <x:c r="AY32" s="60" t="str">
        <x:v>ok:200</x:v>
      </x:c>
      <x:c r="AZ32" s="60" t="n">
        <x:v>46232.722858796296</x:v>
      </x:c>
      <x:c r="BA32" s="60" t="str">
        <x:v>Google Maps home-services export</x:v>
      </x:c>
      <x:c r="BB32" s="60" t="str">
        <x:v>https://maps.google.com/?cid=13726886117927817844&amp;g_mp=Cidnb29nbGUubWFwcy5wbGFjZXMudjEuUGxhY2VzLlNlYXJjaFRleHQQAhgEIAA | https://maps.google.com/?cid=6683841717493003953&amp;g_mp=Cidnb29nbGUubWFwcy5wbGFjZXMudjEuUGxhY2VzLlNlYXJjaFRleHQQAhgEIAA | https://southpointconstruction.net</x:v>
      </x:c>
      <x:c r="BC32" s="60" t="str"/>
    </x:row>
    <x:row r="33" ht="18" customHeight="1">
      <x:c r="A33" s="70" t="str">
        <x:v>32</x:v>
      </x:c>
      <x:c r="B33" s="70" t="str">
        <x:v>A - Layup</x:v>
      </x:c>
      <x:c r="C33" s="72" t="str">
        <x:v>78</x:v>
      </x:c>
      <x:c r="D33" s="60" t="str">
        <x:v>Windward Shutters, LLC</x:v>
      </x:c>
      <x:c r="E33" s="60" t="str">
        <x:v>https://windwardshutters.com</x:v>
      </x:c>
      <x:c r="F33" s="60" t="str">
        <x:v>https://windwardshutters.com</x:v>
      </x:c>
      <x:c r="G33" s="60" t="str">
        <x:v>North Charleston</x:v>
      </x:c>
      <x:c r="H33" s="60" t="str">
        <x:v>South Carolina</x:v>
      </x:c>
      <x:c r="I33" s="60" t="str">
        <x:v>General Contractor</x:v>
      </x:c>
      <x:c r="J33" s="60" t="str">
        <x:v>Tim</x:v>
      </x:c>
      <x:c r="K33" s="60" t="str">
        <x:v>Smith</x:v>
      </x:c>
      <x:c r="L33" s="60" t="str">
        <x:v>President/Founder/Owner/Landscaper/Janitor/Maintenance</x:v>
      </x:c>
      <x:c r="M33" s="60" t="str">
        <x:v>tims@windwardshutters.com</x:v>
      </x:c>
      <x:c r="N33" s="60" t="str">
        <x:v>Verified with BounceBan on 08 Jun 26 12:06</x:v>
      </x:c>
      <x:c r="O33" s="60" t="str">
        <x:v>+1 832 993 5426, +1 843 442 1160</x:v>
      </x:c>
      <x:c r="P33" s="60" t="str">
        <x:v>https://www.linkedin.com/in/tim-smith-a0518b20</x:v>
      </x:c>
      <x:c r="Q33" s="60" t="str">
        <x:v>11-50</x:v>
      </x:c>
      <x:c r="R33" s="60" t="str">
        <x:v>100000-499999</x:v>
      </x:c>
      <x:c r="S33" s="60" t="str"/>
      <x:c r="T33" s="74" t="str">
        <x:v>0</x:v>
      </x:c>
      <x:c r="U33" s="60" t="str"/>
      <x:c r="V33" s="74" t="str">
        <x:v>23</x:v>
      </x:c>
      <x:c r="W33" s="74" t="str">
        <x:v>25</x:v>
      </x:c>
      <x:c r="X33" s="74" t="str">
        <x:v>16</x:v>
      </x:c>
      <x:c r="Y33" s="74" t="str">
        <x:v>4</x:v>
      </x:c>
      <x:c r="Z33" s="74" t="str">
        <x:v>10</x:v>
      </x:c>
      <x:c r="AA33" s="74" t="str">
        <x:v>1</x:v>
      </x:c>
      <x:c r="AB33" s="74" t="str">
        <x:v>1</x:v>
      </x:c>
      <x:c r="AC33" s="74" t="str">
        <x:v>1</x:v>
      </x:c>
      <x:c r="AD33" s="74" t="str">
        <x:v>0</x:v>
      </x:c>
      <x:c r="AE33" s="74" t="str">
        <x:v>0</x:v>
      </x:c>
      <x:c r="AF33" s="74" t="str"/>
      <x:c r="AG33" s="74" t="str">
        <x:v>0</x:v>
      </x:c>
      <x:c r="AH33" s="74" t="str">
        <x:v>0</x:v>
      </x:c>
      <x:c r="AI33" s="74" t="str">
        <x:v>1</x:v>
      </x:c>
      <x:c r="AJ33" s="74" t="str">
        <x:v>0</x:v>
      </x:c>
      <x:c r="AK33" s="74" t="str">
        <x:v>0</x:v>
      </x:c>
      <x:c r="AL33" s="74" t="str">
        <x:v>0</x:v>
      </x:c>
      <x:c r="AM33" s="74" t="str">
        <x:v>1</x:v>
      </x:c>
      <x:c r="AN33" s="74" t="str">
        <x:v>0</x:v>
      </x:c>
      <x:c r="AO33" s="60" t="str">
        <x:v>2025</x:v>
      </x:c>
      <x:c r="AP33" s="76" t="str">
        <x:v>Meta tracking detected; no embedded homepage video found</x:v>
      </x:c>
      <x:c r="AQ33" s="76" t="str">
        <x:v>Meta Pixel; Google Ads tag; testimonials; no embedded homepage video detected</x:v>
      </x:c>
      <x:c r="AR33" s="76" t="str">
        <x:v>I noticed Windward Shutters, LLC's site has Meta tracking installed, but I couldn't find an embedded video on the homepage.</x:v>
      </x:c>
      <x:c r="AS33" s="76" t="str">
        <x:v>project walkthrough with proof milestones</x:v>
      </x:c>
      <x:c r="AT33" s="76" t="str">
        <x:v>Windward Shutters, LLC ad concept</x:v>
      </x:c>
      <x:c r="AU33" s="76" t="str">
        <x:v>Hi Tim — I noticed Windward Shutters, LLC's site has Meta tracking installed, but I couldn't find an embedded video on the homepage. I mapped a private 15-second project walkthrough with proof milestones for Windward Shutters, LLC using only public brand context—not for publishing, just to show the angle. We build three client-approved video ad concepts in seven days, then turn the winners into fresh variations. No filming day required. Worth sending the private sample?</x:v>
      </x:c>
      <x:c r="AV33" s="76" t="str">
        <x:v>Quick follow-up: the sample angle is a project walkthrough with proof milestones. If it misses the mark, no problem—I won't keep chasing. Should I send it?</x:v>
      </x:c>
      <x:c r="AW33" s="76" t="str">
        <x:v>Hi Tim, Ryan here. I was looking at Windward Shutters, LLC's public marketing and noticed: meta tracking detected; no embedded homepage video found. I mapped one private project walkthrough with proof milestones as an example. Did I catch you with 30 seconds?</x:v>
      </x:c>
      <x:c r="AX33" s="60" t="str">
        <x:v>https://www.facebook.com/ads/library/?active_status=active&amp;ad_type=all&amp;country=US&amp;q=Windward%20Shutters%2C%20LLC&amp;search_type=keyword_unordered</x:v>
      </x:c>
      <x:c r="AY33" s="60" t="str">
        <x:v>ok:200</x:v>
      </x:c>
      <x:c r="AZ33" s="60" t="n">
        <x:v>46232.722858796296</x:v>
      </x:c>
      <x:c r="BA33" s="60" t="str">
        <x:v>AI Ark SC trades export</x:v>
      </x:c>
      <x:c r="BB33" s="60" t="str">
        <x:v>https://windwardshutters.com | https://www.linkedin.com/company/windward-shutters-llc</x:v>
      </x:c>
      <x:c r="BC33" s="60" t="str"/>
    </x:row>
    <x:row r="34" ht="18" customHeight="1">
      <x:c r="A34" s="70" t="str">
        <x:v>33</x:v>
      </x:c>
      <x:c r="B34" s="70" t="str">
        <x:v>A - Layup</x:v>
      </x:c>
      <x:c r="C34" s="72" t="str">
        <x:v>78</x:v>
      </x:c>
      <x:c r="D34" s="60" t="str">
        <x:v>Purpose Plumbing</x:v>
      </x:c>
      <x:c r="E34" s="60" t="str">
        <x:v>https://purposeplumbingsc.com</x:v>
      </x:c>
      <x:c r="F34" s="60" t="str">
        <x:v>https://www.purposeplumbingsc.com/</x:v>
      </x:c>
      <x:c r="G34" s="60" t="str">
        <x:v>Charleston</x:v>
      </x:c>
      <x:c r="H34" s="60" t="str">
        <x:v>South Carolina</x:v>
      </x:c>
      <x:c r="I34" s="60" t="str">
        <x:v>Windows &amp; Doors</x:v>
      </x:c>
      <x:c r="J34" s="60" t="str">
        <x:v>Purpose Plumbing</x:v>
      </x:c>
      <x:c r="K34" s="60" t="str"/>
      <x:c r="L34" s="60" t="str">
        <x:v>Owner / decision maker to verify</x:v>
      </x:c>
      <x:c r="M34" s="60" t="str"/>
      <x:c r="N34" s="60" t="str"/>
      <x:c r="O34" s="60" t="str">
        <x:v>(843) 793-0461</x:v>
      </x:c>
      <x:c r="P34" s="60" t="str"/>
      <x:c r="Q34" s="60" t="str"/>
      <x:c r="R34" s="60" t="str"/>
      <x:c r="S34" s="60" t="str">
        <x:v>4.4</x:v>
      </x:c>
      <x:c r="T34" s="74" t="str">
        <x:v>332</x:v>
      </x:c>
      <x:c r="U34" s="60" t="str">
        <x:v>scheduling, no_show, communication</x:v>
      </x:c>
      <x:c r="V34" s="74" t="str">
        <x:v>28</x:v>
      </x:c>
      <x:c r="W34" s="74" t="str">
        <x:v>18</x:v>
      </x:c>
      <x:c r="X34" s="74" t="str">
        <x:v>14</x:v>
      </x:c>
      <x:c r="Y34" s="74" t="str">
        <x:v>13</x:v>
      </x:c>
      <x:c r="Z34" s="74" t="str">
        <x:v>5</x:v>
      </x:c>
      <x:c r="AA34" s="74" t="str">
        <x:v>1</x:v>
      </x:c>
      <x:c r="AB34" s="74" t="str">
        <x:v>0</x:v>
      </x:c>
      <x:c r="AC34" s="74" t="str">
        <x:v>1</x:v>
      </x:c>
      <x:c r="AD34" s="74" t="str">
        <x:v>0</x:v>
      </x:c>
      <x:c r="AE34" s="74" t="str">
        <x:v>0</x:v>
      </x:c>
      <x:c r="AF34" s="74" t="str">
        <x:v>housecallpro</x:v>
      </x:c>
      <x:c r="AG34" s="74" t="str">
        <x:v>0</x:v>
      </x:c>
      <x:c r="AH34" s="74" t="str">
        <x:v>0</x:v>
      </x:c>
      <x:c r="AI34" s="74" t="str">
        <x:v>1</x:v>
      </x:c>
      <x:c r="AJ34" s="74" t="str">
        <x:v>1</x:v>
      </x:c>
      <x:c r="AK34" s="74" t="str">
        <x:v>1</x:v>
      </x:c>
      <x:c r="AL34" s="74" t="str">
        <x:v>1</x:v>
      </x:c>
      <x:c r="AM34" s="74" t="str">
        <x:v>1</x:v>
      </x:c>
      <x:c r="AN34" s="74" t="str">
        <x:v>0</x:v>
      </x:c>
      <x:c r="AO34" s="60" t="str">
        <x:v>2026</x:v>
      </x:c>
      <x:c r="AP34" s="76" t="str">
        <x:v>Meta tracking detected; no embedded homepage video found</x:v>
      </x:c>
      <x:c r="AQ34" s="76" t="str">
        <x:v>Meta Pixel; testimonials; financing; visible service offer; no embedded homepage video detected</x:v>
      </x:c>
      <x:c r="AR34" s="76" t="str">
        <x:v>I noticed Purpose Plumbing's site has Meta tracking installed, but I couldn't find an embedded video on the homepage.</x:v>
      </x:c>
      <x:c r="AS34" s="76" t="str">
        <x:v>energy-loss to installed-window transformation ad</x:v>
      </x:c>
      <x:c r="AT34" s="76" t="str">
        <x:v>Purpose Plumbing ad concept</x:v>
      </x:c>
      <x:c r="AU34" s="76" t="str">
        <x:v>Hi Purpose Plumbing — I noticed Purpose Plumbing's site has Meta tracking installed, but I couldn't find an embedded video on the homepage. I mapped a private 15-second energy-loss to installed-window transformation ad for Purpose Plumbing using only public brand context—not for publishing, just to show the angle. We build three client-approved video ad concepts in seven days, then turn the winners into fresh variations. No filming day required. Worth sending the private sample?</x:v>
      </x:c>
      <x:c r="AV34" s="76" t="str">
        <x:v>Quick follow-up: the sample angle is a energy-loss to installed-window transformation ad. If it misses the mark, no problem—I won't keep chasing. Should I send it?</x:v>
      </x:c>
      <x:c r="AW34" s="76" t="str">
        <x:v>Hi Purpose Plumbing, Ryan here. I was looking at Purpose Plumbing's public marketing and noticed: meta tracking detected; no embedded homepage video found. I mapped one private energy-loss to installed-window transformation ad as an example. Did I catch you with 30 seconds?</x:v>
      </x:c>
      <x:c r="AX34" s="60" t="str">
        <x:v>https://www.facebook.com/ads/library/?active_status=active&amp;ad_type=all&amp;country=US&amp;q=Purpose%20Plumbing&amp;search_type=keyword_unordered</x:v>
      </x:c>
      <x:c r="AY34" s="60" t="str">
        <x:v>ok:200</x:v>
      </x:c>
      <x:c r="AZ34" s="60" t="n">
        <x:v>46232.722858796296</x:v>
      </x:c>
      <x:c r="BA34" s="60" t="str">
        <x:v>Google Maps home-services export</x:v>
      </x:c>
      <x:c r="BB34" s="60" t="str">
        <x:v>https://maps.google.com/?cid=16758412696004701366&amp;g_mp=Cidnb29nbGUubWFwcy5wbGFjZXMudjEuUGxhY2VzLlNlYXJjaFRleHQQAhgEIAA | https://purposeplumbingsc.com</x:v>
      </x:c>
      <x:c r="BC34" s="60" t="str"/>
    </x:row>
    <x:row r="35" ht="18" customHeight="1">
      <x:c r="A35" s="70" t="str">
        <x:v>34</x:v>
      </x:c>
      <x:c r="B35" s="70" t="str">
        <x:v>A - Layup</x:v>
      </x:c>
      <x:c r="C35" s="72" t="str">
        <x:v>78</x:v>
      </x:c>
      <x:c r="D35" s="60" t="str">
        <x:v>Virtue Concrete SC</x:v>
      </x:c>
      <x:c r="E35" s="60" t="str">
        <x:v>https://virtueconcretesc.com</x:v>
      </x:c>
      <x:c r="F35" s="60" t="str">
        <x:v>https://virtueconcretesc.com</x:v>
      </x:c>
      <x:c r="G35" s="60" t="str">
        <x:v>Greenville</x:v>
      </x:c>
      <x:c r="H35" s="60" t="str">
        <x:v>South Carolina</x:v>
      </x:c>
      <x:c r="I35" s="60" t="str">
        <x:v>Foundation &amp; Waterproofing</x:v>
      </x:c>
      <x:c r="J35" s="60" t="str">
        <x:v>Matt</x:v>
      </x:c>
      <x:c r="K35" s="60" t="str">
        <x:v>Tollison</x:v>
      </x:c>
      <x:c r="L35" s="60" t="str">
        <x:v>Owner</x:v>
      </x:c>
      <x:c r="M35" s="60" t="str">
        <x:v>matt@virtueconcretesc.com</x:v>
      </x:c>
      <x:c r="N35" s="60" t="str">
        <x:v>Verified with BounceBan on 08 Jun 26 12:06</x:v>
      </x:c>
      <x:c r="O35" s="60" t="str"/>
      <x:c r="P35" s="60" t="str">
        <x:v>https://www.linkedin.com/in/matt-tollison-7b7b28126</x:v>
      </x:c>
      <x:c r="Q35" s="60" t="str">
        <x:v>2-10</x:v>
      </x:c>
      <x:c r="R35" s="60" t="str">
        <x:v>0-99999</x:v>
      </x:c>
      <x:c r="S35" s="60" t="str"/>
      <x:c r="T35" s="74" t="str">
        <x:v>0</x:v>
      </x:c>
      <x:c r="U35" s="60" t="str"/>
      <x:c r="V35" s="74" t="str">
        <x:v>26</x:v>
      </x:c>
      <x:c r="W35" s="74" t="str">
        <x:v>18</x:v>
      </x:c>
      <x:c r="X35" s="74" t="str">
        <x:v>16</x:v>
      </x:c>
      <x:c r="Y35" s="74" t="str">
        <x:v>11</x:v>
      </x:c>
      <x:c r="Z35" s="74" t="str">
        <x:v>7</x:v>
      </x:c>
      <x:c r="AA35" s="74" t="str">
        <x:v>1</x:v>
      </x:c>
      <x:c r="AB35" s="74" t="str">
        <x:v>0</x:v>
      </x:c>
      <x:c r="AC35" s="74" t="str">
        <x:v>1</x:v>
      </x:c>
      <x:c r="AD35" s="74" t="str">
        <x:v>0</x:v>
      </x:c>
      <x:c r="AE35" s="74" t="str">
        <x:v>0</x:v>
      </x:c>
      <x:c r="AF35" s="74" t="str">
        <x:v>housecallpro</x:v>
      </x:c>
      <x:c r="AG35" s="74" t="str">
        <x:v>0</x:v>
      </x:c>
      <x:c r="AH35" s="74" t="str">
        <x:v>1</x:v>
      </x:c>
      <x:c r="AI35" s="74" t="str">
        <x:v>0</x:v>
      </x:c>
      <x:c r="AJ35" s="74" t="str">
        <x:v>1</x:v>
      </x:c>
      <x:c r="AK35" s="74" t="str">
        <x:v>1</x:v>
      </x:c>
      <x:c r="AL35" s="74" t="str">
        <x:v>0</x:v>
      </x:c>
      <x:c r="AM35" s="74" t="str">
        <x:v>1</x:v>
      </x:c>
      <x:c r="AN35" s="74" t="str">
        <x:v>0</x:v>
      </x:c>
      <x:c r="AO35" s="60" t="str">
        <x:v>2026</x:v>
      </x:c>
      <x:c r="AP35" s="76" t="str">
        <x:v>Meta tracking detected; no embedded homepage video found</x:v>
      </x:c>
      <x:c r="AQ35" s="76" t="str">
        <x:v>Meta Pixel; project/gallery proof; financing; visible service offer; no embedded homepage video detected</x:v>
      </x:c>
      <x:c r="AR35" s="76" t="str">
        <x:v>I noticed Virtue Concrete SC's site has Meta tracking installed, but I couldn't find an embedded video on the homepage.</x:v>
      </x:c>
      <x:c r="AS35" s="76" t="str">
        <x:v>visible-warning-signs inspection ad</x:v>
      </x:c>
      <x:c r="AT35" s="76" t="str">
        <x:v>Virtue Concrete SC ad concept</x:v>
      </x:c>
      <x:c r="AU35" s="76" t="str">
        <x:v>Hi Matt — I noticed Virtue Concrete SC's site has Meta tracking installed, but I couldn't find an embedded video on the homepage. I mapped a private 15-second visible-warning-signs inspection ad for Virtue Concrete SC using only public brand context—not for publishing, just to show the angle. We build three client-approved video ad concepts in seven days, then turn the winners into fresh variations. No filming day required. Worth sending the private sample?</x:v>
      </x:c>
      <x:c r="AV35" s="76" t="str">
        <x:v>Quick follow-up: the sample angle is a visible-warning-signs inspection ad. If it misses the mark, no problem—I won't keep chasing. Should I send it?</x:v>
      </x:c>
      <x:c r="AW35" s="76" t="str">
        <x:v>Hi Matt, Ryan here. I was looking at Virtue Concrete SC's public marketing and noticed: meta tracking detected; no embedded homepage video found. I mapped one private visible-warning-signs inspection ad as an example. Did I catch you with 30 seconds?</x:v>
      </x:c>
      <x:c r="AX35" s="60" t="str">
        <x:v>https://www.facebook.com/ads/library/?active_status=active&amp;ad_type=all&amp;country=US&amp;q=Virtue%20Concrete%20SC&amp;search_type=keyword_unordered</x:v>
      </x:c>
      <x:c r="AY35" s="60" t="str">
        <x:v>ok:200</x:v>
      </x:c>
      <x:c r="AZ35" s="60" t="n">
        <x:v>46232.722858796296</x:v>
      </x:c>
      <x:c r="BA35" s="60" t="str">
        <x:v>AI Ark SC trades export</x:v>
      </x:c>
      <x:c r="BB35" s="60" t="str">
        <x:v>https://virtueconcretesc.com | https://www.linkedin.com/company/virtue-concrete-sc</x:v>
      </x:c>
      <x:c r="BC35" s="60" t="str"/>
    </x:row>
    <x:row r="36" ht="18" customHeight="1">
      <x:c r="A36" s="70" t="str">
        <x:v>35</x:v>
      </x:c>
      <x:c r="B36" s="70" t="str">
        <x:v>A - Layup</x:v>
      </x:c>
      <x:c r="C36" s="72" t="str">
        <x:v>77</x:v>
      </x:c>
      <x:c r="D36" s="60" t="str">
        <x:v>J &amp; J Air</x:v>
      </x:c>
      <x:c r="E36" s="60" t="str">
        <x:v>https://jandjair.com</x:v>
      </x:c>
      <x:c r="F36" s="60" t="str">
        <x:v>https://www.jandjair.com/</x:v>
      </x:c>
      <x:c r="G36" s="60" t="str">
        <x:v>Myrtle Beach</x:v>
      </x:c>
      <x:c r="H36" s="60" t="str">
        <x:v>South Carolina</x:v>
      </x:c>
      <x:c r="I36" s="60" t="str">
        <x:v>HVAC</x:v>
      </x:c>
      <x:c r="J36" s="60" t="str">
        <x:v>Jeremy</x:v>
      </x:c>
      <x:c r="K36" s="60" t="str">
        <x:v>H.</x:v>
      </x:c>
      <x:c r="L36" s="60" t="str">
        <x:v>Owner</x:v>
      </x:c>
      <x:c r="M36" s="60" t="str">
        <x:v>jeremyh@jandjair.com</x:v>
      </x:c>
      <x:c r="N36" s="60" t="str">
        <x:v>Verified with BounceBan on 08 Jun 26 12:06</x:v>
      </x:c>
      <x:c r="O36" s="60" t="str"/>
      <x:c r="P36" s="60" t="str">
        <x:v>https://www.linkedin.com/in/jeremy-h-a758068</x:v>
      </x:c>
      <x:c r="Q36" s="60" t="str">
        <x:v>11-50</x:v>
      </x:c>
      <x:c r="R36" s="60" t="str">
        <x:v>500000-999999</x:v>
      </x:c>
      <x:c r="S36" s="60" t="str"/>
      <x:c r="T36" s="74" t="str">
        <x:v>0</x:v>
      </x:c>
      <x:c r="U36" s="60" t="str"/>
      <x:c r="V36" s="74" t="str">
        <x:v>30</x:v>
      </x:c>
      <x:c r="W36" s="74" t="str">
        <x:v>28</x:v>
      </x:c>
      <x:c r="X36" s="74" t="str">
        <x:v>12</x:v>
      </x:c>
      <x:c r="Y36" s="74" t="str">
        <x:v>0</x:v>
      </x:c>
      <x:c r="Z36" s="74" t="str">
        <x:v>7</x:v>
      </x:c>
      <x:c r="AA36" s="74" t="str">
        <x:v>1</x:v>
      </x:c>
      <x:c r="AB36" s="74" t="str">
        <x:v>1</x:v>
      </x:c>
      <x:c r="AC36" s="74" t="str">
        <x:v>1</x:v>
      </x:c>
      <x:c r="AD36" s="74" t="str">
        <x:v>0</x:v>
      </x:c>
      <x:c r="AE36" s="74" t="str">
        <x:v>0</x:v>
      </x:c>
      <x:c r="AF36" s="74" t="str">
        <x:v>podium</x:v>
      </x:c>
      <x:c r="AG36" s="74" t="str">
        <x:v>0</x:v>
      </x:c>
      <x:c r="AH36" s="74" t="str">
        <x:v>0</x:v>
      </x:c>
      <x:c r="AI36" s="74" t="str">
        <x:v>0</x:v>
      </x:c>
      <x:c r="AJ36" s="74" t="str">
        <x:v>0</x:v>
      </x:c>
      <x:c r="AK36" s="74" t="str">
        <x:v>0</x:v>
      </x:c>
      <x:c r="AL36" s="74" t="str">
        <x:v>1</x:v>
      </x:c>
      <x:c r="AM36" s="74" t="str">
        <x:v>1</x:v>
      </x:c>
      <x:c r="AN36" s="74" t="str">
        <x:v>0</x:v>
      </x:c>
      <x:c r="AO36" s="60" t="str">
        <x:v>2026</x:v>
      </x:c>
      <x:c r="AP36" s="76" t="str">
        <x:v>Meta tracking detected; no embedded homepage video found</x:v>
      </x:c>
      <x:c r="AQ36" s="76" t="str">
        <x:v>Meta Pixel; Google Ads tag; no embedded homepage video detected</x:v>
      </x:c>
      <x:c r="AR36" s="76" t="str">
        <x:v>I noticed J &amp; J Air's site has Meta tracking installed, but I couldn't find an embedded video on the homepage.</x:v>
      </x:c>
      <x:c r="AS36" s="76" t="str">
        <x:v>no-cool-call to same-day comfort ad</x:v>
      </x:c>
      <x:c r="AT36" s="76" t="str">
        <x:v>J &amp; J Air ad concept</x:v>
      </x:c>
      <x:c r="AU36" s="76" t="str">
        <x:v>Hi Jeremy — I noticed J &amp; J Air's site has Meta tracking installed, but I couldn't find an embedded video on the homepage. I mapped a private 15-second no-cool-call to same-day comfort ad for J &amp; J Air using only public brand context—not for publishing, just to show the angle. We build three client-approved video ad concepts in seven days, then turn the winners into fresh variations. No filming day required. Worth sending the private sample?</x:v>
      </x:c>
      <x:c r="AV36" s="76" t="str">
        <x:v>Quick follow-up: the sample angle is a no-cool-call to same-day comfort ad. If it misses the mark, no problem—I won't keep chasing. Should I send it?</x:v>
      </x:c>
      <x:c r="AW36" s="76" t="str">
        <x:v>Hi Jeremy, Ryan here. I was looking at J &amp; J Air's public marketing and noticed: meta tracking detected; no embedded homepage video found. I mapped one private no-cool-call to same-day comfort ad as an example. Did I catch you with 30 seconds?</x:v>
      </x:c>
      <x:c r="AX36" s="60" t="str">
        <x:v>https://www.facebook.com/ads/library/?active_status=active&amp;ad_type=all&amp;country=US&amp;q=J%20%26%20J%20Air&amp;search_type=keyword_unordered</x:v>
      </x:c>
      <x:c r="AY36" s="60" t="str">
        <x:v>ok:200</x:v>
      </x:c>
      <x:c r="AZ36" s="60" t="n">
        <x:v>46232.722858796296</x:v>
      </x:c>
      <x:c r="BA36" s="60" t="str">
        <x:v>AI Ark SC trades export</x:v>
      </x:c>
      <x:c r="BB36" s="60" t="str">
        <x:v>https://jandjair.com | https://www.linkedin.com/company/j-&amp;-j-air</x:v>
      </x:c>
      <x:c r="BC36" s="60" t="str"/>
    </x:row>
    <x:row r="37" ht="18" customHeight="1">
      <x:c r="A37" s="70" t="str">
        <x:v>36</x:v>
      </x:c>
      <x:c r="B37" s="70" t="str">
        <x:v>A - Layup</x:v>
      </x:c>
      <x:c r="C37" s="72" t="str">
        <x:v>77</x:v>
      </x:c>
      <x:c r="D37" s="60" t="str">
        <x:v>Integrity Wood Care</x:v>
      </x:c>
      <x:c r="E37" s="60" t="str">
        <x:v>https://integritywoodcare.com</x:v>
      </x:c>
      <x:c r="F37" s="60" t="str">
        <x:v>https://integritywoodcare.com</x:v>
      </x:c>
      <x:c r="G37" s="60" t="str">
        <x:v>Greer</x:v>
      </x:c>
      <x:c r="H37" s="60" t="str">
        <x:v>South Carolina</x:v>
      </x:c>
      <x:c r="I37" s="60" t="str">
        <x:v>Fence &amp; Deck</x:v>
      </x:c>
      <x:c r="J37" s="60" t="str">
        <x:v>Michael</x:v>
      </x:c>
      <x:c r="K37" s="60" t="str">
        <x:v>Griffin</x:v>
      </x:c>
      <x:c r="L37" s="60" t="str">
        <x:v>Business Owner</x:v>
      </x:c>
      <x:c r="M37" s="60" t="str">
        <x:v>michael@integritywoodcare.com</x:v>
      </x:c>
      <x:c r="N37" s="60" t="str">
        <x:v>Verified with BounceBan on 08 Jun 26 12:06</x:v>
      </x:c>
      <x:c r="O37" s="60" t="str">
        <x:v>+1 843 618 1751</x:v>
      </x:c>
      <x:c r="P37" s="60" t="str">
        <x:v>https://www.linkedin.com/in/michaelgriffin86</x:v>
      </x:c>
      <x:c r="Q37" s="60" t="str">
        <x:v>0-1</x:v>
      </x:c>
      <x:c r="R37" s="60" t="str">
        <x:v>0-99999</x:v>
      </x:c>
      <x:c r="S37" s="60" t="str"/>
      <x:c r="T37" s="74" t="str">
        <x:v>0</x:v>
      </x:c>
      <x:c r="U37" s="60" t="str"/>
      <x:c r="V37" s="74" t="str">
        <x:v>18</x:v>
      </x:c>
      <x:c r="W37" s="74" t="str">
        <x:v>25</x:v>
      </x:c>
      <x:c r="X37" s="74" t="str">
        <x:v>12</x:v>
      </x:c>
      <x:c r="Y37" s="74" t="str">
        <x:v>12</x:v>
      </x:c>
      <x:c r="Z37" s="74" t="str">
        <x:v>10</x:v>
      </x:c>
      <x:c r="AA37" s="74" t="str">
        <x:v>1</x:v>
      </x:c>
      <x:c r="AB37" s="74" t="str">
        <x:v>1</x:v>
      </x:c>
      <x:c r="AC37" s="74" t="str">
        <x:v>1</x:v>
      </x:c>
      <x:c r="AD37" s="74" t="str">
        <x:v>0</x:v>
      </x:c>
      <x:c r="AE37" s="74" t="str">
        <x:v>0</x:v>
      </x:c>
      <x:c r="AF37" s="74" t="str"/>
      <x:c r="AG37" s="74" t="str">
        <x:v>0</x:v>
      </x:c>
      <x:c r="AH37" s="74" t="str">
        <x:v>1</x:v>
      </x:c>
      <x:c r="AI37" s="74" t="str">
        <x:v>1</x:v>
      </x:c>
      <x:c r="AJ37" s="74" t="str">
        <x:v>0</x:v>
      </x:c>
      <x:c r="AK37" s="74" t="str">
        <x:v>1</x:v>
      </x:c>
      <x:c r="AL37" s="74" t="str">
        <x:v>1</x:v>
      </x:c>
      <x:c r="AM37" s="74" t="str">
        <x:v>1</x:v>
      </x:c>
      <x:c r="AN37" s="74" t="str">
        <x:v>0</x:v>
      </x:c>
      <x:c r="AO37" s="60" t="str">
        <x:v>2026</x:v>
      </x:c>
      <x:c r="AP37" s="76" t="str">
        <x:v>Meta tracking detected; no embedded homepage video found</x:v>
      </x:c>
      <x:c r="AQ37" s="76" t="str">
        <x:v>Meta Pixel; Google Ads tag; project/gallery proof; testimonials; visible service offer; no embedded homepage video detected</x:v>
      </x:c>
      <x:c r="AR37" s="76" t="str">
        <x:v>I noticed Integrity Wood Care's site has Meta tracking installed, but I couldn't find an embedded video on the homepage.</x:v>
      </x:c>
      <x:c r="AS37" s="76" t="str">
        <x:v>yard privacy transformation ad</x:v>
      </x:c>
      <x:c r="AT37" s="76" t="str">
        <x:v>Integrity Wood Care ad concept</x:v>
      </x:c>
      <x:c r="AU37" s="76" t="str">
        <x:v>Hi Michael — I noticed Integrity Wood Care's site has Meta tracking installed, but I couldn't find an embedded video on the homepage. I mapped a private 15-second yard privacy transformation ad for Integrity Wood Care using only public brand context—not for publishing, just to show the angle. We build three client-approved video ad concepts in seven days, then turn the winners into fresh variations. No filming day required. Worth sending the private sample?</x:v>
      </x:c>
      <x:c r="AV37" s="76" t="str">
        <x:v>Quick follow-up: the sample angle is a yard privacy transformation ad. If it misses the mark, no problem—I won't keep chasing. Should I send it?</x:v>
      </x:c>
      <x:c r="AW37" s="76" t="str">
        <x:v>Hi Michael, Ryan here. I was looking at Integrity Wood Care's public marketing and noticed: meta tracking detected; no embedded homepage video found. I mapped one private yard privacy transformation ad as an example. Did I catch you with 30 seconds?</x:v>
      </x:c>
      <x:c r="AX37" s="60" t="str">
        <x:v>https://www.facebook.com/ads/library/?active_status=active&amp;ad_type=all&amp;country=US&amp;q=Integrity%20Wood%20Care&amp;search_type=keyword_unordered</x:v>
      </x:c>
      <x:c r="AY37" s="60" t="str">
        <x:v>ok:200</x:v>
      </x:c>
      <x:c r="AZ37" s="60" t="n">
        <x:v>46232.722858796296</x:v>
      </x:c>
      <x:c r="BA37" s="60" t="str">
        <x:v>AI Ark SC trades export</x:v>
      </x:c>
      <x:c r="BB37" s="60" t="str">
        <x:v>https://integritywoodcare.com | https://www.linkedin.com/company/integrity-wood-care</x:v>
      </x:c>
      <x:c r="BC37" s="60" t="str"/>
    </x:row>
    <x:row r="38" ht="18" customHeight="1">
      <x:c r="A38" s="70" t="str">
        <x:v>37</x:v>
      </x:c>
      <x:c r="B38" s="70" t="str">
        <x:v>A - Layup</x:v>
      </x:c>
      <x:c r="C38" s="72" t="str">
        <x:v>77</x:v>
      </x:c>
      <x:c r="D38" s="60" t="str">
        <x:v>Flooring Contractor</x:v>
      </x:c>
      <x:c r="E38" s="60" t="str">
        <x:v>https://floors4lesstx.com</x:v>
      </x:c>
      <x:c r="F38" s="60" t="str">
        <x:v>https://floors4lesstx.com</x:v>
      </x:c>
      <x:c r="G38" s="60" t="str">
        <x:v>Greater Myrtle Beach Area</x:v>
      </x:c>
      <x:c r="H38" s="60" t="str"/>
      <x:c r="I38" s="60" t="str">
        <x:v>Flooring</x:v>
      </x:c>
      <x:c r="J38" s="60" t="str">
        <x:v>Edward</x:v>
      </x:c>
      <x:c r="K38" s="60" t="str">
        <x:v>mills</x:v>
      </x:c>
      <x:c r="L38" s="60" t="str">
        <x:v>Owner</x:v>
      </x:c>
      <x:c r="M38" s="60" t="str"/>
      <x:c r="N38" s="60" t="str"/>
      <x:c r="O38" s="60" t="str">
        <x:v>+1 214 872 4422</x:v>
      </x:c>
      <x:c r="P38" s="60" t="str">
        <x:v>https://www.linkedin.com/in/edward-mills-5b8b51181</x:v>
      </x:c>
      <x:c r="Q38" s="60" t="str">
        <x:v>51-200</x:v>
      </x:c>
      <x:c r="R38" s="60" t="str">
        <x:v>1000000-4999999</x:v>
      </x:c>
      <x:c r="S38" s="60" t="str"/>
      <x:c r="T38" s="74" t="str">
        <x:v>0</x:v>
      </x:c>
      <x:c r="U38" s="60" t="str"/>
      <x:c r="V38" s="74" t="str">
        <x:v>30</x:v>
      </x:c>
      <x:c r="W38" s="74" t="str">
        <x:v>15</x:v>
      </x:c>
      <x:c r="X38" s="74" t="str">
        <x:v>16</x:v>
      </x:c>
      <x:c r="Y38" s="74" t="str">
        <x:v>11</x:v>
      </x:c>
      <x:c r="Z38" s="74" t="str">
        <x:v>5</x:v>
      </x:c>
      <x:c r="AA38" s="74" t="str">
        <x:v>1</x:v>
      </x:c>
      <x:c r="AB38" s="74" t="str">
        <x:v>0</x:v>
      </x:c>
      <x:c r="AC38" s="74" t="str">
        <x:v>1</x:v>
      </x:c>
      <x:c r="AD38" s="74" t="str">
        <x:v>0</x:v>
      </x:c>
      <x:c r="AE38" s="74" t="str">
        <x:v>0</x:v>
      </x:c>
      <x:c r="AF38" s="74" t="str"/>
      <x:c r="AG38" s="74" t="str">
        <x:v>0</x:v>
      </x:c>
      <x:c r="AH38" s="74" t="str">
        <x:v>1</x:v>
      </x:c>
      <x:c r="AI38" s="74" t="str">
        <x:v>0</x:v>
      </x:c>
      <x:c r="AJ38" s="74" t="str">
        <x:v>1</x:v>
      </x:c>
      <x:c r="AK38" s="74" t="str">
        <x:v>1</x:v>
      </x:c>
      <x:c r="AL38" s="74" t="str">
        <x:v>0</x:v>
      </x:c>
      <x:c r="AM38" s="74" t="str">
        <x:v>1</x:v>
      </x:c>
      <x:c r="AN38" s="74" t="str">
        <x:v>0</x:v>
      </x:c>
      <x:c r="AO38" s="60" t="str">
        <x:v>2026</x:v>
      </x:c>
      <x:c r="AP38" s="76" t="str">
        <x:v>Meta tracking detected; no embedded homepage video found</x:v>
      </x:c>
      <x:c r="AQ38" s="76" t="str">
        <x:v>Meta Pixel; project/gallery proof; financing; visible service offer; no embedded homepage video detected</x:v>
      </x:c>
      <x:c r="AR38" s="76" t="str">
        <x:v>I noticed Flooring Contractor's site has Meta tracking installed, but I couldn't find an embedded video on the homepage.</x:v>
      </x:c>
      <x:c r="AS38" s="76" t="str">
        <x:v>room transformation before/after ad</x:v>
      </x:c>
      <x:c r="AT38" s="76" t="str">
        <x:v>Flooring Contractor ad concept</x:v>
      </x:c>
      <x:c r="AU38" s="76" t="str">
        <x:v>Hi Edward — I noticed Flooring Contractor's site has Meta tracking installed, but I couldn't find an embedded video on the homepage. I mapped a private 15-second room transformation before/after ad for Flooring Contractor using only public brand context—not for publishing, just to show the angle. We build three client-approved video ad concepts in seven days, then turn the winners into fresh variations. No filming day required. Worth sending the private sample?</x:v>
      </x:c>
      <x:c r="AV38" s="76" t="str">
        <x:v>Quick follow-up: the sample angle is a room transformation before/after ad. If it misses the mark, no problem—I won't keep chasing. Should I send it?</x:v>
      </x:c>
      <x:c r="AW38" s="76" t="str">
        <x:v>Hi Edward, Ryan here. I was looking at Flooring Contractor's public marketing and noticed: meta tracking detected; no embedded homepage video found. I mapped one private room transformation before/after ad as an example. Did I catch you with 30 seconds?</x:v>
      </x:c>
      <x:c r="AX38" s="60" t="str">
        <x:v>https://www.facebook.com/ads/library/?active_status=active&amp;ad_type=all&amp;country=US&amp;q=Flooring%20Contractor&amp;search_type=keyword_unordered</x:v>
      </x:c>
      <x:c r="AY38" s="60" t="str">
        <x:v>ok:200</x:v>
      </x:c>
      <x:c r="AZ38" s="60" t="n">
        <x:v>46232.722858796296</x:v>
      </x:c>
      <x:c r="BA38" s="60" t="str">
        <x:v>AI Ark SC trades export</x:v>
      </x:c>
      <x:c r="BB38" s="60" t="str">
        <x:v>https://floors4lesstx.com | https://www.linkedin.com/company/flooring-contractor</x:v>
      </x:c>
      <x:c r="BC38" s="60" t="str"/>
    </x:row>
    <x:row r="39" ht="18" customHeight="1">
      <x:c r="A39" s="70" t="str">
        <x:v>38</x:v>
      </x:c>
      <x:c r="B39" s="70" t="str">
        <x:v>A - Layup</x:v>
      </x:c>
      <x:c r="C39" s="72" t="str">
        <x:v>77</x:v>
      </x:c>
      <x:c r="D39" s="60" t="str">
        <x:v>First Class Heating &amp; Air</x:v>
      </x:c>
      <x:c r="E39" s="60" t="str">
        <x:v>https://firstclasshomeservices.com</x:v>
      </x:c>
      <x:c r="F39" s="60" t="str">
        <x:v>https://www.firstclasshomeservices.com/</x:v>
      </x:c>
      <x:c r="G39" s="60" t="str">
        <x:v>Greenville</x:v>
      </x:c>
      <x:c r="H39" s="60" t="str">
        <x:v>South Carolina</x:v>
      </x:c>
      <x:c r="I39" s="60" t="str">
        <x:v>HVAC</x:v>
      </x:c>
      <x:c r="J39" s="60" t="str">
        <x:v>First Class Heating &amp; Air</x:v>
      </x:c>
      <x:c r="K39" s="60" t="str"/>
      <x:c r="L39" s="60" t="str">
        <x:v>Owner / decision maker to verify</x:v>
      </x:c>
      <x:c r="M39" s="60" t="str"/>
      <x:c r="N39" s="60" t="str"/>
      <x:c r="O39" s="60" t="str">
        <x:v>(864) 210-4504</x:v>
      </x:c>
      <x:c r="P39" s="60" t="str"/>
      <x:c r="Q39" s="60" t="str"/>
      <x:c r="R39" s="60" t="str"/>
      <x:c r="S39" s="60" t="str">
        <x:v>5</x:v>
      </x:c>
      <x:c r="T39" s="74" t="str">
        <x:v>136</x:v>
      </x:c>
      <x:c r="U39" s="60" t="str"/>
      <x:c r="V39" s="74" t="str">
        <x:v>28</x:v>
      </x:c>
      <x:c r="W39" s="74" t="str">
        <x:v>13</x:v>
      </x:c>
      <x:c r="X39" s="74" t="str">
        <x:v>16</x:v>
      </x:c>
      <x:c r="Y39" s="74" t="str">
        <x:v>15</x:v>
      </x:c>
      <x:c r="Z39" s="74" t="str">
        <x:v>5</x:v>
      </x:c>
      <x:c r="AA39" s="74" t="str">
        <x:v>0</x:v>
      </x:c>
      <x:c r="AB39" s="74" t="str">
        <x:v>1</x:v>
      </x:c>
      <x:c r="AC39" s="74" t="str">
        <x:v>1</x:v>
      </x:c>
      <x:c r="AD39" s="74" t="str">
        <x:v>0</x:v>
      </x:c>
      <x:c r="AE39" s="74" t="str">
        <x:v>0</x:v>
      </x:c>
      <x:c r="AF39" s="74" t="str"/>
      <x:c r="AG39" s="74" t="str">
        <x:v>0</x:v>
      </x:c>
      <x:c r="AH39" s="74" t="str">
        <x:v>1</x:v>
      </x:c>
      <x:c r="AI39" s="74" t="str">
        <x:v>1</x:v>
      </x:c>
      <x:c r="AJ39" s="74" t="str">
        <x:v>1</x:v>
      </x:c>
      <x:c r="AK39" s="74" t="str">
        <x:v>1</x:v>
      </x:c>
      <x:c r="AL39" s="74" t="str">
        <x:v>0</x:v>
      </x:c>
      <x:c r="AM39" s="74" t="str">
        <x:v>1</x:v>
      </x:c>
      <x:c r="AN39" s="74" t="str">
        <x:v>0</x:v>
      </x:c>
      <x:c r="AO39" s="60" t="str">
        <x:v>2026</x:v>
      </x:c>
      <x:c r="AP39" s="76" t="str">
        <x:v>Google Ads tag detected; no embedded homepage video found</x:v>
      </x:c>
      <x:c r="AQ39" s="76" t="str">
        <x:v>Google Ads tag; project/gallery proof; testimonials; financing; visible service offer; no embedded homepage video detected</x:v>
      </x:c>
      <x:c r="AR39" s="76" t="str">
        <x:v>I noticed First Class Heating &amp; Air's site has a Google Ads tag installed, but I couldn't find an embedded video on the homepage.</x:v>
      </x:c>
      <x:c r="AS39" s="76" t="str">
        <x:v>no-cool-call to same-day comfort ad</x:v>
      </x:c>
      <x:c r="AT39" s="76" t="str">
        <x:v>First Class Heating &amp; Air ad concept</x:v>
      </x:c>
      <x:c r="AU39" s="76" t="str">
        <x:v>Hi First Class Heating &amp; Air — I noticed First Class Heating &amp; Air's site has a Google Ads tag installed, but I couldn't find an embedded video on the homepage. I mapped a private 15-second no-cool-call to same-day comfort ad for First Class Heating &amp; Air using only public brand context—not for publishing, just to show the angle. We build three client-approved video ad concepts in seven days, then turn the winners into fresh variations. No filming day required. Worth sending the private sample?</x:v>
      </x:c>
      <x:c r="AV39" s="76" t="str">
        <x:v>Quick follow-up: the sample angle is a no-cool-call to same-day comfort ad. If it misses the mark, no problem—I won't keep chasing. Should I send it?</x:v>
      </x:c>
      <x:c r="AW39" s="76" t="str">
        <x:v>Hi First Class Heating &amp; Air, Ryan here. I was looking at First Class Heating &amp; Air's public marketing and noticed: google ads tag detected; no embedded homepage video found. I mapped one private no-cool-call to same-day comfort ad as an example. Did I catch you with 30 seconds?</x:v>
      </x:c>
      <x:c r="AX39" s="60" t="str">
        <x:v>https://www.facebook.com/ads/library/?active_status=active&amp;ad_type=all&amp;country=US&amp;q=First%20Class%20Heating%20%26%20Air&amp;search_type=keyword_unordered</x:v>
      </x:c>
      <x:c r="AY39" s="60" t="str">
        <x:v>ok:200</x:v>
      </x:c>
      <x:c r="AZ39" s="60" t="n">
        <x:v>46232.722858796296</x:v>
      </x:c>
      <x:c r="BA39" s="60" t="str">
        <x:v>Google Maps home-services export</x:v>
      </x:c>
      <x:c r="BB39" s="60" t="str">
        <x:v>https://firstclasshomeservices.com | https://maps.google.com/?cid=1351412183466083061&amp;g_mp=Cidnb29nbGUubWFwcy5wbGFjZXMudjEuUGxhY2VzLlNlYXJjaFRleHQQAhgEIAA</x:v>
      </x:c>
      <x:c r="BC39" s="60" t="str"/>
    </x:row>
    <x:row r="40" ht="18" customHeight="1">
      <x:c r="A40" s="70" t="str">
        <x:v>39</x:v>
      </x:c>
      <x:c r="B40" s="70" t="str">
        <x:v>A - Layup</x:v>
      </x:c>
      <x:c r="C40" s="72" t="str">
        <x:v>77</x:v>
      </x:c>
      <x:c r="D40" s="60" t="str">
        <x:v>Cola City Roofing</x:v>
      </x:c>
      <x:c r="E40" s="60" t="str">
        <x:v>https://colacityroofing.com</x:v>
      </x:c>
      <x:c r="F40" s="60" t="str">
        <x:v>https://colacityroofing.com</x:v>
      </x:c>
      <x:c r="G40" s="60" t="str">
        <x:v>Columbia</x:v>
      </x:c>
      <x:c r="H40" s="60" t="str">
        <x:v>South Carolina</x:v>
      </x:c>
      <x:c r="I40" s="60" t="str">
        <x:v>Roofing</x:v>
      </x:c>
      <x:c r="J40" s="60" t="str">
        <x:v>Cola City Roofing</x:v>
      </x:c>
      <x:c r="K40" s="60" t="str"/>
      <x:c r="L40" s="60" t="str">
        <x:v>Owner / decision maker to verify</x:v>
      </x:c>
      <x:c r="M40" s="60" t="str"/>
      <x:c r="N40" s="60" t="str"/>
      <x:c r="O40" s="60" t="str">
        <x:v>(803) 734-3700</x:v>
      </x:c>
      <x:c r="P40" s="60" t="str"/>
      <x:c r="Q40" s="60" t="str"/>
      <x:c r="R40" s="60" t="str"/>
      <x:c r="S40" s="60" t="str">
        <x:v>5</x:v>
      </x:c>
      <x:c r="T40" s="74" t="str">
        <x:v>120</x:v>
      </x:c>
      <x:c r="U40" s="60" t="str"/>
      <x:c r="V40" s="74" t="str">
        <x:v>29</x:v>
      </x:c>
      <x:c r="W40" s="74" t="str">
        <x:v>13</x:v>
      </x:c>
      <x:c r="X40" s="74" t="str">
        <x:v>16</x:v>
      </x:c>
      <x:c r="Y40" s="74" t="str">
        <x:v>14</x:v>
      </x:c>
      <x:c r="Z40" s="74" t="str">
        <x:v>5</x:v>
      </x:c>
      <x:c r="AA40" s="74" t="str">
        <x:v>0</x:v>
      </x:c>
      <x:c r="AB40" s="74" t="str">
        <x:v>1</x:v>
      </x:c>
      <x:c r="AC40" s="74" t="str">
        <x:v>1</x:v>
      </x:c>
      <x:c r="AD40" s="74" t="str">
        <x:v>0</x:v>
      </x:c>
      <x:c r="AE40" s="74" t="str">
        <x:v>0</x:v>
      </x:c>
      <x:c r="AF40" s="74" t="str"/>
      <x:c r="AG40" s="74" t="str">
        <x:v>0</x:v>
      </x:c>
      <x:c r="AH40" s="74" t="str">
        <x:v>1</x:v>
      </x:c>
      <x:c r="AI40" s="74" t="str">
        <x:v>0</x:v>
      </x:c>
      <x:c r="AJ40" s="74" t="str">
        <x:v>1</x:v>
      </x:c>
      <x:c r="AK40" s="74" t="str">
        <x:v>1</x:v>
      </x:c>
      <x:c r="AL40" s="74" t="str">
        <x:v>0</x:v>
      </x:c>
      <x:c r="AM40" s="74" t="str">
        <x:v>0</x:v>
      </x:c>
      <x:c r="AN40" s="74" t="str">
        <x:v>0</x:v>
      </x:c>
      <x:c r="AO40" s="60" t="str">
        <x:v>2026</x:v>
      </x:c>
      <x:c r="AP40" s="76" t="str">
        <x:v>Google Ads tag detected; no embedded homepage video found</x:v>
      </x:c>
      <x:c r="AQ40" s="76" t="str">
        <x:v>Google Ads tag; project/gallery proof; financing; visible service offer; no embedded homepage video detected</x:v>
      </x:c>
      <x:c r="AR40" s="76" t="str">
        <x:v>I noticed Cola City Roofing's site has a Google Ads tag installed, but I couldn't find an embedded video on the homepage.</x:v>
      </x:c>
      <x:c r="AS40" s="76" t="str">
        <x:v>storm-to-inspection before/after ad</x:v>
      </x:c>
      <x:c r="AT40" s="76" t="str">
        <x:v>Cola City Roofing ad concept</x:v>
      </x:c>
      <x:c r="AU40" s="76" t="str">
        <x:v>Hi Cola City Roofing — I noticed Cola City Roofing's site has a Google Ads tag installed, but I couldn't find an embedded video on the homepage. I mapped a private 15-second storm-to-inspection before/after ad for Cola City Roofing using only public brand context—not for publishing, just to show the angle. We build three client-approved video ad concepts in seven days, then turn the winners into fresh variations. No filming day required. Worth sending the private sample?</x:v>
      </x:c>
      <x:c r="AV40" s="76" t="str">
        <x:v>Quick follow-up: the sample angle is a storm-to-inspection before/after ad. If it misses the mark, no problem—I won't keep chasing. Should I send it?</x:v>
      </x:c>
      <x:c r="AW40" s="76" t="str">
        <x:v>Hi Cola City Roofing, Ryan here. I was looking at Cola City Roofing's public marketing and noticed: google ads tag detected; no embedded homepage video found. I mapped one private storm-to-inspection before/after ad as an example. Did I catch you with 30 seconds?</x:v>
      </x:c>
      <x:c r="AX40" s="60" t="str">
        <x:v>https://www.facebook.com/ads/library/?active_status=active&amp;ad_type=all&amp;country=US&amp;q=Cola%20City%20Roofing&amp;search_type=keyword_unordered</x:v>
      </x:c>
      <x:c r="AY40" s="60" t="str">
        <x:v>ok:200</x:v>
      </x:c>
      <x:c r="AZ40" s="60" t="n">
        <x:v>46232.722858796296</x:v>
      </x:c>
      <x:c r="BA40" s="60" t="str">
        <x:v>Google Maps home-services export</x:v>
      </x:c>
      <x:c r="BB40" s="60" t="str">
        <x:v>https://colacityroofing.com | https://maps.google.com/?cid=6787216878190199219&amp;g_mp=Cidnb29nbGUubWFwcy5wbGFjZXMudjEuUGxhY2VzLlNlYXJjaFRleHQQAhgEIAA</x:v>
      </x:c>
      <x:c r="BC40" s="60" t="str"/>
    </x:row>
    <x:row r="41" ht="18" customHeight="1">
      <x:c r="A41" s="70" t="str">
        <x:v>40</x:v>
      </x:c>
      <x:c r="B41" s="70" t="str">
        <x:v>A - Layup</x:v>
      </x:c>
      <x:c r="C41" s="72" t="str">
        <x:v>77</x:v>
      </x:c>
      <x:c r="D41" s="60" t="str">
        <x:v>Slab Science</x:v>
      </x:c>
      <x:c r="E41" s="60" t="str">
        <x:v>https://slabscience.com</x:v>
      </x:c>
      <x:c r="F41" s="60" t="str">
        <x:v>https://slabscience.com</x:v>
      </x:c>
      <x:c r="G41" s="60" t="str">
        <x:v>Greenville-spartanburg-anderson</x:v>
      </x:c>
      <x:c r="H41" s="60" t="str">
        <x:v>South Carolina Area</x:v>
      </x:c>
      <x:c r="I41" s="60" t="str">
        <x:v>Foundation &amp; Waterproofing</x:v>
      </x:c>
      <x:c r="J41" s="60" t="str">
        <x:v>Caleb</x:v>
      </x:c>
      <x:c r="K41" s="60" t="str">
        <x:v>Childers</x:v>
      </x:c>
      <x:c r="L41" s="60" t="str">
        <x:v>Managing Owner</x:v>
      </x:c>
      <x:c r="M41" s="60" t="str">
        <x:v>caleb@slabscience.com</x:v>
      </x:c>
      <x:c r="N41" s="60" t="str">
        <x:v>Verified with BounceBan on 08 Jun 26 12:06</x:v>
      </x:c>
      <x:c r="O41" s="60" t="str"/>
      <x:c r="P41" s="60" t="str">
        <x:v>https://www.linkedin.com/in/caleb-childers-657944266</x:v>
      </x:c>
      <x:c r="Q41" s="60" t="str">
        <x:v>2-10</x:v>
      </x:c>
      <x:c r="R41" s="60" t="str">
        <x:v>0-99999</x:v>
      </x:c>
      <x:c r="S41" s="60" t="str"/>
      <x:c r="T41" s="74" t="str">
        <x:v>0</x:v>
      </x:c>
      <x:c r="U41" s="60" t="str"/>
      <x:c r="V41" s="74" t="str">
        <x:v>26</x:v>
      </x:c>
      <x:c r="W41" s="74" t="str">
        <x:v>13</x:v>
      </x:c>
      <x:c r="X41" s="74" t="str">
        <x:v>19</x:v>
      </x:c>
      <x:c r="Y41" s="74" t="str">
        <x:v>12</x:v>
      </x:c>
      <x:c r="Z41" s="74" t="str">
        <x:v>7</x:v>
      </x:c>
      <x:c r="AA41" s="74" t="str">
        <x:v>0</x:v>
      </x:c>
      <x:c r="AB41" s="74" t="str">
        <x:v>1</x:v>
      </x:c>
      <x:c r="AC41" s="74" t="str">
        <x:v>1</x:v>
      </x:c>
      <x:c r="AD41" s="74" t="str">
        <x:v>0</x:v>
      </x:c>
      <x:c r="AE41" s="74" t="str">
        <x:v>0</x:v>
      </x:c>
      <x:c r="AF41" s="74" t="str"/>
      <x:c r="AG41" s="74" t="str">
        <x:v>0</x:v>
      </x:c>
      <x:c r="AH41" s="74" t="str">
        <x:v>1</x:v>
      </x:c>
      <x:c r="AI41" s="74" t="str">
        <x:v>1</x:v>
      </x:c>
      <x:c r="AJ41" s="74" t="str">
        <x:v>0</x:v>
      </x:c>
      <x:c r="AK41" s="74" t="str">
        <x:v>1</x:v>
      </x:c>
      <x:c r="AL41" s="74" t="str">
        <x:v>0</x:v>
      </x:c>
      <x:c r="AM41" s="74" t="str">
        <x:v>1</x:v>
      </x:c>
      <x:c r="AN41" s="74" t="str">
        <x:v>0</x:v>
      </x:c>
      <x:c r="AO41" s="60" t="str">
        <x:v>2015</x:v>
      </x:c>
      <x:c r="AP41" s="76" t="str">
        <x:v>Google Ads tag detected; no embedded homepage video found</x:v>
      </x:c>
      <x:c r="AQ41" s="76" t="str">
        <x:v>Google Ads tag; project/gallery proof; testimonials; visible service offer; no embedded homepage video detected</x:v>
      </x:c>
      <x:c r="AR41" s="76" t="str">
        <x:v>I noticed Slab Science's site has a Google Ads tag installed, but I couldn't find an embedded video on the homepage.</x:v>
      </x:c>
      <x:c r="AS41" s="76" t="str">
        <x:v>visible-warning-signs inspection ad</x:v>
      </x:c>
      <x:c r="AT41" s="76" t="str">
        <x:v>Slab Science ad concept</x:v>
      </x:c>
      <x:c r="AU41" s="76" t="str">
        <x:v>Hi Caleb — I noticed Slab Science's site has a Google Ads tag installed, but I couldn't find an embedded video on the homepage. I mapped a private 15-second visible-warning-signs inspection ad for Slab Science using only public brand context—not for publishing, just to show the angle. We build three client-approved video ad concepts in seven days, then turn the winners into fresh variations. No filming day required. Worth sending the private sample?</x:v>
      </x:c>
      <x:c r="AV41" s="76" t="str">
        <x:v>Quick follow-up: the sample angle is a visible-warning-signs inspection ad. If it misses the mark, no problem—I won't keep chasing. Should I send it?</x:v>
      </x:c>
      <x:c r="AW41" s="76" t="str">
        <x:v>Hi Caleb, Ryan here. I was looking at Slab Science's public marketing and noticed: google ads tag detected; no embedded homepage video found. I mapped one private visible-warning-signs inspection ad as an example. Did I catch you with 30 seconds?</x:v>
      </x:c>
      <x:c r="AX41" s="60" t="str">
        <x:v>https://www.facebook.com/ads/library/?active_status=active&amp;ad_type=all&amp;country=US&amp;q=Slab%20Science&amp;search_type=keyword_unordered</x:v>
      </x:c>
      <x:c r="AY41" s="60" t="str">
        <x:v>ok:200</x:v>
      </x:c>
      <x:c r="AZ41" s="60" t="n">
        <x:v>46232.722858796296</x:v>
      </x:c>
      <x:c r="BA41" s="60" t="str">
        <x:v>AI Ark SC trades export</x:v>
      </x:c>
      <x:c r="BB41" s="60" t="str">
        <x:v>https://slabscience.com | https://www.linkedin.com/company/slab-science</x:v>
      </x:c>
      <x:c r="BC41" s="60" t="str"/>
    </x:row>
    <x:row r="42" ht="18" customHeight="1">
      <x:c r="A42" s="70" t="str">
        <x:v>41</x:v>
      </x:c>
      <x:c r="B42" s="70" t="str">
        <x:v>A - Layup</x:v>
      </x:c>
      <x:c r="C42" s="72" t="str">
        <x:v>76</x:v>
      </x:c>
      <x:c r="D42" s="60" t="str">
        <x:v>Alliance Roofing</x:v>
      </x:c>
      <x:c r="E42" s="60" t="str">
        <x:v>https://allianceroofingpros.com</x:v>
      </x:c>
      <x:c r="F42" s="60" t="str">
        <x:v>https://allianceroofingpros.com</x:v>
      </x:c>
      <x:c r="G42" s="60" t="str">
        <x:v>Hilton Head</x:v>
      </x:c>
      <x:c r="H42" s="60" t="str">
        <x:v>South Carolina</x:v>
      </x:c>
      <x:c r="I42" s="60" t="str">
        <x:v>Roofing</x:v>
      </x:c>
      <x:c r="J42" s="60" t="str">
        <x:v>Alliance Roofing</x:v>
      </x:c>
      <x:c r="K42" s="60" t="str"/>
      <x:c r="L42" s="60" t="str">
        <x:v>Owner / decision maker to verify</x:v>
      </x:c>
      <x:c r="M42" s="60" t="str"/>
      <x:c r="N42" s="60" t="str"/>
      <x:c r="O42" s="60" t="str">
        <x:v>(843) 689-9400</x:v>
      </x:c>
      <x:c r="P42" s="60" t="str"/>
      <x:c r="Q42" s="60" t="str"/>
      <x:c r="R42" s="60" t="str"/>
      <x:c r="S42" s="60" t="str">
        <x:v>4.9</x:v>
      </x:c>
      <x:c r="T42" s="74" t="str">
        <x:v>103</x:v>
      </x:c>
      <x:c r="U42" s="60" t="str"/>
      <x:c r="V42" s="74" t="str">
        <x:v>29</x:v>
      </x:c>
      <x:c r="W42" s="74" t="str">
        <x:v>30</x:v>
      </x:c>
      <x:c r="X42" s="74" t="str">
        <x:v>0</x:v>
      </x:c>
      <x:c r="Y42" s="74" t="str">
        <x:v>12</x:v>
      </x:c>
      <x:c r="Z42" s="74" t="str">
        <x:v>5</x:v>
      </x:c>
      <x:c r="AA42" s="74" t="str">
        <x:v>1</x:v>
      </x:c>
      <x:c r="AB42" s="74" t="str">
        <x:v>1</x:v>
      </x:c>
      <x:c r="AC42" s="74" t="str">
        <x:v>1</x:v>
      </x:c>
      <x:c r="AD42" s="74" t="str">
        <x:v>0</x:v>
      </x:c>
      <x:c r="AE42" s="74" t="str">
        <x:v>1</x:v>
      </x:c>
      <x:c r="AF42" s="74" t="str">
        <x:v>jobber</x:v>
      </x:c>
      <x:c r="AG42" s="74" t="str">
        <x:v>1</x:v>
      </x:c>
      <x:c r="AH42" s="74" t="str">
        <x:v>1</x:v>
      </x:c>
      <x:c r="AI42" s="74" t="str">
        <x:v>1</x:v>
      </x:c>
      <x:c r="AJ42" s="74" t="str">
        <x:v>0</x:v>
      </x:c>
      <x:c r="AK42" s="74" t="str">
        <x:v>0</x:v>
      </x:c>
      <x:c r="AL42" s="74" t="str">
        <x:v>1</x:v>
      </x:c>
      <x:c r="AM42" s="74" t="str">
        <x:v>1</x:v>
      </x:c>
      <x:c r="AN42" s="74" t="str">
        <x:v>1</x:v>
      </x:c>
      <x:c r="AO42" s="60" t="str">
        <x:v>2025</x:v>
      </x:c>
      <x:c r="AP42" s="76" t="str">
        <x:v>Paid-demand technology detected; creative refresh hypothesis</x:v>
      </x:c>
      <x:c r="AQ42" s="76" t="str">
        <x:v>Meta Pixel; Google Ads tag; call tracking; project/gallery proof; testimonials</x:v>
      </x:c>
      <x:c r="AR42" s="76" t="str">
        <x:v>I was reviewing roofing companies in Hilton Head, South Carolina and Alliance Roofing looked like a strong fit for a creative test.</x:v>
      </x:c>
      <x:c r="AS42" s="76" t="str">
        <x:v>storm-to-inspection before/after ad</x:v>
      </x:c>
      <x:c r="AT42" s="76" t="str">
        <x:v>Alliance Roofing ad concept</x:v>
      </x:c>
      <x:c r="AU42" s="76" t="str">
        <x:v>Hi Alliance Roofing — I was reviewing roofing companies in Hilton Head, South Carolina and Alliance Roofing looked like a strong fit for a creative test. I mapped a private 15-second storm-to-inspection before/after ad for Alliance Roofing using only public brand context—not for publishing, just to show the angle. We build three client-approved video ad concepts in seven days, then turn the winners into fresh variations. No filming day required. Worth sending the private sample?</x:v>
      </x:c>
      <x:c r="AV42" s="76" t="str">
        <x:v>Quick follow-up: the sample angle is a storm-to-inspection before/after ad. If it misses the mark, no problem—I won't keep chasing. Should I send it?</x:v>
      </x:c>
      <x:c r="AW42" s="76" t="str">
        <x:v>Hi Alliance Roofing, Ryan here. I was looking at Alliance Roofing's public marketing and noticed: paid-demand technology detected; creative refresh hypothesis. I mapped one private storm-to-inspection before/after ad as an example. Did I catch you with 30 seconds?</x:v>
      </x:c>
      <x:c r="AX42" s="60" t="str">
        <x:v>https://www.facebook.com/ads/library/?active_status=active&amp;ad_type=all&amp;country=US&amp;q=Alliance%20Roofing&amp;search_type=keyword_unordered</x:v>
      </x:c>
      <x:c r="AY42" s="60" t="str">
        <x:v>ok:200</x:v>
      </x:c>
      <x:c r="AZ42" s="60" t="n">
        <x:v>46232.722858796296</x:v>
      </x:c>
      <x:c r="BA42" s="60" t="str">
        <x:v>Google Maps home-services export</x:v>
      </x:c>
      <x:c r="BB42" s="60" t="str">
        <x:v>https://allianceroofingpros.com | https://maps.google.com/?cid=9280864986104949233&amp;g_mp=Cidnb29nbGUubWFwcy5wbGFjZXMudjEuUGxhY2VzLlNlYXJjaFRleHQQAhgEIAA</x:v>
      </x:c>
      <x:c r="BC42" s="60" t="str"/>
    </x:row>
    <x:row r="43" ht="18" customHeight="1">
      <x:c r="A43" s="70" t="str">
        <x:v>42</x:v>
      </x:c>
      <x:c r="B43" s="70" t="str">
        <x:v>A - Layup</x:v>
      </x:c>
      <x:c r="C43" s="72" t="str">
        <x:v>76</x:v>
      </x:c>
      <x:c r="D43" s="60" t="str">
        <x:v>Access Garage Door Sales and Service</x:v>
      </x:c>
      <x:c r="E43" s="60" t="str">
        <x:v>https://garagedooraid.com</x:v>
      </x:c>
      <x:c r="F43" s="60" t="str">
        <x:v>https://garagedooraid.com</x:v>
      </x:c>
      <x:c r="G43" s="60" t="str">
        <x:v>Spartanburg</x:v>
      </x:c>
      <x:c r="H43" s="60" t="str">
        <x:v>South Carolina</x:v>
      </x:c>
      <x:c r="I43" s="60" t="str">
        <x:v>Garage Doors</x:v>
      </x:c>
      <x:c r="J43" s="60" t="str">
        <x:v>Access Garage Door Sales and Service</x:v>
      </x:c>
      <x:c r="K43" s="60" t="str"/>
      <x:c r="L43" s="60" t="str">
        <x:v>Owner / decision maker to verify</x:v>
      </x:c>
      <x:c r="M43" s="60" t="str"/>
      <x:c r="N43" s="60" t="str"/>
      <x:c r="O43" s="60" t="str">
        <x:v>(864) 585-8722</x:v>
      </x:c>
      <x:c r="P43" s="60" t="str"/>
      <x:c r="Q43" s="60" t="str"/>
      <x:c r="R43" s="60" t="str"/>
      <x:c r="S43" s="60" t="str">
        <x:v>4.7</x:v>
      </x:c>
      <x:c r="T43" s="74" t="str">
        <x:v>54</x:v>
      </x:c>
      <x:c r="U43" s="60" t="str"/>
      <x:c r="V43" s="74" t="str">
        <x:v>22</x:v>
      </x:c>
      <x:c r="W43" s="74" t="str">
        <x:v>28</x:v>
      </x:c>
      <x:c r="X43" s="74" t="str">
        <x:v>12</x:v>
      </x:c>
      <x:c r="Y43" s="74" t="str">
        <x:v>9</x:v>
      </x:c>
      <x:c r="Z43" s="74" t="str">
        <x:v>5</x:v>
      </x:c>
      <x:c r="AA43" s="74" t="str">
        <x:v>1</x:v>
      </x:c>
      <x:c r="AB43" s="74" t="str">
        <x:v>1</x:v>
      </x:c>
      <x:c r="AC43" s="74" t="str">
        <x:v>1</x:v>
      </x:c>
      <x:c r="AD43" s="74" t="str">
        <x:v>0</x:v>
      </x:c>
      <x:c r="AE43" s="74" t="str">
        <x:v>0</x:v>
      </x:c>
      <x:c r="AF43" s="74" t="str">
        <x:v>housecallpro</x:v>
      </x:c>
      <x:c r="AG43" s="74" t="str">
        <x:v>0</x:v>
      </x:c>
      <x:c r="AH43" s="74" t="str">
        <x:v>0</x:v>
      </x:c>
      <x:c r="AI43" s="74" t="str">
        <x:v>1</x:v>
      </x:c>
      <x:c r="AJ43" s="74" t="str">
        <x:v>0</x:v>
      </x:c>
      <x:c r="AK43" s="74" t="str">
        <x:v>1</x:v>
      </x:c>
      <x:c r="AL43" s="74" t="str">
        <x:v>1</x:v>
      </x:c>
      <x:c r="AM43" s="74" t="str">
        <x:v>1</x:v>
      </x:c>
      <x:c r="AN43" s="74" t="str">
        <x:v>1</x:v>
      </x:c>
      <x:c r="AO43" s="60" t="str">
        <x:v>2025</x:v>
      </x:c>
      <x:c r="AP43" s="76" t="str">
        <x:v>Meta tracking detected; no embedded homepage video found</x:v>
      </x:c>
      <x:c r="AQ43" s="76" t="str">
        <x:v>Meta Pixel; Google Ads tag; testimonials; visible service offer; no embedded homepage video detected</x:v>
      </x:c>
      <x:c r="AR43" s="76" t="str">
        <x:v>I noticed Access Garage Door Sales and Service's site has Meta tracking installed, but I couldn't find an embedded video on the homepage.</x:v>
      </x:c>
      <x:c r="AS43" s="76" t="str">
        <x:v>curb-appeal transformation ad</x:v>
      </x:c>
      <x:c r="AT43" s="76" t="str">
        <x:v>Access Garage Door Sales and Service ad concept</x:v>
      </x:c>
      <x:c r="AU43" s="76" t="str">
        <x:v>Hi Access Garage Door Sales and Service — I noticed Access Garage Door Sales and Service's site has Meta tracking installed, but I couldn't find an embedded video on the homepage. I mapped a private 15-second curb-appeal transformation ad for Access Garage Door Sales and Service using only public brand context—not for publishing, just to show the angle. We build three client-approved video ad concepts in seven days, then turn the winners into fresh variations. No filming day required. Worth sending the private sample?</x:v>
      </x:c>
      <x:c r="AV43" s="76" t="str">
        <x:v>Quick follow-up: the sample angle is a curb-appeal transformation ad. If it misses the mark, no problem—I won't keep chasing. Should I send it?</x:v>
      </x:c>
      <x:c r="AW43" s="76" t="str">
        <x:v>Hi Access Garage Door Sales and Service, Ryan here. I was looking at Access Garage Door Sales and Service's public marketing and noticed: meta tracking detected; no embedded homepage video found. I mapped one private curb-appeal transformation ad as an example. Did I catch you with 30 seconds?</x:v>
      </x:c>
      <x:c r="AX43" s="60" t="str">
        <x:v>https://www.facebook.com/ads/library/?active_status=active&amp;ad_type=all&amp;country=US&amp;q=Access%20Garage%20Door%20Sales%20and%20Service&amp;search_type=keyword_unordered</x:v>
      </x:c>
      <x:c r="AY43" s="60" t="str">
        <x:v>ok:200</x:v>
      </x:c>
      <x:c r="AZ43" s="60" t="n">
        <x:v>46232.722858796296</x:v>
      </x:c>
      <x:c r="BA43" s="60" t="str">
        <x:v>Google Maps home-services export</x:v>
      </x:c>
      <x:c r="BB43" s="60" t="str">
        <x:v>https://garagedooraid.com | https://maps.google.com/?cid=12316016742132275971&amp;g_mp=Cidnb29nbGUubWFwcy5wbGFjZXMudjEuUGxhY2VzLlNlYXJjaFRleHQQAhgEIAA</x:v>
      </x:c>
      <x:c r="BC43" s="60" t="str"/>
    </x:row>
    <x:row r="44" ht="18" customHeight="1">
      <x:c r="A44" s="70" t="str">
        <x:v>43</x:v>
      </x:c>
      <x:c r="B44" s="70" t="str">
        <x:v>A - Layup</x:v>
      </x:c>
      <x:c r="C44" s="72" t="str">
        <x:v>76</x:v>
      </x:c>
      <x:c r="D44" s="60" t="str">
        <x:v>KT Plumbing</x:v>
      </x:c>
      <x:c r="E44" s="60" t="str">
        <x:v>https://ktplumbinginc.com</x:v>
      </x:c>
      <x:c r="F44" s="60" t="str">
        <x:v>https://www.ktplumbinginc.com/</x:v>
      </x:c>
      <x:c r="G44" s="60" t="str">
        <x:v>Spartanburg</x:v>
      </x:c>
      <x:c r="H44" s="60" t="str">
        <x:v>South Carolina</x:v>
      </x:c>
      <x:c r="I44" s="60" t="str">
        <x:v>Plumbing</x:v>
      </x:c>
      <x:c r="J44" s="60" t="str">
        <x:v>KT Plumbing</x:v>
      </x:c>
      <x:c r="K44" s="60" t="str"/>
      <x:c r="L44" s="60" t="str">
        <x:v>Owner / decision maker to verify</x:v>
      </x:c>
      <x:c r="M44" s="60" t="str"/>
      <x:c r="N44" s="60" t="str"/>
      <x:c r="O44" s="60" t="str">
        <x:v>(864) 301-6281</x:v>
      </x:c>
      <x:c r="P44" s="60" t="str"/>
      <x:c r="Q44" s="60" t="str"/>
      <x:c r="R44" s="60" t="str"/>
      <x:c r="S44" s="60" t="str">
        <x:v>4.9</x:v>
      </x:c>
      <x:c r="T44" s="74" t="str">
        <x:v>91</x:v>
      </x:c>
      <x:c r="U44" s="60" t="str"/>
      <x:c r="V44" s="74" t="str">
        <x:v>22</x:v>
      </x:c>
      <x:c r="W44" s="74" t="str">
        <x:v>28</x:v>
      </x:c>
      <x:c r="X44" s="74" t="str">
        <x:v>16</x:v>
      </x:c>
      <x:c r="Y44" s="74" t="str">
        <x:v>5</x:v>
      </x:c>
      <x:c r="Z44" s="74" t="str">
        <x:v>5</x:v>
      </x:c>
      <x:c r="AA44" s="74" t="str">
        <x:v>1</x:v>
      </x:c>
      <x:c r="AB44" s="74" t="str">
        <x:v>1</x:v>
      </x:c>
      <x:c r="AC44" s="74" t="str">
        <x:v>1</x:v>
      </x:c>
      <x:c r="AD44" s="74" t="str">
        <x:v>0</x:v>
      </x:c>
      <x:c r="AE44" s="74" t="str">
        <x:v>0</x:v>
      </x:c>
      <x:c r="AF44" s="74" t="str">
        <x:v>housecallpro</x:v>
      </x:c>
      <x:c r="AG44" s="74" t="str">
        <x:v>0</x:v>
      </x:c>
      <x:c r="AH44" s="74" t="str">
        <x:v>0</x:v>
      </x:c>
      <x:c r="AI44" s="74" t="str">
        <x:v>0</x:v>
      </x:c>
      <x:c r="AJ44" s="74" t="str">
        <x:v>0</x:v>
      </x:c>
      <x:c r="AK44" s="74" t="str">
        <x:v>1</x:v>
      </x:c>
      <x:c r="AL44" s="74" t="str">
        <x:v>0</x:v>
      </x:c>
      <x:c r="AM44" s="74" t="str">
        <x:v>1</x:v>
      </x:c>
      <x:c r="AN44" s="74" t="str">
        <x:v>0</x:v>
      </x:c>
      <x:c r="AO44" s="60" t="str">
        <x:v>2026</x:v>
      </x:c>
      <x:c r="AP44" s="76" t="str">
        <x:v>Meta tracking detected; no embedded homepage video found</x:v>
      </x:c>
      <x:c r="AQ44" s="76" t="str">
        <x:v>Meta Pixel; Google Ads tag; visible service offer; no embedded homepage video detected</x:v>
      </x:c>
      <x:c r="AR44" s="76" t="str">
        <x:v>I noticed KT Plumbing's site has Meta tracking installed, but I couldn't find an embedded video on the homepage.</x:v>
      </x:c>
      <x:c r="AS44" s="76" t="str">
        <x:v>small symptom to prevented-emergency ad</x:v>
      </x:c>
      <x:c r="AT44" s="76" t="str">
        <x:v>KT Plumbing ad concept</x:v>
      </x:c>
      <x:c r="AU44" s="76" t="str">
        <x:v>Hi KT Plumbing — I noticed KT Plumbing's site has Meta tracking installed, but I couldn't find an embedded video on the homepage. I mapped a private 15-second small symptom to prevented-emergency ad for KT Plumbing using only public brand context—not for publishing, just to show the angle. We build three client-approved video ad concepts in seven days, then turn the winners into fresh variations. No filming day required. Worth sending the private sample?</x:v>
      </x:c>
      <x:c r="AV44" s="76" t="str">
        <x:v>Quick follow-up: the sample angle is a small symptom to prevented-emergency ad. If it misses the mark, no problem—I won't keep chasing. Should I send it?</x:v>
      </x:c>
      <x:c r="AW44" s="76" t="str">
        <x:v>Hi KT Plumbing, Ryan here. I was looking at KT Plumbing's public marketing and noticed: meta tracking detected; no embedded homepage video found. I mapped one private small symptom to prevented-emergency ad as an example. Did I catch you with 30 seconds?</x:v>
      </x:c>
      <x:c r="AX44" s="60" t="str">
        <x:v>https://www.facebook.com/ads/library/?active_status=active&amp;ad_type=all&amp;country=US&amp;q=KT%20Plumbing&amp;search_type=keyword_unordered</x:v>
      </x:c>
      <x:c r="AY44" s="60" t="str">
        <x:v>ok:200</x:v>
      </x:c>
      <x:c r="AZ44" s="60" t="n">
        <x:v>46232.722858796296</x:v>
      </x:c>
      <x:c r="BA44" s="60" t="str">
        <x:v>Google Maps home-services export</x:v>
      </x:c>
      <x:c r="BB44" s="60" t="str">
        <x:v>https://ktplumbinginc.com | https://maps.google.com/?cid=17334228860970716108&amp;g_mp=Cidnb29nbGUubWFwcy5wbGFjZXMudjEuUGxhY2VzLlNlYXJjaFRleHQQAhgEIAA</x:v>
      </x:c>
      <x:c r="BC44" s="60" t="str"/>
    </x:row>
    <x:row r="45" ht="18" customHeight="1">
      <x:c r="A45" s="70" t="str">
        <x:v>44</x:v>
      </x:c>
      <x:c r="B45" s="70" t="str">
        <x:v>B - Strong</x:v>
      </x:c>
      <x:c r="C45" s="72" t="str">
        <x:v>76</x:v>
      </x:c>
      <x:c r="D45" s="60" t="str">
        <x:v>C&amp;M Home Builders</x:v>
      </x:c>
      <x:c r="E45" s="60" t="str">
        <x:v>https://candmhomebuilders.com</x:v>
      </x:c>
      <x:c r="F45" s="60" t="str">
        <x:v>https://www.candmhomebuilders.com/</x:v>
      </x:c>
      <x:c r="G45" s="60" t="str">
        <x:v>Landrum</x:v>
      </x:c>
      <x:c r="H45" s="60" t="str">
        <x:v>South Carolina</x:v>
      </x:c>
      <x:c r="I45" s="60" t="str">
        <x:v>Foundation &amp; Waterproofing</x:v>
      </x:c>
      <x:c r="J45" s="60" t="str">
        <x:v>Carrol</x:v>
      </x:c>
      <x:c r="K45" s="60" t="str">
        <x:v>Bishop</x:v>
      </x:c>
      <x:c r="L45" s="60" t="str">
        <x:v>Business Owner</x:v>
      </x:c>
      <x:c r="M45" s="60" t="str"/>
      <x:c r="N45" s="60" t="str"/>
      <x:c r="O45" s="60" t="str"/>
      <x:c r="P45" s="60" t="str">
        <x:v>https://www.linkedin.com/in/carrol-bishop-5b8bb7143</x:v>
      </x:c>
      <x:c r="Q45" s="60" t="str">
        <x:v>2-10</x:v>
      </x:c>
      <x:c r="R45" s="60" t="str">
        <x:v>500000-999999</x:v>
      </x:c>
      <x:c r="S45" s="60" t="str"/>
      <x:c r="T45" s="74" t="str">
        <x:v>0</x:v>
      </x:c>
      <x:c r="U45" s="60" t="str"/>
      <x:c r="V45" s="74" t="str">
        <x:v>28</x:v>
      </x:c>
      <x:c r="W45" s="74" t="str">
        <x:v>25</x:v>
      </x:c>
      <x:c r="X45" s="74" t="str">
        <x:v>12</x:v>
      </x:c>
      <x:c r="Y45" s="74" t="str">
        <x:v>9</x:v>
      </x:c>
      <x:c r="Z45" s="74" t="str">
        <x:v>2</x:v>
      </x:c>
      <x:c r="AA45" s="74" t="str">
        <x:v>1</x:v>
      </x:c>
      <x:c r="AB45" s="74" t="str">
        <x:v>1</x:v>
      </x:c>
      <x:c r="AC45" s="74" t="str">
        <x:v>1</x:v>
      </x:c>
      <x:c r="AD45" s="74" t="str">
        <x:v>0</x:v>
      </x:c>
      <x:c r="AE45" s="74" t="str">
        <x:v>0</x:v>
      </x:c>
      <x:c r="AF45" s="74" t="str"/>
      <x:c r="AG45" s="74" t="str">
        <x:v>0</x:v>
      </x:c>
      <x:c r="AH45" s="74" t="str">
        <x:v>1</x:v>
      </x:c>
      <x:c r="AI45" s="74" t="str">
        <x:v>1</x:v>
      </x:c>
      <x:c r="AJ45" s="74" t="str">
        <x:v>0</x:v>
      </x:c>
      <x:c r="AK45" s="74" t="str">
        <x:v>0</x:v>
      </x:c>
      <x:c r="AL45" s="74" t="str">
        <x:v>1</x:v>
      </x:c>
      <x:c r="AM45" s="74" t="str">
        <x:v>1</x:v>
      </x:c>
      <x:c r="AN45" s="74" t="str">
        <x:v>1</x:v>
      </x:c>
      <x:c r="AO45" s="60" t="str">
        <x:v>0</x:v>
      </x:c>
      <x:c r="AP45" s="76" t="str">
        <x:v>Meta tracking detected; no embedded homepage video found</x:v>
      </x:c>
      <x:c r="AQ45" s="76" t="str">
        <x:v>Meta Pixel; Google Ads tag; project/gallery proof; testimonials; no embedded homepage video detected</x:v>
      </x:c>
      <x:c r="AR45" s="76" t="str">
        <x:v>I noticed C&amp;M Home Builders's site has Meta tracking installed, but I couldn't find an embedded video on the homepage.</x:v>
      </x:c>
      <x:c r="AS45" s="76" t="str">
        <x:v>visible-warning-signs inspection ad</x:v>
      </x:c>
      <x:c r="AT45" s="76" t="str">
        <x:v>C&amp;M Home Builders ad concept</x:v>
      </x:c>
      <x:c r="AU45" s="76" t="str">
        <x:v>Hi Carrol — I noticed C&amp;M Home Builders's site has Meta tracking installed, but I couldn't find an embedded video on the homepage. I mapped a private 15-second visible-warning-signs inspection ad for C&amp;M Home Builders using only public brand context—not for publishing, just to show the angle. We build three client-approved video ad concepts in seven days, then turn the winners into fresh variations. No filming day required. Worth sending the private sample?</x:v>
      </x:c>
      <x:c r="AV45" s="76" t="str">
        <x:v>Quick follow-up: the sample angle is a visible-warning-signs inspection ad. If it misses the mark, no problem—I won't keep chasing. Should I send it?</x:v>
      </x:c>
      <x:c r="AW45" s="76" t="str">
        <x:v>Hi Carrol, Ryan here. I was looking at C&amp;M Home Builders's public marketing and noticed: meta tracking detected; no embedded homepage video found. I mapped one private visible-warning-signs inspection ad as an example. Did I catch you with 30 seconds?</x:v>
      </x:c>
      <x:c r="AX45" s="60" t="str">
        <x:v>https://www.facebook.com/ads/library/?active_status=active&amp;ad_type=all&amp;country=US&amp;q=C%26M%20Home%20Builders&amp;search_type=keyword_unordered</x:v>
      </x:c>
      <x:c r="AY45" s="60" t="str">
        <x:v>ok:200</x:v>
      </x:c>
      <x:c r="AZ45" s="60" t="n">
        <x:v>46232.722858796296</x:v>
      </x:c>
      <x:c r="BA45" s="60" t="str">
        <x:v>AI Ark SC trades export</x:v>
      </x:c>
      <x:c r="BB45" s="60" t="str">
        <x:v>https://candmhomebuilders.com | https://www.linkedin.com/company/c&amp;m-custom-homes</x:v>
      </x:c>
      <x:c r="BC45" s="60" t="str"/>
    </x:row>
    <x:row r="46" ht="18" customHeight="1">
      <x:c r="A46" s="70" t="str">
        <x:v>45</x:v>
      </x:c>
      <x:c r="B46" s="70" t="str">
        <x:v>A - Layup</x:v>
      </x:c>
      <x:c r="C46" s="72" t="str">
        <x:v>76</x:v>
      </x:c>
      <x:c r="D46" s="60" t="str">
        <x:v>Coastal Carolina Comfort</x:v>
      </x:c>
      <x:c r="E46" s="60" t="str">
        <x:v>https://coastalcarolinahvac.com</x:v>
      </x:c>
      <x:c r="F46" s="60" t="str">
        <x:v>https://coastalcarolinahvac.com</x:v>
      </x:c>
      <x:c r="G46" s="60" t="str">
        <x:v>Summerville</x:v>
      </x:c>
      <x:c r="H46" s="60" t="str">
        <x:v>South Carolina</x:v>
      </x:c>
      <x:c r="I46" s="60" t="str">
        <x:v>HVAC</x:v>
      </x:c>
      <x:c r="J46" s="60" t="str">
        <x:v>Coastal Carolina Comfort</x:v>
      </x:c>
      <x:c r="K46" s="60" t="str"/>
      <x:c r="L46" s="60" t="str">
        <x:v>Owner / decision maker to verify</x:v>
      </x:c>
      <x:c r="M46" s="60" t="str"/>
      <x:c r="N46" s="60" t="str"/>
      <x:c r="O46" s="60" t="str">
        <x:v>(843) 474-4562</x:v>
      </x:c>
      <x:c r="P46" s="60" t="str"/>
      <x:c r="Q46" s="60" t="str"/>
      <x:c r="R46" s="60" t="str"/>
      <x:c r="S46" s="60" t="str">
        <x:v>4.9</x:v>
      </x:c>
      <x:c r="T46" s="74" t="str">
        <x:v>165</x:v>
      </x:c>
      <x:c r="U46" s="60" t="str"/>
      <x:c r="V46" s="74" t="str">
        <x:v>28</x:v>
      </x:c>
      <x:c r="W46" s="74" t="str">
        <x:v>25</x:v>
      </x:c>
      <x:c r="X46" s="74" t="str">
        <x:v>12</x:v>
      </x:c>
      <x:c r="Y46" s="74" t="str">
        <x:v>6</x:v>
      </x:c>
      <x:c r="Z46" s="74" t="str">
        <x:v>5</x:v>
      </x:c>
      <x:c r="AA46" s="74" t="str">
        <x:v>1</x:v>
      </x:c>
      <x:c r="AB46" s="74" t="str">
        <x:v>1</x:v>
      </x:c>
      <x:c r="AC46" s="74" t="str">
        <x:v>1</x:v>
      </x:c>
      <x:c r="AD46" s="74" t="str">
        <x:v>0</x:v>
      </x:c>
      <x:c r="AE46" s="74" t="str">
        <x:v>0</x:v>
      </x:c>
      <x:c r="AF46" s="74" t="str"/>
      <x:c r="AG46" s="74" t="str">
        <x:v>0</x:v>
      </x:c>
      <x:c r="AH46" s="74" t="str">
        <x:v>0</x:v>
      </x:c>
      <x:c r="AI46" s="74" t="str">
        <x:v>0</x:v>
      </x:c>
      <x:c r="AJ46" s="74" t="str">
        <x:v>0</x:v>
      </x:c>
      <x:c r="AK46" s="74" t="str">
        <x:v>1</x:v>
      </x:c>
      <x:c r="AL46" s="74" t="str">
        <x:v>1</x:v>
      </x:c>
      <x:c r="AM46" s="74" t="str">
        <x:v>1</x:v>
      </x:c>
      <x:c r="AN46" s="74" t="str">
        <x:v>0</x:v>
      </x:c>
      <x:c r="AO46" s="60" t="str">
        <x:v>2026</x:v>
      </x:c>
      <x:c r="AP46" s="76" t="str">
        <x:v>Meta tracking detected; no embedded homepage video found</x:v>
      </x:c>
      <x:c r="AQ46" s="76" t="str">
        <x:v>Meta Pixel; Google Ads tag; visible service offer; no embedded homepage video detected</x:v>
      </x:c>
      <x:c r="AR46" s="76" t="str">
        <x:v>I noticed Coastal Carolina Comfort's site has Meta tracking installed, but I couldn't find an embedded video on the homepage.</x:v>
      </x:c>
      <x:c r="AS46" s="76" t="str">
        <x:v>no-cool-call to same-day comfort ad</x:v>
      </x:c>
      <x:c r="AT46" s="76" t="str">
        <x:v>Coastal Carolina Comfort ad concept</x:v>
      </x:c>
      <x:c r="AU46" s="76" t="str">
        <x:v>Hi Coastal Carolina Comfort — I noticed Coastal Carolina Comfort's site has Meta tracking installed, but I couldn't find an embedded video on the homepage. I mapped a private 15-second no-cool-call to same-day comfort ad for Coastal Carolina Comfort using only public brand context—not for publishing, just to show the angle. We build three client-approved video ad concepts in seven days, then turn the winners into fresh variations. No filming day required. Worth sending the private sample?</x:v>
      </x:c>
      <x:c r="AV46" s="76" t="str">
        <x:v>Quick follow-up: the sample angle is a no-cool-call to same-day comfort ad. If it misses the mark, no problem—I won't keep chasing. Should I send it?</x:v>
      </x:c>
      <x:c r="AW46" s="76" t="str">
        <x:v>Hi Coastal Carolina Comfort, Ryan here. I was looking at Coastal Carolina Comfort's public marketing and noticed: meta tracking detected; no embedded homepage video found. I mapped one private no-cool-call to same-day comfort ad as an example. Did I catch you with 30 seconds?</x:v>
      </x:c>
      <x:c r="AX46" s="60" t="str">
        <x:v>https://www.facebook.com/ads/library/?active_status=active&amp;ad_type=all&amp;country=US&amp;q=Coastal%20Carolina%20Comfort&amp;search_type=keyword_unordered</x:v>
      </x:c>
      <x:c r="AY46" s="60" t="str">
        <x:v>ok:200</x:v>
      </x:c>
      <x:c r="AZ46" s="60" t="n">
        <x:v>46232.722858796296</x:v>
      </x:c>
      <x:c r="BA46" s="60" t="str">
        <x:v>Google Maps home-services export</x:v>
      </x:c>
      <x:c r="BB46" s="60" t="str">
        <x:v>https://coastalcarolinahvac.com | https://maps.google.com/?cid=6024560526431315823&amp;g_mp=Cidnb29nbGUubWFwcy5wbGFjZXMudjEuUGxhY2VzLlNlYXJjaFRleHQQAhgEIAA</x:v>
      </x:c>
      <x:c r="BC46" s="60" t="str"/>
    </x:row>
    <x:row r="47" ht="18" customHeight="1">
      <x:c r="A47" s="70" t="str">
        <x:v>46</x:v>
      </x:c>
      <x:c r="B47" s="70" t="str">
        <x:v>A - Layup</x:v>
      </x:c>
      <x:c r="C47" s="72" t="str">
        <x:v>76</x:v>
      </x:c>
      <x:c r="D47" s="60" t="str">
        <x:v>Spring Aire Heating &amp; Air Conditioning, LLC</x:v>
      </x:c>
      <x:c r="E47" s="60" t="str">
        <x:v>https://springairemechanical.com</x:v>
      </x:c>
      <x:c r="F47" s="60" t="str">
        <x:v>https://springairemechanical.com</x:v>
      </x:c>
      <x:c r="G47" s="60" t="str">
        <x:v>Spartanburg</x:v>
      </x:c>
      <x:c r="H47" s="60" t="str">
        <x:v>South Carolina</x:v>
      </x:c>
      <x:c r="I47" s="60" t="str">
        <x:v>HVAC</x:v>
      </x:c>
      <x:c r="J47" s="60" t="str">
        <x:v>Spring Aire Heating &amp; Air Conditioning, LLC</x:v>
      </x:c>
      <x:c r="K47" s="60" t="str"/>
      <x:c r="L47" s="60" t="str">
        <x:v>Owner / decision maker to verify</x:v>
      </x:c>
      <x:c r="M47" s="60" t="str"/>
      <x:c r="N47" s="60" t="str"/>
      <x:c r="O47" s="60" t="str">
        <x:v>(864) 657-4212</x:v>
      </x:c>
      <x:c r="P47" s="60" t="str"/>
      <x:c r="Q47" s="60" t="str"/>
      <x:c r="R47" s="60" t="str"/>
      <x:c r="S47" s="60" t="str">
        <x:v>5</x:v>
      </x:c>
      <x:c r="T47" s="74" t="str">
        <x:v>356</x:v>
      </x:c>
      <x:c r="U47" s="60" t="str"/>
      <x:c r="V47" s="74" t="str">
        <x:v>29</x:v>
      </x:c>
      <x:c r="W47" s="74" t="str">
        <x:v>24</x:v>
      </x:c>
      <x:c r="X47" s="74" t="str">
        <x:v>12</x:v>
      </x:c>
      <x:c r="Y47" s="74" t="str">
        <x:v>6</x:v>
      </x:c>
      <x:c r="Z47" s="74" t="str">
        <x:v>5</x:v>
      </x:c>
      <x:c r="AA47" s="74" t="str">
        <x:v>0</x:v>
      </x:c>
      <x:c r="AB47" s="74" t="str">
        <x:v>1</x:v>
      </x:c>
      <x:c r="AC47" s="74" t="str">
        <x:v>1</x:v>
      </x:c>
      <x:c r="AD47" s="74" t="str">
        <x:v>0</x:v>
      </x:c>
      <x:c r="AE47" s="74" t="str">
        <x:v>1</x:v>
      </x:c>
      <x:c r="AF47" s="74" t="str">
        <x:v>housecallpro</x:v>
      </x:c>
      <x:c r="AG47" s="74" t="str">
        <x:v>0</x:v>
      </x:c>
      <x:c r="AH47" s="74" t="str">
        <x:v>0</x:v>
      </x:c>
      <x:c r="AI47" s="74" t="str">
        <x:v>0</x:v>
      </x:c>
      <x:c r="AJ47" s="74" t="str">
        <x:v>0</x:v>
      </x:c>
      <x:c r="AK47" s="74" t="str">
        <x:v>1</x:v>
      </x:c>
      <x:c r="AL47" s="74" t="str">
        <x:v>1</x:v>
      </x:c>
      <x:c r="AM47" s="74" t="str">
        <x:v>1</x:v>
      </x:c>
      <x:c r="AN47" s="74" t="str">
        <x:v>0</x:v>
      </x:c>
      <x:c r="AO47" s="60" t="str">
        <x:v>0</x:v>
      </x:c>
      <x:c r="AP47" s="76" t="str">
        <x:v>Google Ads tag detected; no embedded homepage video found</x:v>
      </x:c>
      <x:c r="AQ47" s="76" t="str">
        <x:v>Google Ads tag; call tracking; visible service offer; no embedded homepage video detected</x:v>
      </x:c>
      <x:c r="AR47" s="76" t="str">
        <x:v>I noticed Spring Aire Heating &amp; Air Conditioning, LLC's site has a Google Ads tag installed, but I couldn't find an embedded video on the homepage.</x:v>
      </x:c>
      <x:c r="AS47" s="76" t="str">
        <x:v>no-cool-call to same-day comfort ad</x:v>
      </x:c>
      <x:c r="AT47" s="76" t="str">
        <x:v>Spring Aire Heating &amp; Air Conditioning, LLC ad concept</x:v>
      </x:c>
      <x:c r="AU47" s="76" t="str">
        <x:v>Hi Spring Aire Heating &amp; Air Conditioning, LLC — I noticed Spring Aire Heating &amp; Air Conditioning, LLC's site has a Google Ads tag installed, but I couldn't find an embedded video on the homepage. I mapped a private 15-second no-cool-call to same-day comfort ad for Spring Aire Heating &amp; Air Conditioning, LLC using only public brand context—not for publishing, just to show the angle. We build three client-approved video ad concepts in seven days, then turn the winners into fresh variations. No filming day required. Worth sending the private sample?</x:v>
      </x:c>
      <x:c r="AV47" s="76" t="str">
        <x:v>Quick follow-up: the sample angle is a no-cool-call to same-day comfort ad. If it misses the mark, no problem—I won't keep chasing. Should I send it?</x:v>
      </x:c>
      <x:c r="AW47" s="76" t="str">
        <x:v>Hi Spring Aire Heating &amp; Air Conditioning, LLC, Ryan here. I was looking at Spring Aire Heating &amp; Air Conditioning, LLC's public marketing and noticed: google ads tag detected; no embedded homepage video found. I mapped one private no-cool-call to same-day comfort ad as an example. Did I catch you with 30 seconds?</x:v>
      </x:c>
      <x:c r="AX47" s="60" t="str">
        <x:v>https://www.facebook.com/ads/library/?active_status=active&amp;ad_type=all&amp;country=US&amp;q=Spring%20Aire%20Heating%20%26%20Air%20Conditioning%2C%20LLC&amp;search_type=keyword_unordered</x:v>
      </x:c>
      <x:c r="AY47" s="60" t="str">
        <x:v>ok:200</x:v>
      </x:c>
      <x:c r="AZ47" s="60" t="n">
        <x:v>46232.722858796296</x:v>
      </x:c>
      <x:c r="BA47" s="60" t="str">
        <x:v>Google Maps home-services export</x:v>
      </x:c>
      <x:c r="BB47" s="60" t="str">
        <x:v>https://maps.google.com/?cid=1003635931315476867&amp;g_mp=Cidnb29nbGUubWFwcy5wbGFjZXMudjEuUGxhY2VzLlNlYXJjaFRleHQQAhgEIAA | https://springairemechanical.com</x:v>
      </x:c>
      <x:c r="BC47" s="60" t="str"/>
    </x:row>
    <x:row r="48" ht="18" customHeight="1">
      <x:c r="A48" s="70" t="str">
        <x:v>47</x:v>
      </x:c>
      <x:c r="B48" s="70" t="str">
        <x:v>A - Layup</x:v>
      </x:c>
      <x:c r="C48" s="72" t="str">
        <x:v>76</x:v>
      </x:c>
      <x:c r="D48" s="60" t="str">
        <x:v>Tuck &amp; Howell Plumbing, Heating &amp; Air</x:v>
      </x:c>
      <x:c r="E48" s="60" t="str">
        <x:v>https://tuckandhowell.com</x:v>
      </x:c>
      <x:c r="F48" s="60" t="str">
        <x:v>https://tuckandhowell.com</x:v>
      </x:c>
      <x:c r="G48" s="60" t="str">
        <x:v>Greenville</x:v>
      </x:c>
      <x:c r="H48" s="60" t="str">
        <x:v>South Carolina</x:v>
      </x:c>
      <x:c r="I48" s="60" t="str">
        <x:v>HVAC</x:v>
      </x:c>
      <x:c r="J48" s="60" t="str">
        <x:v>Tuck &amp; Howell Plumbing, Heating &amp; Air</x:v>
      </x:c>
      <x:c r="K48" s="60" t="str"/>
      <x:c r="L48" s="60" t="str">
        <x:v>Owner / decision maker to verify</x:v>
      </x:c>
      <x:c r="M48" s="60" t="str"/>
      <x:c r="N48" s="60" t="str"/>
      <x:c r="O48" s="60" t="str">
        <x:v>(864) 365-2279</x:v>
      </x:c>
      <x:c r="P48" s="60" t="str"/>
      <x:c r="Q48" s="60" t="str"/>
      <x:c r="R48" s="60" t="str"/>
      <x:c r="S48" s="60" t="str">
        <x:v>5</x:v>
      </x:c>
      <x:c r="T48" s="74" t="str">
        <x:v>117</x:v>
      </x:c>
      <x:c r="U48" s="60" t="str"/>
      <x:c r="V48" s="74" t="str">
        <x:v>28</x:v>
      </x:c>
      <x:c r="W48" s="74" t="str">
        <x:v>18</x:v>
      </x:c>
      <x:c r="X48" s="74" t="str">
        <x:v>16</x:v>
      </x:c>
      <x:c r="Y48" s="74" t="str">
        <x:v>9</x:v>
      </x:c>
      <x:c r="Z48" s="74" t="str">
        <x:v>5</x:v>
      </x:c>
      <x:c r="AA48" s="74" t="str">
        <x:v>1</x:v>
      </x:c>
      <x:c r="AB48" s="74" t="str">
        <x:v>0</x:v>
      </x:c>
      <x:c r="AC48" s="74" t="str">
        <x:v>1</x:v>
      </x:c>
      <x:c r="AD48" s="74" t="str">
        <x:v>0</x:v>
      </x:c>
      <x:c r="AE48" s="74" t="str">
        <x:v>0</x:v>
      </x:c>
      <x:c r="AF48" s="74" t="str">
        <x:v>servicetitan</x:v>
      </x:c>
      <x:c r="AG48" s="74" t="str">
        <x:v>0</x:v>
      </x:c>
      <x:c r="AH48" s="74" t="str">
        <x:v>0</x:v>
      </x:c>
      <x:c r="AI48" s="74" t="str">
        <x:v>0</x:v>
      </x:c>
      <x:c r="AJ48" s="74" t="str">
        <x:v>1</x:v>
      </x:c>
      <x:c r="AK48" s="74" t="str">
        <x:v>1</x:v>
      </x:c>
      <x:c r="AL48" s="74" t="str">
        <x:v>0</x:v>
      </x:c>
      <x:c r="AM48" s="74" t="str">
        <x:v>1</x:v>
      </x:c>
      <x:c r="AN48" s="74" t="str">
        <x:v>0</x:v>
      </x:c>
      <x:c r="AO48" s="60" t="str">
        <x:v>0</x:v>
      </x:c>
      <x:c r="AP48" s="76" t="str">
        <x:v>Meta tracking detected; no embedded homepage video found</x:v>
      </x:c>
      <x:c r="AQ48" s="76" t="str">
        <x:v>Meta Pixel; financing; visible service offer; no embedded homepage video detected</x:v>
      </x:c>
      <x:c r="AR48" s="76" t="str">
        <x:v>I noticed Tuck &amp; Howell Plumbing, Heating &amp; Air's site has Meta tracking installed, but I couldn't find an embedded video on the homepage.</x:v>
      </x:c>
      <x:c r="AS48" s="76" t="str">
        <x:v>no-cool-call to same-day comfort ad</x:v>
      </x:c>
      <x:c r="AT48" s="76" t="str">
        <x:v>Tuck &amp; Howell Plumbing, Heating &amp; Air ad concept</x:v>
      </x:c>
      <x:c r="AU48" s="76" t="str">
        <x:v>Hi Tuck &amp; Howell Plumbing, Heating &amp; Air — I noticed Tuck &amp; Howell Plumbing, Heating &amp; Air's site has Meta tracking installed, but I couldn't find an embedded video on the homepage. I mapped a private 15-second no-cool-call to same-day comfort ad for Tuck &amp; Howell Plumbing, Heating &amp; Air using only public brand context—not for publishing, just to show the angle. We build three client-approved video ad concepts in seven days, then turn the winners into fresh variations. No filming day required. Worth sending the private sample?</x:v>
      </x:c>
      <x:c r="AV48" s="76" t="str">
        <x:v>Quick follow-up: the sample angle is a no-cool-call to same-day comfort ad. If it misses the mark, no problem—I won't keep chasing. Should I send it?</x:v>
      </x:c>
      <x:c r="AW48" s="76" t="str">
        <x:v>Hi Tuck &amp; Howell Plumbing, Heating &amp; Air, Ryan here. I was looking at Tuck &amp; Howell Plumbing, Heating &amp; Air's public marketing and noticed: meta tracking detected; no embedded homepage video found. I mapped one private no-cool-call to same-day comfort ad as an example. Did I catch you with 30 seconds?</x:v>
      </x:c>
      <x:c r="AX48" s="60" t="str">
        <x:v>https://www.facebook.com/ads/library/?active_status=active&amp;ad_type=all&amp;country=US&amp;q=Tuck%20%26%20Howell%20Plumbing%2C%20Heating%20%26%20Air&amp;search_type=keyword_unordered</x:v>
      </x:c>
      <x:c r="AY48" s="60" t="str">
        <x:v>ok:200</x:v>
      </x:c>
      <x:c r="AZ48" s="60" t="n">
        <x:v>46232.722858796296</x:v>
      </x:c>
      <x:c r="BA48" s="60" t="str">
        <x:v>Google Maps home-services export</x:v>
      </x:c>
      <x:c r="BB48" s="60" t="str">
        <x:v>https://maps.google.com/?cid=9540672078557796471&amp;g_mp=Cidnb29nbGUubWFwcy5wbGFjZXMudjEuUGxhY2VzLlNlYXJjaFRleHQQAhgEIAA | https://tuckandhowell.com</x:v>
      </x:c>
      <x:c r="BC48" s="60" t="str"/>
    </x:row>
    <x:row r="49" ht="18" customHeight="1">
      <x:c r="A49" s="70" t="str">
        <x:v>48</x:v>
      </x:c>
      <x:c r="B49" s="70" t="str">
        <x:v>A - Layup</x:v>
      </x:c>
      <x:c r="C49" s="72" t="str">
        <x:v>76</x:v>
      </x:c>
      <x:c r="D49" s="60" t="str">
        <x:v>Mighty Dog Roofing Greenville</x:v>
      </x:c>
      <x:c r="E49" s="60" t="str">
        <x:v>https://mightydogroofing.com</x:v>
      </x:c>
      <x:c r="F49" s="60" t="str">
        <x:v>https://www.mightydogroofing.com/</x:v>
      </x:c>
      <x:c r="G49" s="60" t="str">
        <x:v>Greenville</x:v>
      </x:c>
      <x:c r="H49" s="60" t="str">
        <x:v>South Carolina</x:v>
      </x:c>
      <x:c r="I49" s="60" t="str">
        <x:v>Roofing</x:v>
      </x:c>
      <x:c r="J49" s="60" t="str">
        <x:v>Mighty Dog Roofing Greenville</x:v>
      </x:c>
      <x:c r="K49" s="60" t="str"/>
      <x:c r="L49" s="60" t="str">
        <x:v>Owner / decision maker to verify</x:v>
      </x:c>
      <x:c r="M49" s="60" t="str"/>
      <x:c r="N49" s="60" t="str"/>
      <x:c r="O49" s="60" t="str">
        <x:v>(864) 551-4253</x:v>
      </x:c>
      <x:c r="P49" s="60" t="str"/>
      <x:c r="Q49" s="60" t="str"/>
      <x:c r="R49" s="60" t="str"/>
      <x:c r="S49" s="60" t="str">
        <x:v>5</x:v>
      </x:c>
      <x:c r="T49" s="74" t="str">
        <x:v>143</x:v>
      </x:c>
      <x:c r="U49" s="60" t="str"/>
      <x:c r="V49" s="74" t="str">
        <x:v>29</x:v>
      </x:c>
      <x:c r="W49" s="74" t="str">
        <x:v>15</x:v>
      </x:c>
      <x:c r="X49" s="74" t="str">
        <x:v>12</x:v>
      </x:c>
      <x:c r="Y49" s="74" t="str">
        <x:v>15</x:v>
      </x:c>
      <x:c r="Z49" s="74" t="str">
        <x:v>5</x:v>
      </x:c>
      <x:c r="AA49" s="74" t="str">
        <x:v>1</x:v>
      </x:c>
      <x:c r="AB49" s="74" t="str">
        <x:v>0</x:v>
      </x:c>
      <x:c r="AC49" s="74" t="str">
        <x:v>1</x:v>
      </x:c>
      <x:c r="AD49" s="74" t="str">
        <x:v>0</x:v>
      </x:c>
      <x:c r="AE49" s="74" t="str">
        <x:v>0</x:v>
      </x:c>
      <x:c r="AF49" s="74" t="str"/>
      <x:c r="AG49" s="74" t="str">
        <x:v>0</x:v>
      </x:c>
      <x:c r="AH49" s="74" t="str">
        <x:v>1</x:v>
      </x:c>
      <x:c r="AI49" s="74" t="str">
        <x:v>1</x:v>
      </x:c>
      <x:c r="AJ49" s="74" t="str">
        <x:v>1</x:v>
      </x:c>
      <x:c r="AK49" s="74" t="str">
        <x:v>1</x:v>
      </x:c>
      <x:c r="AL49" s="74" t="str">
        <x:v>1</x:v>
      </x:c>
      <x:c r="AM49" s="74" t="str">
        <x:v>1</x:v>
      </x:c>
      <x:c r="AN49" s="74" t="str">
        <x:v>1</x:v>
      </x:c>
      <x:c r="AO49" s="60" t="str">
        <x:v>2026</x:v>
      </x:c>
      <x:c r="AP49" s="76" t="str">
        <x:v>Meta tracking detected; no embedded homepage video found</x:v>
      </x:c>
      <x:c r="AQ49" s="76" t="str">
        <x:v>Meta Pixel; project/gallery proof; testimonials; financing; visible service offer; no embedded homepage video detected</x:v>
      </x:c>
      <x:c r="AR49" s="76" t="str">
        <x:v>I noticed Mighty Dog Roofing Greenville's site has Meta tracking installed, but I couldn't find an embedded video on the homepage.</x:v>
      </x:c>
      <x:c r="AS49" s="76" t="str">
        <x:v>storm-to-inspection before/after ad</x:v>
      </x:c>
      <x:c r="AT49" s="76" t="str">
        <x:v>Mighty Dog Roofing Greenville ad concept</x:v>
      </x:c>
      <x:c r="AU49" s="76" t="str">
        <x:v>Hi Mighty Dog Roofing Greenville — I noticed Mighty Dog Roofing Greenville's site has Meta tracking installed, but I couldn't find an embedded video on the homepage. I mapped a private 15-second storm-to-inspection before/after ad for Mighty Dog Roofing Greenville using only public brand context—not for publishing, just to show the angle. We build three client-approved video ad concepts in seven days, then turn the winners into fresh variations. No filming day required. Worth sending the private sample?</x:v>
      </x:c>
      <x:c r="AV49" s="76" t="str">
        <x:v>Quick follow-up: the sample angle is a storm-to-inspection before/after ad. If it misses the mark, no problem—I won't keep chasing. Should I send it?</x:v>
      </x:c>
      <x:c r="AW49" s="76" t="str">
        <x:v>Hi Mighty Dog Roofing Greenville, Ryan here. I was looking at Mighty Dog Roofing Greenville's public marketing and noticed: meta tracking detected; no embedded homepage video found. I mapped one private storm-to-inspection before/after ad as an example. Did I catch you with 30 seconds?</x:v>
      </x:c>
      <x:c r="AX49" s="60" t="str">
        <x:v>https://www.facebook.com/ads/library/?active_status=active&amp;ad_type=all&amp;country=US&amp;q=Mighty%20Dog%20Roofing%20Greenville&amp;search_type=keyword_unordered</x:v>
      </x:c>
      <x:c r="AY49" s="60" t="str">
        <x:v>ok:200</x:v>
      </x:c>
      <x:c r="AZ49" s="60" t="n">
        <x:v>46232.722858796296</x:v>
      </x:c>
      <x:c r="BA49" s="60" t="str">
        <x:v>Google Maps home-services export</x:v>
      </x:c>
      <x:c r="BB49" s="60" t="str">
        <x:v>https://maps.google.com/?cid=13056534659486697934&amp;g_mp=Cidnb29nbGUubWFwcy5wbGFjZXMudjEuUGxhY2VzLlNlYXJjaFRleHQQAhgEIAA | https://maps.google.com/?cid=17977489306044873942&amp;g_mp=Cidnb29nbGUubWFwcy5wbGFjZXMudjEuUGxhY2VzLlNlYXJjaFRleHQQAhgEIAA | https://maps.google.com/?cid=2322483188037739007&amp;g_mp=Cidnb29nbGUubWFwcy5wbGFjZXMudjEuUGxhY2VzLlNlYXJjaFRleHQQAhgEIAA | https://mightydogroofing.com</x:v>
      </x:c>
      <x:c r="BC49" s="60" t="str"/>
    </x:row>
    <x:row r="50" ht="18" customHeight="1">
      <x:c r="A50" s="70" t="str">
        <x:v>49</x:v>
      </x:c>
      <x:c r="B50" s="70" t="str">
        <x:v>A - Layup</x:v>
      </x:c>
      <x:c r="C50" s="72" t="str">
        <x:v>76</x:v>
      </x:c>
      <x:c r="D50" s="60" t="str">
        <x:v>CB Smith Plumbing</x:v>
      </x:c>
      <x:c r="E50" s="60" t="str">
        <x:v>https://cbsmithplumb.com</x:v>
      </x:c>
      <x:c r="F50" s="60" t="str">
        <x:v>https://cbsmithplumb.com</x:v>
      </x:c>
      <x:c r="G50" s="60" t="str">
        <x:v>Spartanburg</x:v>
      </x:c>
      <x:c r="H50" s="60" t="str">
        <x:v>South Carolina</x:v>
      </x:c>
      <x:c r="I50" s="60" t="str">
        <x:v>Plumbing</x:v>
      </x:c>
      <x:c r="J50" s="60" t="str">
        <x:v>CB Smith Plumbing</x:v>
      </x:c>
      <x:c r="K50" s="60" t="str"/>
      <x:c r="L50" s="60" t="str">
        <x:v>Owner / decision maker to verify</x:v>
      </x:c>
      <x:c r="M50" s="60" t="str"/>
      <x:c r="N50" s="60" t="str"/>
      <x:c r="O50" s="60" t="str">
        <x:v>(864) 574-4275</x:v>
      </x:c>
      <x:c r="P50" s="60" t="str"/>
      <x:c r="Q50" s="60" t="str"/>
      <x:c r="R50" s="60" t="str"/>
      <x:c r="S50" s="60" t="str">
        <x:v>5</x:v>
      </x:c>
      <x:c r="T50" s="74" t="str">
        <x:v>381</x:v>
      </x:c>
      <x:c r="U50" s="60" t="str"/>
      <x:c r="V50" s="74" t="str">
        <x:v>25</x:v>
      </x:c>
      <x:c r="W50" s="74" t="str">
        <x:v>15</x:v>
      </x:c>
      <x:c r="X50" s="74" t="str">
        <x:v>16</x:v>
      </x:c>
      <x:c r="Y50" s="74" t="str">
        <x:v>15</x:v>
      </x:c>
      <x:c r="Z50" s="74" t="str">
        <x:v>5</x:v>
      </x:c>
      <x:c r="AA50" s="74" t="str">
        <x:v>1</x:v>
      </x:c>
      <x:c r="AB50" s="74" t="str">
        <x:v>0</x:v>
      </x:c>
      <x:c r="AC50" s="74" t="str">
        <x:v>1</x:v>
      </x:c>
      <x:c r="AD50" s="74" t="str">
        <x:v>0</x:v>
      </x:c>
      <x:c r="AE50" s="74" t="str">
        <x:v>0</x:v>
      </x:c>
      <x:c r="AF50" s="74" t="str"/>
      <x:c r="AG50" s="74" t="str">
        <x:v>0</x:v>
      </x:c>
      <x:c r="AH50" s="74" t="str">
        <x:v>1</x:v>
      </x:c>
      <x:c r="AI50" s="74" t="str">
        <x:v>1</x:v>
      </x:c>
      <x:c r="AJ50" s="74" t="str">
        <x:v>0</x:v>
      </x:c>
      <x:c r="AK50" s="74" t="str">
        <x:v>1</x:v>
      </x:c>
      <x:c r="AL50" s="74" t="str">
        <x:v>0</x:v>
      </x:c>
      <x:c r="AM50" s="74" t="str">
        <x:v>1</x:v>
      </x:c>
      <x:c r="AN50" s="74" t="str">
        <x:v>0</x:v>
      </x:c>
      <x:c r="AO50" s="60" t="str">
        <x:v>0</x:v>
      </x:c>
      <x:c r="AP50" s="76" t="str">
        <x:v>Meta tracking detected; no embedded homepage video found</x:v>
      </x:c>
      <x:c r="AQ50" s="76" t="str">
        <x:v>Meta Pixel; project/gallery proof; testimonials; visible service offer; no embedded homepage video detected</x:v>
      </x:c>
      <x:c r="AR50" s="76" t="str">
        <x:v>I noticed CB Smith Plumbing's site has Meta tracking installed, but I couldn't find an embedded video on the homepage.</x:v>
      </x:c>
      <x:c r="AS50" s="76" t="str">
        <x:v>small symptom to prevented-emergency ad</x:v>
      </x:c>
      <x:c r="AT50" s="76" t="str">
        <x:v>CB Smith Plumbing ad concept</x:v>
      </x:c>
      <x:c r="AU50" s="76" t="str">
        <x:v>Hi CB Smith Plumbing — I noticed CB Smith Plumbing's site has Meta tracking installed, but I couldn't find an embedded video on the homepage. I mapped a private 15-second small symptom to prevented-emergency ad for CB Smith Plumbing using only public brand context—not for publishing, just to show the angle. We build three client-approved video ad concepts in seven days, then turn the winners into fresh variations. No filming day required. Worth sending the private sample?</x:v>
      </x:c>
      <x:c r="AV50" s="76" t="str">
        <x:v>Quick follow-up: the sample angle is a small symptom to prevented-emergency ad. If it misses the mark, no problem—I won't keep chasing. Should I send it?</x:v>
      </x:c>
      <x:c r="AW50" s="76" t="str">
        <x:v>Hi CB Smith Plumbing, Ryan here. I was looking at CB Smith Plumbing's public marketing and noticed: meta tracking detected; no embedded homepage video found. I mapped one private small symptom to prevented-emergency ad as an example. Did I catch you with 30 seconds?</x:v>
      </x:c>
      <x:c r="AX50" s="60" t="str">
        <x:v>https://www.facebook.com/ads/library/?active_status=active&amp;ad_type=all&amp;country=US&amp;q=CB%20Smith%20Plumbing&amp;search_type=keyword_unordered</x:v>
      </x:c>
      <x:c r="AY50" s="60" t="str">
        <x:v>ok:200</x:v>
      </x:c>
      <x:c r="AZ50" s="60" t="n">
        <x:v>46232.722858796296</x:v>
      </x:c>
      <x:c r="BA50" s="60" t="str">
        <x:v>Google Maps home-services export</x:v>
      </x:c>
      <x:c r="BB50" s="60" t="str">
        <x:v>https://cbsmithplumb.com | https://maps.google.com/?cid=10007972083708119232&amp;g_mp=Cidnb29nbGUubWFwcy5wbGFjZXMudjEuUGxhY2VzLlNlYXJjaFRleHQQAhgEIAA</x:v>
      </x:c>
      <x:c r="BC50" s="60" t="str"/>
    </x:row>
    <x:row r="51" ht="18" customHeight="1">
      <x:c r="A51" s="70" t="str">
        <x:v>50</x:v>
      </x:c>
      <x:c r="B51" s="70" t="str">
        <x:v>A - Layup</x:v>
      </x:c>
      <x:c r="C51" s="72" t="str">
        <x:v>76</x:v>
      </x:c>
      <x:c r="D51" s="60" t="str">
        <x:v>Lowcountry Roof Repairs, LLC</x:v>
      </x:c>
      <x:c r="E51" s="60" t="str">
        <x:v>https://lowcountryroofrepair.com</x:v>
      </x:c>
      <x:c r="F51" s="60" t="str">
        <x:v>https://lowcountryroofrepair.com</x:v>
      </x:c>
      <x:c r="G51" s="60" t="str">
        <x:v>Hilton Head</x:v>
      </x:c>
      <x:c r="H51" s="60" t="str">
        <x:v>South Carolina</x:v>
      </x:c>
      <x:c r="I51" s="60" t="str">
        <x:v>Roofing</x:v>
      </x:c>
      <x:c r="J51" s="60" t="str">
        <x:v>Lowcountry Roof Repairs, LLC</x:v>
      </x:c>
      <x:c r="K51" s="60" t="str"/>
      <x:c r="L51" s="60" t="str">
        <x:v>Owner / decision maker to verify</x:v>
      </x:c>
      <x:c r="M51" s="60" t="str"/>
      <x:c r="N51" s="60" t="str"/>
      <x:c r="O51" s="60" t="str">
        <x:v>(843) 258-2716</x:v>
      </x:c>
      <x:c r="P51" s="60" t="str"/>
      <x:c r="Q51" s="60" t="str"/>
      <x:c r="R51" s="60" t="str"/>
      <x:c r="S51" s="60" t="str">
        <x:v>4.9</x:v>
      </x:c>
      <x:c r="T51" s="74" t="str">
        <x:v>73</x:v>
      </x:c>
      <x:c r="U51" s="60" t="str"/>
      <x:c r="V51" s="74" t="str">
        <x:v>27</x:v>
      </x:c>
      <x:c r="W51" s="74" t="str">
        <x:v>15</x:v>
      </x:c>
      <x:c r="X51" s="74" t="str">
        <x:v>19</x:v>
      </x:c>
      <x:c r="Y51" s="74" t="str">
        <x:v>10</x:v>
      </x:c>
      <x:c r="Z51" s="74" t="str">
        <x:v>5</x:v>
      </x:c>
      <x:c r="AA51" s="74" t="str">
        <x:v>1</x:v>
      </x:c>
      <x:c r="AB51" s="74" t="str">
        <x:v>0</x:v>
      </x:c>
      <x:c r="AC51" s="74" t="str">
        <x:v>1</x:v>
      </x:c>
      <x:c r="AD51" s="74" t="str">
        <x:v>0</x:v>
      </x:c>
      <x:c r="AE51" s="74" t="str">
        <x:v>0</x:v>
      </x:c>
      <x:c r="AF51" s="74" t="str"/>
      <x:c r="AG51" s="74" t="str">
        <x:v>0</x:v>
      </x:c>
      <x:c r="AH51" s="74" t="str">
        <x:v>1</x:v>
      </x:c>
      <x:c r="AI51" s="74" t="str">
        <x:v>0</x:v>
      </x:c>
      <x:c r="AJ51" s="74" t="str">
        <x:v>0</x:v>
      </x:c>
      <x:c r="AK51" s="74" t="str">
        <x:v>1</x:v>
      </x:c>
      <x:c r="AL51" s="74" t="str">
        <x:v>0</x:v>
      </x:c>
      <x:c r="AM51" s="74" t="str">
        <x:v>1</x:v>
      </x:c>
      <x:c r="AN51" s="74" t="str">
        <x:v>0</x:v>
      </x:c>
      <x:c r="AO51" s="60" t="str">
        <x:v>2022</x:v>
      </x:c>
      <x:c r="AP51" s="76" t="str">
        <x:v>Meta tracking detected; no embedded homepage video found</x:v>
      </x:c>
      <x:c r="AQ51" s="76" t="str">
        <x:v>Meta Pixel; project/gallery proof; visible service offer; no embedded homepage video detected</x:v>
      </x:c>
      <x:c r="AR51" s="76" t="str">
        <x:v>I noticed Lowcountry Roof Repairs, LLC's site has Meta tracking installed, but I couldn't find an embedded video on the homepage.</x:v>
      </x:c>
      <x:c r="AS51" s="76" t="str">
        <x:v>storm-to-inspection before/after ad</x:v>
      </x:c>
      <x:c r="AT51" s="76" t="str">
        <x:v>Lowcountry Roof Repairs, LLC ad concept</x:v>
      </x:c>
      <x:c r="AU51" s="76" t="str">
        <x:v>Hi Lowcountry Roof Repairs, LLC — I noticed Lowcountry Roof Repairs, LLC's site has Meta tracking installed, but I couldn't find an embedded video on the homepage. I mapped a private 15-second storm-to-inspection before/after ad for Lowcountry Roof Repairs, LLC using only public brand context—not for publishing, just to show the angle. We build three client-approved video ad concepts in seven days, then turn the winners into fresh variations. No filming day required. Worth sending the private sample?</x:v>
      </x:c>
      <x:c r="AV51" s="76" t="str">
        <x:v>Quick follow-up: the sample angle is a storm-to-inspection before/after ad. If it misses the mark, no problem—I won't keep chasing. Should I send it?</x:v>
      </x:c>
      <x:c r="AW51" s="76" t="str">
        <x:v>Hi Lowcountry Roof Repairs, LLC, Ryan here. I was looking at Lowcountry Roof Repairs, LLC's public marketing and noticed: meta tracking detected; no embedded homepage video found. I mapped one private storm-to-inspection before/after ad as an example. Did I catch you with 30 seconds?</x:v>
      </x:c>
      <x:c r="AX51" s="60" t="str">
        <x:v>https://www.facebook.com/ads/library/?active_status=active&amp;ad_type=all&amp;country=US&amp;q=Lowcountry%20Roof%20Repairs%2C%20LLC&amp;search_type=keyword_unordered</x:v>
      </x:c>
      <x:c r="AY51" s="60" t="str">
        <x:v>ok:200</x:v>
      </x:c>
      <x:c r="AZ51" s="60" t="n">
        <x:v>46232.722858796296</x:v>
      </x:c>
      <x:c r="BA51" s="60" t="str">
        <x:v>Google Maps home-services export</x:v>
      </x:c>
      <x:c r="BB51" s="60" t="str">
        <x:v>https://lowcountryroofrepair.com | https://maps.google.com/?cid=89133559722054477&amp;g_mp=Cidnb29nbGUubWFwcy5wbGFjZXMudjEuUGxhY2VzLlNlYXJjaFRleHQQAhgEIAA</x:v>
      </x:c>
      <x:c r="BC51" s="60" t="str"/>
    </x:row>
    <x:row r="52" ht="18" customHeight="1">
      <x:c r="A52" s="70" t="str">
        <x:v>51</x:v>
      </x:c>
      <x:c r="B52" s="70" t="str">
        <x:v>A - Layup</x:v>
      </x:c>
      <x:c r="C52" s="72" t="str">
        <x:v>76</x:v>
      </x:c>
      <x:c r="D52" s="60" t="str">
        <x:v>Punch Services Upstate</x:v>
      </x:c>
      <x:c r="E52" s="60" t="str">
        <x:v>https://punchservicesupstate.com</x:v>
      </x:c>
      <x:c r="F52" s="60" t="str">
        <x:v>https://punchservicesupstate.com</x:v>
      </x:c>
      <x:c r="G52" s="60" t="str">
        <x:v>Greenville-spartanburg-anderson</x:v>
      </x:c>
      <x:c r="H52" s="60" t="str">
        <x:v>South Carolina Area</x:v>
      </x:c>
      <x:c r="I52" s="60" t="str">
        <x:v>Restoration</x:v>
      </x:c>
      <x:c r="J52" s="60" t="str">
        <x:v>Richard</x:v>
      </x:c>
      <x:c r="K52" s="60" t="str">
        <x:v>Maxwell</x:v>
      </x:c>
      <x:c r="L52" s="60" t="str">
        <x:v>Owner/ President</x:v>
      </x:c>
      <x:c r="M52" s="60" t="str"/>
      <x:c r="N52" s="60" t="str"/>
      <x:c r="O52" s="60" t="str">
        <x:v>+1 864 270 2608</x:v>
      </x:c>
      <x:c r="P52" s="60" t="str">
        <x:v>https://www.linkedin.com/in/richkmaxwell</x:v>
      </x:c>
      <x:c r="Q52" s="60" t="str">
        <x:v>2-10</x:v>
      </x:c>
      <x:c r="R52" s="60" t="str">
        <x:v>0-99999</x:v>
      </x:c>
      <x:c r="S52" s="60" t="str"/>
      <x:c r="T52" s="74" t="str">
        <x:v>0</x:v>
      </x:c>
      <x:c r="U52" s="60" t="str"/>
      <x:c r="V52" s="74" t="str">
        <x:v>28</x:v>
      </x:c>
      <x:c r="W52" s="74" t="str">
        <x:v>12</x:v>
      </x:c>
      <x:c r="X52" s="74" t="str">
        <x:v>19</x:v>
      </x:c>
      <x:c r="Y52" s="74" t="str">
        <x:v>12</x:v>
      </x:c>
      <x:c r="Z52" s="74" t="str">
        <x:v>5</x:v>
      </x:c>
      <x:c r="AA52" s="74" t="str">
        <x:v>1</x:v>
      </x:c>
      <x:c r="AB52" s="74" t="str">
        <x:v>0</x:v>
      </x:c>
      <x:c r="AC52" s="74" t="str">
        <x:v>0</x:v>
      </x:c>
      <x:c r="AD52" s="74" t="str">
        <x:v>0</x:v>
      </x:c>
      <x:c r="AE52" s="74" t="str">
        <x:v>0</x:v>
      </x:c>
      <x:c r="AF52" s="74" t="str"/>
      <x:c r="AG52" s="74" t="str">
        <x:v>0</x:v>
      </x:c>
      <x:c r="AH52" s="74" t="str">
        <x:v>1</x:v>
      </x:c>
      <x:c r="AI52" s="74" t="str">
        <x:v>1</x:v>
      </x:c>
      <x:c r="AJ52" s="74" t="str">
        <x:v>0</x:v>
      </x:c>
      <x:c r="AK52" s="74" t="str">
        <x:v>1</x:v>
      </x:c>
      <x:c r="AL52" s="74" t="str">
        <x:v>0</x:v>
      </x:c>
      <x:c r="AM52" s="74" t="str">
        <x:v>1</x:v>
      </x:c>
      <x:c r="AN52" s="74" t="str">
        <x:v>0</x:v>
      </x:c>
      <x:c r="AO52" s="60" t="str">
        <x:v>2021</x:v>
      </x:c>
      <x:c r="AP52" s="76" t="str">
        <x:v>Meta tracking detected; no embedded homepage video found</x:v>
      </x:c>
      <x:c r="AQ52" s="76" t="str">
        <x:v>Meta Pixel; project/gallery proof; testimonials; visible service offer; no embedded homepage video detected</x:v>
      </x:c>
      <x:c r="AR52" s="76" t="str">
        <x:v>I noticed Punch Services Upstate's site has Meta tracking installed, but I couldn't find an embedded video on the homepage.</x:v>
      </x:c>
      <x:c r="AS52" s="76" t="str">
        <x:v>first-24-hours emergency-response ad</x:v>
      </x:c>
      <x:c r="AT52" s="76" t="str">
        <x:v>Punch Services Upstate ad concept</x:v>
      </x:c>
      <x:c r="AU52" s="76" t="str">
        <x:v>Hi Richard — I noticed Punch Services Upstate's site has Meta tracking installed, but I couldn't find an embedded video on the homepage. I mapped a private 15-second first-24-hours emergency-response ad for Punch Services Upstate using only public brand context—not for publishing, just to show the angle. We build three client-approved video ad concepts in seven days, then turn the winners into fresh variations. No filming day required. Worth sending the private sample?</x:v>
      </x:c>
      <x:c r="AV52" s="76" t="str">
        <x:v>Quick follow-up: the sample angle is a first-24-hours emergency-response ad. If it misses the mark, no problem—I won't keep chasing. Should I send it?</x:v>
      </x:c>
      <x:c r="AW52" s="76" t="str">
        <x:v>Hi Richard, Ryan here. I was looking at Punch Services Upstate's public marketing and noticed: meta tracking detected; no embedded homepage video found. I mapped one private first-24-hours emergency-response ad as an example. Did I catch you with 30 seconds?</x:v>
      </x:c>
      <x:c r="AX52" s="60" t="str">
        <x:v>https://www.facebook.com/ads/library/?active_status=active&amp;ad_type=all&amp;country=US&amp;q=Punch%20Services%20Upstate&amp;search_type=keyword_unordered</x:v>
      </x:c>
      <x:c r="AY52" s="60" t="str">
        <x:v>ok:200</x:v>
      </x:c>
      <x:c r="AZ52" s="60" t="n">
        <x:v>46232.722858796296</x:v>
      </x:c>
      <x:c r="BA52" s="60" t="str">
        <x:v>AI Ark SC trades export</x:v>
      </x:c>
      <x:c r="BB52" s="60" t="str">
        <x:v>https://punchservicesupstate.com | https://www.linkedin.com/company/punch-services-upstate</x:v>
      </x:c>
      <x:c r="BC52" s="60" t="str"/>
    </x:row>
    <x:row r="53" ht="18" customHeight="1">
      <x:c r="A53" s="70" t="str">
        <x:v>52</x:v>
      </x:c>
      <x:c r="B53" s="70" t="str">
        <x:v>A - Layup</x:v>
      </x:c>
      <x:c r="C53" s="72" t="str">
        <x:v>75</x:v>
      </x:c>
      <x:c r="D53" s="60" t="str">
        <x:v>Southern Carpet Wholesale Inc</x:v>
      </x:c>
      <x:c r="E53" s="60" t="str">
        <x:v>https://southerncarpet.net</x:v>
      </x:c>
      <x:c r="F53" s="60" t="str">
        <x:v>https://www.southerncarpet.net/</x:v>
      </x:c>
      <x:c r="G53" s="60" t="str">
        <x:v>Beaufort</x:v>
      </x:c>
      <x:c r="H53" s="60" t="str">
        <x:v>South Carolina</x:v>
      </x:c>
      <x:c r="I53" s="60" t="str">
        <x:v>Flooring</x:v>
      </x:c>
      <x:c r="J53" s="60" t="str">
        <x:v>William</x:v>
      </x:c>
      <x:c r="K53" s="60" t="str">
        <x:v>Dukes</x:v>
      </x:c>
      <x:c r="L53" s="60" t="str">
        <x:v>Business Owner</x:v>
      </x:c>
      <x:c r="M53" s="60" t="str">
        <x:v>william@southerncarpet.net</x:v>
      </x:c>
      <x:c r="N53" s="60" t="str">
        <x:v>Verified with BounceBan on 08 Jun 26 12:08</x:v>
      </x:c>
      <x:c r="O53" s="60" t="str">
        <x:v>+1 843 522 3800</x:v>
      </x:c>
      <x:c r="P53" s="60" t="str">
        <x:v>https://www.linkedin.com/in/william-dukes-027a1347</x:v>
      </x:c>
      <x:c r="Q53" s="60" t="str">
        <x:v>2-10</x:v>
      </x:c>
      <x:c r="R53" s="60" t="str">
        <x:v>0-99999</x:v>
      </x:c>
      <x:c r="S53" s="60" t="str"/>
      <x:c r="T53" s="74" t="str">
        <x:v>0</x:v>
      </x:c>
      <x:c r="U53" s="60" t="str"/>
      <x:c r="V53" s="74" t="str">
        <x:v>23</x:v>
      </x:c>
      <x:c r="W53" s="74" t="str">
        <x:v>15</x:v>
      </x:c>
      <x:c r="X53" s="74" t="str">
        <x:v>16</x:v>
      </x:c>
      <x:c r="Y53" s="74" t="str">
        <x:v>11</x:v>
      </x:c>
      <x:c r="Z53" s="74" t="str">
        <x:v>10</x:v>
      </x:c>
      <x:c r="AA53" s="74" t="str">
        <x:v>1</x:v>
      </x:c>
      <x:c r="AB53" s="74" t="str">
        <x:v>0</x:v>
      </x:c>
      <x:c r="AC53" s="74" t="str">
        <x:v>1</x:v>
      </x:c>
      <x:c r="AD53" s="74" t="str">
        <x:v>0</x:v>
      </x:c>
      <x:c r="AE53" s="74" t="str">
        <x:v>0</x:v>
      </x:c>
      <x:c r="AF53" s="74" t="str"/>
      <x:c r="AG53" s="74" t="str">
        <x:v>0</x:v>
      </x:c>
      <x:c r="AH53" s="74" t="str">
        <x:v>1</x:v>
      </x:c>
      <x:c r="AI53" s="74" t="str">
        <x:v>0</x:v>
      </x:c>
      <x:c r="AJ53" s="74" t="str">
        <x:v>1</x:v>
      </x:c>
      <x:c r="AK53" s="74" t="str">
        <x:v>1</x:v>
      </x:c>
      <x:c r="AL53" s="74" t="str">
        <x:v>0</x:v>
      </x:c>
      <x:c r="AM53" s="74" t="str">
        <x:v>1</x:v>
      </x:c>
      <x:c r="AN53" s="74" t="str">
        <x:v>0</x:v>
      </x:c>
      <x:c r="AO53" s="60" t="str">
        <x:v>2026</x:v>
      </x:c>
      <x:c r="AP53" s="76" t="str">
        <x:v>Meta tracking detected; no embedded homepage video found</x:v>
      </x:c>
      <x:c r="AQ53" s="76" t="str">
        <x:v>Meta Pixel; project/gallery proof; financing; visible service offer; no embedded homepage video detected</x:v>
      </x:c>
      <x:c r="AR53" s="76" t="str">
        <x:v>I noticed Southern Carpet Wholesale Inc's site has Meta tracking installed, but I couldn't find an embedded video on the homepage.</x:v>
      </x:c>
      <x:c r="AS53" s="76" t="str">
        <x:v>room transformation before/after ad</x:v>
      </x:c>
      <x:c r="AT53" s="76" t="str">
        <x:v>Southern Carpet Wholesale Inc ad concept</x:v>
      </x:c>
      <x:c r="AU53" s="76" t="str">
        <x:v>Hi William — I noticed Southern Carpet Wholesale Inc's site has Meta tracking installed, but I couldn't find an embedded video on the homepage. I mapped a private 15-second room transformation before/after ad for Southern Carpet Wholesale Inc using only public brand context—not for publishing, just to show the angle. We build three client-approved video ad concepts in seven days, then turn the winners into fresh variations. No filming day required. Worth sending the private sample?</x:v>
      </x:c>
      <x:c r="AV53" s="76" t="str">
        <x:v>Quick follow-up: the sample angle is a room transformation before/after ad. If it misses the mark, no problem—I won't keep chasing. Should I send it?</x:v>
      </x:c>
      <x:c r="AW53" s="76" t="str">
        <x:v>Hi William, Ryan here. I was looking at Southern Carpet Wholesale Inc's public marketing and noticed: meta tracking detected; no embedded homepage video found. I mapped one private room transformation before/after ad as an example. Did I catch you with 30 seconds?</x:v>
      </x:c>
      <x:c r="AX53" s="60" t="str">
        <x:v>https://www.facebook.com/ads/library/?active_status=active&amp;ad_type=all&amp;country=US&amp;q=Southern%20Carpet%20Wholesale%20Inc&amp;search_type=keyword_unordered</x:v>
      </x:c>
      <x:c r="AY53" s="60" t="str">
        <x:v>ok:200</x:v>
      </x:c>
      <x:c r="AZ53" s="60" t="n">
        <x:v>46232.722858796296</x:v>
      </x:c>
      <x:c r="BA53" s="60" t="str">
        <x:v>AI Ark SC trades export</x:v>
      </x:c>
      <x:c r="BB53" s="60" t="str">
        <x:v>https://southerncarpet.net | https://www.linkedin.com/company/southern-carpet-wholesale-inc</x:v>
      </x:c>
      <x:c r="BC53" s="60" t="str"/>
    </x:row>
    <x:row r="54" ht="18" customHeight="1">
      <x:c r="A54" s="70" t="str">
        <x:v>53</x:v>
      </x:c>
      <x:c r="B54" s="70" t="str">
        <x:v>A - Layup</x:v>
      </x:c>
      <x:c r="C54" s="72" t="str">
        <x:v>75</x:v>
      </x:c>
      <x:c r="D54" s="60" t="str">
        <x:v>Ashley River Roofing</x:v>
      </x:c>
      <x:c r="E54" s="60" t="str">
        <x:v>https://ashleyriverroofing.com</x:v>
      </x:c>
      <x:c r="F54" s="60" t="str">
        <x:v>https://www.ashleyriverroofing.com/</x:v>
      </x:c>
      <x:c r="G54" s="60" t="str">
        <x:v>Charleston</x:v>
      </x:c>
      <x:c r="H54" s="60" t="str">
        <x:v>South Carolina</x:v>
      </x:c>
      <x:c r="I54" s="60" t="str">
        <x:v>Roofing</x:v>
      </x:c>
      <x:c r="J54" s="60" t="str">
        <x:v>Ashley River Roofing</x:v>
      </x:c>
      <x:c r="K54" s="60" t="str"/>
      <x:c r="L54" s="60" t="str">
        <x:v>Owner / decision maker to verify</x:v>
      </x:c>
      <x:c r="M54" s="60" t="str"/>
      <x:c r="N54" s="60" t="str"/>
      <x:c r="O54" s="60" t="str">
        <x:v>(843) 825-1663</x:v>
      </x:c>
      <x:c r="P54" s="60" t="str"/>
      <x:c r="Q54" s="60" t="str"/>
      <x:c r="R54" s="60" t="str"/>
      <x:c r="S54" s="60" t="str">
        <x:v>4.9</x:v>
      </x:c>
      <x:c r="T54" s="74" t="str">
        <x:v>129</x:v>
      </x:c>
      <x:c r="U54" s="60" t="str"/>
      <x:c r="V54" s="74" t="str">
        <x:v>29</x:v>
      </x:c>
      <x:c r="W54" s="74" t="str">
        <x:v>15</x:v>
      </x:c>
      <x:c r="X54" s="74" t="str">
        <x:v>16</x:v>
      </x:c>
      <x:c r="Y54" s="74" t="str">
        <x:v>10</x:v>
      </x:c>
      <x:c r="Z54" s="74" t="str">
        <x:v>5</x:v>
      </x:c>
      <x:c r="AA54" s="74" t="str">
        <x:v>1</x:v>
      </x:c>
      <x:c r="AB54" s="74" t="str">
        <x:v>0</x:v>
      </x:c>
      <x:c r="AC54" s="74" t="str">
        <x:v>1</x:v>
      </x:c>
      <x:c r="AD54" s="74" t="str">
        <x:v>0</x:v>
      </x:c>
      <x:c r="AE54" s="74" t="str">
        <x:v>0</x:v>
      </x:c>
      <x:c r="AF54" s="74" t="str"/>
      <x:c r="AG54" s="74" t="str">
        <x:v>0</x:v>
      </x:c>
      <x:c r="AH54" s="74" t="str">
        <x:v>0</x:v>
      </x:c>
      <x:c r="AI54" s="74" t="str">
        <x:v>1</x:v>
      </x:c>
      <x:c r="AJ54" s="74" t="str">
        <x:v>0</x:v>
      </x:c>
      <x:c r="AK54" s="74" t="str">
        <x:v>1</x:v>
      </x:c>
      <x:c r="AL54" s="74" t="str">
        <x:v>0</x:v>
      </x:c>
      <x:c r="AM54" s="74" t="str">
        <x:v>1</x:v>
      </x:c>
      <x:c r="AN54" s="74" t="str">
        <x:v>0</x:v>
      </x:c>
      <x:c r="AO54" s="60" t="str">
        <x:v>2026</x:v>
      </x:c>
      <x:c r="AP54" s="76" t="str">
        <x:v>Meta tracking detected; no embedded homepage video found</x:v>
      </x:c>
      <x:c r="AQ54" s="76" t="str">
        <x:v>Meta Pixel; testimonials; visible service offer; no embedded homepage video detected</x:v>
      </x:c>
      <x:c r="AR54" s="76" t="str">
        <x:v>I noticed Ashley River Roofing's site has Meta tracking installed, but I couldn't find an embedded video on the homepage.</x:v>
      </x:c>
      <x:c r="AS54" s="76" t="str">
        <x:v>storm-to-inspection before/after ad</x:v>
      </x:c>
      <x:c r="AT54" s="76" t="str">
        <x:v>Ashley River Roofing ad concept</x:v>
      </x:c>
      <x:c r="AU54" s="76" t="str">
        <x:v>Hi Ashley River Roofing — I noticed Ashley River Roofing's site has Meta tracking installed, but I couldn't find an embedded video on the homepage. I mapped a private 15-second storm-to-inspection before/after ad for Ashley River Roofing using only public brand context—not for publishing, just to show the angle. We build three client-approved video ad concepts in seven days, then turn the winners into fresh variations. No filming day required. Worth sending the private sample?</x:v>
      </x:c>
      <x:c r="AV54" s="76" t="str">
        <x:v>Quick follow-up: the sample angle is a storm-to-inspection before/after ad. If it misses the mark, no problem—I won't keep chasing. Should I send it?</x:v>
      </x:c>
      <x:c r="AW54" s="76" t="str">
        <x:v>Hi Ashley River Roofing, Ryan here. I was looking at Ashley River Roofing's public marketing and noticed: meta tracking detected; no embedded homepage video found. I mapped one private storm-to-inspection before/after ad as an example. Did I catch you with 30 seconds?</x:v>
      </x:c>
      <x:c r="AX54" s="60" t="str">
        <x:v>https://www.facebook.com/ads/library/?active_status=active&amp;ad_type=all&amp;country=US&amp;q=Ashley%20River%20Roofing&amp;search_type=keyword_unordered</x:v>
      </x:c>
      <x:c r="AY54" s="60" t="str">
        <x:v>ok:200</x:v>
      </x:c>
      <x:c r="AZ54" s="60" t="n">
        <x:v>46232.722858796296</x:v>
      </x:c>
      <x:c r="BA54" s="60" t="str">
        <x:v>Google Maps home-services export</x:v>
      </x:c>
      <x:c r="BB54" s="60" t="str">
        <x:v>https://ashleyriverroofing.com | https://maps.google.com/?cid=10820223035570398556&amp;g_mp=Cidnb29nbGUubWFwcy5wbGFjZXMudjEuUGxhY2VzLlNlYXJjaFRleHQQAhgEIAA</x:v>
      </x:c>
      <x:c r="BC54" s="60" t="str"/>
    </x:row>
    <x:row r="55" ht="18" customHeight="1">
      <x:c r="A55" s="70" t="str">
        <x:v>54</x:v>
      </x:c>
      <x:c r="B55" s="70" t="str">
        <x:v>A - Layup</x:v>
      </x:c>
      <x:c r="C55" s="72" t="str">
        <x:v>75</x:v>
      </x:c>
      <x:c r="D55" s="60" t="str">
        <x:v>5 Star Charleston</x:v>
      </x:c>
      <x:c r="E55" s="60" t="str">
        <x:v>https://5starcharleston.com</x:v>
      </x:c>
      <x:c r="F55" s="60" t="str">
        <x:v>https://5starcharleston.com</x:v>
      </x:c>
      <x:c r="G55" s="60" t="str">
        <x:v>Charleston</x:v>
      </x:c>
      <x:c r="H55" s="60" t="str">
        <x:v>South Carolina</x:v>
      </x:c>
      <x:c r="I55" s="60" t="str">
        <x:v>HVAC</x:v>
      </x:c>
      <x:c r="J55" s="60" t="str">
        <x:v>5 Star Charleston</x:v>
      </x:c>
      <x:c r="K55" s="60" t="str"/>
      <x:c r="L55" s="60" t="str">
        <x:v>Owner / decision maker to verify</x:v>
      </x:c>
      <x:c r="M55" s="60" t="str"/>
      <x:c r="N55" s="60" t="str"/>
      <x:c r="O55" s="60" t="str">
        <x:v>(843) 406-1700</x:v>
      </x:c>
      <x:c r="P55" s="60" t="str"/>
      <x:c r="Q55" s="60" t="str"/>
      <x:c r="R55" s="60" t="str"/>
      <x:c r="S55" s="60" t="str">
        <x:v>4.9</x:v>
      </x:c>
      <x:c r="T55" s="74" t="str">
        <x:v>279</x:v>
      </x:c>
      <x:c r="U55" s="60" t="str"/>
      <x:c r="V55" s="74" t="str">
        <x:v>29</x:v>
      </x:c>
      <x:c r="W55" s="74" t="str">
        <x:v>14</x:v>
      </x:c>
      <x:c r="X55" s="74" t="str">
        <x:v>12</x:v>
      </x:c>
      <x:c r="Y55" s="74" t="str">
        <x:v>15</x:v>
      </x:c>
      <x:c r="Z55" s="74" t="str">
        <x:v>5</x:v>
      </x:c>
      <x:c r="AA55" s="74" t="str">
        <x:v>0</x:v>
      </x:c>
      <x:c r="AB55" s="74" t="str">
        <x:v>0</x:v>
      </x:c>
      <x:c r="AC55" s="74" t="str">
        <x:v>1</x:v>
      </x:c>
      <x:c r="AD55" s="74" t="str">
        <x:v>0</x:v>
      </x:c>
      <x:c r="AE55" s="74" t="str">
        <x:v>1</x:v>
      </x:c>
      <x:c r="AF55" s="74" t="str">
        <x:v>servicetitan</x:v>
      </x:c>
      <x:c r="AG55" s="74" t="str">
        <x:v>0</x:v>
      </x:c>
      <x:c r="AH55" s="74" t="str">
        <x:v>1</x:v>
      </x:c>
      <x:c r="AI55" s="74" t="str">
        <x:v>1</x:v>
      </x:c>
      <x:c r="AJ55" s="74" t="str">
        <x:v>1</x:v>
      </x:c>
      <x:c r="AK55" s="74" t="str">
        <x:v>1</x:v>
      </x:c>
      <x:c r="AL55" s="74" t="str">
        <x:v>0</x:v>
      </x:c>
      <x:c r="AM55" s="74" t="str">
        <x:v>1</x:v>
      </x:c>
      <x:c r="AN55" s="74" t="str">
        <x:v>1</x:v>
      </x:c>
      <x:c r="AO55" s="60" t="str">
        <x:v>0</x:v>
      </x:c>
      <x:c r="AP55" s="76" t="str">
        <x:v>Call-tracking stack detected; no embedded homepage video found</x:v>
      </x:c>
      <x:c r="AQ55" s="76" t="str">
        <x:v>call tracking; project/gallery proof; testimonials; financing; visible service offer; no embedded homepage video detected</x:v>
      </x:c>
      <x:c r="AR55" s="76" t="str">
        <x:v>I noticed 5 Star Charleston has call tracking in place, but I couldn't find an embedded video on the homepage.</x:v>
      </x:c>
      <x:c r="AS55" s="76" t="str">
        <x:v>no-cool-call to same-day comfort ad</x:v>
      </x:c>
      <x:c r="AT55" s="76" t="str">
        <x:v>5 Star Charleston ad concept</x:v>
      </x:c>
      <x:c r="AU55" s="76" t="str">
        <x:v>Hi 5 Star Charleston — I noticed 5 Star Charleston has call tracking in place, but I couldn't find an embedded video on the homepage. I mapped a private 15-second no-cool-call to same-day comfort ad for 5 Star Charleston using only public brand context—not for publishing, just to show the angle. We build three client-approved video ad concepts in seven days, then turn the winners into fresh variations. No filming day required. Worth sending the private sample?</x:v>
      </x:c>
      <x:c r="AV55" s="76" t="str">
        <x:v>Quick follow-up: the sample angle is a no-cool-call to same-day comfort ad. If it misses the mark, no problem—I won't keep chasing. Should I send it?</x:v>
      </x:c>
      <x:c r="AW55" s="76" t="str">
        <x:v>Hi 5 Star Charleston, Ryan here. I was looking at 5 Star Charleston's public marketing and noticed: call-tracking stack detected; no embedded homepage video found. I mapped one private no-cool-call to same-day comfort ad as an example. Did I catch you with 30 seconds?</x:v>
      </x:c>
      <x:c r="AX55" s="60" t="str">
        <x:v>https://www.facebook.com/ads/library/?active_status=active&amp;ad_type=all&amp;country=US&amp;q=5%20Star%20Charleston&amp;search_type=keyword_unordered</x:v>
      </x:c>
      <x:c r="AY55" s="60" t="str">
        <x:v>ok:200</x:v>
      </x:c>
      <x:c r="AZ55" s="60" t="n">
        <x:v>46232.722858796296</x:v>
      </x:c>
      <x:c r="BA55" s="60" t="str">
        <x:v>Google Maps home-services export</x:v>
      </x:c>
      <x:c r="BB55" s="60" t="str">
        <x:v>https://5starcharleston.com | https://maps.google.com/?cid=9125320685548284919&amp;g_mp=Cidnb29nbGUubWFwcy5wbGFjZXMudjEuUGxhY2VzLlNlYXJjaFRleHQQAhgEIAA</x:v>
      </x:c>
      <x:c r="BC55" s="60" t="str"/>
    </x:row>
    <x:row r="56" ht="18" customHeight="1">
      <x:c r="A56" s="70" t="str">
        <x:v>55</x:v>
      </x:c>
      <x:c r="B56" s="70" t="str">
        <x:v>A - Layup</x:v>
      </x:c>
      <x:c r="C56" s="72" t="str">
        <x:v>75</x:v>
      </x:c>
      <x:c r="D56" s="60" t="str">
        <x:v>Deaville Roofing &amp; Construction</x:v>
      </x:c>
      <x:c r="E56" s="60" t="str">
        <x:v>https://deavilleroofing.com</x:v>
      </x:c>
      <x:c r="F56" s="60" t="str">
        <x:v>https://deavilleroofing.com</x:v>
      </x:c>
      <x:c r="G56" s="60" t="str">
        <x:v>Charleston</x:v>
      </x:c>
      <x:c r="H56" s="60" t="str">
        <x:v>South Carolina</x:v>
      </x:c>
      <x:c r="I56" s="60" t="str">
        <x:v>Roofing</x:v>
      </x:c>
      <x:c r="J56" s="60" t="str">
        <x:v>Deaville Roofing &amp; Construction</x:v>
      </x:c>
      <x:c r="K56" s="60" t="str"/>
      <x:c r="L56" s="60" t="str">
        <x:v>Owner / decision maker to verify</x:v>
      </x:c>
      <x:c r="M56" s="60" t="str"/>
      <x:c r="N56" s="60" t="str"/>
      <x:c r="O56" s="60" t="str">
        <x:v>(843) 806-0407</x:v>
      </x:c>
      <x:c r="P56" s="60" t="str"/>
      <x:c r="Q56" s="60" t="str"/>
      <x:c r="R56" s="60" t="str"/>
      <x:c r="S56" s="60" t="str">
        <x:v>4.9</x:v>
      </x:c>
      <x:c r="T56" s="74" t="str">
        <x:v>145</x:v>
      </x:c>
      <x:c r="U56" s="60" t="str"/>
      <x:c r="V56" s="74" t="str">
        <x:v>29</x:v>
      </x:c>
      <x:c r="W56" s="74" t="str">
        <x:v>11</x:v>
      </x:c>
      <x:c r="X56" s="74" t="str">
        <x:v>16</x:v>
      </x:c>
      <x:c r="Y56" s="74" t="str">
        <x:v>14</x:v>
      </x:c>
      <x:c r="Z56" s="74" t="str">
        <x:v>5</x:v>
      </x:c>
      <x:c r="AA56" s="74" t="str">
        <x:v>0</x:v>
      </x:c>
      <x:c r="AB56" s="74" t="str">
        <x:v>0</x:v>
      </x:c>
      <x:c r="AC56" s="74" t="str">
        <x:v>1</x:v>
      </x:c>
      <x:c r="AD56" s="74" t="str">
        <x:v>0</x:v>
      </x:c>
      <x:c r="AE56" s="74" t="str">
        <x:v>1</x:v>
      </x:c>
      <x:c r="AF56" s="74" t="str"/>
      <x:c r="AG56" s="74" t="str">
        <x:v>0</x:v>
      </x:c>
      <x:c r="AH56" s="74" t="str">
        <x:v>1</x:v>
      </x:c>
      <x:c r="AI56" s="74" t="str">
        <x:v>0</x:v>
      </x:c>
      <x:c r="AJ56" s="74" t="str">
        <x:v>1</x:v>
      </x:c>
      <x:c r="AK56" s="74" t="str">
        <x:v>1</x:v>
      </x:c>
      <x:c r="AL56" s="74" t="str">
        <x:v>0</x:v>
      </x:c>
      <x:c r="AM56" s="74" t="str">
        <x:v>1</x:v>
      </x:c>
      <x:c r="AN56" s="74" t="str">
        <x:v>0</x:v>
      </x:c>
      <x:c r="AO56" s="60" t="str">
        <x:v>2026</x:v>
      </x:c>
      <x:c r="AP56" s="76" t="str">
        <x:v>Call-tracking stack detected; no embedded homepage video found</x:v>
      </x:c>
      <x:c r="AQ56" s="76" t="str">
        <x:v>call tracking; project/gallery proof; financing; visible service offer; no embedded homepage video detected</x:v>
      </x:c>
      <x:c r="AR56" s="76" t="str">
        <x:v>I noticed Deaville Roofing &amp; Construction has call tracking in place, but I couldn't find an embedded video on the homepage.</x:v>
      </x:c>
      <x:c r="AS56" s="76" t="str">
        <x:v>storm-to-inspection before/after ad</x:v>
      </x:c>
      <x:c r="AT56" s="76" t="str">
        <x:v>Deaville Roofing &amp; Construction ad concept</x:v>
      </x:c>
      <x:c r="AU56" s="76" t="str">
        <x:v>Hi Deaville Roofing &amp; Construction — I noticed Deaville Roofing &amp; Construction has call tracking in place, but I couldn't find an embedded video on the homepage. I mapped a private 15-second storm-to-inspection before/after ad for Deaville Roofing &amp; Construction using only public brand context—not for publishing, just to show the angle. We build three client-approved video ad concepts in seven days, then turn the winners into fresh variations. No filming day required. Worth sending the private sample?</x:v>
      </x:c>
      <x:c r="AV56" s="76" t="str">
        <x:v>Quick follow-up: the sample angle is a storm-to-inspection before/after ad. If it misses the mark, no problem—I won't keep chasing. Should I send it?</x:v>
      </x:c>
      <x:c r="AW56" s="76" t="str">
        <x:v>Hi Deaville Roofing &amp; Construction, Ryan here. I was looking at Deaville Roofing &amp; Construction's public marketing and noticed: call-tracking stack detected; no embedded homepage video found. I mapped one private storm-to-inspection before/after ad as an example. Did I catch you with 30 seconds?</x:v>
      </x:c>
      <x:c r="AX56" s="60" t="str">
        <x:v>https://www.facebook.com/ads/library/?active_status=active&amp;ad_type=all&amp;country=US&amp;q=Deaville%20Roofing%20%26%20Construction&amp;search_type=keyword_unordered</x:v>
      </x:c>
      <x:c r="AY56" s="60" t="str">
        <x:v>ok:200</x:v>
      </x:c>
      <x:c r="AZ56" s="60" t="n">
        <x:v>46232.722858796296</x:v>
      </x:c>
      <x:c r="BA56" s="60" t="str">
        <x:v>Google Maps home-services export</x:v>
      </x:c>
      <x:c r="BB56" s="60" t="str">
        <x:v>https://deavilleroofing.com | https://maps.google.com/?cid=132440159194313864&amp;g_mp=Cidnb29nbGUubWFwcy5wbGFjZXMudjEuUGxhY2VzLlNlYXJjaFRleHQQAhgEIAA</x:v>
      </x:c>
      <x:c r="BC56" s="60" t="str"/>
    </x:row>
    <x:row r="57" ht="18" customHeight="1">
      <x:c r="A57" s="70" t="str">
        <x:v>56</x:v>
      </x:c>
      <x:c r="B57" s="70" t="str">
        <x:v>A - Layup</x:v>
      </x:c>
      <x:c r="C57" s="72" t="str">
        <x:v>74</x:v>
      </x:c>
      <x:c r="D57" s="60" t="str">
        <x:v>HW Cabinet Co.</x:v>
      </x:c>
      <x:c r="E57" s="60" t="str">
        <x:v>https://hwcabinetco.com</x:v>
      </x:c>
      <x:c r="F57" s="60" t="str">
        <x:v>https://www.hannoninteriors.com/</x:v>
      </x:c>
      <x:c r="G57" s="60" t="str">
        <x:v>Charleston County</x:v>
      </x:c>
      <x:c r="H57" s="60" t="str">
        <x:v>South Carolina</x:v>
      </x:c>
      <x:c r="I57" s="60" t="str">
        <x:v>Remodeling</x:v>
      </x:c>
      <x:c r="J57" s="60" t="str">
        <x:v>Steve</x:v>
      </x:c>
      <x:c r="K57" s="60" t="str">
        <x:v>W.</x:v>
      </x:c>
      <x:c r="L57" s="60" t="str">
        <x:v>Co-Owner</x:v>
      </x:c>
      <x:c r="M57" s="60" t="str"/>
      <x:c r="N57" s="60" t="str"/>
      <x:c r="O57" s="60" t="str">
        <x:v>+1 843 510 7710</x:v>
      </x:c>
      <x:c r="P57" s="60" t="str">
        <x:v>https://www.linkedin.com/in/steve-w-9189221bb</x:v>
      </x:c>
      <x:c r="Q57" s="60" t="str">
        <x:v>2-10</x:v>
      </x:c>
      <x:c r="R57" s="60" t="str">
        <x:v>100000-499999</x:v>
      </x:c>
      <x:c r="S57" s="60" t="str"/>
      <x:c r="T57" s="74" t="str">
        <x:v>0</x:v>
      </x:c>
      <x:c r="U57" s="60" t="str"/>
      <x:c r="V57" s="74" t="str">
        <x:v>25</x:v>
      </x:c>
      <x:c r="W57" s="74" t="str">
        <x:v>25</x:v>
      </x:c>
      <x:c r="X57" s="74" t="str">
        <x:v>15</x:v>
      </x:c>
      <x:c r="Y57" s="74" t="str">
        <x:v>4</x:v>
      </x:c>
      <x:c r="Z57" s="74" t="str">
        <x:v>5</x:v>
      </x:c>
      <x:c r="AA57" s="74" t="str">
        <x:v>1</x:v>
      </x:c>
      <x:c r="AB57" s="74" t="str">
        <x:v>1</x:v>
      </x:c>
      <x:c r="AC57" s="74" t="str">
        <x:v>1</x:v>
      </x:c>
      <x:c r="AD57" s="74" t="str">
        <x:v>0</x:v>
      </x:c>
      <x:c r="AE57" s="74" t="str">
        <x:v>0</x:v>
      </x:c>
      <x:c r="AF57" s="74" t="str"/>
      <x:c r="AG57" s="74" t="str">
        <x:v>0</x:v>
      </x:c>
      <x:c r="AH57" s="74" t="str">
        <x:v>0</x:v>
      </x:c>
      <x:c r="AI57" s="74" t="str">
        <x:v>1</x:v>
      </x:c>
      <x:c r="AJ57" s="74" t="str">
        <x:v>0</x:v>
      </x:c>
      <x:c r="AK57" s="74" t="str">
        <x:v>0</x:v>
      </x:c>
      <x:c r="AL57" s="74" t="str">
        <x:v>1</x:v>
      </x:c>
      <x:c r="AM57" s="74" t="str">
        <x:v>1</x:v>
      </x:c>
      <x:c r="AN57" s="74" t="str">
        <x:v>0</x:v>
      </x:c>
      <x:c r="AO57" s="60" t="str">
        <x:v>2023</x:v>
      </x:c>
      <x:c r="AP57" s="76" t="str">
        <x:v>Meta tracking detected; no embedded homepage video found</x:v>
      </x:c>
      <x:c r="AQ57" s="76" t="str">
        <x:v>Meta Pixel; Google Ads tag; testimonials; no embedded homepage video detected</x:v>
      </x:c>
      <x:c r="AR57" s="76" t="str">
        <x:v>I noticed HW Cabinet Co.'s site has Meta tracking installed, but I couldn't find an embedded video on the homepage.</x:v>
      </x:c>
      <x:c r="AS57" s="76" t="str">
        <x:v>project reveal with budget-and-timeline proof</x:v>
      </x:c>
      <x:c r="AT57" s="76" t="str">
        <x:v>HW Cabinet Co. ad concept</x:v>
      </x:c>
      <x:c r="AU57" s="76" t="str">
        <x:v>Hi Steve — I noticed HW Cabinet Co.'s site has Meta tracking installed, but I couldn't find an embedded video on the homepage. I mapped a private 15-second project reveal with budget-and-timeline proof for HW Cabinet Co. using only public brand context—not for publishing, just to show the angle. We build three client-approved video ad concepts in seven days, then turn the winners into fresh variations. No filming day required. Worth sending the private sample?</x:v>
      </x:c>
      <x:c r="AV57" s="76" t="str">
        <x:v>Quick follow-up: the sample angle is a project reveal with budget-and-timeline proof. If it misses the mark, no problem—I won't keep chasing. Should I send it?</x:v>
      </x:c>
      <x:c r="AW57" s="76" t="str">
        <x:v>Hi Steve, Ryan here. I was looking at HW Cabinet Co.'s public marketing and noticed: meta tracking detected; no embedded homepage video found. I mapped one private project reveal with budget-and-timeline proof as an example. Did I catch you with 30 seconds?</x:v>
      </x:c>
      <x:c r="AX57" s="60" t="str">
        <x:v>https://www.facebook.com/ads/library/?active_status=active&amp;ad_type=all&amp;country=US&amp;q=HW%20Cabinet%20Co.&amp;search_type=keyword_unordered</x:v>
      </x:c>
      <x:c r="AY57" s="60" t="str">
        <x:v>ok:200</x:v>
      </x:c>
      <x:c r="AZ57" s="60" t="n">
        <x:v>46232.722858796296</x:v>
      </x:c>
      <x:c r="BA57" s="60" t="str">
        <x:v>AI Ark SC trades export</x:v>
      </x:c>
      <x:c r="BB57" s="60" t="str">
        <x:v>https://hwcabinetco.com | https://www.linkedin.com/company/hw-renovation-design</x:v>
      </x:c>
      <x:c r="BC57" s="60" t="str"/>
    </x:row>
    <x:row r="58" ht="18" customHeight="1">
      <x:c r="A58" s="70" t="str">
        <x:v>57</x:v>
      </x:c>
      <x:c r="B58" s="70" t="str">
        <x:v>A - Layup</x:v>
      </x:c>
      <x:c r="C58" s="72" t="str">
        <x:v>74</x:v>
      </x:c>
      <x:c r="D58" s="60" t="str">
        <x:v>Top Notch Tree Service</x:v>
      </x:c>
      <x:c r="E58" s="60" t="str">
        <x:v>https://topnotchtrees.com</x:v>
      </x:c>
      <x:c r="F58" s="60" t="str">
        <x:v>https://topnotchtrees.com</x:v>
      </x:c>
      <x:c r="G58" s="60" t="str">
        <x:v>Myrtle Beach</x:v>
      </x:c>
      <x:c r="H58" s="60" t="str">
        <x:v>South Carolina</x:v>
      </x:c>
      <x:c r="I58" s="60" t="str">
        <x:v>Landscaping &amp; Tree</x:v>
      </x:c>
      <x:c r="J58" s="60" t="str">
        <x:v>Wesley</x:v>
      </x:c>
      <x:c r="K58" s="60" t="str">
        <x:v>Wellons Jr</x:v>
      </x:c>
      <x:c r="L58" s="60" t="str">
        <x:v>Business Owner</x:v>
      </x:c>
      <x:c r="M58" s="60" t="str"/>
      <x:c r="N58" s="60" t="str"/>
      <x:c r="O58" s="60" t="str">
        <x:v>+1 843 450 7970</x:v>
      </x:c>
      <x:c r="P58" s="60" t="str">
        <x:v>https://www.linkedin.com/in/wesley-wellons-jr-a329aa136</x:v>
      </x:c>
      <x:c r="Q58" s="60" t="str">
        <x:v>2-10</x:v>
      </x:c>
      <x:c r="R58" s="60" t="str">
        <x:v>1000000-4999999</x:v>
      </x:c>
      <x:c r="S58" s="60" t="str"/>
      <x:c r="T58" s="74" t="str">
        <x:v>0</x:v>
      </x:c>
      <x:c r="U58" s="60" t="str"/>
      <x:c r="V58" s="74" t="str">
        <x:v>26</x:v>
      </x:c>
      <x:c r="W58" s="74" t="str">
        <x:v>15</x:v>
      </x:c>
      <x:c r="X58" s="74" t="str">
        <x:v>16</x:v>
      </x:c>
      <x:c r="Y58" s="74" t="str">
        <x:v>12</x:v>
      </x:c>
      <x:c r="Z58" s="74" t="str">
        <x:v>5</x:v>
      </x:c>
      <x:c r="AA58" s="74" t="str">
        <x:v>1</x:v>
      </x:c>
      <x:c r="AB58" s="74" t="str">
        <x:v>0</x:v>
      </x:c>
      <x:c r="AC58" s="74" t="str">
        <x:v>1</x:v>
      </x:c>
      <x:c r="AD58" s="74" t="str">
        <x:v>0</x:v>
      </x:c>
      <x:c r="AE58" s="74" t="str">
        <x:v>0</x:v>
      </x:c>
      <x:c r="AF58" s="74" t="str"/>
      <x:c r="AG58" s="74" t="str">
        <x:v>0</x:v>
      </x:c>
      <x:c r="AH58" s="74" t="str">
        <x:v>1</x:v>
      </x:c>
      <x:c r="AI58" s="74" t="str">
        <x:v>1</x:v>
      </x:c>
      <x:c r="AJ58" s="74" t="str">
        <x:v>0</x:v>
      </x:c>
      <x:c r="AK58" s="74" t="str">
        <x:v>1</x:v>
      </x:c>
      <x:c r="AL58" s="74" t="str">
        <x:v>0</x:v>
      </x:c>
      <x:c r="AM58" s="74" t="str">
        <x:v>1</x:v>
      </x:c>
      <x:c r="AN58" s="74" t="str">
        <x:v>0</x:v>
      </x:c>
      <x:c r="AO58" s="60" t="str">
        <x:v>2025</x:v>
      </x:c>
      <x:c r="AP58" s="76" t="str">
        <x:v>Meta tracking detected; no embedded homepage video found</x:v>
      </x:c>
      <x:c r="AQ58" s="76" t="str">
        <x:v>Meta Pixel; project/gallery proof; testimonials; visible service offer; no embedded homepage video detected</x:v>
      </x:c>
      <x:c r="AR58" s="76" t="str">
        <x:v>I noticed Top Notch Tree Service's site has Meta tracking installed, but I couldn't find an embedded video on the homepage.</x:v>
      </x:c>
      <x:c r="AS58" s="76" t="str">
        <x:v>property transformation ad</x:v>
      </x:c>
      <x:c r="AT58" s="76" t="str">
        <x:v>Top Notch Tree Service ad concept</x:v>
      </x:c>
      <x:c r="AU58" s="76" t="str">
        <x:v>Hi Wesley — I noticed Top Notch Tree Service's site has Meta tracking installed, but I couldn't find an embedded video on the homepage. I mapped a private 15-second property transformation ad for Top Notch Tree Service using only public brand context—not for publishing, just to show the angle. We build three client-approved video ad concepts in seven days, then turn the winners into fresh variations. No filming day required. Worth sending the private sample?</x:v>
      </x:c>
      <x:c r="AV58" s="76" t="str">
        <x:v>Quick follow-up: the sample angle is a property transformation ad. If it misses the mark, no problem—I won't keep chasing. Should I send it?</x:v>
      </x:c>
      <x:c r="AW58" s="76" t="str">
        <x:v>Hi Wesley, Ryan here. I was looking at Top Notch Tree Service's public marketing and noticed: meta tracking detected; no embedded homepage video found. I mapped one private property transformation ad as an example. Did I catch you with 30 seconds?</x:v>
      </x:c>
      <x:c r="AX58" s="60" t="str">
        <x:v>https://www.facebook.com/ads/library/?active_status=active&amp;ad_type=all&amp;country=US&amp;q=Top%20Notch%20Tree%20Service&amp;search_type=keyword_unordered</x:v>
      </x:c>
      <x:c r="AY58" s="60" t="str">
        <x:v>ok:200</x:v>
      </x:c>
      <x:c r="AZ58" s="60" t="n">
        <x:v>46232.722858796296</x:v>
      </x:c>
      <x:c r="BA58" s="60" t="str">
        <x:v>AI Ark SC trades export</x:v>
      </x:c>
      <x:c r="BB58" s="60" t="str">
        <x:v>https://topnotchtrees.com | https://www.linkedin.com/company/top-notch-tree-service</x:v>
      </x:c>
      <x:c r="BC58" s="60" t="str"/>
    </x:row>
    <x:row r="59" ht="18" customHeight="1">
      <x:c r="A59" s="70" t="str">
        <x:v>58</x:v>
      </x:c>
      <x:c r="B59" s="70" t="str">
        <x:v>A - Layup</x:v>
      </x:c>
      <x:c r="C59" s="72" t="str">
        <x:v>74</x:v>
      </x:c>
      <x:c r="D59" s="60" t="str">
        <x:v>Easy Air + Heat + Plumbing</x:v>
      </x:c>
      <x:c r="E59" s="60" t="str">
        <x:v>https://easyairheatplumbing.com</x:v>
      </x:c>
      <x:c r="F59" s="60" t="str">
        <x:v>https://easyairheatplumbing.com</x:v>
      </x:c>
      <x:c r="G59" s="60" t="str">
        <x:v>Greenville</x:v>
      </x:c>
      <x:c r="H59" s="60" t="str">
        <x:v>South Carolina</x:v>
      </x:c>
      <x:c r="I59" s="60" t="str">
        <x:v>HVAC</x:v>
      </x:c>
      <x:c r="J59" s="60" t="str">
        <x:v>Easy Air + Heat + Plumbing</x:v>
      </x:c>
      <x:c r="K59" s="60" t="str"/>
      <x:c r="L59" s="60" t="str">
        <x:v>Owner / decision maker to verify</x:v>
      </x:c>
      <x:c r="M59" s="60" t="str"/>
      <x:c r="N59" s="60" t="str"/>
      <x:c r="O59" s="60" t="str">
        <x:v>(864) 501-4500</x:v>
      </x:c>
      <x:c r="P59" s="60" t="str"/>
      <x:c r="Q59" s="60" t="str"/>
      <x:c r="R59" s="60" t="str"/>
      <x:c r="S59" s="60" t="str">
        <x:v>4.9</x:v>
      </x:c>
      <x:c r="T59" s="74" t="str">
        <x:v>521</x:v>
      </x:c>
      <x:c r="U59" s="60" t="str"/>
      <x:c r="V59" s="74" t="str">
        <x:v>29</x:v>
      </x:c>
      <x:c r="W59" s="74" t="str">
        <x:v>15</x:v>
      </x:c>
      <x:c r="X59" s="74" t="str">
        <x:v>16</x:v>
      </x:c>
      <x:c r="Y59" s="74" t="str">
        <x:v>9</x:v>
      </x:c>
      <x:c r="Z59" s="74" t="str">
        <x:v>5</x:v>
      </x:c>
      <x:c r="AA59" s="74" t="str">
        <x:v>1</x:v>
      </x:c>
      <x:c r="AB59" s="74" t="str">
        <x:v>0</x:v>
      </x:c>
      <x:c r="AC59" s="74" t="str">
        <x:v>1</x:v>
      </x:c>
      <x:c r="AD59" s="74" t="str">
        <x:v>0</x:v>
      </x:c>
      <x:c r="AE59" s="74" t="str">
        <x:v>0</x:v>
      </x:c>
      <x:c r="AF59" s="74" t="str"/>
      <x:c r="AG59" s="74" t="str">
        <x:v>0</x:v>
      </x:c>
      <x:c r="AH59" s="74" t="str">
        <x:v>0</x:v>
      </x:c>
      <x:c r="AI59" s="74" t="str">
        <x:v>0</x:v>
      </x:c>
      <x:c r="AJ59" s="74" t="str">
        <x:v>1</x:v>
      </x:c>
      <x:c r="AK59" s="74" t="str">
        <x:v>1</x:v>
      </x:c>
      <x:c r="AL59" s="74" t="str">
        <x:v>0</x:v>
      </x:c>
      <x:c r="AM59" s="74" t="str">
        <x:v>1</x:v>
      </x:c>
      <x:c r="AN59" s="74" t="str">
        <x:v>0</x:v>
      </x:c>
      <x:c r="AO59" s="60" t="str">
        <x:v>2026</x:v>
      </x:c>
      <x:c r="AP59" s="76" t="str">
        <x:v>Meta tracking detected; no embedded homepage video found</x:v>
      </x:c>
      <x:c r="AQ59" s="76" t="str">
        <x:v>Meta Pixel; financing; visible service offer; no embedded homepage video detected</x:v>
      </x:c>
      <x:c r="AR59" s="76" t="str">
        <x:v>I noticed Easy Air + Heat + Plumbing's site has Meta tracking installed, but I couldn't find an embedded video on the homepage.</x:v>
      </x:c>
      <x:c r="AS59" s="76" t="str">
        <x:v>no-cool-call to same-day comfort ad</x:v>
      </x:c>
      <x:c r="AT59" s="76" t="str">
        <x:v>Easy Air + Heat + Plumbing ad concept</x:v>
      </x:c>
      <x:c r="AU59" s="76" t="str">
        <x:v>Hi Easy Air + Heat + Plumbing — I noticed Easy Air + Heat + Plumbing's site has Meta tracking installed, but I couldn't find an embedded video on the homepage. I mapped a private 15-second no-cool-call to same-day comfort ad for Easy Air + Heat + Plumbing using only public brand context—not for publishing, just to show the angle. We build three client-approved video ad concepts in seven days, then turn the winners into fresh variations. No filming day required. Worth sending the private sample?</x:v>
      </x:c>
      <x:c r="AV59" s="76" t="str">
        <x:v>Quick follow-up: the sample angle is a no-cool-call to same-day comfort ad. If it misses the mark, no problem—I won't keep chasing. Should I send it?</x:v>
      </x:c>
      <x:c r="AW59" s="76" t="str">
        <x:v>Hi Easy Air + Heat + Plumbing, Ryan here. I was looking at Easy Air + Heat + Plumbing's public marketing and noticed: meta tracking detected; no embedded homepage video found. I mapped one private no-cool-call to same-day comfort ad as an example. Did I catch you with 30 seconds?</x:v>
      </x:c>
      <x:c r="AX59" s="60" t="str">
        <x:v>https://www.facebook.com/ads/library/?active_status=active&amp;ad_type=all&amp;country=US&amp;q=Easy%20Air%20%2B%20Heat%20%2B%20Plumbing&amp;search_type=keyword_unordered</x:v>
      </x:c>
      <x:c r="AY59" s="60" t="str">
        <x:v>ok:200</x:v>
      </x:c>
      <x:c r="AZ59" s="60" t="n">
        <x:v>46232.722858796296</x:v>
      </x:c>
      <x:c r="BA59" s="60" t="str">
        <x:v>Google Maps home-services export</x:v>
      </x:c>
      <x:c r="BB59" s="60" t="str">
        <x:v>https://easyairheatplumbing.com | https://maps.google.com/?cid=9665455227297623006&amp;g_mp=Cidnb29nbGUubWFwcy5wbGFjZXMudjEuUGxhY2VzLlNlYXJjaFRleHQQAhgEIAA</x:v>
      </x:c>
      <x:c r="BC59" s="60" t="str"/>
    </x:row>
    <x:row r="60" ht="18" customHeight="1">
      <x:c r="A60" s="70" t="str">
        <x:v>59</x:v>
      </x:c>
      <x:c r="B60" s="70" t="str">
        <x:v>A - Layup</x:v>
      </x:c>
      <x:c r="C60" s="72" t="str">
        <x:v>74</x:v>
      </x:c>
      <x:c r="D60" s="60" t="str">
        <x:v>All Dry Services</x:v>
      </x:c>
      <x:c r="E60" s="60" t="str">
        <x:v>https://myalldry.com</x:v>
      </x:c>
      <x:c r="F60" s="60" t="str">
        <x:v>https://www.myalldry.com/</x:v>
      </x:c>
      <x:c r="G60" s="60" t="str">
        <x:v>Charleston</x:v>
      </x:c>
      <x:c r="H60" s="60" t="str">
        <x:v>South Carolina Metropolitan Area</x:v>
      </x:c>
      <x:c r="I60" s="60" t="str">
        <x:v>Restoration</x:v>
      </x:c>
      <x:c r="J60" s="60" t="str">
        <x:v>Brie</x:v>
      </x:c>
      <x:c r="K60" s="60" t="str">
        <x:v>Worden</x:v>
      </x:c>
      <x:c r="L60" s="60" t="str">
        <x:v>Owner AllDry Services of Charleston</x:v>
      </x:c>
      <x:c r="M60" s="60" t="str">
        <x:v>brie.worden@myalldry.com</x:v>
      </x:c>
      <x:c r="N60" s="60" t="str">
        <x:v>Verified with BounceBan on 08 Jun 26 12:06</x:v>
      </x:c>
      <x:c r="O60" s="60" t="str">
        <x:v>+1 919 622 0362</x:v>
      </x:c>
      <x:c r="P60" s="60" t="str">
        <x:v>https://www.linkedin.com/in/brie-worden</x:v>
      </x:c>
      <x:c r="Q60" s="60" t="str">
        <x:v>11-50</x:v>
      </x:c>
      <x:c r="R60" s="60" t="str">
        <x:v>5000000-9999999</x:v>
      </x:c>
      <x:c r="S60" s="60" t="str"/>
      <x:c r="T60" s="74" t="str">
        <x:v>0</x:v>
      </x:c>
      <x:c r="U60" s="60" t="str"/>
      <x:c r="V60" s="74" t="str">
        <x:v>30</x:v>
      </x:c>
      <x:c r="W60" s="74" t="str">
        <x:v>15</x:v>
      </x:c>
      <x:c r="X60" s="74" t="str">
        <x:v>16</x:v>
      </x:c>
      <x:c r="Y60" s="74" t="str">
        <x:v>3</x:v>
      </x:c>
      <x:c r="Z60" s="74" t="str">
        <x:v>10</x:v>
      </x:c>
      <x:c r="AA60" s="74" t="str">
        <x:v>1</x:v>
      </x:c>
      <x:c r="AB60" s="74" t="str">
        <x:v>0</x:v>
      </x:c>
      <x:c r="AC60" s="74" t="str">
        <x:v>1</x:v>
      </x:c>
      <x:c r="AD60" s="74" t="str">
        <x:v>0</x:v>
      </x:c>
      <x:c r="AE60" s="74" t="str">
        <x:v>0</x:v>
      </x:c>
      <x:c r="AF60" s="74" t="str"/>
      <x:c r="AG60" s="74" t="str">
        <x:v>0</x:v>
      </x:c>
      <x:c r="AH60" s="74" t="str">
        <x:v>0</x:v>
      </x:c>
      <x:c r="AI60" s="74" t="str">
        <x:v>0</x:v>
      </x:c>
      <x:c r="AJ60" s="74" t="str">
        <x:v>0</x:v>
      </x:c>
      <x:c r="AK60" s="74" t="str">
        <x:v>1</x:v>
      </x:c>
      <x:c r="AL60" s="74" t="str">
        <x:v>0</x:v>
      </x:c>
      <x:c r="AM60" s="74" t="str">
        <x:v>0</x:v>
      </x:c>
      <x:c r="AN60" s="74" t="str">
        <x:v>0</x:v>
      </x:c>
      <x:c r="AO60" s="60" t="str">
        <x:v>2026</x:v>
      </x:c>
      <x:c r="AP60" s="76" t="str">
        <x:v>Meta tracking detected; no embedded homepage video found</x:v>
      </x:c>
      <x:c r="AQ60" s="76" t="str">
        <x:v>Meta Pixel; visible service offer; no embedded homepage video detected</x:v>
      </x:c>
      <x:c r="AR60" s="76" t="str">
        <x:v>I noticed All Dry Services's site has Meta tracking installed, but I couldn't find an embedded video on the homepage.</x:v>
      </x:c>
      <x:c r="AS60" s="76" t="str">
        <x:v>first-24-hours emergency-response ad</x:v>
      </x:c>
      <x:c r="AT60" s="76" t="str">
        <x:v>All Dry Services ad concept</x:v>
      </x:c>
      <x:c r="AU60" s="76" t="str">
        <x:v>Hi Brie — I noticed All Dry Services's site has Meta tracking installed, but I couldn't find an embedded video on the homepage. I mapped a private 15-second first-24-hours emergency-response ad for All Dry Services using only public brand context—not for publishing, just to show the angle. We build three client-approved video ad concepts in seven days, then turn the winners into fresh variations. No filming day required. Worth sending the private sample?</x:v>
      </x:c>
      <x:c r="AV60" s="76" t="str">
        <x:v>Quick follow-up: the sample angle is a first-24-hours emergency-response ad. If it misses the mark, no problem—I won't keep chasing. Should I send it?</x:v>
      </x:c>
      <x:c r="AW60" s="76" t="str">
        <x:v>Hi Brie, Ryan here. I was looking at All Dry Services's public marketing and noticed: meta tracking detected; no embedded homepage video found. I mapped one private first-24-hours emergency-response ad as an example. Did I catch you with 30 seconds?</x:v>
      </x:c>
      <x:c r="AX60" s="60" t="str">
        <x:v>https://www.facebook.com/ads/library/?active_status=active&amp;ad_type=all&amp;country=US&amp;q=All%20Dry%20Services&amp;search_type=keyword_unordered</x:v>
      </x:c>
      <x:c r="AY60" s="60" t="str">
        <x:v>ok:200</x:v>
      </x:c>
      <x:c r="AZ60" s="60" t="n">
        <x:v>46232.722858796296</x:v>
      </x:c>
      <x:c r="BA60" s="60" t="str">
        <x:v>AI Ark SC trades export</x:v>
      </x:c>
      <x:c r="BB60" s="60" t="str">
        <x:v>https://myalldry.com | https://www.linkedin.com/company/alldryservices</x:v>
      </x:c>
      <x:c r="BC60" s="60" t="str"/>
    </x:row>
    <x:row r="61" ht="18" customHeight="1">
      <x:c r="A61" s="70" t="str">
        <x:v>60</x:v>
      </x:c>
      <x:c r="B61" s="70" t="str">
        <x:v>A - Layup</x:v>
      </x:c>
      <x:c r="C61" s="72" t="str">
        <x:v>73</x:v>
      </x:c>
      <x:c r="D61" s="60" t="str">
        <x:v>Johnson Brothers Plumbing</x:v>
      </x:c>
      <x:c r="E61" s="60" t="str">
        <x:v>https://jbrosplumbing.com</x:v>
      </x:c>
      <x:c r="F61" s="60" t="str">
        <x:v>https://jbrosplumbing.com</x:v>
      </x:c>
      <x:c r="G61" s="60" t="str">
        <x:v>Greenville</x:v>
      </x:c>
      <x:c r="H61" s="60" t="str">
        <x:v>South Carolina</x:v>
      </x:c>
      <x:c r="I61" s="60" t="str">
        <x:v>Plumbing</x:v>
      </x:c>
      <x:c r="J61" s="60" t="str">
        <x:v>Johnson Brothers Plumbing</x:v>
      </x:c>
      <x:c r="K61" s="60" t="str"/>
      <x:c r="L61" s="60" t="str">
        <x:v>Owner / decision maker to verify</x:v>
      </x:c>
      <x:c r="M61" s="60" t="str"/>
      <x:c r="N61" s="60" t="str"/>
      <x:c r="O61" s="60" t="str">
        <x:v>(864) 887-2908</x:v>
      </x:c>
      <x:c r="P61" s="60" t="str"/>
      <x:c r="Q61" s="60" t="str"/>
      <x:c r="R61" s="60" t="str"/>
      <x:c r="S61" s="60" t="str">
        <x:v>4.9</x:v>
      </x:c>
      <x:c r="T61" s="74" t="str">
        <x:v>98</x:v>
      </x:c>
      <x:c r="U61" s="60" t="str"/>
      <x:c r="V61" s="74" t="str">
        <x:v>22</x:v>
      </x:c>
      <x:c r="W61" s="74" t="str">
        <x:v>25</x:v>
      </x:c>
      <x:c r="X61" s="74" t="str">
        <x:v>12</x:v>
      </x:c>
      <x:c r="Y61" s="74" t="str">
        <x:v>9</x:v>
      </x:c>
      <x:c r="Z61" s="74" t="str">
        <x:v>5</x:v>
      </x:c>
      <x:c r="AA61" s="74" t="str">
        <x:v>1</x:v>
      </x:c>
      <x:c r="AB61" s="74" t="str">
        <x:v>1</x:v>
      </x:c>
      <x:c r="AC61" s="74" t="str">
        <x:v>1</x:v>
      </x:c>
      <x:c r="AD61" s="74" t="str">
        <x:v>0</x:v>
      </x:c>
      <x:c r="AE61" s="74" t="str">
        <x:v>0</x:v>
      </x:c>
      <x:c r="AF61" s="74" t="str"/>
      <x:c r="AG61" s="74" t="str">
        <x:v>0</x:v>
      </x:c>
      <x:c r="AH61" s="74" t="str">
        <x:v>0</x:v>
      </x:c>
      <x:c r="AI61" s="74" t="str">
        <x:v>1</x:v>
      </x:c>
      <x:c r="AJ61" s="74" t="str">
        <x:v>0</x:v>
      </x:c>
      <x:c r="AK61" s="74" t="str">
        <x:v>1</x:v>
      </x:c>
      <x:c r="AL61" s="74" t="str">
        <x:v>1</x:v>
      </x:c>
      <x:c r="AM61" s="74" t="str">
        <x:v>1</x:v>
      </x:c>
      <x:c r="AN61" s="74" t="str">
        <x:v>0</x:v>
      </x:c>
      <x:c r="AO61" s="60" t="str">
        <x:v>2026</x:v>
      </x:c>
      <x:c r="AP61" s="76" t="str">
        <x:v>Meta tracking detected; no embedded homepage video found</x:v>
      </x:c>
      <x:c r="AQ61" s="76" t="str">
        <x:v>Meta Pixel; Google Ads tag; testimonials; visible service offer; no embedded homepage video detected</x:v>
      </x:c>
      <x:c r="AR61" s="76" t="str">
        <x:v>I noticed Johnson Brothers Plumbing's site has Meta tracking installed, but I couldn't find an embedded video on the homepage.</x:v>
      </x:c>
      <x:c r="AS61" s="76" t="str">
        <x:v>small symptom to prevented-emergency ad</x:v>
      </x:c>
      <x:c r="AT61" s="76" t="str">
        <x:v>Johnson Brothers Plumbing ad concept</x:v>
      </x:c>
      <x:c r="AU61" s="76" t="str">
        <x:v>Hi Johnson Brothers Plumbing — I noticed Johnson Brothers Plumbing's site has Meta tracking installed, but I couldn't find an embedded video on the homepage. I mapped a private 15-second small symptom to prevented-emergency ad for Johnson Brothers Plumbing using only public brand context—not for publishing, just to show the angle. We build three client-approved video ad concepts in seven days, then turn the winners into fresh variations. No filming day required. Worth sending the private sample?</x:v>
      </x:c>
      <x:c r="AV61" s="76" t="str">
        <x:v>Quick follow-up: the sample angle is a small symptom to prevented-emergency ad. If it misses the mark, no problem—I won't keep chasing. Should I send it?</x:v>
      </x:c>
      <x:c r="AW61" s="76" t="str">
        <x:v>Hi Johnson Brothers Plumbing, Ryan here. I was looking at Johnson Brothers Plumbing's public marketing and noticed: meta tracking detected; no embedded homepage video found. I mapped one private small symptom to prevented-emergency ad as an example. Did I catch you with 30 seconds?</x:v>
      </x:c>
      <x:c r="AX61" s="60" t="str">
        <x:v>https://www.facebook.com/ads/library/?active_status=active&amp;ad_type=all&amp;country=US&amp;q=Johnson%20Brothers%20Plumbing&amp;search_type=keyword_unordered</x:v>
      </x:c>
      <x:c r="AY61" s="60" t="str">
        <x:v>ok:200</x:v>
      </x:c>
      <x:c r="AZ61" s="60" t="n">
        <x:v>46232.722858796296</x:v>
      </x:c>
      <x:c r="BA61" s="60" t="str">
        <x:v>Google Maps home-services export</x:v>
      </x:c>
      <x:c r="BB61" s="60" t="str">
        <x:v>https://jbrosplumbing.com | https://maps.google.com/?cid=5401929942056630818&amp;g_mp=Cidnb29nbGUubWFwcy5wbGFjZXMudjEuUGxhY2VzLlNlYXJjaFRleHQQAhgEIAA</x:v>
      </x:c>
      <x:c r="BC61" s="60" t="str"/>
    </x:row>
    <x:row r="62" ht="18" customHeight="1">
      <x:c r="A62" s="70" t="str">
        <x:v>61</x:v>
      </x:c>
      <x:c r="B62" s="70" t="str">
        <x:v>A - Layup</x:v>
      </x:c>
      <x:c r="C62" s="72" t="str">
        <x:v>73</x:v>
      </x:c>
      <x:c r="D62" s="60" t="str">
        <x:v>Modern Roofing</x:v>
      </x:c>
      <x:c r="E62" s="60" t="str">
        <x:v>https://modernroofingusa.com</x:v>
      </x:c>
      <x:c r="F62" s="60" t="str">
        <x:v>https://modernroofingusa.com</x:v>
      </x:c>
      <x:c r="G62" s="60" t="str">
        <x:v>Columbia</x:v>
      </x:c>
      <x:c r="H62" s="60" t="str">
        <x:v>South Carolina</x:v>
      </x:c>
      <x:c r="I62" s="60" t="str">
        <x:v>Roofing</x:v>
      </x:c>
      <x:c r="J62" s="60" t="str">
        <x:v>Modern Roofing</x:v>
      </x:c>
      <x:c r="K62" s="60" t="str"/>
      <x:c r="L62" s="60" t="str">
        <x:v>Owner / decision maker to verify</x:v>
      </x:c>
      <x:c r="M62" s="60" t="str"/>
      <x:c r="N62" s="60" t="str"/>
      <x:c r="O62" s="60" t="str">
        <x:v>(803) 839-0355</x:v>
      </x:c>
      <x:c r="P62" s="60" t="str"/>
      <x:c r="Q62" s="60" t="str"/>
      <x:c r="R62" s="60" t="str"/>
      <x:c r="S62" s="60" t="str">
        <x:v>4.9</x:v>
      </x:c>
      <x:c r="T62" s="74" t="str">
        <x:v>29</x:v>
      </x:c>
      <x:c r="U62" s="60" t="str"/>
      <x:c r="V62" s="74" t="str">
        <x:v>25</x:v>
      </x:c>
      <x:c r="W62" s="74" t="str">
        <x:v>25</x:v>
      </x:c>
      <x:c r="X62" s="74" t="str">
        <x:v>12</x:v>
      </x:c>
      <x:c r="Y62" s="74" t="str">
        <x:v>6</x:v>
      </x:c>
      <x:c r="Z62" s="74" t="str">
        <x:v>5</x:v>
      </x:c>
      <x:c r="AA62" s="74" t="str">
        <x:v>1</x:v>
      </x:c>
      <x:c r="AB62" s="74" t="str">
        <x:v>1</x:v>
      </x:c>
      <x:c r="AC62" s="74" t="str">
        <x:v>1</x:v>
      </x:c>
      <x:c r="AD62" s="74" t="str">
        <x:v>0</x:v>
      </x:c>
      <x:c r="AE62" s="74" t="str">
        <x:v>0</x:v>
      </x:c>
      <x:c r="AF62" s="74" t="str"/>
      <x:c r="AG62" s="74" t="str">
        <x:v>0</x:v>
      </x:c>
      <x:c r="AH62" s="74" t="str">
        <x:v>0</x:v>
      </x:c>
      <x:c r="AI62" s="74" t="str">
        <x:v>0</x:v>
      </x:c>
      <x:c r="AJ62" s="74" t="str">
        <x:v>1</x:v>
      </x:c>
      <x:c r="AK62" s="74" t="str">
        <x:v>1</x:v>
      </x:c>
      <x:c r="AL62" s="74" t="str">
        <x:v>1</x:v>
      </x:c>
      <x:c r="AM62" s="74" t="str">
        <x:v>1</x:v>
      </x:c>
      <x:c r="AN62" s="74" t="str">
        <x:v>1</x:v>
      </x:c>
      <x:c r="AO62" s="60" t="str">
        <x:v>2026</x:v>
      </x:c>
      <x:c r="AP62" s="76" t="str">
        <x:v>Meta tracking detected; no embedded homepage video found</x:v>
      </x:c>
      <x:c r="AQ62" s="76" t="str">
        <x:v>Meta Pixel; Google Ads tag; financing; visible service offer; no embedded homepage video detected</x:v>
      </x:c>
      <x:c r="AR62" s="76" t="str">
        <x:v>I noticed Modern Roofing's site has Meta tracking installed, but I couldn't find an embedded video on the homepage.</x:v>
      </x:c>
      <x:c r="AS62" s="76" t="str">
        <x:v>storm-to-inspection before/after ad</x:v>
      </x:c>
      <x:c r="AT62" s="76" t="str">
        <x:v>Modern Roofing ad concept</x:v>
      </x:c>
      <x:c r="AU62" s="76" t="str">
        <x:v>Hi Modern Roofing — I noticed Modern Roofing's site has Meta tracking installed, but I couldn't find an embedded video on the homepage. I mapped a private 15-second storm-to-inspection before/after ad for Modern Roofing using only public brand context—not for publishing, just to show the angle. We build three client-approved video ad concepts in seven days, then turn the winners into fresh variations. No filming day required. Worth sending the private sample?</x:v>
      </x:c>
      <x:c r="AV62" s="76" t="str">
        <x:v>Quick follow-up: the sample angle is a storm-to-inspection before/after ad. If it misses the mark, no problem—I won't keep chasing. Should I send it?</x:v>
      </x:c>
      <x:c r="AW62" s="76" t="str">
        <x:v>Hi Modern Roofing, Ryan here. I was looking at Modern Roofing's public marketing and noticed: meta tracking detected; no embedded homepage video found. I mapped one private storm-to-inspection before/after ad as an example. Did I catch you with 30 seconds?</x:v>
      </x:c>
      <x:c r="AX62" s="60" t="str">
        <x:v>https://www.facebook.com/ads/library/?active_status=active&amp;ad_type=all&amp;country=US&amp;q=Modern%20Roofing&amp;search_type=keyword_unordered</x:v>
      </x:c>
      <x:c r="AY62" s="60" t="str">
        <x:v>ok:200</x:v>
      </x:c>
      <x:c r="AZ62" s="60" t="n">
        <x:v>46232.722858796296</x:v>
      </x:c>
      <x:c r="BA62" s="60" t="str">
        <x:v>Google Maps home-services export</x:v>
      </x:c>
      <x:c r="BB62" s="60" t="str">
        <x:v>https://maps.google.com/?cid=15502550483444061231&amp;g_mp=Cidnb29nbGUubWFwcy5wbGFjZXMudjEuUGxhY2VzLlNlYXJjaFRleHQQAhgEIAA | https://maps.google.com/?cid=15605282445657656893&amp;g_mp=Cidnb29nbGUubWFwcy5wbGFjZXMudjEuUGxhY2VzLlNlYXJjaFRleHQQAhgEIAA | https://maps.google.com/?cid=17921511447565562698&amp;g_mp=Cidnb29nbGUubWFwcy5wbGFjZXMudjEuUGxhY2VzLlNlYXJjaFRleHQQAhgEIAA | https://maps.google.com/?cid=8965789043015582197&amp;g_mp=Cidnb29nbGUubWFwcy5wbGFjZXMudjEuUGxhY2VzLlNlYXJjaFRleHQQAhgEIAA | https://modernroofingusa.com</x:v>
      </x:c>
      <x:c r="BC62" s="60" t="str"/>
    </x:row>
    <x:row r="63" ht="18" customHeight="1">
      <x:c r="A63" s="70" t="str">
        <x:v>62</x:v>
      </x:c>
      <x:c r="B63" s="70" t="str">
        <x:v>B - Strong</x:v>
      </x:c>
      <x:c r="C63" s="72" t="str">
        <x:v>73</x:v>
      </x:c>
      <x:c r="D63" s="60" t="str">
        <x:v>Stuarts Landscaping &amp; Garden Center, Inc.</x:v>
      </x:c>
      <x:c r="E63" s="60" t="str">
        <x:v>https://stuartslandscaping.com</x:v>
      </x:c>
      <x:c r="F63" s="60" t="str">
        <x:v>https://www.stuartslandscaping.com/</x:v>
      </x:c>
      <x:c r="G63" s="60" t="str">
        <x:v>Ridgeland</x:v>
      </x:c>
      <x:c r="H63" s="60" t="str">
        <x:v>South Carolina</x:v>
      </x:c>
      <x:c r="I63" s="60" t="str">
        <x:v>Landscaping &amp; Tree</x:v>
      </x:c>
      <x:c r="J63" s="60" t="str">
        <x:v>Stephen</x:v>
      </x:c>
      <x:c r="K63" s="60" t="str">
        <x:v>Stuart</x:v>
      </x:c>
      <x:c r="L63" s="60" t="str">
        <x:v>Owner</x:v>
      </x:c>
      <x:c r="M63" s="60" t="str"/>
      <x:c r="N63" s="60" t="str"/>
      <x:c r="O63" s="60" t="str"/>
      <x:c r="P63" s="60" t="str">
        <x:v>https://www.linkedin.com/in/stephen-stuart-76218a89</x:v>
      </x:c>
      <x:c r="Q63" s="60" t="str">
        <x:v>51-200</x:v>
      </x:c>
      <x:c r="R63" s="60" t="str">
        <x:v>1000000-4999999</x:v>
      </x:c>
      <x:c r="S63" s="60" t="str"/>
      <x:c r="T63" s="74" t="str">
        <x:v>0</x:v>
      </x:c>
      <x:c r="U63" s="60" t="str"/>
      <x:c r="V63" s="74" t="str">
        <x:v>29</x:v>
      </x:c>
      <x:c r="W63" s="74" t="str">
        <x:v>21</x:v>
      </x:c>
      <x:c r="X63" s="74" t="str">
        <x:v>12</x:v>
      </x:c>
      <x:c r="Y63" s="74" t="str">
        <x:v>9</x:v>
      </x:c>
      <x:c r="Z63" s="74" t="str">
        <x:v>2</x:v>
      </x:c>
      <x:c r="AA63" s="74" t="str">
        <x:v>0</x:v>
      </x:c>
      <x:c r="AB63" s="74" t="str">
        <x:v>1</x:v>
      </x:c>
      <x:c r="AC63" s="74" t="str">
        <x:v>1</x:v>
      </x:c>
      <x:c r="AD63" s="74" t="str">
        <x:v>0</x:v>
      </x:c>
      <x:c r="AE63" s="74" t="str">
        <x:v>1</x:v>
      </x:c>
      <x:c r="AF63" s="74" t="str"/>
      <x:c r="AG63" s="74" t="str">
        <x:v>0</x:v>
      </x:c>
      <x:c r="AH63" s="74" t="str">
        <x:v>1</x:v>
      </x:c>
      <x:c r="AI63" s="74" t="str">
        <x:v>1</x:v>
      </x:c>
      <x:c r="AJ63" s="74" t="str">
        <x:v>0</x:v>
      </x:c>
      <x:c r="AK63" s="74" t="str">
        <x:v>0</x:v>
      </x:c>
      <x:c r="AL63" s="74" t="str">
        <x:v>1</x:v>
      </x:c>
      <x:c r="AM63" s="74" t="str">
        <x:v>1</x:v>
      </x:c>
      <x:c r="AN63" s="74" t="str">
        <x:v>0</x:v>
      </x:c>
      <x:c r="AO63" s="60" t="str">
        <x:v>2026</x:v>
      </x:c>
      <x:c r="AP63" s="76" t="str">
        <x:v>Google Ads tag detected; no embedded homepage video found</x:v>
      </x:c>
      <x:c r="AQ63" s="76" t="str">
        <x:v>Google Ads tag; call tracking; project/gallery proof; testimonials; no embedded homepage video detected</x:v>
      </x:c>
      <x:c r="AR63" s="76" t="str">
        <x:v>I noticed Stuarts Landscaping &amp; Garden Center, Inc.'s site has a Google Ads tag installed, but I couldn't find an embedded video on the homepage.</x:v>
      </x:c>
      <x:c r="AS63" s="76" t="str">
        <x:v>property transformation ad</x:v>
      </x:c>
      <x:c r="AT63" s="76" t="str">
        <x:v>Stuarts Landscaping &amp; Garden Center, Inc. ad concept</x:v>
      </x:c>
      <x:c r="AU63" s="76" t="str">
        <x:v>Hi Stephen — I noticed Stuarts Landscaping &amp; Garden Center, Inc.'s site has a Google Ads tag installed, but I couldn't find an embedded video on the homepage. I mapped a private 15-second property transformation ad for Stuarts Landscaping &amp; Garden Center, Inc. using only public brand context—not for publishing, just to show the angle. We build three client-approved video ad concepts in seven days, then turn the winners into fresh variations. No filming day required. Worth sending the private sample?</x:v>
      </x:c>
      <x:c r="AV63" s="76" t="str">
        <x:v>Quick follow-up: the sample angle is a property transformation ad. If it misses the mark, no problem—I won't keep chasing. Should I send it?</x:v>
      </x:c>
      <x:c r="AW63" s="76" t="str">
        <x:v>Hi Stephen, Ryan here. I was looking at Stuarts Landscaping &amp; Garden Center, Inc.'s public marketing and noticed: google ads tag detected; no embedded homepage video found. I mapped one private property transformation ad as an example. Did I catch you with 30 seconds?</x:v>
      </x:c>
      <x:c r="AX63" s="60" t="str">
        <x:v>https://www.facebook.com/ads/library/?active_status=active&amp;ad_type=all&amp;country=US&amp;q=Stuarts%20Landscaping%20%26%20Garden%20Center%2C%20Inc.&amp;search_type=keyword_unordered</x:v>
      </x:c>
      <x:c r="AY63" s="60" t="str">
        <x:v>ok:200</x:v>
      </x:c>
      <x:c r="AZ63" s="60" t="n">
        <x:v>46232.722858796296</x:v>
      </x:c>
      <x:c r="BA63" s="60" t="str">
        <x:v>AI Ark SC trades export</x:v>
      </x:c>
      <x:c r="BB63" s="60" t="str">
        <x:v>https://stuartslandscaping.com | https://www.linkedin.com/company/stuarts-landscaping</x:v>
      </x:c>
      <x:c r="BC63" s="60" t="str"/>
    </x:row>
    <x:row r="64" ht="18" customHeight="1">
      <x:c r="A64" s="70" t="str">
        <x:v>63</x:v>
      </x:c>
      <x:c r="B64" s="70" t="str">
        <x:v>A - Layup</x:v>
      </x:c>
      <x:c r="C64" s="72" t="str">
        <x:v>73</x:v>
      </x:c>
      <x:c r="D64" s="60" t="str">
        <x:v>Reynolds Electric, Plumbing, Heating and Air</x:v>
      </x:c>
      <x:c r="E64" s="60" t="str">
        <x:v>https://reynoldsep.com</x:v>
      </x:c>
      <x:c r="F64" s="60" t="str">
        <x:v>https://www.reynoldsep.com/</x:v>
      </x:c>
      <x:c r="G64" s="60" t="str">
        <x:v>Lexington County</x:v>
      </x:c>
      <x:c r="H64" s="60" t="str">
        <x:v>South Carolina</x:v>
      </x:c>
      <x:c r="I64" s="60" t="str">
        <x:v>HVAC</x:v>
      </x:c>
      <x:c r="J64" s="60" t="str">
        <x:v>JAMES</x:v>
      </x:c>
      <x:c r="K64" s="60" t="str">
        <x:v>REYNOLDS</x:v>
      </x:c>
      <x:c r="L64" s="60" t="str">
        <x:v>OWNER</x:v>
      </x:c>
      <x:c r="M64" s="60" t="str">
        <x:v>j.reynolds@reynoldsep.com</x:v>
      </x:c>
      <x:c r="N64" s="60" t="str">
        <x:v>Verified with BounceBan on 07 Jun 26 16:51</x:v>
      </x:c>
      <x:c r="O64" s="60" t="str">
        <x:v>+1 276 638 1723, +1 713 858 0724</x:v>
      </x:c>
      <x:c r="P64" s="60" t="str">
        <x:v>https://www.linkedin.com/in/james-reynolds-91a0a160</x:v>
      </x:c>
      <x:c r="Q64" s="60" t="str">
        <x:v>51-200</x:v>
      </x:c>
      <x:c r="R64" s="60" t="str">
        <x:v>1000000-4999999</x:v>
      </x:c>
      <x:c r="S64" s="60" t="str"/>
      <x:c r="T64" s="74" t="str">
        <x:v>0</x:v>
      </x:c>
      <x:c r="U64" s="60" t="str"/>
      <x:c r="V64" s="74" t="str">
        <x:v>30</x:v>
      </x:c>
      <x:c r="W64" s="74" t="str">
        <x:v>18</x:v>
      </x:c>
      <x:c r="X64" s="74" t="str">
        <x:v>0</x:v>
      </x:c>
      <x:c r="Y64" s="74" t="str">
        <x:v>15</x:v>
      </x:c>
      <x:c r="Z64" s="74" t="str">
        <x:v>10</x:v>
      </x:c>
      <x:c r="AA64" s="74" t="str">
        <x:v>1</x:v>
      </x:c>
      <x:c r="AB64" s="74" t="str">
        <x:v>0</x:v>
      </x:c>
      <x:c r="AC64" s="74" t="str">
        <x:v>1</x:v>
      </x:c>
      <x:c r="AD64" s="74" t="str">
        <x:v>0</x:v>
      </x:c>
      <x:c r="AE64" s="74" t="str">
        <x:v>0</x:v>
      </x:c>
      <x:c r="AF64" s="74" t="str">
        <x:v>servicetitan</x:v>
      </x:c>
      <x:c r="AG64" s="74" t="str">
        <x:v>1</x:v>
      </x:c>
      <x:c r="AH64" s="74" t="str">
        <x:v>1</x:v>
      </x:c>
      <x:c r="AI64" s="74" t="str">
        <x:v>1</x:v>
      </x:c>
      <x:c r="AJ64" s="74" t="str">
        <x:v>1</x:v>
      </x:c>
      <x:c r="AK64" s="74" t="str">
        <x:v>1</x:v>
      </x:c>
      <x:c r="AL64" s="74" t="str">
        <x:v>1</x:v>
      </x:c>
      <x:c r="AM64" s="74" t="str">
        <x:v>1</x:v>
      </x:c>
      <x:c r="AN64" s="74" t="str">
        <x:v>1</x:v>
      </x:c>
      <x:c r="AO64" s="60" t="str">
        <x:v>2026</x:v>
      </x:c>
      <x:c r="AP64" s="76" t="str">
        <x:v>Paid-demand technology detected; creative refresh hypothesis</x:v>
      </x:c>
      <x:c r="AQ64" s="76" t="str">
        <x:v>Meta Pixel; project/gallery proof; testimonials; financing; visible service offer</x:v>
      </x:c>
      <x:c r="AR64" s="76" t="str">
        <x:v>I was reviewing hvac companies in Lexington County, South Carolina and Reynolds Electric, Plumbing, Heating and Air looked like a strong fit for a creative test.</x:v>
      </x:c>
      <x:c r="AS64" s="76" t="str">
        <x:v>no-cool-call to same-day comfort ad</x:v>
      </x:c>
      <x:c r="AT64" s="76" t="str">
        <x:v>Reynolds Electric, Plumbing, Heating and Air ad concept</x:v>
      </x:c>
      <x:c r="AU64" s="76" t="str">
        <x:v>Hi JAMES — I was reviewing hvac companies in Lexington County, South Carolina and Reynolds Electric, Plumbing, Heating and Air looked like a strong fit for a creative test. I mapped a private 15-second no-cool-call to same-day comfort ad for Reynolds Electric, Plumbing, Heating and Air using only public brand context—not for publishing, just to show the angle. We build three client-approved video ad concepts in seven days, then turn the winners into fresh variations. No filming day required. Worth sending the private sample?</x:v>
      </x:c>
      <x:c r="AV64" s="76" t="str">
        <x:v>Quick follow-up: the sample angle is a no-cool-call to same-day comfort ad. If it misses the mark, no problem—I won't keep chasing. Should I send it?</x:v>
      </x:c>
      <x:c r="AW64" s="76" t="str">
        <x:v>Hi JAMES, Ryan here. I was looking at Reynolds Electric, Plumbing, Heating and Air's public marketing and noticed: paid-demand technology detected; creative refresh hypothesis. I mapped one private no-cool-call to same-day comfort ad as an example. Did I catch you with 30 seconds?</x:v>
      </x:c>
      <x:c r="AX64" s="60" t="str">
        <x:v>https://www.facebook.com/ads/library/?active_status=active&amp;ad_type=all&amp;country=US&amp;q=Reynolds%20Electric%2C%20Plumbing%2C%20Heating%20and%20Air&amp;search_type=keyword_unordered</x:v>
      </x:c>
      <x:c r="AY64" s="60" t="str">
        <x:v>ok:200</x:v>
      </x:c>
      <x:c r="AZ64" s="60" t="n">
        <x:v>46232.722858796296</x:v>
      </x:c>
      <x:c r="BA64" s="60" t="str">
        <x:v>AI Ark SC trades export</x:v>
      </x:c>
      <x:c r="BB64" s="60" t="str">
        <x:v>https://reynoldsep.com | https://www.linkedin.com/company/getreynolds</x:v>
      </x:c>
      <x:c r="BC64" s="60" t="str"/>
    </x:row>
    <x:row r="65" ht="18" customHeight="1">
      <x:c r="A65" s="70" t="str">
        <x:v>64</x:v>
      </x:c>
      <x:c r="B65" s="70" t="str">
        <x:v>A - Layup</x:v>
      </x:c>
      <x:c r="C65" s="72" t="str">
        <x:v>73</x:v>
      </x:c>
      <x:c r="D65" s="60" t="str">
        <x:v>Smooth Sailing Heating, AC Repair, and Duct Cleaning</x:v>
      </x:c>
      <x:c r="E65" s="60" t="str">
        <x:v>https://callsmoothsailing.com</x:v>
      </x:c>
      <x:c r="F65" s="60" t="str">
        <x:v>https://www.callsmoothsailing.com/</x:v>
      </x:c>
      <x:c r="G65" s="60" t="str">
        <x:v>Spartanburg</x:v>
      </x:c>
      <x:c r="H65" s="60" t="str">
        <x:v>South Carolina</x:v>
      </x:c>
      <x:c r="I65" s="60" t="str">
        <x:v>HVAC</x:v>
      </x:c>
      <x:c r="J65" s="60" t="str">
        <x:v>Smooth Sailing Heating, AC Repair, and Duct Cleaning</x:v>
      </x:c>
      <x:c r="K65" s="60" t="str"/>
      <x:c r="L65" s="60" t="str">
        <x:v>Owner / decision maker to verify</x:v>
      </x:c>
      <x:c r="M65" s="60" t="str"/>
      <x:c r="N65" s="60" t="str"/>
      <x:c r="O65" s="60" t="str">
        <x:v>(864) 804-6400</x:v>
      </x:c>
      <x:c r="P65" s="60" t="str"/>
      <x:c r="Q65" s="60" t="str"/>
      <x:c r="R65" s="60" t="str"/>
      <x:c r="S65" s="60" t="str">
        <x:v>4.9</x:v>
      </x:c>
      <x:c r="T65" s="74" t="str">
        <x:v>152</x:v>
      </x:c>
      <x:c r="U65" s="60" t="str"/>
      <x:c r="V65" s="74" t="str">
        <x:v>28</x:v>
      </x:c>
      <x:c r="W65" s="74" t="str">
        <x:v>18</x:v>
      </x:c>
      <x:c r="X65" s="74" t="str">
        <x:v>16</x:v>
      </x:c>
      <x:c r="Y65" s="74" t="str">
        <x:v>6</x:v>
      </x:c>
      <x:c r="Z65" s="74" t="str">
        <x:v>5</x:v>
      </x:c>
      <x:c r="AA65" s="74" t="str">
        <x:v>1</x:v>
      </x:c>
      <x:c r="AB65" s="74" t="str">
        <x:v>0</x:v>
      </x:c>
      <x:c r="AC65" s="74" t="str">
        <x:v>1</x:v>
      </x:c>
      <x:c r="AD65" s="74" t="str">
        <x:v>0</x:v>
      </x:c>
      <x:c r="AE65" s="74" t="str">
        <x:v>0</x:v>
      </x:c>
      <x:c r="AF65" s="74" t="str">
        <x:v>housecallpro</x:v>
      </x:c>
      <x:c r="AG65" s="74" t="str">
        <x:v>0</x:v>
      </x:c>
      <x:c r="AH65" s="74" t="str">
        <x:v>0</x:v>
      </x:c>
      <x:c r="AI65" s="74" t="str">
        <x:v>0</x:v>
      </x:c>
      <x:c r="AJ65" s="74" t="str">
        <x:v>0</x:v>
      </x:c>
      <x:c r="AK65" s="74" t="str">
        <x:v>1</x:v>
      </x:c>
      <x:c r="AL65" s="74" t="str">
        <x:v>0</x:v>
      </x:c>
      <x:c r="AM65" s="74" t="str">
        <x:v>1</x:v>
      </x:c>
      <x:c r="AN65" s="74" t="str">
        <x:v>0</x:v>
      </x:c>
      <x:c r="AO65" s="60" t="str">
        <x:v>2026</x:v>
      </x:c>
      <x:c r="AP65" s="76" t="str">
        <x:v>Meta tracking detected; no embedded homepage video found</x:v>
      </x:c>
      <x:c r="AQ65" s="76" t="str">
        <x:v>Meta Pixel; visible service offer; no embedded homepage video detected</x:v>
      </x:c>
      <x:c r="AR65" s="76" t="str">
        <x:v>I noticed Smooth Sailing Heating, AC Repair, and Duct Cleaning's site has Meta tracking installed, but I couldn't find an embedded video on the homepage.</x:v>
      </x:c>
      <x:c r="AS65" s="76" t="str">
        <x:v>no-cool-call to same-day comfort ad</x:v>
      </x:c>
      <x:c r="AT65" s="76" t="str">
        <x:v>Smooth Sailing Heating, AC Repair, and Duct Cleaning ad concept</x:v>
      </x:c>
      <x:c r="AU65" s="76" t="str">
        <x:v>Hi Smooth Sailing Heating, AC Repair, and Duct Cleaning — I noticed Smooth Sailing Heating, AC Repair, and Duct Cleaning's site has Meta tracking installed, but I couldn't find an embedded video on the homepage. I mapped a private 15-second no-cool-call to same-day comfort ad for Smooth Sailing Heating, AC Repair, and Duct Cleaning using only public brand context—not for publishing, just to show the angle. We build three client-approved video ad concepts in seven days, then turn the winners into fresh variations. No filming day required. Worth sending the private sample?</x:v>
      </x:c>
      <x:c r="AV65" s="76" t="str">
        <x:v>Quick follow-up: the sample angle is a no-cool-call to same-day comfort ad. If it misses the mark, no problem—I won't keep chasing. Should I send it?</x:v>
      </x:c>
      <x:c r="AW65" s="76" t="str">
        <x:v>Hi Smooth Sailing Heating, AC Repair, and Duct Cleaning, Ryan here. I was looking at Smooth Sailing Heating, AC Repair, and Duct Cleaning's public marketing and noticed: meta tracking detected; no embedded homepage video found. I mapped one private no-cool-call to same-day comfort ad as an example. Did I catch you with 30 seconds?</x:v>
      </x:c>
      <x:c r="AX65" s="60" t="str">
        <x:v>https://www.facebook.com/ads/library/?active_status=active&amp;ad_type=all&amp;country=US&amp;q=Smooth%20Sailing%20Heating%2C%20AC%20Repair%2C%20and%20Duct%20Cleaning&amp;search_type=keyword_unordered</x:v>
      </x:c>
      <x:c r="AY65" s="60" t="str">
        <x:v>ok:200</x:v>
      </x:c>
      <x:c r="AZ65" s="60" t="n">
        <x:v>46232.722858796296</x:v>
      </x:c>
      <x:c r="BA65" s="60" t="str">
        <x:v>Google Maps home-services export</x:v>
      </x:c>
      <x:c r="BB65" s="60" t="str">
        <x:v>https://callsmoothsailing.com | https://maps.google.com/?cid=11118241697797411412&amp;g_mp=Cidnb29nbGUubWFwcy5wbGFjZXMudjEuUGxhY2VzLlNlYXJjaFRleHQQAhgEIAA</x:v>
      </x:c>
      <x:c r="BC65" s="60" t="str"/>
    </x:row>
    <x:row r="66" ht="18" customHeight="1">
      <x:c r="A66" s="70" t="str">
        <x:v>65</x:v>
      </x:c>
      <x:c r="B66" s="70" t="str">
        <x:v>A - Layup</x:v>
      </x:c>
      <x:c r="C66" s="72" t="str">
        <x:v>73</x:v>
      </x:c>
      <x:c r="D66" s="60" t="str">
        <x:v>Home Service Nerds Heating &amp; Air</x:v>
      </x:c>
      <x:c r="E66" s="60" t="str">
        <x:v>https://homeservicenerds.net</x:v>
      </x:c>
      <x:c r="F66" s="60" t="str">
        <x:v>https://homeservicenerds.net</x:v>
      </x:c>
      <x:c r="G66" s="60" t="str">
        <x:v>Greenville</x:v>
      </x:c>
      <x:c r="H66" s="60" t="str">
        <x:v>South Carolina</x:v>
      </x:c>
      <x:c r="I66" s="60" t="str">
        <x:v>HVAC</x:v>
      </x:c>
      <x:c r="J66" s="60" t="str">
        <x:v>Jason</x:v>
      </x:c>
      <x:c r="K66" s="60" t="str">
        <x:v>Poucher</x:v>
      </x:c>
      <x:c r="L66" s="60" t="str">
        <x:v>Small Business Owner</x:v>
      </x:c>
      <x:c r="M66" s="60" t="str">
        <x:v>jason@homeservicenerds.net</x:v>
      </x:c>
      <x:c r="N66" s="60" t="str">
        <x:v>Verified with BounceBan on 08 Jun 26 12:06</x:v>
      </x:c>
      <x:c r="O66" s="60" t="str">
        <x:v>+1 843 995 4708</x:v>
      </x:c>
      <x:c r="P66" s="60" t="str">
        <x:v>https://www.linkedin.com/in/jason-poucher-ab1a1898</x:v>
      </x:c>
      <x:c r="Q66" s="60" t="str">
        <x:v>2-10</x:v>
      </x:c>
      <x:c r="R66" s="60" t="str">
        <x:v>100000-499999</x:v>
      </x:c>
      <x:c r="S66" s="60" t="str">
        <x:v>5</x:v>
      </x:c>
      <x:c r="T66" s="74" t="str">
        <x:v>156</x:v>
      </x:c>
      <x:c r="U66" s="60" t="str"/>
      <x:c r="V66" s="74" t="str">
        <x:v>30</x:v>
      </x:c>
      <x:c r="W66" s="74" t="str">
        <x:v>18</x:v>
      </x:c>
      <x:c r="X66" s="74" t="str">
        <x:v>12</x:v>
      </x:c>
      <x:c r="Y66" s="74" t="str">
        <x:v>3</x:v>
      </x:c>
      <x:c r="Z66" s="74" t="str">
        <x:v>10</x:v>
      </x:c>
      <x:c r="AA66" s="74" t="str">
        <x:v>1</x:v>
      </x:c>
      <x:c r="AB66" s="74" t="str">
        <x:v>0</x:v>
      </x:c>
      <x:c r="AC66" s="74" t="str">
        <x:v>1</x:v>
      </x:c>
      <x:c r="AD66" s="74" t="str">
        <x:v>0</x:v>
      </x:c>
      <x:c r="AE66" s="74" t="str">
        <x:v>0</x:v>
      </x:c>
      <x:c r="AF66" s="74" t="str">
        <x:v>servicetitan</x:v>
      </x:c>
      <x:c r="AG66" s="74" t="str">
        <x:v>0</x:v>
      </x:c>
      <x:c r="AH66" s="74" t="str">
        <x:v>0</x:v>
      </x:c>
      <x:c r="AI66" s="74" t="str">
        <x:v>0</x:v>
      </x:c>
      <x:c r="AJ66" s="74" t="str">
        <x:v>0</x:v>
      </x:c>
      <x:c r="AK66" s="74" t="str">
        <x:v>0</x:v>
      </x:c>
      <x:c r="AL66" s="74" t="str">
        <x:v>1</x:v>
      </x:c>
      <x:c r="AM66" s="74" t="str">
        <x:v>1</x:v>
      </x:c>
      <x:c r="AN66" s="74" t="str">
        <x:v>1</x:v>
      </x:c>
      <x:c r="AO66" s="60" t="str">
        <x:v>0</x:v>
      </x:c>
      <x:c r="AP66" s="76" t="str">
        <x:v>Meta tracking detected; no embedded homepage video found</x:v>
      </x:c>
      <x:c r="AQ66" s="76" t="str">
        <x:v>Meta Pixel; no embedded homepage video detected</x:v>
      </x:c>
      <x:c r="AR66" s="76" t="str">
        <x:v>I noticed Home Service Nerds Heating &amp; Air's site has Meta tracking installed, but I couldn't find an embedded video on the homepage.</x:v>
      </x:c>
      <x:c r="AS66" s="76" t="str">
        <x:v>no-cool-call to same-day comfort ad</x:v>
      </x:c>
      <x:c r="AT66" s="76" t="str">
        <x:v>Home Service Nerds Heating &amp; Air ad concept</x:v>
      </x:c>
      <x:c r="AU66" s="76" t="str">
        <x:v>Hi Jason — I noticed Home Service Nerds Heating &amp; Air's site has Meta tracking installed, but I couldn't find an embedded video on the homepage. I mapped a private 15-second no-cool-call to same-day comfort ad for Home Service Nerds Heating &amp; Air using only public brand context—not for publishing, just to show the angle. We build three client-approved video ad concepts in seven days, then turn the winners into fresh variations. No filming day required. Worth sending the private sample?</x:v>
      </x:c>
      <x:c r="AV66" s="76" t="str">
        <x:v>Quick follow-up: the sample angle is a no-cool-call to same-day comfort ad. If it misses the mark, no problem—I won't keep chasing. Should I send it?</x:v>
      </x:c>
      <x:c r="AW66" s="76" t="str">
        <x:v>Hi Jason, Ryan here. I was looking at Home Service Nerds Heating &amp; Air's public marketing and noticed: meta tracking detected; no embedded homepage video found. I mapped one private no-cool-call to same-day comfort ad as an example. Did I catch you with 30 seconds?</x:v>
      </x:c>
      <x:c r="AX66" s="60" t="str">
        <x:v>https://www.facebook.com/ads/library/?active_status=active&amp;ad_type=all&amp;country=US&amp;q=Home%20Service%20Nerds%20Heating%20%26%20Air&amp;search_type=keyword_unordered</x:v>
      </x:c>
      <x:c r="AY66" s="60" t="str">
        <x:v>ok:200</x:v>
      </x:c>
      <x:c r="AZ66" s="60" t="n">
        <x:v>46232.722858796296</x:v>
      </x:c>
      <x:c r="BA66" s="60" t="str">
        <x:v>AI Ark SC trades export | Google Maps home-services export</x:v>
      </x:c>
      <x:c r="BB66" s="60" t="str">
        <x:v>https://homeservicenerds.net | https://maps.google.com/?cid=2544745778925958534&amp;g_mp=Cidnb29nbGUubWFwcy5wbGFjZXMudjEuUGxhY2VzLlNlYXJjaFRleHQQAhgEIAA | https://maps.google.com/?cid=8174337896150449505&amp;g_mp=Cidnb29nbGUubWFwcy5wbGFjZXMudjEuUGxhY2VzLlNlYXJjaFRleHQQAhgEIAA | https://www.linkedin.com/company/home-service-nerds-heating-air</x:v>
      </x:c>
      <x:c r="BC66" s="60" t="str"/>
    </x:row>
    <x:row r="67" ht="18" customHeight="1">
      <x:c r="A67" s="70" t="str">
        <x:v>66</x:v>
      </x:c>
      <x:c r="B67" s="70" t="str">
        <x:v>A - Layup</x:v>
      </x:c>
      <x:c r="C67" s="72" t="str">
        <x:v>73</x:v>
      </x:c>
      <x:c r="D67" s="60" t="str">
        <x:v>B.A.G.S. Heating &amp; Air LLC</x:v>
      </x:c>
      <x:c r="E67" s="60" t="str">
        <x:v>https://bagsheating.com</x:v>
      </x:c>
      <x:c r="F67" s="60" t="str">
        <x:v>https://bagsheating.com</x:v>
      </x:c>
      <x:c r="G67" s="60" t="str">
        <x:v>Aiken</x:v>
      </x:c>
      <x:c r="H67" s="60" t="str">
        <x:v>South Carolina</x:v>
      </x:c>
      <x:c r="I67" s="60" t="str">
        <x:v>HVAC</x:v>
      </x:c>
      <x:c r="J67" s="60" t="str">
        <x:v>B.A.G.S. Heating &amp; Air LLC</x:v>
      </x:c>
      <x:c r="K67" s="60" t="str"/>
      <x:c r="L67" s="60" t="str">
        <x:v>Owner / decision maker to verify</x:v>
      </x:c>
      <x:c r="M67" s="60" t="str"/>
      <x:c r="N67" s="60" t="str"/>
      <x:c r="O67" s="60" t="str">
        <x:v>(803) 306-4119</x:v>
      </x:c>
      <x:c r="P67" s="60" t="str"/>
      <x:c r="Q67" s="60" t="str"/>
      <x:c r="R67" s="60" t="str"/>
      <x:c r="S67" s="60" t="str">
        <x:v>5</x:v>
      </x:c>
      <x:c r="T67" s="74" t="str">
        <x:v>112</x:v>
      </x:c>
      <x:c r="U67" s="60" t="str"/>
      <x:c r="V67" s="74" t="str">
        <x:v>28</x:v>
      </x:c>
      <x:c r="W67" s="74" t="str">
        <x:v>15</x:v>
      </x:c>
      <x:c r="X67" s="74" t="str">
        <x:v>16</x:v>
      </x:c>
      <x:c r="Y67" s="74" t="str">
        <x:v>9</x:v>
      </x:c>
      <x:c r="Z67" s="74" t="str">
        <x:v>5</x:v>
      </x:c>
      <x:c r="AA67" s="74" t="str">
        <x:v>1</x:v>
      </x:c>
      <x:c r="AB67" s="74" t="str">
        <x:v>0</x:v>
      </x:c>
      <x:c r="AC67" s="74" t="str">
        <x:v>1</x:v>
      </x:c>
      <x:c r="AD67" s="74" t="str">
        <x:v>0</x:v>
      </x:c>
      <x:c r="AE67" s="74" t="str">
        <x:v>0</x:v>
      </x:c>
      <x:c r="AF67" s="74" t="str"/>
      <x:c r="AG67" s="74" t="str">
        <x:v>0</x:v>
      </x:c>
      <x:c r="AH67" s="74" t="str">
        <x:v>0</x:v>
      </x:c>
      <x:c r="AI67" s="74" t="str">
        <x:v>0</x:v>
      </x:c>
      <x:c r="AJ67" s="74" t="str">
        <x:v>1</x:v>
      </x:c>
      <x:c r="AK67" s="74" t="str">
        <x:v>1</x:v>
      </x:c>
      <x:c r="AL67" s="74" t="str">
        <x:v>0</x:v>
      </x:c>
      <x:c r="AM67" s="74" t="str">
        <x:v>1</x:v>
      </x:c>
      <x:c r="AN67" s="74" t="str">
        <x:v>0</x:v>
      </x:c>
      <x:c r="AO67" s="60" t="str">
        <x:v>2025</x:v>
      </x:c>
      <x:c r="AP67" s="76" t="str">
        <x:v>Meta tracking detected; no embedded homepage video found</x:v>
      </x:c>
      <x:c r="AQ67" s="76" t="str">
        <x:v>Meta Pixel; financing; visible service offer; no embedded homepage video detected</x:v>
      </x:c>
      <x:c r="AR67" s="76" t="str">
        <x:v>I noticed B.A.G.S. Heating &amp; Air LLC's site has Meta tracking installed, but I couldn't find an embedded video on the homepage.</x:v>
      </x:c>
      <x:c r="AS67" s="76" t="str">
        <x:v>no-cool-call to same-day comfort ad</x:v>
      </x:c>
      <x:c r="AT67" s="76" t="str">
        <x:v>B.A.G.S. Heating &amp; Air LLC ad concept</x:v>
      </x:c>
      <x:c r="AU67" s="76" t="str">
        <x:v>Hi B.A.G.S. Heating &amp; Air LLC — I noticed B.A.G.S. Heating &amp; Air LLC's site has Meta tracking installed, but I couldn't find an embedded video on the homepage. I mapped a private 15-second no-cool-call to same-day comfort ad for B.A.G.S. Heating &amp; Air LLC using only public brand context—not for publishing, just to show the angle. We build three client-approved video ad concepts in seven days, then turn the winners into fresh variations. No filming day required. Worth sending the private sample?</x:v>
      </x:c>
      <x:c r="AV67" s="76" t="str">
        <x:v>Quick follow-up: the sample angle is a no-cool-call to same-day comfort ad. If it misses the mark, no problem—I won't keep chasing. Should I send it?</x:v>
      </x:c>
      <x:c r="AW67" s="76" t="str">
        <x:v>Hi B.A.G.S. Heating &amp; Air LLC, Ryan here. I was looking at B.A.G.S. Heating &amp; Air LLC's public marketing and noticed: meta tracking detected; no embedded homepage video found. I mapped one private no-cool-call to same-day comfort ad as an example. Did I catch you with 30 seconds?</x:v>
      </x:c>
      <x:c r="AX67" s="60" t="str">
        <x:v>https://www.facebook.com/ads/library/?active_status=active&amp;ad_type=all&amp;country=US&amp;q=B.A.G.S.%20Heating%20%26%20Air%20LLC&amp;search_type=keyword_unordered</x:v>
      </x:c>
      <x:c r="AY67" s="60" t="str">
        <x:v>ok:200</x:v>
      </x:c>
      <x:c r="AZ67" s="60" t="n">
        <x:v>46232.722858796296</x:v>
      </x:c>
      <x:c r="BA67" s="60" t="str">
        <x:v>Google Maps home-services export</x:v>
      </x:c>
      <x:c r="BB67" s="60" t="str">
        <x:v>https://bagsheating.com | https://maps.google.com/?cid=2122212759505376652&amp;g_mp=Cidnb29nbGUubWFwcy5wbGFjZXMudjEuUGxhY2VzLlNlYXJjaFRleHQQAhgEIAA</x:v>
      </x:c>
      <x:c r="BC67" s="60" t="str"/>
    </x:row>
    <x:row r="68" ht="18" customHeight="1">
      <x:c r="A68" s="70" t="str">
        <x:v>67</x:v>
      </x:c>
      <x:c r="B68" s="70" t="str">
        <x:v>A - Layup</x:v>
      </x:c>
      <x:c r="C68" s="72" t="str">
        <x:v>73</x:v>
      </x:c>
      <x:c r="D68" s="60" t="str">
        <x:v>Preferred Home Services</x:v>
      </x:c>
      <x:c r="E68" s="60" t="str">
        <x:v>https://gopreferred.com</x:v>
      </x:c>
      <x:c r="F68" s="60" t="str">
        <x:v>https://www.gopreferred.com/</x:v>
      </x:c>
      <x:c r="G68" s="60" t="str">
        <x:v>Charleston</x:v>
      </x:c>
      <x:c r="H68" s="60" t="str">
        <x:v>South Carolina</x:v>
      </x:c>
      <x:c r="I68" s="60" t="str">
        <x:v>HVAC</x:v>
      </x:c>
      <x:c r="J68" s="60" t="str">
        <x:v>Chris</x:v>
      </x:c>
      <x:c r="K68" s="60" t="str">
        <x:v>DiCampli</x:v>
      </x:c>
      <x:c r="L68" s="60" t="str">
        <x:v>Co-Owner</x:v>
      </x:c>
      <x:c r="M68" s="60" t="str">
        <x:v>cdicampli@gopreferred.com</x:v>
      </x:c>
      <x:c r="N68" s="60" t="str">
        <x:v>Verified with BounceBan on 07 Jun 26 21:06</x:v>
      </x:c>
      <x:c r="O68" s="60" t="str">
        <x:v>+1 302 740 2723, +1 843 499 0174</x:v>
      </x:c>
      <x:c r="P68" s="60" t="str">
        <x:v>https://www.linkedin.com/in/chris-dicampli-b0137a22</x:v>
      </x:c>
      <x:c r="Q68" s="60" t="str">
        <x:v>51-200</x:v>
      </x:c>
      <x:c r="R68" s="60" t="str">
        <x:v>1000000-4999999</x:v>
      </x:c>
      <x:c r="S68" s="60" t="str"/>
      <x:c r="T68" s="74" t="str">
        <x:v>0</x:v>
      </x:c>
      <x:c r="U68" s="60" t="str"/>
      <x:c r="V68" s="74" t="str">
        <x:v>30</x:v>
      </x:c>
      <x:c r="W68" s="74" t="str">
        <x:v>14</x:v>
      </x:c>
      <x:c r="X68" s="74" t="str">
        <x:v>12</x:v>
      </x:c>
      <x:c r="Y68" s="74" t="str">
        <x:v>7</x:v>
      </x:c>
      <x:c r="Z68" s="74" t="str">
        <x:v>10</x:v>
      </x:c>
      <x:c r="AA68" s="74" t="str">
        <x:v>0</x:v>
      </x:c>
      <x:c r="AB68" s="74" t="str">
        <x:v>0</x:v>
      </x:c>
      <x:c r="AC68" s="74" t="str">
        <x:v>1</x:v>
      </x:c>
      <x:c r="AD68" s="74" t="str">
        <x:v>0</x:v>
      </x:c>
      <x:c r="AE68" s="74" t="str">
        <x:v>1</x:v>
      </x:c>
      <x:c r="AF68" s="74" t="str">
        <x:v>servicetitan</x:v>
      </x:c>
      <x:c r="AG68" s="74" t="str">
        <x:v>0</x:v>
      </x:c>
      <x:c r="AH68" s="74" t="str">
        <x:v>0</x:v>
      </x:c>
      <x:c r="AI68" s="74" t="str">
        <x:v>1</x:v>
      </x:c>
      <x:c r="AJ68" s="74" t="str">
        <x:v>0</x:v>
      </x:c>
      <x:c r="AK68" s="74" t="str">
        <x:v>1</x:v>
      </x:c>
      <x:c r="AL68" s="74" t="str">
        <x:v>1</x:v>
      </x:c>
      <x:c r="AM68" s="74" t="str">
        <x:v>1</x:v>
      </x:c>
      <x:c r="AN68" s="74" t="str">
        <x:v>1</x:v>
      </x:c>
      <x:c r="AO68" s="60" t="str">
        <x:v>2026</x:v>
      </x:c>
      <x:c r="AP68" s="76" t="str">
        <x:v>Call-tracking stack detected; no embedded homepage video found</x:v>
      </x:c>
      <x:c r="AQ68" s="76" t="str">
        <x:v>call tracking; testimonials; visible service offer; no embedded homepage video detected</x:v>
      </x:c>
      <x:c r="AR68" s="76" t="str">
        <x:v>I noticed Preferred Home Services has call tracking in place, but I couldn't find an embedded video on the homepage.</x:v>
      </x:c>
      <x:c r="AS68" s="76" t="str">
        <x:v>no-cool-call to same-day comfort ad</x:v>
      </x:c>
      <x:c r="AT68" s="76" t="str">
        <x:v>Preferred Home Services ad concept</x:v>
      </x:c>
      <x:c r="AU68" s="76" t="str">
        <x:v>Hi Chris — I noticed Preferred Home Services has call tracking in place, but I couldn't find an embedded video on the homepage. I mapped a private 15-second no-cool-call to same-day comfort ad for Preferred Home Services using only public brand context—not for publishing, just to show the angle. We build three client-approved video ad concepts in seven days, then turn the winners into fresh variations. No filming day required. Worth sending the private sample?</x:v>
      </x:c>
      <x:c r="AV68" s="76" t="str">
        <x:v>Quick follow-up: the sample angle is a no-cool-call to same-day comfort ad. If it misses the mark, no problem—I won't keep chasing. Should I send it?</x:v>
      </x:c>
      <x:c r="AW68" s="76" t="str">
        <x:v>Hi Chris, Ryan here. I was looking at Preferred Home Services's public marketing and noticed: call-tracking stack detected; no embedded homepage video found. I mapped one private no-cool-call to same-day comfort ad as an example. Did I catch you with 30 seconds?</x:v>
      </x:c>
      <x:c r="AX68" s="60" t="str">
        <x:v>https://www.facebook.com/ads/library/?active_status=active&amp;ad_type=all&amp;country=US&amp;q=Preferred%20Home%20Services&amp;search_type=keyword_unordered</x:v>
      </x:c>
      <x:c r="AY68" s="60" t="str">
        <x:v>ok:200</x:v>
      </x:c>
      <x:c r="AZ68" s="60" t="n">
        <x:v>46232.722858796296</x:v>
      </x:c>
      <x:c r="BA68" s="60" t="str">
        <x:v>AI Ark SC trades export</x:v>
      </x:c>
      <x:c r="BB68" s="60" t="str">
        <x:v>https://gopreferred.com | https://www.linkedin.com/company/gopreferred</x:v>
      </x:c>
      <x:c r="BC68" s="60" t="str"/>
    </x:row>
    <x:row r="69" ht="18" customHeight="1">
      <x:c r="A69" s="70" t="str">
        <x:v>68</x:v>
      </x:c>
      <x:c r="B69" s="70" t="str">
        <x:v>A - Layup</x:v>
      </x:c>
      <x:c r="C69" s="72" t="str">
        <x:v>72</x:v>
      </x:c>
      <x:c r="D69" s="60" t="str">
        <x:v>SERVPRO of Georgetown and Horry Counties</x:v>
      </x:c>
      <x:c r="E69" s="60" t="str">
        <x:v>https://servprosouthhorrycounty.com</x:v>
      </x:c>
      <x:c r="F69" s="60" t="str">
        <x:v>https://www.servpro.com/locations/sc/servpro-of-georgetown-and-horry-counties</x:v>
      </x:c>
      <x:c r="G69" s="60" t="str">
        <x:v>Myrtle Beach</x:v>
      </x:c>
      <x:c r="H69" s="60" t="str">
        <x:v>South Carolina</x:v>
      </x:c>
      <x:c r="I69" s="60" t="str">
        <x:v>Restoration</x:v>
      </x:c>
      <x:c r="J69" s="60" t="str">
        <x:v>Bill</x:v>
      </x:c>
      <x:c r="K69" s="60" t="str">
        <x:v>Roehl</x:v>
      </x:c>
      <x:c r="L69" s="60" t="str">
        <x:v>Owner</x:v>
      </x:c>
      <x:c r="M69" s="60" t="str"/>
      <x:c r="N69" s="60" t="str"/>
      <x:c r="O69" s="60" t="str">
        <x:v>+1 843 458 1528</x:v>
      </x:c>
      <x:c r="P69" s="60" t="str">
        <x:v>https://www.linkedin.com/in/bill-roehl-66a38872</x:v>
      </x:c>
      <x:c r="Q69" s="60" t="str">
        <x:v>51-200</x:v>
      </x:c>
      <x:c r="R69" s="60" t="str">
        <x:v>100000-499999</x:v>
      </x:c>
      <x:c r="S69" s="60" t="str"/>
      <x:c r="T69" s="74" t="str">
        <x:v>0</x:v>
      </x:c>
      <x:c r="U69" s="60" t="str"/>
      <x:c r="V69" s="74" t="str">
        <x:v>30</x:v>
      </x:c>
      <x:c r="W69" s="74" t="str">
        <x:v>30</x:v>
      </x:c>
      <x:c r="X69" s="74" t="str">
        <x:v>4</x:v>
      </x:c>
      <x:c r="Y69" s="74" t="str">
        <x:v>3</x:v>
      </x:c>
      <x:c r="Z69" s="74" t="str">
        <x:v>5</x:v>
      </x:c>
      <x:c r="AA69" s="74" t="str">
        <x:v>1</x:v>
      </x:c>
      <x:c r="AB69" s="74" t="str">
        <x:v>1</x:v>
      </x:c>
      <x:c r="AC69" s="74" t="str">
        <x:v>1</x:v>
      </x:c>
      <x:c r="AD69" s="74" t="str">
        <x:v>0</x:v>
      </x:c>
      <x:c r="AE69" s="74" t="str">
        <x:v>1</x:v>
      </x:c>
      <x:c r="AF69" s="74" t="str"/>
      <x:c r="AG69" s="74" t="str">
        <x:v>1</x:v>
      </x:c>
      <x:c r="AH69" s="74" t="str">
        <x:v>0</x:v>
      </x:c>
      <x:c r="AI69" s="74" t="str">
        <x:v>0</x:v>
      </x:c>
      <x:c r="AJ69" s="74" t="str">
        <x:v>0</x:v>
      </x:c>
      <x:c r="AK69" s="74" t="str">
        <x:v>1</x:v>
      </x:c>
      <x:c r="AL69" s="74" t="str">
        <x:v>0</x:v>
      </x:c>
      <x:c r="AM69" s="74" t="str">
        <x:v>1</x:v>
      </x:c>
      <x:c r="AN69" s="74" t="str">
        <x:v>0</x:v>
      </x:c>
      <x:c r="AO69" s="60" t="str">
        <x:v>2026</x:v>
      </x:c>
      <x:c r="AP69" s="76" t="str">
        <x:v>Paid-demand technology detected; creative refresh hypothesis</x:v>
      </x:c>
      <x:c r="AQ69" s="76" t="str">
        <x:v>Meta Pixel; Google Ads tag; call tracking; visible service offer</x:v>
      </x:c>
      <x:c r="AR69" s="76" t="str">
        <x:v>I was reviewing restoration companies in Myrtle Beach, South Carolina and SERVPRO of Georgetown and Horry Counties looked like a strong fit for a creative test.</x:v>
      </x:c>
      <x:c r="AS69" s="76" t="str">
        <x:v>first-24-hours emergency-response ad</x:v>
      </x:c>
      <x:c r="AT69" s="76" t="str">
        <x:v>SERVPRO of Georgetown and Horry Counties ad concept</x:v>
      </x:c>
      <x:c r="AU69" s="76" t="str">
        <x:v>Hi Bill — I was reviewing restoration companies in Myrtle Beach, South Carolina and SERVPRO of Georgetown and Horry Counties looked like a strong fit for a creative test. I mapped a private 15-second first-24-hours emergency-response ad for SERVPRO of Georgetown and Horry Counties using only public brand context—not for publishing, just to show the angle. We build three client-approved video ad concepts in seven days, then turn the winners into fresh variations. No filming day required. Worth sending the private sample?</x:v>
      </x:c>
      <x:c r="AV69" s="76" t="str">
        <x:v>Quick follow-up: the sample angle is a first-24-hours emergency-response ad. If it misses the mark, no problem—I won't keep chasing. Should I send it?</x:v>
      </x:c>
      <x:c r="AW69" s="76" t="str">
        <x:v>Hi Bill, Ryan here. I was looking at SERVPRO of Georgetown and Horry Counties's public marketing and noticed: paid-demand technology detected; creative refresh hypothesis. I mapped one private first-24-hours emergency-response ad as an example. Did I catch you with 30 seconds?</x:v>
      </x:c>
      <x:c r="AX69" s="60" t="str">
        <x:v>https://www.facebook.com/ads/library/?active_status=active&amp;ad_type=all&amp;country=US&amp;q=SERVPRO%20of%20Georgetown%20and%20Horry%20Counties&amp;search_type=keyword_unordered</x:v>
      </x:c>
      <x:c r="AY69" s="60" t="str">
        <x:v>ok:200</x:v>
      </x:c>
      <x:c r="AZ69" s="60" t="n">
        <x:v>46232.722858796296</x:v>
      </x:c>
      <x:c r="BA69" s="60" t="str">
        <x:v>AI Ark SC trades export</x:v>
      </x:c>
      <x:c r="BB69" s="60" t="str">
        <x:v>https://servprosouthhorrycounty.com | https://www.linkedin.com/company/servpro-of-horry-georgetown-co-</x:v>
      </x:c>
      <x:c r="BC69" s="60" t="str"/>
    </x:row>
    <x:row r="70" ht="18" customHeight="1">
      <x:c r="A70" s="70" t="str">
        <x:v>69</x:v>
      </x:c>
      <x:c r="B70" s="70" t="str">
        <x:v>A - Layup</x:v>
      </x:c>
      <x:c r="C70" s="72" t="str">
        <x:v>72</x:v>
      </x:c>
      <x:c r="D70" s="60" t="str">
        <x:v>Tri City Home Solutions</x:v>
      </x:c>
      <x:c r="E70" s="60" t="str">
        <x:v>https://tricityappliance.com</x:v>
      </x:c>
      <x:c r="F70" s="60" t="str">
        <x:v>https://www.tricityappliance.com/</x:v>
      </x:c>
      <x:c r="G70" s="60" t="str">
        <x:v>West Columbia</x:v>
      </x:c>
      <x:c r="H70" s="60" t="str">
        <x:v>South Carolina</x:v>
      </x:c>
      <x:c r="I70" s="60" t="str">
        <x:v>General Contractor</x:v>
      </x:c>
      <x:c r="J70" s="60" t="str">
        <x:v>Tommy</x:v>
      </x:c>
      <x:c r="K70" s="60" t="str">
        <x:v>Outlaw</x:v>
      </x:c>
      <x:c r="L70" s="60" t="str">
        <x:v>Owner</x:v>
      </x:c>
      <x:c r="M70" s="60" t="str"/>
      <x:c r="N70" s="60" t="str"/>
      <x:c r="O70" s="60" t="str">
        <x:v>+1 803 309 2863</x:v>
      </x:c>
      <x:c r="P70" s="60" t="str">
        <x:v>https://www.linkedin.com/in/tommy-outlaw-051a4123</x:v>
      </x:c>
      <x:c r="Q70" s="60" t="str">
        <x:v>51-200</x:v>
      </x:c>
      <x:c r="R70" s="60" t="str">
        <x:v>1000000-4999999</x:v>
      </x:c>
      <x:c r="S70" s="60" t="str"/>
      <x:c r="T70" s="74" t="str">
        <x:v>0</x:v>
      </x:c>
      <x:c r="U70" s="60" t="str"/>
      <x:c r="V70" s="74" t="str">
        <x:v>27</x:v>
      </x:c>
      <x:c r="W70" s="74" t="str">
        <x:v>28</x:v>
      </x:c>
      <x:c r="X70" s="74" t="str">
        <x:v>4</x:v>
      </x:c>
      <x:c r="Y70" s="74" t="str">
        <x:v>8</x:v>
      </x:c>
      <x:c r="Z70" s="74" t="str">
        <x:v>5</x:v>
      </x:c>
      <x:c r="AA70" s="74" t="str">
        <x:v>1</x:v>
      </x:c>
      <x:c r="AB70" s="74" t="str">
        <x:v>1</x:v>
      </x:c>
      <x:c r="AC70" s="74" t="str">
        <x:v>1</x:v>
      </x:c>
      <x:c r="AD70" s="74" t="str">
        <x:v>0</x:v>
      </x:c>
      <x:c r="AE70" s="74" t="str">
        <x:v>0</x:v>
      </x:c>
      <x:c r="AF70" s="74" t="str">
        <x:v>servicetitan</x:v>
      </x:c>
      <x:c r="AG70" s="74" t="str">
        <x:v>1</x:v>
      </x:c>
      <x:c r="AH70" s="74" t="str">
        <x:v>1</x:v>
      </x:c>
      <x:c r="AI70" s="74" t="str">
        <x:v>0</x:v>
      </x:c>
      <x:c r="AJ70" s="74" t="str">
        <x:v>0</x:v>
      </x:c>
      <x:c r="AK70" s="74" t="str">
        <x:v>1</x:v>
      </x:c>
      <x:c r="AL70" s="74" t="str">
        <x:v>0</x:v>
      </x:c>
      <x:c r="AM70" s="74" t="str">
        <x:v>1</x:v>
      </x:c>
      <x:c r="AN70" s="74" t="str">
        <x:v>0</x:v>
      </x:c>
      <x:c r="AO70" s="60" t="str">
        <x:v>2026</x:v>
      </x:c>
      <x:c r="AP70" s="76" t="str">
        <x:v>Paid-demand technology detected; creative refresh hypothesis</x:v>
      </x:c>
      <x:c r="AQ70" s="76" t="str">
        <x:v>Meta Pixel; Google Ads tag; project/gallery proof; visible service offer</x:v>
      </x:c>
      <x:c r="AR70" s="76" t="str">
        <x:v>I was reviewing general contractor companies in West Columbia, South Carolina and Tri City Home Solutions looked like a strong fit for a creative test.</x:v>
      </x:c>
      <x:c r="AS70" s="76" t="str">
        <x:v>project walkthrough with proof milestones</x:v>
      </x:c>
      <x:c r="AT70" s="76" t="str">
        <x:v>Tri City Home Solutions ad concept</x:v>
      </x:c>
      <x:c r="AU70" s="76" t="str">
        <x:v>Hi Tommy — I was reviewing general contractor companies in West Columbia, South Carolina and Tri City Home Solutions looked like a strong fit for a creative test. I mapped a private 15-second project walkthrough with proof milestones for Tri City Home Solutions using only public brand context—not for publishing, just to show the angle. We build three client-approved video ad concepts in seven days, then turn the winners into fresh variations. No filming day required. Worth sending the private sample?</x:v>
      </x:c>
      <x:c r="AV70" s="76" t="str">
        <x:v>Quick follow-up: the sample angle is a project walkthrough with proof milestones. If it misses the mark, no problem—I won't keep chasing. Should I send it?</x:v>
      </x:c>
      <x:c r="AW70" s="76" t="str">
        <x:v>Hi Tommy, Ryan here. I was looking at Tri City Home Solutions's public marketing and noticed: paid-demand technology detected; creative refresh hypothesis. I mapped one private project walkthrough with proof milestones as an example. Did I catch you with 30 seconds?</x:v>
      </x:c>
      <x:c r="AX70" s="60" t="str">
        <x:v>https://www.facebook.com/ads/library/?active_status=active&amp;ad_type=all&amp;country=US&amp;q=Tri%20City%20Home%20Solutions&amp;search_type=keyword_unordered</x:v>
      </x:c>
      <x:c r="AY70" s="60" t="str">
        <x:v>ok:200</x:v>
      </x:c>
      <x:c r="AZ70" s="60" t="n">
        <x:v>46232.722858796296</x:v>
      </x:c>
      <x:c r="BA70" s="60" t="str">
        <x:v>AI Ark SC trades export</x:v>
      </x:c>
      <x:c r="BB70" s="60" t="str">
        <x:v>https://tricityappliance.com | https://www.linkedin.com/company/tri-city-heating-and-cooling</x:v>
      </x:c>
      <x:c r="BC70" s="60" t="str"/>
    </x:row>
    <x:row r="71" ht="18" customHeight="1">
      <x:c r="A71" s="70" t="str">
        <x:v>70</x:v>
      </x:c>
      <x:c r="B71" s="70" t="str">
        <x:v>A - Layup</x:v>
      </x:c>
      <x:c r="C71" s="72" t="str">
        <x:v>72</x:v>
      </x:c>
      <x:c r="D71" s="60" t="str">
        <x:v>Fish Window Cleaning</x:v>
      </x:c>
      <x:c r="E71" s="60" t="str">
        <x:v>https://fishwindowcleaning.com</x:v>
      </x:c>
      <x:c r="F71" s="60" t="str">
        <x:v>https://www.fishwindowcleaning.com/</x:v>
      </x:c>
      <x:c r="G71" s="60" t="str">
        <x:v>Lexington County</x:v>
      </x:c>
      <x:c r="H71" s="60" t="str">
        <x:v>South Carolina</x:v>
      </x:c>
      <x:c r="I71" s="60" t="str">
        <x:v>Roofing</x:v>
      </x:c>
      <x:c r="J71" s="60" t="str">
        <x:v>James</x:v>
      </x:c>
      <x:c r="K71" s="60" t="str">
        <x:v>McGraw</x:v>
      </x:c>
      <x:c r="L71" s="60" t="str">
        <x:v>Owner</x:v>
      </x:c>
      <x:c r="M71" s="60" t="str">
        <x:v>james@fishwindowcleaning.com</x:v>
      </x:c>
      <x:c r="N71" s="60" t="str">
        <x:v>Verified with BounceBan on 08 Jun 26 12:06</x:v>
      </x:c>
      <x:c r="O71" s="60" t="str">
        <x:v>+1 803 429 6533</x:v>
      </x:c>
      <x:c r="P71" s="60" t="str">
        <x:v>https://www.linkedin.com/in/james-mcgraw-35792234</x:v>
      </x:c>
      <x:c r="Q71" s="60" t="str">
        <x:v>11-50</x:v>
      </x:c>
      <x:c r="R71" s="60" t="str">
        <x:v>50000000-99999999</x:v>
      </x:c>
      <x:c r="S71" s="60" t="str"/>
      <x:c r="T71" s="74" t="str">
        <x:v>0</x:v>
      </x:c>
      <x:c r="U71" s="60" t="str"/>
      <x:c r="V71" s="74" t="str">
        <x:v>30</x:v>
      </x:c>
      <x:c r="W71" s="74" t="str">
        <x:v>25</x:v>
      </x:c>
      <x:c r="X71" s="74" t="str">
        <x:v>0</x:v>
      </x:c>
      <x:c r="Y71" s="74" t="str">
        <x:v>7</x:v>
      </x:c>
      <x:c r="Z71" s="74" t="str">
        <x:v>10</x:v>
      </x:c>
      <x:c r="AA71" s="74" t="str">
        <x:v>1</x:v>
      </x:c>
      <x:c r="AB71" s="74" t="str">
        <x:v>1</x:v>
      </x:c>
      <x:c r="AC71" s="74" t="str">
        <x:v>1</x:v>
      </x:c>
      <x:c r="AD71" s="74" t="str">
        <x:v>0</x:v>
      </x:c>
      <x:c r="AE71" s="74" t="str">
        <x:v>0</x:v>
      </x:c>
      <x:c r="AF71" s="74" t="str"/>
      <x:c r="AG71" s="74" t="str">
        <x:v>1</x:v>
      </x:c>
      <x:c r="AH71" s="74" t="str">
        <x:v>0</x:v>
      </x:c>
      <x:c r="AI71" s="74" t="str">
        <x:v>1</x:v>
      </x:c>
      <x:c r="AJ71" s="74" t="str">
        <x:v>0</x:v>
      </x:c>
      <x:c r="AK71" s="74" t="str">
        <x:v>1</x:v>
      </x:c>
      <x:c r="AL71" s="74" t="str">
        <x:v>1</x:v>
      </x:c>
      <x:c r="AM71" s="74" t="str">
        <x:v>1</x:v>
      </x:c>
      <x:c r="AN71" s="74" t="str">
        <x:v>1</x:v>
      </x:c>
      <x:c r="AO71" s="60" t="str">
        <x:v>2026</x:v>
      </x:c>
      <x:c r="AP71" s="76" t="str">
        <x:v>Paid-demand technology detected; creative refresh hypothesis</x:v>
      </x:c>
      <x:c r="AQ71" s="76" t="str">
        <x:v>Meta Pixel; Google Ads tag; testimonials; visible service offer</x:v>
      </x:c>
      <x:c r="AR71" s="76" t="str">
        <x:v>I was reviewing roofing companies in Lexington County, South Carolina and Fish Window Cleaning looked like a strong fit for a creative test.</x:v>
      </x:c>
      <x:c r="AS71" s="76" t="str">
        <x:v>storm-to-inspection before/after ad</x:v>
      </x:c>
      <x:c r="AT71" s="76" t="str">
        <x:v>Fish Window Cleaning ad concept</x:v>
      </x:c>
      <x:c r="AU71" s="76" t="str">
        <x:v>Hi James — I was reviewing roofing companies in Lexington County, South Carolina and Fish Window Cleaning looked like a strong fit for a creative test. I mapped a private 15-second storm-to-inspection before/after ad for Fish Window Cleaning using only public brand context—not for publishing, just to show the angle. We build three client-approved video ad concepts in seven days, then turn the winners into fresh variations. No filming day required. Worth sending the private sample?</x:v>
      </x:c>
      <x:c r="AV71" s="76" t="str">
        <x:v>Quick follow-up: the sample angle is a storm-to-inspection before/after ad. If it misses the mark, no problem—I won't keep chasing. Should I send it?</x:v>
      </x:c>
      <x:c r="AW71" s="76" t="str">
        <x:v>Hi James, Ryan here. I was looking at Fish Window Cleaning's public marketing and noticed: paid-demand technology detected; creative refresh hypothesis. I mapped one private storm-to-inspection before/after ad as an example. Did I catch you with 30 seconds?</x:v>
      </x:c>
      <x:c r="AX71" s="60" t="str">
        <x:v>https://www.facebook.com/ads/library/?active_status=active&amp;ad_type=all&amp;country=US&amp;q=Fish%20Window%20Cleaning&amp;search_type=keyword_unordered</x:v>
      </x:c>
      <x:c r="AY71" s="60" t="str">
        <x:v>ok:200</x:v>
      </x:c>
      <x:c r="AZ71" s="60" t="n">
        <x:v>46232.722858796296</x:v>
      </x:c>
      <x:c r="BA71" s="60" t="str">
        <x:v>AI Ark SC trades export</x:v>
      </x:c>
      <x:c r="BB71" s="60" t="str">
        <x:v>https://fishwindowcleaning.com | https://www.linkedin.com/company/fish-window-cleaning</x:v>
      </x:c>
      <x:c r="BC71" s="60" t="str"/>
    </x:row>
    <x:row r="72" ht="18" customHeight="1">
      <x:c r="A72" s="70" t="str">
        <x:v>71</x:v>
      </x:c>
      <x:c r="B72" s="70" t="str">
        <x:v>A - Layup</x:v>
      </x:c>
      <x:c r="C72" s="72" t="str">
        <x:v>72</x:v>
      </x:c>
      <x:c r="D72" s="60" t="str">
        <x:v>Baker Home Exteriors</x:v>
      </x:c>
      <x:c r="E72" s="60" t="str">
        <x:v>https://bakerhomeexteriors.com</x:v>
      </x:c>
      <x:c r="F72" s="60" t="str">
        <x:v>https://bakerhomeexteriors.com</x:v>
      </x:c>
      <x:c r="G72" s="60" t="str">
        <x:v>North Charleston</x:v>
      </x:c>
      <x:c r="H72" s="60" t="str">
        <x:v>South Carolina</x:v>
      </x:c>
      <x:c r="I72" s="60" t="str">
        <x:v>Roofing</x:v>
      </x:c>
      <x:c r="J72" s="60" t="str">
        <x:v>Baker Home Exteriors</x:v>
      </x:c>
      <x:c r="K72" s="60" t="str"/>
      <x:c r="L72" s="60" t="str">
        <x:v>Owner / decision maker to verify</x:v>
      </x:c>
      <x:c r="M72" s="60" t="str"/>
      <x:c r="N72" s="60" t="str"/>
      <x:c r="O72" s="60" t="str">
        <x:v>(854) 246-2470</x:v>
      </x:c>
      <x:c r="P72" s="60" t="str"/>
      <x:c r="Q72" s="60" t="str"/>
      <x:c r="R72" s="60" t="str"/>
      <x:c r="S72" s="60" t="str">
        <x:v>4.9</x:v>
      </x:c>
      <x:c r="T72" s="74" t="str">
        <x:v>134</x:v>
      </x:c>
      <x:c r="U72" s="60" t="str"/>
      <x:c r="V72" s="74" t="str">
        <x:v>29</x:v>
      </x:c>
      <x:c r="W72" s="74" t="str">
        <x:v>23</x:v>
      </x:c>
      <x:c r="X72" s="74" t="str">
        <x:v>0</x:v>
      </x:c>
      <x:c r="Y72" s="74" t="str">
        <x:v>15</x:v>
      </x:c>
      <x:c r="Z72" s="74" t="str">
        <x:v>5</x:v>
      </x:c>
      <x:c r="AA72" s="74" t="str">
        <x:v>1</x:v>
      </x:c>
      <x:c r="AB72" s="74" t="str">
        <x:v>0</x:v>
      </x:c>
      <x:c r="AC72" s="74" t="str">
        <x:v>1</x:v>
      </x:c>
      <x:c r="AD72" s="74" t="str">
        <x:v>0</x:v>
      </x:c>
      <x:c r="AE72" s="74" t="str">
        <x:v>1</x:v>
      </x:c>
      <x:c r="AF72" s="74" t="str"/>
      <x:c r="AG72" s="74" t="str">
        <x:v>1</x:v>
      </x:c>
      <x:c r="AH72" s="74" t="str">
        <x:v>1</x:v>
      </x:c>
      <x:c r="AI72" s="74" t="str">
        <x:v>1</x:v>
      </x:c>
      <x:c r="AJ72" s="74" t="str">
        <x:v>1</x:v>
      </x:c>
      <x:c r="AK72" s="74" t="str">
        <x:v>1</x:v>
      </x:c>
      <x:c r="AL72" s="74" t="str">
        <x:v>1</x:v>
      </x:c>
      <x:c r="AM72" s="74" t="str">
        <x:v>1</x:v>
      </x:c>
      <x:c r="AN72" s="74" t="str">
        <x:v>1</x:v>
      </x:c>
      <x:c r="AO72" s="60" t="str">
        <x:v>2026</x:v>
      </x:c>
      <x:c r="AP72" s="76" t="str">
        <x:v>Paid-demand technology detected; creative refresh hypothesis</x:v>
      </x:c>
      <x:c r="AQ72" s="76" t="str">
        <x:v>Meta Pixel; call tracking; project/gallery proof; testimonials; financing; visible service offer</x:v>
      </x:c>
      <x:c r="AR72" s="76" t="str">
        <x:v>I was reviewing roofing companies in North Charleston, South Carolina and Baker Home Exteriors looked like a strong fit for a creative test.</x:v>
      </x:c>
      <x:c r="AS72" s="76" t="str">
        <x:v>storm-to-inspection before/after ad</x:v>
      </x:c>
      <x:c r="AT72" s="76" t="str">
        <x:v>Baker Home Exteriors ad concept</x:v>
      </x:c>
      <x:c r="AU72" s="76" t="str">
        <x:v>Hi Baker Home Exteriors — I was reviewing roofing companies in North Charleston, South Carolina and Baker Home Exteriors looked like a strong fit for a creative test. I mapped a private 15-second storm-to-inspection before/after ad for Baker Home Exteriors using only public brand context—not for publishing, just to show the angle. We build three client-approved video ad concepts in seven days, then turn the winners into fresh variations. No filming day required. Worth sending the private sample?</x:v>
      </x:c>
      <x:c r="AV72" s="76" t="str">
        <x:v>Quick follow-up: the sample angle is a storm-to-inspection before/after ad. If it misses the mark, no problem—I won't keep chasing. Should I send it?</x:v>
      </x:c>
      <x:c r="AW72" s="76" t="str">
        <x:v>Hi Baker Home Exteriors, Ryan here. I was looking at Baker Home Exteriors's public marketing and noticed: paid-demand technology detected; creative refresh hypothesis. I mapped one private storm-to-inspection before/after ad as an example. Did I catch you with 30 seconds?</x:v>
      </x:c>
      <x:c r="AX72" s="60" t="str">
        <x:v>https://www.facebook.com/ads/library/?active_status=active&amp;ad_type=all&amp;country=US&amp;q=Baker%20Home%20Exteriors&amp;search_type=keyword_unordered</x:v>
      </x:c>
      <x:c r="AY72" s="60" t="str">
        <x:v>ok:200</x:v>
      </x:c>
      <x:c r="AZ72" s="60" t="n">
        <x:v>46232.722858796296</x:v>
      </x:c>
      <x:c r="BA72" s="60" t="str">
        <x:v>Google Maps home-services export</x:v>
      </x:c>
      <x:c r="BB72" s="60" t="str">
        <x:v>https://bakerhomeexteriors.com | https://maps.google.com/?cid=8868757533098734484&amp;g_mp=Cidnb29nbGUubWFwcy5wbGFjZXMudjEuUGxhY2VzLlNlYXJjaFRleHQQAhgEIAA</x:v>
      </x:c>
      <x:c r="BC72" s="60" t="str"/>
    </x:row>
    <x:row r="73" ht="18" customHeight="1">
      <x:c r="A73" s="70" t="str">
        <x:v>72</x:v>
      </x:c>
      <x:c r="B73" s="70" t="str">
        <x:v>A - Layup</x:v>
      </x:c>
      <x:c r="C73" s="72" t="str">
        <x:v>72</x:v>
      </x:c>
      <x:c r="D73" s="60" t="str">
        <x:v>Amen Plumbing</x:v>
      </x:c>
      <x:c r="E73" s="60" t="str">
        <x:v>https://amenplumbing.net</x:v>
      </x:c>
      <x:c r="F73" s="60" t="str">
        <x:v>https://amenplumbing.net</x:v>
      </x:c>
      <x:c r="G73" s="60" t="str">
        <x:v>Rock Hill</x:v>
      </x:c>
      <x:c r="H73" s="60" t="str">
        <x:v>South Carolina</x:v>
      </x:c>
      <x:c r="I73" s="60" t="str">
        <x:v>Plumbing</x:v>
      </x:c>
      <x:c r="J73" s="60" t="str">
        <x:v>Amen Plumbing</x:v>
      </x:c>
      <x:c r="K73" s="60" t="str"/>
      <x:c r="L73" s="60" t="str">
        <x:v>Owner / decision maker to verify</x:v>
      </x:c>
      <x:c r="M73" s="60" t="str"/>
      <x:c r="N73" s="60" t="str"/>
      <x:c r="O73" s="60" t="str">
        <x:v>(803) 203-4141</x:v>
      </x:c>
      <x:c r="P73" s="60" t="str"/>
      <x:c r="Q73" s="60" t="str"/>
      <x:c r="R73" s="60" t="str"/>
      <x:c r="S73" s="60" t="str">
        <x:v>4.9</x:v>
      </x:c>
      <x:c r="T73" s="74" t="str">
        <x:v>168</x:v>
      </x:c>
      <x:c r="U73" s="60" t="str"/>
      <x:c r="V73" s="74" t="str">
        <x:v>24</x:v>
      </x:c>
      <x:c r="W73" s="74" t="str">
        <x:v>16</x:v>
      </x:c>
      <x:c r="X73" s="74" t="str">
        <x:v>16</x:v>
      </x:c>
      <x:c r="Y73" s="74" t="str">
        <x:v>11</x:v>
      </x:c>
      <x:c r="Z73" s="74" t="str">
        <x:v>5</x:v>
      </x:c>
      <x:c r="AA73" s="74" t="str">
        <x:v>0</x:v>
      </x:c>
      <x:c r="AB73" s="74" t="str">
        <x:v>1</x:v>
      </x:c>
      <x:c r="AC73" s="74" t="str">
        <x:v>1</x:v>
      </x:c>
      <x:c r="AD73" s="74" t="str">
        <x:v>0</x:v>
      </x:c>
      <x:c r="AE73" s="74" t="str">
        <x:v>0</x:v>
      </x:c>
      <x:c r="AF73" s="74" t="str">
        <x:v>housecallpro</x:v>
      </x:c>
      <x:c r="AG73" s="74" t="str">
        <x:v>0</x:v>
      </x:c>
      <x:c r="AH73" s="74" t="str">
        <x:v>1</x:v>
      </x:c>
      <x:c r="AI73" s="74" t="str">
        <x:v>0</x:v>
      </x:c>
      <x:c r="AJ73" s="74" t="str">
        <x:v>0</x:v>
      </x:c>
      <x:c r="AK73" s="74" t="str">
        <x:v>1</x:v>
      </x:c>
      <x:c r="AL73" s="74" t="str">
        <x:v>0</x:v>
      </x:c>
      <x:c r="AM73" s="74" t="str">
        <x:v>1</x:v>
      </x:c>
      <x:c r="AN73" s="74" t="str">
        <x:v>0</x:v>
      </x:c>
      <x:c r="AO73" s="60" t="str">
        <x:v>2026</x:v>
      </x:c>
      <x:c r="AP73" s="76" t="str">
        <x:v>Google Ads tag detected; no embedded homepage video found</x:v>
      </x:c>
      <x:c r="AQ73" s="76" t="str">
        <x:v>Google Ads tag; project/gallery proof; visible service offer; no embedded homepage video detected</x:v>
      </x:c>
      <x:c r="AR73" s="76" t="str">
        <x:v>I noticed Amen Plumbing's site has a Google Ads tag installed, but I couldn't find an embedded video on the homepage.</x:v>
      </x:c>
      <x:c r="AS73" s="76" t="str">
        <x:v>small symptom to prevented-emergency ad</x:v>
      </x:c>
      <x:c r="AT73" s="76" t="str">
        <x:v>Amen Plumbing ad concept</x:v>
      </x:c>
      <x:c r="AU73" s="76" t="str">
        <x:v>Hi Amen Plumbing — I noticed Amen Plumbing's site has a Google Ads tag installed, but I couldn't find an embedded video on the homepage. I mapped a private 15-second small symptom to prevented-emergency ad for Amen Plumbing using only public brand context—not for publishing, just to show the angle. We build three client-approved video ad concepts in seven days, then turn the winners into fresh variations. No filming day required. Worth sending the private sample?</x:v>
      </x:c>
      <x:c r="AV73" s="76" t="str">
        <x:v>Quick follow-up: the sample angle is a small symptom to prevented-emergency ad. If it misses the mark, no problem—I won't keep chasing. Should I send it?</x:v>
      </x:c>
      <x:c r="AW73" s="76" t="str">
        <x:v>Hi Amen Plumbing, Ryan here. I was looking at Amen Plumbing's public marketing and noticed: google ads tag detected; no embedded homepage video found. I mapped one private small symptom to prevented-emergency ad as an example. Did I catch you with 30 seconds?</x:v>
      </x:c>
      <x:c r="AX73" s="60" t="str">
        <x:v>https://www.facebook.com/ads/library/?active_status=active&amp;ad_type=all&amp;country=US&amp;q=Amen%20Plumbing&amp;search_type=keyword_unordered</x:v>
      </x:c>
      <x:c r="AY73" s="60" t="str">
        <x:v>ok:200</x:v>
      </x:c>
      <x:c r="AZ73" s="60" t="n">
        <x:v>46232.722858796296</x:v>
      </x:c>
      <x:c r="BA73" s="60" t="str">
        <x:v>Google Maps home-services export</x:v>
      </x:c>
      <x:c r="BB73" s="60" t="str">
        <x:v>https://amenplumbing.net | https://maps.google.com/?cid=3373281706738483995&amp;g_mp=Cidnb29nbGUubWFwcy5wbGFjZXMudjEuUGxhY2VzLlNlYXJjaFRleHQQAhgEIAA</x:v>
      </x:c>
      <x:c r="BC73" s="60" t="str"/>
    </x:row>
    <x:row r="74" ht="18" customHeight="1">
      <x:c r="A74" s="70" t="str">
        <x:v>73</x:v>
      </x:c>
      <x:c r="B74" s="70" t="str">
        <x:v>A - Layup</x:v>
      </x:c>
      <x:c r="C74" s="72" t="str">
        <x:v>72</x:v>
      </x:c>
      <x:c r="D74" s="60" t="str">
        <x:v>Precision Garage Door</x:v>
      </x:c>
      <x:c r="E74" s="60" t="str">
        <x:v>https://garagedoorscharlestonsc.com</x:v>
      </x:c>
      <x:c r="F74" s="60" t="str">
        <x:v>https://www.garagedoorscharlestonsc.com/</x:v>
      </x:c>
      <x:c r="G74" s="60" t="str">
        <x:v>Charleston</x:v>
      </x:c>
      <x:c r="H74" s="60" t="str">
        <x:v>South Carolina</x:v>
      </x:c>
      <x:c r="I74" s="60" t="str">
        <x:v>Garage Doors</x:v>
      </x:c>
      <x:c r="J74" s="60" t="str">
        <x:v>Precision Garage Door</x:v>
      </x:c>
      <x:c r="K74" s="60" t="str"/>
      <x:c r="L74" s="60" t="str">
        <x:v>Owner / decision maker to verify</x:v>
      </x:c>
      <x:c r="M74" s="60" t="str"/>
      <x:c r="N74" s="60" t="str"/>
      <x:c r="O74" s="60" t="str">
        <x:v>(843) 253-0355</x:v>
      </x:c>
      <x:c r="P74" s="60" t="str"/>
      <x:c r="Q74" s="60" t="str"/>
      <x:c r="R74" s="60" t="str"/>
      <x:c r="S74" s="60" t="str">
        <x:v>4.9</x:v>
      </x:c>
      <x:c r="T74" s="74" t="str">
        <x:v>575</x:v>
      </x:c>
      <x:c r="U74" s="60" t="str">
        <x:v>slow_response</x:v>
      </x:c>
      <x:c r="V74" s="74" t="str">
        <x:v>25</x:v>
      </x:c>
      <x:c r="W74" s="74" t="str">
        <x:v>14</x:v>
      </x:c>
      <x:c r="X74" s="74" t="str">
        <x:v>14</x:v>
      </x:c>
      <x:c r="Y74" s="74" t="str">
        <x:v>14</x:v>
      </x:c>
      <x:c r="Z74" s="74" t="str">
        <x:v>5</x:v>
      </x:c>
      <x:c r="AA74" s="74" t="str">
        <x:v>0</x:v>
      </x:c>
      <x:c r="AB74" s="74" t="str">
        <x:v>0</x:v>
      </x:c>
      <x:c r="AC74" s="74" t="str">
        <x:v>1</x:v>
      </x:c>
      <x:c r="AD74" s="74" t="str">
        <x:v>0</x:v>
      </x:c>
      <x:c r="AE74" s="74" t="str">
        <x:v>1</x:v>
      </x:c>
      <x:c r="AF74" s="74" t="str">
        <x:v>servicetitan</x:v>
      </x:c>
      <x:c r="AG74" s="74" t="str">
        <x:v>0</x:v>
      </x:c>
      <x:c r="AH74" s="74" t="str">
        <x:v>1</x:v>
      </x:c>
      <x:c r="AI74" s="74" t="str">
        <x:v>0</x:v>
      </x:c>
      <x:c r="AJ74" s="74" t="str">
        <x:v>1</x:v>
      </x:c>
      <x:c r="AK74" s="74" t="str">
        <x:v>1</x:v>
      </x:c>
      <x:c r="AL74" s="74" t="str">
        <x:v>1</x:v>
      </x:c>
      <x:c r="AM74" s="74" t="str">
        <x:v>1</x:v>
      </x:c>
      <x:c r="AN74" s="74" t="str">
        <x:v>0</x:v>
      </x:c>
      <x:c r="AO74" s="60" t="str">
        <x:v>2026</x:v>
      </x:c>
      <x:c r="AP74" s="76" t="str">
        <x:v>Call-tracking stack detected; no embedded homepage video found</x:v>
      </x:c>
      <x:c r="AQ74" s="76" t="str">
        <x:v>call tracking; project/gallery proof; financing; visible service offer; no embedded homepage video detected</x:v>
      </x:c>
      <x:c r="AR74" s="76" t="str">
        <x:v>I noticed Precision Garage Door has call tracking in place, but I couldn't find an embedded video on the homepage.</x:v>
      </x:c>
      <x:c r="AS74" s="76" t="str">
        <x:v>curb-appeal transformation ad</x:v>
      </x:c>
      <x:c r="AT74" s="76" t="str">
        <x:v>Precision Garage Door ad concept</x:v>
      </x:c>
      <x:c r="AU74" s="76" t="str">
        <x:v>Hi Precision Garage Door — I noticed Precision Garage Door has call tracking in place, but I couldn't find an embedded video on the homepage. I mapped a private 15-second curb-appeal transformation ad for Precision Garage Door using only public brand context—not for publishing, just to show the angle. We build three client-approved video ad concepts in seven days, then turn the winners into fresh variations. No filming day required. Worth sending the private sample?</x:v>
      </x:c>
      <x:c r="AV74" s="76" t="str">
        <x:v>Quick follow-up: the sample angle is a curb-appeal transformation ad. If it misses the mark, no problem—I won't keep chasing. Should I send it?</x:v>
      </x:c>
      <x:c r="AW74" s="76" t="str">
        <x:v>Hi Precision Garage Door, Ryan here. I was looking at Precision Garage Door's public marketing and noticed: call-tracking stack detected; no embedded homepage video found. I mapped one private curb-appeal transformation ad as an example. Did I catch you with 30 seconds?</x:v>
      </x:c>
      <x:c r="AX74" s="60" t="str">
        <x:v>https://www.facebook.com/ads/library/?active_status=active&amp;ad_type=all&amp;country=US&amp;q=Precision%20Garage%20Door&amp;search_type=keyword_unordered</x:v>
      </x:c>
      <x:c r="AY74" s="60" t="str">
        <x:v>ok:200</x:v>
      </x:c>
      <x:c r="AZ74" s="60" t="n">
        <x:v>46232.722858796296</x:v>
      </x:c>
      <x:c r="BA74" s="60" t="str">
        <x:v>Google Maps home-services export</x:v>
      </x:c>
      <x:c r="BB74" s="60" t="str">
        <x:v>https://garagedoorscharlestonsc.com | https://maps.google.com/?cid=17152534745488831618&amp;g_mp=Cidnb29nbGUubWFwcy5wbGFjZXMudjEuUGxhY2VzLlNlYXJjaFRleHQQAhgEIAA</x:v>
      </x:c>
      <x:c r="BC74" s="60" t="str"/>
    </x:row>
    <x:row r="75" ht="18" customHeight="1">
      <x:c r="A75" s="70" t="str">
        <x:v>74</x:v>
      </x:c>
      <x:c r="B75" s="70" t="str">
        <x:v>A - Layup</x:v>
      </x:c>
      <x:c r="C75" s="72" t="str">
        <x:v>72</x:v>
      </x:c>
      <x:c r="D75" s="60" t="str">
        <x:v>Southeastern Garage Doors Inc</x:v>
      </x:c>
      <x:c r="E75" s="60" t="str">
        <x:v>https://southeasterngaragedoors.com</x:v>
      </x:c>
      <x:c r="F75" s="60" t="str">
        <x:v>https://www.southeasterngaragedoors.com/</x:v>
      </x:c>
      <x:c r="G75" s="60" t="str">
        <x:v>Charleston</x:v>
      </x:c>
      <x:c r="H75" s="60" t="str">
        <x:v>South Carolina</x:v>
      </x:c>
      <x:c r="I75" s="60" t="str">
        <x:v>Garage Doors</x:v>
      </x:c>
      <x:c r="J75" s="60" t="str">
        <x:v>Southeastern Garage Doors Inc</x:v>
      </x:c>
      <x:c r="K75" s="60" t="str"/>
      <x:c r="L75" s="60" t="str">
        <x:v>Owner / decision maker to verify</x:v>
      </x:c>
      <x:c r="M75" s="60" t="str"/>
      <x:c r="N75" s="60" t="str"/>
      <x:c r="O75" s="60" t="str">
        <x:v>(843) 749-8896</x:v>
      </x:c>
      <x:c r="P75" s="60" t="str"/>
      <x:c r="Q75" s="60" t="str"/>
      <x:c r="R75" s="60" t="str"/>
      <x:c r="S75" s="60" t="str">
        <x:v>4.7</x:v>
      </x:c>
      <x:c r="T75" s="74" t="str">
        <x:v>58</x:v>
      </x:c>
      <x:c r="U75" s="60" t="str">
        <x:v>scheduling, communication</x:v>
      </x:c>
      <x:c r="V75" s="74" t="str">
        <x:v>22</x:v>
      </x:c>
      <x:c r="W75" s="74" t="str">
        <x:v>13</x:v>
      </x:c>
      <x:c r="X75" s="74" t="str">
        <x:v>18</x:v>
      </x:c>
      <x:c r="Y75" s="74" t="str">
        <x:v>14</x:v>
      </x:c>
      <x:c r="Z75" s="74" t="str">
        <x:v>5</x:v>
      </x:c>
      <x:c r="AA75" s="74" t="str">
        <x:v>0</x:v>
      </x:c>
      <x:c r="AB75" s="74" t="str">
        <x:v>1</x:v>
      </x:c>
      <x:c r="AC75" s="74" t="str">
        <x:v>1</x:v>
      </x:c>
      <x:c r="AD75" s="74" t="str">
        <x:v>0</x:v>
      </x:c>
      <x:c r="AE75" s="74" t="str">
        <x:v>0</x:v>
      </x:c>
      <x:c r="AF75" s="74" t="str"/>
      <x:c r="AG75" s="74" t="str">
        <x:v>0</x:v>
      </x:c>
      <x:c r="AH75" s="74" t="str">
        <x:v>1</x:v>
      </x:c>
      <x:c r="AI75" s="74" t="str">
        <x:v>1</x:v>
      </x:c>
      <x:c r="AJ75" s="74" t="str">
        <x:v>0</x:v>
      </x:c>
      <x:c r="AK75" s="74" t="str">
        <x:v>1</x:v>
      </x:c>
      <x:c r="AL75" s="74" t="str">
        <x:v>0</x:v>
      </x:c>
      <x:c r="AM75" s="74" t="str">
        <x:v>1</x:v>
      </x:c>
      <x:c r="AN75" s="74" t="str">
        <x:v>0</x:v>
      </x:c>
      <x:c r="AO75" s="60" t="str">
        <x:v>2026</x:v>
      </x:c>
      <x:c r="AP75" s="76" t="str">
        <x:v>Google Ads tag detected; no embedded homepage video found</x:v>
      </x:c>
      <x:c r="AQ75" s="76" t="str">
        <x:v>Google Ads tag; project/gallery proof; testimonials; visible service offer; no embedded homepage video detected</x:v>
      </x:c>
      <x:c r="AR75" s="76" t="str">
        <x:v>I noticed Southeastern Garage Doors Inc's site has a Google Ads tag installed, but I couldn't find an embedded video on the homepage.</x:v>
      </x:c>
      <x:c r="AS75" s="76" t="str">
        <x:v>curb-appeal transformation ad</x:v>
      </x:c>
      <x:c r="AT75" s="76" t="str">
        <x:v>Southeastern Garage Doors Inc ad concept</x:v>
      </x:c>
      <x:c r="AU75" s="76" t="str">
        <x:v>Hi Southeastern Garage Doors Inc — I noticed Southeastern Garage Doors Inc's site has a Google Ads tag installed, but I couldn't find an embedded video on the homepage. I mapped a private 15-second curb-appeal transformation ad for Southeastern Garage Doors Inc using only public brand context—not for publishing, just to show the angle. We build three client-approved video ad concepts in seven days, then turn the winners into fresh variations. No filming day required. Worth sending the private sample?</x:v>
      </x:c>
      <x:c r="AV75" s="76" t="str">
        <x:v>Quick follow-up: the sample angle is a curb-appeal transformation ad. If it misses the mark, no problem—I won't keep chasing. Should I send it?</x:v>
      </x:c>
      <x:c r="AW75" s="76" t="str">
        <x:v>Hi Southeastern Garage Doors Inc, Ryan here. I was looking at Southeastern Garage Doors Inc's public marketing and noticed: google ads tag detected; no embedded homepage video found. I mapped one private curb-appeal transformation ad as an example. Did I catch you with 30 seconds?</x:v>
      </x:c>
      <x:c r="AX75" s="60" t="str">
        <x:v>https://www.facebook.com/ads/library/?active_status=active&amp;ad_type=all&amp;country=US&amp;q=Southeastern%20Garage%20Doors%20Inc&amp;search_type=keyword_unordered</x:v>
      </x:c>
      <x:c r="AY75" s="60" t="str">
        <x:v>ok:200</x:v>
      </x:c>
      <x:c r="AZ75" s="60" t="n">
        <x:v>46232.722858796296</x:v>
      </x:c>
      <x:c r="BA75" s="60" t="str">
        <x:v>Google Maps home-services export</x:v>
      </x:c>
      <x:c r="BB75" s="60" t="str">
        <x:v>https://maps.google.com/?cid=6927416332984958932&amp;g_mp=Cidnb29nbGUubWFwcy5wbGFjZXMudjEuUGxhY2VzLlNlYXJjaFRleHQQAhgEIAA | https://southeasterngaragedoors.com</x:v>
      </x:c>
      <x:c r="BC75" s="60" t="str"/>
    </x:row>
    <x:row r="76" ht="18" customHeight="1">
      <x:c r="A76" s="70" t="str">
        <x:v>75</x:v>
      </x:c>
      <x:c r="B76" s="70" t="str">
        <x:v>A - Layup</x:v>
      </x:c>
      <x:c r="C76" s="72" t="str">
        <x:v>72</x:v>
      </x:c>
      <x:c r="D76" s="60" t="str">
        <x:v>Aztec Roofing and Renovations</x:v>
      </x:c>
      <x:c r="E76" s="60" t="str">
        <x:v>https://aztecroofingsc.com</x:v>
      </x:c>
      <x:c r="F76" s="60" t="str">
        <x:v>https://www.aztecroofingsc.com/</x:v>
      </x:c>
      <x:c r="G76" s="60" t="str">
        <x:v>Myrtle Beach</x:v>
      </x:c>
      <x:c r="H76" s="60" t="str">
        <x:v>South Carolina</x:v>
      </x:c>
      <x:c r="I76" s="60" t="str">
        <x:v>Roofing</x:v>
      </x:c>
      <x:c r="J76" s="60" t="str">
        <x:v>Aztec Roofing and Renovations</x:v>
      </x:c>
      <x:c r="K76" s="60" t="str"/>
      <x:c r="L76" s="60" t="str">
        <x:v>Owner / decision maker to verify</x:v>
      </x:c>
      <x:c r="M76" s="60" t="str"/>
      <x:c r="N76" s="60" t="str"/>
      <x:c r="O76" s="60" t="str">
        <x:v>(843) 605-1680</x:v>
      </x:c>
      <x:c r="P76" s="60" t="str"/>
      <x:c r="Q76" s="60" t="str"/>
      <x:c r="R76" s="60" t="str"/>
      <x:c r="S76" s="60" t="str">
        <x:v>4.9</x:v>
      </x:c>
      <x:c r="T76" s="74" t="str">
        <x:v>62</x:v>
      </x:c>
      <x:c r="U76" s="60" t="str"/>
      <x:c r="V76" s="74" t="str">
        <x:v>27</x:v>
      </x:c>
      <x:c r="W76" s="74" t="str">
        <x:v>13</x:v>
      </x:c>
      <x:c r="X76" s="74" t="str">
        <x:v>15</x:v>
      </x:c>
      <x:c r="Y76" s="74" t="str">
        <x:v>12</x:v>
      </x:c>
      <x:c r="Z76" s="74" t="str">
        <x:v>5</x:v>
      </x:c>
      <x:c r="AA76" s="74" t="str">
        <x:v>0</x:v>
      </x:c>
      <x:c r="AB76" s="74" t="str">
        <x:v>1</x:v>
      </x:c>
      <x:c r="AC76" s="74" t="str">
        <x:v>1</x:v>
      </x:c>
      <x:c r="AD76" s="74" t="str">
        <x:v>0</x:v>
      </x:c>
      <x:c r="AE76" s="74" t="str">
        <x:v>0</x:v>
      </x:c>
      <x:c r="AF76" s="74" t="str"/>
      <x:c r="AG76" s="74" t="str">
        <x:v>0</x:v>
      </x:c>
      <x:c r="AH76" s="74" t="str">
        <x:v>0</x:v>
      </x:c>
      <x:c r="AI76" s="74" t="str">
        <x:v>1</x:v>
      </x:c>
      <x:c r="AJ76" s="74" t="str">
        <x:v>1</x:v>
      </x:c>
      <x:c r="AK76" s="74" t="str">
        <x:v>1</x:v>
      </x:c>
      <x:c r="AL76" s="74" t="str">
        <x:v>1</x:v>
      </x:c>
      <x:c r="AM76" s="74" t="str">
        <x:v>1</x:v>
      </x:c>
      <x:c r="AN76" s="74" t="str">
        <x:v>1</x:v>
      </x:c>
      <x:c r="AO76" s="60" t="str">
        <x:v>2024</x:v>
      </x:c>
      <x:c r="AP76" s="76" t="str">
        <x:v>Google Ads tag detected; no embedded homepage video found</x:v>
      </x:c>
      <x:c r="AQ76" s="76" t="str">
        <x:v>Google Ads tag; testimonials; financing; visible service offer; no embedded homepage video detected</x:v>
      </x:c>
      <x:c r="AR76" s="76" t="str">
        <x:v>I noticed Aztec Roofing and Renovations's site has a Google Ads tag installed, but I couldn't find an embedded video on the homepage.</x:v>
      </x:c>
      <x:c r="AS76" s="76" t="str">
        <x:v>storm-to-inspection before/after ad</x:v>
      </x:c>
      <x:c r="AT76" s="76" t="str">
        <x:v>Aztec Roofing and Renovations ad concept</x:v>
      </x:c>
      <x:c r="AU76" s="76" t="str">
        <x:v>Hi Aztec Roofing and Renovations — I noticed Aztec Roofing and Renovations's site has a Google Ads tag installed, but I couldn't find an embedded video on the homepage. I mapped a private 15-second storm-to-inspection before/after ad for Aztec Roofing and Renovations using only public brand context—not for publishing, just to show the angle. We build three client-approved video ad concepts in seven days, then turn the winners into fresh variations. No filming day required. Worth sending the private sample?</x:v>
      </x:c>
      <x:c r="AV76" s="76" t="str">
        <x:v>Quick follow-up: the sample angle is a storm-to-inspection before/after ad. If it misses the mark, no problem—I won't keep chasing. Should I send it?</x:v>
      </x:c>
      <x:c r="AW76" s="76" t="str">
        <x:v>Hi Aztec Roofing and Renovations, Ryan here. I was looking at Aztec Roofing and Renovations's public marketing and noticed: google ads tag detected; no embedded homepage video found. I mapped one private storm-to-inspection before/after ad as an example. Did I catch you with 30 seconds?</x:v>
      </x:c>
      <x:c r="AX76" s="60" t="str">
        <x:v>https://www.facebook.com/ads/library/?active_status=active&amp;ad_type=all&amp;country=US&amp;q=Aztec%20Roofing%20and%20Renovations&amp;search_type=keyword_unordered</x:v>
      </x:c>
      <x:c r="AY76" s="60" t="str">
        <x:v>ok:200</x:v>
      </x:c>
      <x:c r="AZ76" s="60" t="n">
        <x:v>46232.722858796296</x:v>
      </x:c>
      <x:c r="BA76" s="60" t="str">
        <x:v>Google Maps home-services export</x:v>
      </x:c>
      <x:c r="BB76" s="60" t="str">
        <x:v>https://aztecroofingsc.com | https://maps.google.com/?cid=511149903414172014&amp;g_mp=Cidnb29nbGUubWFwcy5wbGFjZXMudjEuUGxhY2VzLlNlYXJjaFRleHQQAhgEIAA</x:v>
      </x:c>
      <x:c r="BC76" s="60" t="str"/>
    </x:row>
    <x:row r="77" ht="18" customHeight="1">
      <x:c r="A77" s="70" t="str">
        <x:v>76</x:v>
      </x:c>
      <x:c r="B77" s="70" t="str">
        <x:v>A - Layup</x:v>
      </x:c>
      <x:c r="C77" s="72" t="str">
        <x:v>72</x:v>
      </x:c>
      <x:c r="D77" s="60" t="str">
        <x:v>Rooftop &amp; Surface Solutions</x:v>
      </x:c>
      <x:c r="E77" s="60" t="str">
        <x:v>https://rooftopandsurfacesolutions.com</x:v>
      </x:c>
      <x:c r="F77" s="60" t="str">
        <x:v>https://rooftopandsurfacesolutions.com</x:v>
      </x:c>
      <x:c r="G77" s="60" t="str">
        <x:v>Charleston</x:v>
      </x:c>
      <x:c r="H77" s="60" t="str">
        <x:v>South Carolina</x:v>
      </x:c>
      <x:c r="I77" s="60" t="str">
        <x:v>Roofing</x:v>
      </x:c>
      <x:c r="J77" s="60" t="str">
        <x:v>Daniel</x:v>
      </x:c>
      <x:c r="K77" s="60" t="str">
        <x:v>Smollon</x:v>
      </x:c>
      <x:c r="L77" s="60" t="str">
        <x:v>Owner</x:v>
      </x:c>
      <x:c r="M77" s="60" t="str">
        <x:v>daniel@rooftopandsurfacesolutions.com</x:v>
      </x:c>
      <x:c r="N77" s="60" t="str">
        <x:v>Verified with BounceBan on 08 Jun 26 12:09</x:v>
      </x:c>
      <x:c r="O77" s="60" t="str"/>
      <x:c r="P77" s="60" t="str">
        <x:v>https://www.linkedin.com/in/daniel-smollon-007200184</x:v>
      </x:c>
      <x:c r="Q77" s="60" t="str">
        <x:v>2-10</x:v>
      </x:c>
      <x:c r="R77" s="60" t="str">
        <x:v>0-99999</x:v>
      </x:c>
      <x:c r="S77" s="60" t="str"/>
      <x:c r="T77" s="74" t="str">
        <x:v>0</x:v>
      </x:c>
      <x:c r="U77" s="60" t="str"/>
      <x:c r="V77" s="74" t="str">
        <x:v>28</x:v>
      </x:c>
      <x:c r="W77" s="74" t="str">
        <x:v>13</x:v>
      </x:c>
      <x:c r="X77" s="74" t="str">
        <x:v>16</x:v>
      </x:c>
      <x:c r="Y77" s="74" t="str">
        <x:v>8</x:v>
      </x:c>
      <x:c r="Z77" s="74" t="str">
        <x:v>7</x:v>
      </x:c>
      <x:c r="AA77" s="74" t="str">
        <x:v>0</x:v>
      </x:c>
      <x:c r="AB77" s="74" t="str">
        <x:v>1</x:v>
      </x:c>
      <x:c r="AC77" s="74" t="str">
        <x:v>1</x:v>
      </x:c>
      <x:c r="AD77" s="74" t="str">
        <x:v>0</x:v>
      </x:c>
      <x:c r="AE77" s="74" t="str">
        <x:v>0</x:v>
      </x:c>
      <x:c r="AF77" s="74" t="str"/>
      <x:c r="AG77" s="74" t="str">
        <x:v>0</x:v>
      </x:c>
      <x:c r="AH77" s="74" t="str">
        <x:v>1</x:v>
      </x:c>
      <x:c r="AI77" s="74" t="str">
        <x:v>0</x:v>
      </x:c>
      <x:c r="AJ77" s="74" t="str">
        <x:v>0</x:v>
      </x:c>
      <x:c r="AK77" s="74" t="str">
        <x:v>1</x:v>
      </x:c>
      <x:c r="AL77" s="74" t="str">
        <x:v>0</x:v>
      </x:c>
      <x:c r="AM77" s="74" t="str">
        <x:v>0</x:v>
      </x:c>
      <x:c r="AN77" s="74" t="str">
        <x:v>0</x:v>
      </x:c>
      <x:c r="AO77" s="60" t="str">
        <x:v>0</x:v>
      </x:c>
      <x:c r="AP77" s="76" t="str">
        <x:v>Google Ads tag detected; no embedded homepage video found</x:v>
      </x:c>
      <x:c r="AQ77" s="76" t="str">
        <x:v>Google Ads tag; project/gallery proof; visible service offer; no embedded homepage video detected</x:v>
      </x:c>
      <x:c r="AR77" s="76" t="str">
        <x:v>I noticed Rooftop &amp; Surface Solutions's site has a Google Ads tag installed, but I couldn't find an embedded video on the homepage.</x:v>
      </x:c>
      <x:c r="AS77" s="76" t="str">
        <x:v>storm-to-inspection before/after ad</x:v>
      </x:c>
      <x:c r="AT77" s="76" t="str">
        <x:v>Rooftop &amp; Surface Solutions ad concept</x:v>
      </x:c>
      <x:c r="AU77" s="76" t="str">
        <x:v>Hi Daniel — I noticed Rooftop &amp; Surface Solutions's site has a Google Ads tag installed, but I couldn't find an embedded video on the homepage. I mapped a private 15-second storm-to-inspection before/after ad for Rooftop &amp; Surface Solutions using only public brand context—not for publishing, just to show the angle. We build three client-approved video ad concepts in seven days, then turn the winners into fresh variations. No filming day required. Worth sending the private sample?</x:v>
      </x:c>
      <x:c r="AV77" s="76" t="str">
        <x:v>Quick follow-up: the sample angle is a storm-to-inspection before/after ad. If it misses the mark, no problem—I won't keep chasing. Should I send it?</x:v>
      </x:c>
      <x:c r="AW77" s="76" t="str">
        <x:v>Hi Daniel, Ryan here. I was looking at Rooftop &amp; Surface Solutions's public marketing and noticed: google ads tag detected; no embedded homepage video found. I mapped one private storm-to-inspection before/after ad as an example. Did I catch you with 30 seconds?</x:v>
      </x:c>
      <x:c r="AX77" s="60" t="str">
        <x:v>https://www.facebook.com/ads/library/?active_status=active&amp;ad_type=all&amp;country=US&amp;q=Rooftop%20%26%20Surface%20Solutions&amp;search_type=keyword_unordered</x:v>
      </x:c>
      <x:c r="AY77" s="60" t="str">
        <x:v>ok:200</x:v>
      </x:c>
      <x:c r="AZ77" s="60" t="n">
        <x:v>46232.722858796296</x:v>
      </x:c>
      <x:c r="BA77" s="60" t="str">
        <x:v>AI Ark SC trades export</x:v>
      </x:c>
      <x:c r="BB77" s="60" t="str">
        <x:v>https://rooftopandsurfacesolutions.com | https://www.linkedin.com/company/rooftopandsurfacesolutions</x:v>
      </x:c>
      <x:c r="BC77" s="60" t="str"/>
    </x:row>
    <x:row r="78" ht="18" customHeight="1">
      <x:c r="A78" s="70" t="str">
        <x:v>77</x:v>
      </x:c>
      <x:c r="B78" s="70" t="str">
        <x:v>A - Layup</x:v>
      </x:c>
      <x:c r="C78" s="72" t="str">
        <x:v>71</x:v>
      </x:c>
      <x:c r="D78" s="60" t="str">
        <x:v>South Shore Roofing</x:v>
      </x:c>
      <x:c r="E78" s="60" t="str">
        <x:v>https://southshoreroof.com</x:v>
      </x:c>
      <x:c r="F78" s="60" t="str">
        <x:v>https://southshoreroof.com</x:v>
      </x:c>
      <x:c r="G78" s="60" t="str">
        <x:v>Beaufort</x:v>
      </x:c>
      <x:c r="H78" s="60" t="str">
        <x:v>South Carolina</x:v>
      </x:c>
      <x:c r="I78" s="60" t="str">
        <x:v>Roofing</x:v>
      </x:c>
      <x:c r="J78" s="60" t="str">
        <x:v>South Shore Roofing</x:v>
      </x:c>
      <x:c r="K78" s="60" t="str"/>
      <x:c r="L78" s="60" t="str">
        <x:v>Owner / decision maker to verify</x:v>
      </x:c>
      <x:c r="M78" s="60" t="str"/>
      <x:c r="N78" s="60" t="str"/>
      <x:c r="O78" s="60" t="str">
        <x:v>(912) 335-0400</x:v>
      </x:c>
      <x:c r="P78" s="60" t="str"/>
      <x:c r="Q78" s="60" t="str"/>
      <x:c r="R78" s="60" t="str"/>
      <x:c r="S78" s="60" t="str">
        <x:v>5</x:v>
      </x:c>
      <x:c r="T78" s="74" t="str">
        <x:v>50</x:v>
      </x:c>
      <x:c r="U78" s="60" t="str"/>
      <x:c r="V78" s="74" t="str">
        <x:v>27</x:v>
      </x:c>
      <x:c r="W78" s="74" t="str">
        <x:v>23</x:v>
      </x:c>
      <x:c r="X78" s="74" t="str">
        <x:v>3</x:v>
      </x:c>
      <x:c r="Y78" s="74" t="str">
        <x:v>13</x:v>
      </x:c>
      <x:c r="Z78" s="74" t="str">
        <x:v>5</x:v>
      </x:c>
      <x:c r="AA78" s="74" t="str">
        <x:v>1</x:v>
      </x:c>
      <x:c r="AB78" s="74" t="str">
        <x:v>0</x:v>
      </x:c>
      <x:c r="AC78" s="74" t="str">
        <x:v>1</x:v>
      </x:c>
      <x:c r="AD78" s="74" t="str">
        <x:v>0</x:v>
      </x:c>
      <x:c r="AE78" s="74" t="str">
        <x:v>1</x:v>
      </x:c>
      <x:c r="AF78" s="74" t="str"/>
      <x:c r="AG78" s="74" t="str">
        <x:v>1</x:v>
      </x:c>
      <x:c r="AH78" s="74" t="str">
        <x:v>1</x:v>
      </x:c>
      <x:c r="AI78" s="74" t="str">
        <x:v>0</x:v>
      </x:c>
      <x:c r="AJ78" s="74" t="str">
        <x:v>1</x:v>
      </x:c>
      <x:c r="AK78" s="74" t="str">
        <x:v>1</x:v>
      </x:c>
      <x:c r="AL78" s="74" t="str">
        <x:v>1</x:v>
      </x:c>
      <x:c r="AM78" s="74" t="str">
        <x:v>1</x:v>
      </x:c>
      <x:c r="AN78" s="74" t="str">
        <x:v>0</x:v>
      </x:c>
      <x:c r="AO78" s="60" t="str">
        <x:v>2024</x:v>
      </x:c>
      <x:c r="AP78" s="76" t="str">
        <x:v>Paid-demand technology detected; creative refresh hypothesis</x:v>
      </x:c>
      <x:c r="AQ78" s="76" t="str">
        <x:v>Meta Pixel; call tracking; project/gallery proof; financing; visible service offer</x:v>
      </x:c>
      <x:c r="AR78" s="76" t="str">
        <x:v>I was reviewing roofing companies in Beaufort, South Carolina and South Shore Roofing looked like a strong fit for a creative test.</x:v>
      </x:c>
      <x:c r="AS78" s="76" t="str">
        <x:v>storm-to-inspection before/after ad</x:v>
      </x:c>
      <x:c r="AT78" s="76" t="str">
        <x:v>South Shore Roofing ad concept</x:v>
      </x:c>
      <x:c r="AU78" s="76" t="str">
        <x:v>Hi South Shore Roofing — I was reviewing roofing companies in Beaufort, South Carolina and South Shore Roofing looked like a strong fit for a creative test. I mapped a private 15-second storm-to-inspection before/after ad for South Shore Roofing using only public brand context—not for publishing, just to show the angle. We build three client-approved video ad concepts in seven days, then turn the winners into fresh variations. No filming day required. Worth sending the private sample?</x:v>
      </x:c>
      <x:c r="AV78" s="76" t="str">
        <x:v>Quick follow-up: the sample angle is a storm-to-inspection before/after ad. If it misses the mark, no problem—I won't keep chasing. Should I send it?</x:v>
      </x:c>
      <x:c r="AW78" s="76" t="str">
        <x:v>Hi South Shore Roofing, Ryan here. I was looking at South Shore Roofing's public marketing and noticed: paid-demand technology detected; creative refresh hypothesis. I mapped one private storm-to-inspection before/after ad as an example. Did I catch you with 30 seconds?</x:v>
      </x:c>
      <x:c r="AX78" s="60" t="str">
        <x:v>https://www.facebook.com/ads/library/?active_status=active&amp;ad_type=all&amp;country=US&amp;q=South%20Shore%20Roofing&amp;search_type=keyword_unordered</x:v>
      </x:c>
      <x:c r="AY78" s="60" t="str">
        <x:v>ok:200</x:v>
      </x:c>
      <x:c r="AZ78" s="60" t="n">
        <x:v>46232.722858796296</x:v>
      </x:c>
      <x:c r="BA78" s="60" t="str">
        <x:v>Google Maps home-services export</x:v>
      </x:c>
      <x:c r="BB78" s="60" t="str">
        <x:v>https://maps.google.com/?cid=12790336887824023545&amp;g_mp=Cidnb29nbGUubWFwcy5wbGFjZXMudjEuUGxhY2VzLlNlYXJjaFRleHQQAhgEIAA | https://maps.google.com/?cid=16558564080057912398&amp;g_mp=Cidnb29nbGUubWFwcy5wbGFjZXMudjEuUGxhY2VzLlNlYXJjaFRleHQQAhgEIAA | https://maps.google.com/?cid=78194141929567584&amp;g_mp=Cidnb29nbGUubWFwcy5wbGFjZXMudjEuUGxhY2VzLlNlYXJjaFRleHQQAhgEIAA | https://maps.google.com/?cid=8355333113910047847&amp;g_mp=Cidnb29nbGUubWFwcy5wbGFjZXMudjEuUGxhY2VzLlNlYXJjaFRleHQQAhgEIAA | https://southshoreroof.com</x:v>
      </x:c>
      <x:c r="BC78" s="60" t="str"/>
    </x:row>
    <x:row r="79" ht="18" customHeight="1">
      <x:c r="A79" s="70" t="str">
        <x:v>78</x:v>
      </x:c>
      <x:c r="B79" s="70" t="str">
        <x:v>A - Layup</x:v>
      </x:c>
      <x:c r="C79" s="72" t="str">
        <x:v>71</x:v>
      </x:c>
      <x:c r="D79" s="60" t="str">
        <x:v>Fresh Start Paint Pros</x:v>
      </x:c>
      <x:c r="E79" s="60" t="str">
        <x:v>https://freshstartpaintpros.com</x:v>
      </x:c>
      <x:c r="F79" s="60" t="str">
        <x:v>https://freshstartpaintpros.com</x:v>
      </x:c>
      <x:c r="G79" s="60" t="str">
        <x:v>Summerville</x:v>
      </x:c>
      <x:c r="H79" s="60" t="str">
        <x:v>South Carolina</x:v>
      </x:c>
      <x:c r="I79" s="60" t="str">
        <x:v>General Contractor</x:v>
      </x:c>
      <x:c r="J79" s="60" t="str">
        <x:v>Humberto</x:v>
      </x:c>
      <x:c r="K79" s="60" t="str">
        <x:v>Machin</x:v>
      </x:c>
      <x:c r="L79" s="60" t="str">
        <x:v>Business Owner</x:v>
      </x:c>
      <x:c r="M79" s="60" t="str">
        <x:v>humberto@freshstartpaintpros.com</x:v>
      </x:c>
      <x:c r="N79" s="60" t="str">
        <x:v>Verified with BounceBan on 08 Jun 26 12:06</x:v>
      </x:c>
      <x:c r="O79" s="60" t="str"/>
      <x:c r="P79" s="60" t="str">
        <x:v>https://www.linkedin.com/in/humberto-machin-914944356</x:v>
      </x:c>
      <x:c r="Q79" s="60" t="str">
        <x:v>11-50</x:v>
      </x:c>
      <x:c r="R79" s="60" t="str">
        <x:v>100000-499999</x:v>
      </x:c>
      <x:c r="S79" s="60" t="str"/>
      <x:c r="T79" s="74" t="str">
        <x:v>0</x:v>
      </x:c>
      <x:c r="U79" s="60" t="str"/>
      <x:c r="V79" s="74" t="str">
        <x:v>23</x:v>
      </x:c>
      <x:c r="W79" s="74" t="str">
        <x:v>21</x:v>
      </x:c>
      <x:c r="X79" s="74" t="str">
        <x:v>12</x:v>
      </x:c>
      <x:c r="Y79" s="74" t="str">
        <x:v>8</x:v>
      </x:c>
      <x:c r="Z79" s="74" t="str">
        <x:v>7</x:v>
      </x:c>
      <x:c r="AA79" s="74" t="str">
        <x:v>0</x:v>
      </x:c>
      <x:c r="AB79" s="74" t="str">
        <x:v>1</x:v>
      </x:c>
      <x:c r="AC79" s="74" t="str">
        <x:v>1</x:v>
      </x:c>
      <x:c r="AD79" s="74" t="str">
        <x:v>0</x:v>
      </x:c>
      <x:c r="AE79" s="74" t="str">
        <x:v>1</x:v>
      </x:c>
      <x:c r="AF79" s="74" t="str"/>
      <x:c r="AG79" s="74" t="str">
        <x:v>0</x:v>
      </x:c>
      <x:c r="AH79" s="74" t="str">
        <x:v>1</x:v>
      </x:c>
      <x:c r="AI79" s="74" t="str">
        <x:v>0</x:v>
      </x:c>
      <x:c r="AJ79" s="74" t="str">
        <x:v>0</x:v>
      </x:c>
      <x:c r="AK79" s="74" t="str">
        <x:v>1</x:v>
      </x:c>
      <x:c r="AL79" s="74" t="str">
        <x:v>1</x:v>
      </x:c>
      <x:c r="AM79" s="74" t="str">
        <x:v>1</x:v>
      </x:c>
      <x:c r="AN79" s="74" t="str">
        <x:v>0</x:v>
      </x:c>
      <x:c r="AO79" s="60" t="str">
        <x:v>2026</x:v>
      </x:c>
      <x:c r="AP79" s="76" t="str">
        <x:v>Google Ads tag detected; no embedded homepage video found</x:v>
      </x:c>
      <x:c r="AQ79" s="76" t="str">
        <x:v>Google Ads tag; call tracking; project/gallery proof; visible service offer; no embedded homepage video detected</x:v>
      </x:c>
      <x:c r="AR79" s="76" t="str">
        <x:v>I noticed Fresh Start Paint Pros's site has a Google Ads tag installed, but I couldn't find an embedded video on the homepage.</x:v>
      </x:c>
      <x:c r="AS79" s="76" t="str">
        <x:v>project walkthrough with proof milestones</x:v>
      </x:c>
      <x:c r="AT79" s="76" t="str">
        <x:v>Fresh Start Paint Pros ad concept</x:v>
      </x:c>
      <x:c r="AU79" s="76" t="str">
        <x:v>Hi Humberto — I noticed Fresh Start Paint Pros's site has a Google Ads tag installed, but I couldn't find an embedded video on the homepage. I mapped a private 15-second project walkthrough with proof milestones for Fresh Start Paint Pros using only public brand context—not for publishing, just to show the angle. We build three client-approved video ad concepts in seven days, then turn the winners into fresh variations. No filming day required. Worth sending the private sample?</x:v>
      </x:c>
      <x:c r="AV79" s="76" t="str">
        <x:v>Quick follow-up: the sample angle is a project walkthrough with proof milestones. If it misses the mark, no problem—I won't keep chasing. Should I send it?</x:v>
      </x:c>
      <x:c r="AW79" s="76" t="str">
        <x:v>Hi Humberto, Ryan here. I was looking at Fresh Start Paint Pros's public marketing and noticed: google ads tag detected; no embedded homepage video found. I mapped one private project walkthrough with proof milestones as an example. Did I catch you with 30 seconds?</x:v>
      </x:c>
      <x:c r="AX79" s="60" t="str">
        <x:v>https://www.facebook.com/ads/library/?active_status=active&amp;ad_type=all&amp;country=US&amp;q=Fresh%20Start%20Paint%20Pros&amp;search_type=keyword_unordered</x:v>
      </x:c>
      <x:c r="AY79" s="60" t="str">
        <x:v>ok:200</x:v>
      </x:c>
      <x:c r="AZ79" s="60" t="n">
        <x:v>46232.722858796296</x:v>
      </x:c>
      <x:c r="BA79" s="60" t="str">
        <x:v>AI Ark SC trades export</x:v>
      </x:c>
      <x:c r="BB79" s="60" t="str">
        <x:v>https://freshstartpaintpros.com | https://www.linkedin.com/company/fresh-start-paint-pros</x:v>
      </x:c>
      <x:c r="BC79" s="60" t="str"/>
    </x:row>
    <x:row r="80" ht="18" customHeight="1">
      <x:c r="A80" s="70" t="str">
        <x:v>79</x:v>
      </x:c>
      <x:c r="B80" s="70" t="str">
        <x:v>A - Layup</x:v>
      </x:c>
      <x:c r="C80" s="72" t="str">
        <x:v>71</x:v>
      </x:c>
      <x:c r="D80" s="60" t="str">
        <x:v>Hill's Heating &amp; Air Conditioning Services</x:v>
      </x:c>
      <x:c r="E80" s="60" t="str">
        <x:v>https://hillsheatingandair.net</x:v>
      </x:c>
      <x:c r="F80" s="60" t="str">
        <x:v>https://www.qualityservicecompany.net/hill-s-heating-air-conditioning/</x:v>
      </x:c>
      <x:c r="G80" s="60" t="str">
        <x:v>Florence</x:v>
      </x:c>
      <x:c r="H80" s="60" t="str">
        <x:v>South Carolina</x:v>
      </x:c>
      <x:c r="I80" s="60" t="str">
        <x:v>HVAC</x:v>
      </x:c>
      <x:c r="J80" s="60" t="str">
        <x:v>Hill's Heating &amp; Air Conditioning Services</x:v>
      </x:c>
      <x:c r="K80" s="60" t="str"/>
      <x:c r="L80" s="60" t="str">
        <x:v>Owner / decision maker to verify</x:v>
      </x:c>
      <x:c r="M80" s="60" t="str"/>
      <x:c r="N80" s="60" t="str"/>
      <x:c r="O80" s="60" t="str">
        <x:v>(843) 669-3002</x:v>
      </x:c>
      <x:c r="P80" s="60" t="str"/>
      <x:c r="Q80" s="60" t="str"/>
      <x:c r="R80" s="60" t="str"/>
      <x:c r="S80" s="60" t="str">
        <x:v>4.9</x:v>
      </x:c>
      <x:c r="T80" s="74" t="str">
        <x:v>65</x:v>
      </x:c>
      <x:c r="U80" s="60" t="str"/>
      <x:c r="V80" s="74" t="str">
        <x:v>26</x:v>
      </x:c>
      <x:c r="W80" s="74" t="str">
        <x:v>18</x:v>
      </x:c>
      <x:c r="X80" s="74" t="str">
        <x:v>12</x:v>
      </x:c>
      <x:c r="Y80" s="74" t="str">
        <x:v>10</x:v>
      </x:c>
      <x:c r="Z80" s="74" t="str">
        <x:v>5</x:v>
      </x:c>
      <x:c r="AA80" s="74" t="str">
        <x:v>1</x:v>
      </x:c>
      <x:c r="AB80" s="74" t="str">
        <x:v>0</x:v>
      </x:c>
      <x:c r="AC80" s="74" t="str">
        <x:v>1</x:v>
      </x:c>
      <x:c r="AD80" s="74" t="str">
        <x:v>0</x:v>
      </x:c>
      <x:c r="AE80" s="74" t="str">
        <x:v>0</x:v>
      </x:c>
      <x:c r="AF80" s="74" t="str">
        <x:v>servicetitan</x:v>
      </x:c>
      <x:c r="AG80" s="74" t="str">
        <x:v>0</x:v>
      </x:c>
      <x:c r="AH80" s="74" t="str">
        <x:v>1</x:v>
      </x:c>
      <x:c r="AI80" s="74" t="str">
        <x:v>0</x:v>
      </x:c>
      <x:c r="AJ80" s="74" t="str">
        <x:v>0</x:v>
      </x:c>
      <x:c r="AK80" s="74" t="str">
        <x:v>1</x:v>
      </x:c>
      <x:c r="AL80" s="74" t="str">
        <x:v>1</x:v>
      </x:c>
      <x:c r="AM80" s="74" t="str">
        <x:v>1</x:v>
      </x:c>
      <x:c r="AN80" s="74" t="str">
        <x:v>0</x:v>
      </x:c>
      <x:c r="AO80" s="60" t="str">
        <x:v>2026</x:v>
      </x:c>
      <x:c r="AP80" s="76" t="str">
        <x:v>Meta tracking detected; no embedded homepage video found</x:v>
      </x:c>
      <x:c r="AQ80" s="76" t="str">
        <x:v>Meta Pixel; project/gallery proof; visible service offer; no embedded homepage video detected</x:v>
      </x:c>
      <x:c r="AR80" s="76" t="str">
        <x:v>I noticed Hill's Heating &amp; Air Conditioning Services's site has Meta tracking installed, but I couldn't find an embedded video on the homepage.</x:v>
      </x:c>
      <x:c r="AS80" s="76" t="str">
        <x:v>no-cool-call to same-day comfort ad</x:v>
      </x:c>
      <x:c r="AT80" s="76" t="str">
        <x:v>Hill's Heating &amp; Air Conditioning Services ad concept</x:v>
      </x:c>
      <x:c r="AU80" s="76" t="str">
        <x:v>Hi Hill's Heating &amp; Air Conditioning Services — I noticed Hill's Heating &amp; Air Conditioning Services's site has Meta tracking installed, but I couldn't find an embedded video on the homepage. I mapped a private 15-second no-cool-call to same-day comfort ad for Hill's Heating &amp; Air Conditioning Services using only public brand context—not for publishing, just to show the angle. We build three client-approved video ad concepts in seven days, then turn the winners into fresh variations. No filming day required. Worth sending the private sample?</x:v>
      </x:c>
      <x:c r="AV80" s="76" t="str">
        <x:v>Quick follow-up: the sample angle is a no-cool-call to same-day comfort ad. If it misses the mark, no problem—I won't keep chasing. Should I send it?</x:v>
      </x:c>
      <x:c r="AW80" s="76" t="str">
        <x:v>Hi Hill's Heating &amp; Air Conditioning Services, Ryan here. I was looking at Hill's Heating &amp; Air Conditioning Services's public marketing and noticed: meta tracking detected; no embedded homepage video found. I mapped one private no-cool-call to same-day comfort ad as an example. Did I catch you with 30 seconds?</x:v>
      </x:c>
      <x:c r="AX80" s="60" t="str">
        <x:v>https://www.facebook.com/ads/library/?active_status=active&amp;ad_type=all&amp;country=US&amp;q=Hill%27s%20Heating%20%26%20Air%20Conditioning%20Services&amp;search_type=keyword_unordered</x:v>
      </x:c>
      <x:c r="AY80" s="60" t="str">
        <x:v>ok:200</x:v>
      </x:c>
      <x:c r="AZ80" s="60" t="n">
        <x:v>46232.722858796296</x:v>
      </x:c>
      <x:c r="BA80" s="60" t="str">
        <x:v>Google Maps home-services export</x:v>
      </x:c>
      <x:c r="BB80" s="60" t="str">
        <x:v>https://hillsheatingandair.net | https://maps.google.com/?cid=9283818786071197156&amp;g_mp=Cidnb29nbGUubWFwcy5wbGFjZXMudjEuUGxhY2VzLlNlYXJjaFRleHQQAhgEIAA</x:v>
      </x:c>
      <x:c r="BC80" s="60" t="str"/>
    </x:row>
    <x:row r="81" ht="18" customHeight="1">
      <x:c r="A81" s="70" t="str">
        <x:v>80</x:v>
      </x:c>
      <x:c r="B81" s="70" t="str">
        <x:v>A - Layup</x:v>
      </x:c>
      <x:c r="C81" s="72" t="str">
        <x:v>71</x:v>
      </x:c>
      <x:c r="D81" s="60" t="str">
        <x:v>Concrete Charleston</x:v>
      </x:c>
      <x:c r="E81" s="60" t="str">
        <x:v>https://concretecharleston.com</x:v>
      </x:c>
      <x:c r="F81" s="60" t="str">
        <x:v>https://concretecharleston.com</x:v>
      </x:c>
      <x:c r="G81" s="60" t="str">
        <x:v>Charleston County</x:v>
      </x:c>
      <x:c r="H81" s="60" t="str">
        <x:v>South Carolina</x:v>
      </x:c>
      <x:c r="I81" s="60" t="str">
        <x:v>Foundation &amp; Waterproofing</x:v>
      </x:c>
      <x:c r="J81" s="60" t="str">
        <x:v>Chris</x:v>
      </x:c>
      <x:c r="K81" s="60" t="str">
        <x:v>Rodriguez</x:v>
      </x:c>
      <x:c r="L81" s="60" t="str">
        <x:v>Owner</x:v>
      </x:c>
      <x:c r="M81" s="60" t="str">
        <x:v>chris@concretecharleston.com</x:v>
      </x:c>
      <x:c r="N81" s="60" t="str">
        <x:v>Verified with BounceBan on 08 Jun 26 12:06</x:v>
      </x:c>
      <x:c r="O81" s="60" t="str">
        <x:v>+1 410 627 7929</x:v>
      </x:c>
      <x:c r="P81" s="60" t="str">
        <x:v>https://www.linkedin.com/in/chris-rodriguez-a7628911b</x:v>
      </x:c>
      <x:c r="Q81" s="60" t="str">
        <x:v>11-50</x:v>
      </x:c>
      <x:c r="R81" s="60" t="str">
        <x:v>100000-499999</x:v>
      </x:c>
      <x:c r="S81" s="60" t="str"/>
      <x:c r="T81" s="74" t="str">
        <x:v>0</x:v>
      </x:c>
      <x:c r="U81" s="60" t="str"/>
      <x:c r="V81" s="74" t="str">
        <x:v>29</x:v>
      </x:c>
      <x:c r="W81" s="74" t="str">
        <x:v>16</x:v>
      </x:c>
      <x:c r="X81" s="74" t="str">
        <x:v>4</x:v>
      </x:c>
      <x:c r="Y81" s="74" t="str">
        <x:v>12</x:v>
      </x:c>
      <x:c r="Z81" s="74" t="str">
        <x:v>10</x:v>
      </x:c>
      <x:c r="AA81" s="74" t="str">
        <x:v>0</x:v>
      </x:c>
      <x:c r="AB81" s="74" t="str">
        <x:v>1</x:v>
      </x:c>
      <x:c r="AC81" s="74" t="str">
        <x:v>1</x:v>
      </x:c>
      <x:c r="AD81" s="74" t="str">
        <x:v>0</x:v>
      </x:c>
      <x:c r="AE81" s="74" t="str">
        <x:v>0</x:v>
      </x:c>
      <x:c r="AF81" s="74" t="str">
        <x:v>jobber</x:v>
      </x:c>
      <x:c r="AG81" s="74" t="str">
        <x:v>1</x:v>
      </x:c>
      <x:c r="AH81" s="74" t="str">
        <x:v>1</x:v>
      </x:c>
      <x:c r="AI81" s="74" t="str">
        <x:v>1</x:v>
      </x:c>
      <x:c r="AJ81" s="74" t="str">
        <x:v>0</x:v>
      </x:c>
      <x:c r="AK81" s="74" t="str">
        <x:v>1</x:v>
      </x:c>
      <x:c r="AL81" s="74" t="str">
        <x:v>0</x:v>
      </x:c>
      <x:c r="AM81" s="74" t="str">
        <x:v>1</x:v>
      </x:c>
      <x:c r="AN81" s="74" t="str">
        <x:v>0</x:v>
      </x:c>
      <x:c r="AO81" s="60" t="str">
        <x:v>2026</x:v>
      </x:c>
      <x:c r="AP81" s="76" t="str">
        <x:v>Paid-demand technology detected; creative refresh hypothesis</x:v>
      </x:c>
      <x:c r="AQ81" s="76" t="str">
        <x:v>Google Ads tag; project/gallery proof; testimonials; visible service offer</x:v>
      </x:c>
      <x:c r="AR81" s="76" t="str">
        <x:v>I was reviewing foundation &amp; waterproofing companies in Charleston County, South Carolina and Concrete Charleston looked like a strong fit for a creative test.</x:v>
      </x:c>
      <x:c r="AS81" s="76" t="str">
        <x:v>visible-warning-signs inspection ad</x:v>
      </x:c>
      <x:c r="AT81" s="76" t="str">
        <x:v>Concrete Charleston ad concept</x:v>
      </x:c>
      <x:c r="AU81" s="76" t="str">
        <x:v>Hi Chris — I was reviewing foundation &amp; waterproofing companies in Charleston County, South Carolina and Concrete Charleston looked like a strong fit for a creative test. I mapped a private 15-second visible-warning-signs inspection ad for Concrete Charleston using only public brand context—not for publishing, just to show the angle. We build three client-approved video ad concepts in seven days, then turn the winners into fresh variations. No filming day required. Worth sending the private sample?</x:v>
      </x:c>
      <x:c r="AV81" s="76" t="str">
        <x:v>Quick follow-up: the sample angle is a visible-warning-signs inspection ad. If it misses the mark, no problem—I won't keep chasing. Should I send it?</x:v>
      </x:c>
      <x:c r="AW81" s="76" t="str">
        <x:v>Hi Chris, Ryan here. I was looking at Concrete Charleston's public marketing and noticed: paid-demand technology detected; creative refresh hypothesis. I mapped one private visible-warning-signs inspection ad as an example. Did I catch you with 30 seconds?</x:v>
      </x:c>
      <x:c r="AX81" s="60" t="str">
        <x:v>https://www.facebook.com/ads/library/?active_status=active&amp;ad_type=all&amp;country=US&amp;q=Concrete%20Charleston&amp;search_type=keyword_unordered</x:v>
      </x:c>
      <x:c r="AY81" s="60" t="str">
        <x:v>ok:200</x:v>
      </x:c>
      <x:c r="AZ81" s="60" t="n">
        <x:v>46232.722858796296</x:v>
      </x:c>
      <x:c r="BA81" s="60" t="str">
        <x:v>AI Ark SC trades export</x:v>
      </x:c>
      <x:c r="BB81" s="60" t="str">
        <x:v>https://concretecharleston.com | https://www.linkedin.com/company/concretecharlestonsc</x:v>
      </x:c>
      <x:c r="BC81" s="60" t="str"/>
    </x:row>
    <x:row r="82" ht="18" customHeight="1">
      <x:c r="A82" s="70" t="str">
        <x:v>81</x:v>
      </x:c>
      <x:c r="B82" s="70" t="str">
        <x:v>A - Layup</x:v>
      </x:c>
      <x:c r="C82" s="72" t="str">
        <x:v>71</x:v>
      </x:c>
      <x:c r="D82" s="60" t="str">
        <x:v>Hinson Brothers Plumbing</x:v>
      </x:c>
      <x:c r="E82" s="60" t="str">
        <x:v>https://hinsonbrothersplumbingllc.com</x:v>
      </x:c>
      <x:c r="F82" s="60" t="str">
        <x:v>https://www.hinsonbrothersplumbingllc.com/</x:v>
      </x:c>
      <x:c r="G82" s="60" t="str">
        <x:v>Rock Hill</x:v>
      </x:c>
      <x:c r="H82" s="60" t="str">
        <x:v>South Carolina</x:v>
      </x:c>
      <x:c r="I82" s="60" t="str">
        <x:v>Plumbing</x:v>
      </x:c>
      <x:c r="J82" s="60" t="str">
        <x:v>Hinson Brothers Plumbing</x:v>
      </x:c>
      <x:c r="K82" s="60" t="str"/>
      <x:c r="L82" s="60" t="str">
        <x:v>Owner / decision maker to verify</x:v>
      </x:c>
      <x:c r="M82" s="60" t="str"/>
      <x:c r="N82" s="60" t="str"/>
      <x:c r="O82" s="60" t="str">
        <x:v>(803) 285-4961</x:v>
      </x:c>
      <x:c r="P82" s="60" t="str"/>
      <x:c r="Q82" s="60" t="str"/>
      <x:c r="R82" s="60" t="str"/>
      <x:c r="S82" s="60" t="str">
        <x:v>4.9</x:v>
      </x:c>
      <x:c r="T82" s="74" t="str">
        <x:v>201</x:v>
      </x:c>
      <x:c r="U82" s="60" t="str"/>
      <x:c r="V82" s="74" t="str">
        <x:v>24</x:v>
      </x:c>
      <x:c r="W82" s="74" t="str">
        <x:v>15</x:v>
      </x:c>
      <x:c r="X82" s="74" t="str">
        <x:v>12</x:v>
      </x:c>
      <x:c r="Y82" s="74" t="str">
        <x:v>15</x:v>
      </x:c>
      <x:c r="Z82" s="74" t="str">
        <x:v>5</x:v>
      </x:c>
      <x:c r="AA82" s="74" t="str">
        <x:v>1</x:v>
      </x:c>
      <x:c r="AB82" s="74" t="str">
        <x:v>0</x:v>
      </x:c>
      <x:c r="AC82" s="74" t="str">
        <x:v>1</x:v>
      </x:c>
      <x:c r="AD82" s="74" t="str">
        <x:v>0</x:v>
      </x:c>
      <x:c r="AE82" s="74" t="str">
        <x:v>0</x:v>
      </x:c>
      <x:c r="AF82" s="74" t="str"/>
      <x:c r="AG82" s="74" t="str">
        <x:v>0</x:v>
      </x:c>
      <x:c r="AH82" s="74" t="str">
        <x:v>1</x:v>
      </x:c>
      <x:c r="AI82" s="74" t="str">
        <x:v>1</x:v>
      </x:c>
      <x:c r="AJ82" s="74" t="str">
        <x:v>0</x:v>
      </x:c>
      <x:c r="AK82" s="74" t="str">
        <x:v>1</x:v>
      </x:c>
      <x:c r="AL82" s="74" t="str">
        <x:v>1</x:v>
      </x:c>
      <x:c r="AM82" s="74" t="str">
        <x:v>1</x:v>
      </x:c>
      <x:c r="AN82" s="74" t="str">
        <x:v>0</x:v>
      </x:c>
      <x:c r="AO82" s="60" t="str">
        <x:v>0</x:v>
      </x:c>
      <x:c r="AP82" s="76" t="str">
        <x:v>Meta tracking detected; no embedded homepage video found</x:v>
      </x:c>
      <x:c r="AQ82" s="76" t="str">
        <x:v>Meta Pixel; project/gallery proof; testimonials; visible service offer; no embedded homepage video detected</x:v>
      </x:c>
      <x:c r="AR82" s="76" t="str">
        <x:v>I noticed Hinson Brothers Plumbing's site has Meta tracking installed, but I couldn't find an embedded video on the homepage.</x:v>
      </x:c>
      <x:c r="AS82" s="76" t="str">
        <x:v>small symptom to prevented-emergency ad</x:v>
      </x:c>
      <x:c r="AT82" s="76" t="str">
        <x:v>Hinson Brothers Plumbing ad concept</x:v>
      </x:c>
      <x:c r="AU82" s="76" t="str">
        <x:v>Hi Hinson Brothers Plumbing — I noticed Hinson Brothers Plumbing's site has Meta tracking installed, but I couldn't find an embedded video on the homepage. I mapped a private 15-second small symptom to prevented-emergency ad for Hinson Brothers Plumbing using only public brand context—not for publishing, just to show the angle. We build three client-approved video ad concepts in seven days, then turn the winners into fresh variations. No filming day required. Worth sending the private sample?</x:v>
      </x:c>
      <x:c r="AV82" s="76" t="str">
        <x:v>Quick follow-up: the sample angle is a small symptom to prevented-emergency ad. If it misses the mark, no problem—I won't keep chasing. Should I send it?</x:v>
      </x:c>
      <x:c r="AW82" s="76" t="str">
        <x:v>Hi Hinson Brothers Plumbing, Ryan here. I was looking at Hinson Brothers Plumbing's public marketing and noticed: meta tracking detected; no embedded homepage video found. I mapped one private small symptom to prevented-emergency ad as an example. Did I catch you with 30 seconds?</x:v>
      </x:c>
      <x:c r="AX82" s="60" t="str">
        <x:v>https://www.facebook.com/ads/library/?active_status=active&amp;ad_type=all&amp;country=US&amp;q=Hinson%20Brothers%20Plumbing&amp;search_type=keyword_unordered</x:v>
      </x:c>
      <x:c r="AY82" s="60" t="str">
        <x:v>ok:200</x:v>
      </x:c>
      <x:c r="AZ82" s="60" t="n">
        <x:v>46232.722858796296</x:v>
      </x:c>
      <x:c r="BA82" s="60" t="str">
        <x:v>Google Maps home-services export</x:v>
      </x:c>
      <x:c r="BB82" s="60" t="str">
        <x:v>https://hinsonbrothersplumbingllc.com | https://maps.google.com/?cid=9350342589591519669&amp;g_mp=Cidnb29nbGUubWFwcy5wbGFjZXMudjEuUGxhY2VzLlNlYXJjaFRleHQQAhgEIAA</x:v>
      </x:c>
      <x:c r="BC82" s="60" t="str"/>
    </x:row>
    <x:row r="83" ht="18" customHeight="1">
      <x:c r="A83" s="70" t="str">
        <x:v>82</x:v>
      </x:c>
      <x:c r="B83" s="70" t="str">
        <x:v>A - Layup</x:v>
      </x:c>
      <x:c r="C83" s="72" t="str">
        <x:v>71</x:v>
      </x:c>
      <x:c r="D83" s="60" t="str">
        <x:v>Super Roofing Company</x:v>
      </x:c>
      <x:c r="E83" s="60" t="str">
        <x:v>https://superroofingcompany.com</x:v>
      </x:c>
      <x:c r="F83" s="60" t="str">
        <x:v>https://superroofingcompany.com</x:v>
      </x:c>
      <x:c r="G83" s="60" t="str">
        <x:v>Rock Hill</x:v>
      </x:c>
      <x:c r="H83" s="60" t="str">
        <x:v>South Carolina</x:v>
      </x:c>
      <x:c r="I83" s="60" t="str">
        <x:v>Roofing</x:v>
      </x:c>
      <x:c r="J83" s="60" t="str">
        <x:v>Super Roofing Company</x:v>
      </x:c>
      <x:c r="K83" s="60" t="str"/>
      <x:c r="L83" s="60" t="str">
        <x:v>Owner / decision maker to verify</x:v>
      </x:c>
      <x:c r="M83" s="60" t="str"/>
      <x:c r="N83" s="60" t="str"/>
      <x:c r="O83" s="60" t="str">
        <x:v>(704) 232-7879</x:v>
      </x:c>
      <x:c r="P83" s="60" t="str"/>
      <x:c r="Q83" s="60" t="str"/>
      <x:c r="R83" s="60" t="str"/>
      <x:c r="S83" s="60" t="str">
        <x:v>5</x:v>
      </x:c>
      <x:c r="T83" s="74" t="str">
        <x:v>243</x:v>
      </x:c>
      <x:c r="U83" s="60" t="str"/>
      <x:c r="V83" s="74" t="str">
        <x:v>29</x:v>
      </x:c>
      <x:c r="W83" s="74" t="str">
        <x:v>15</x:v>
      </x:c>
      <x:c r="X83" s="74" t="str">
        <x:v>12</x:v>
      </x:c>
      <x:c r="Y83" s="74" t="str">
        <x:v>10</x:v>
      </x:c>
      <x:c r="Z83" s="74" t="str">
        <x:v>5</x:v>
      </x:c>
      <x:c r="AA83" s="74" t="str">
        <x:v>1</x:v>
      </x:c>
      <x:c r="AB83" s="74" t="str">
        <x:v>0</x:v>
      </x:c>
      <x:c r="AC83" s="74" t="str">
        <x:v>1</x:v>
      </x:c>
      <x:c r="AD83" s="74" t="str">
        <x:v>0</x:v>
      </x:c>
      <x:c r="AE83" s="74" t="str">
        <x:v>0</x:v>
      </x:c>
      <x:c r="AF83" s="74" t="str"/>
      <x:c r="AG83" s="74" t="str">
        <x:v>0</x:v>
      </x:c>
      <x:c r="AH83" s="74" t="str">
        <x:v>0</x:v>
      </x:c>
      <x:c r="AI83" s="74" t="str">
        <x:v>1</x:v>
      </x:c>
      <x:c r="AJ83" s="74" t="str">
        <x:v>1</x:v>
      </x:c>
      <x:c r="AK83" s="74" t="str">
        <x:v>0</x:v>
      </x:c>
      <x:c r="AL83" s="74" t="str">
        <x:v>1</x:v>
      </x:c>
      <x:c r="AM83" s="74" t="str">
        <x:v>1</x:v>
      </x:c>
      <x:c r="AN83" s="74" t="str">
        <x:v>1</x:v>
      </x:c>
      <x:c r="AO83" s="60" t="str">
        <x:v>2026</x:v>
      </x:c>
      <x:c r="AP83" s="76" t="str">
        <x:v>Meta tracking detected; no embedded homepage video found</x:v>
      </x:c>
      <x:c r="AQ83" s="76" t="str">
        <x:v>Meta Pixel; testimonials; financing; no embedded homepage video detected</x:v>
      </x:c>
      <x:c r="AR83" s="76" t="str">
        <x:v>I noticed Super Roofing Company's site has Meta tracking installed, but I couldn't find an embedded video on the homepage.</x:v>
      </x:c>
      <x:c r="AS83" s="76" t="str">
        <x:v>storm-to-inspection before/after ad</x:v>
      </x:c>
      <x:c r="AT83" s="76" t="str">
        <x:v>Super Roofing Company ad concept</x:v>
      </x:c>
      <x:c r="AU83" s="76" t="str">
        <x:v>Hi Super Roofing Company — I noticed Super Roofing Company's site has Meta tracking installed, but I couldn't find an embedded video on the homepage. I mapped a private 15-second storm-to-inspection before/after ad for Super Roofing Company using only public brand context—not for publishing, just to show the angle. We build three client-approved video ad concepts in seven days, then turn the winners into fresh variations. No filming day required. Worth sending the private sample?</x:v>
      </x:c>
      <x:c r="AV83" s="76" t="str">
        <x:v>Quick follow-up: the sample angle is a storm-to-inspection before/after ad. If it misses the mark, no problem—I won't keep chasing. Should I send it?</x:v>
      </x:c>
      <x:c r="AW83" s="76" t="str">
        <x:v>Hi Super Roofing Company, Ryan here. I was looking at Super Roofing Company's public marketing and noticed: meta tracking detected; no embedded homepage video found. I mapped one private storm-to-inspection before/after ad as an example. Did I catch you with 30 seconds?</x:v>
      </x:c>
      <x:c r="AX83" s="60" t="str">
        <x:v>https://www.facebook.com/ads/library/?active_status=active&amp;ad_type=all&amp;country=US&amp;q=Super%20Roofing%20Company&amp;search_type=keyword_unordered</x:v>
      </x:c>
      <x:c r="AY83" s="60" t="str">
        <x:v>ok:200</x:v>
      </x:c>
      <x:c r="AZ83" s="60" t="n">
        <x:v>46232.722858796296</x:v>
      </x:c>
      <x:c r="BA83" s="60" t="str">
        <x:v>Google Maps home-services export</x:v>
      </x:c>
      <x:c r="BB83" s="60" t="str">
        <x:v>https://maps.google.com/?cid=10226441540737189727&amp;g_mp=Cidnb29nbGUubWFwcy5wbGFjZXMudjEuUGxhY2VzLlNlYXJjaFRleHQQAhgEIAA | https://superroofingcompany.com</x:v>
      </x:c>
      <x:c r="BC83" s="60" t="str"/>
    </x:row>
    <x:row r="84" ht="18" customHeight="1">
      <x:c r="A84" s="70" t="str">
        <x:v>83</x:v>
      </x:c>
      <x:c r="B84" s="70" t="str">
        <x:v>A - Layup</x:v>
      </x:c>
      <x:c r="C84" s="72" t="str">
        <x:v>71</x:v>
      </x:c>
      <x:c r="D84" s="60" t="str">
        <x:v>Roofers LLC</x:v>
      </x:c>
      <x:c r="E84" s="60" t="str">
        <x:v>https://roofersllc.com</x:v>
      </x:c>
      <x:c r="F84" s="60" t="str">
        <x:v>https://www.roofersllc.com/</x:v>
      </x:c>
      <x:c r="G84" s="60" t="str">
        <x:v>Greenville</x:v>
      </x:c>
      <x:c r="H84" s="60" t="str">
        <x:v>South Carolina</x:v>
      </x:c>
      <x:c r="I84" s="60" t="str">
        <x:v>Roofing</x:v>
      </x:c>
      <x:c r="J84" s="60" t="str">
        <x:v>Roofers LLC</x:v>
      </x:c>
      <x:c r="K84" s="60" t="str"/>
      <x:c r="L84" s="60" t="str">
        <x:v>Owner / decision maker to verify</x:v>
      </x:c>
      <x:c r="M84" s="60" t="str"/>
      <x:c r="N84" s="60" t="str"/>
      <x:c r="O84" s="60" t="str">
        <x:v>(864) 740-1691</x:v>
      </x:c>
      <x:c r="P84" s="60" t="str"/>
      <x:c r="Q84" s="60" t="str"/>
      <x:c r="R84" s="60" t="str"/>
      <x:c r="S84" s="60" t="str">
        <x:v>4.9</x:v>
      </x:c>
      <x:c r="T84" s="74" t="str">
        <x:v>353</x:v>
      </x:c>
      <x:c r="U84" s="60" t="str"/>
      <x:c r="V84" s="74" t="str">
        <x:v>30</x:v>
      </x:c>
      <x:c r="W84" s="74" t="str">
        <x:v>15</x:v>
      </x:c>
      <x:c r="X84" s="74" t="str">
        <x:v>12</x:v>
      </x:c>
      <x:c r="Y84" s="74" t="str">
        <x:v>9</x:v>
      </x:c>
      <x:c r="Z84" s="74" t="str">
        <x:v>5</x:v>
      </x:c>
      <x:c r="AA84" s="74" t="str">
        <x:v>1</x:v>
      </x:c>
      <x:c r="AB84" s="74" t="str">
        <x:v>0</x:v>
      </x:c>
      <x:c r="AC84" s="74" t="str">
        <x:v>1</x:v>
      </x:c>
      <x:c r="AD84" s="74" t="str">
        <x:v>0</x:v>
      </x:c>
      <x:c r="AE84" s="74" t="str">
        <x:v>0</x:v>
      </x:c>
      <x:c r="AF84" s="74" t="str"/>
      <x:c r="AG84" s="74" t="str">
        <x:v>0</x:v>
      </x:c>
      <x:c r="AH84" s="74" t="str">
        <x:v>0</x:v>
      </x:c>
      <x:c r="AI84" s="74" t="str">
        <x:v>0</x:v>
      </x:c>
      <x:c r="AJ84" s="74" t="str">
        <x:v>1</x:v>
      </x:c>
      <x:c r="AK84" s="74" t="str">
        <x:v>1</x:v>
      </x:c>
      <x:c r="AL84" s="74" t="str">
        <x:v>1</x:v>
      </x:c>
      <x:c r="AM84" s="74" t="str">
        <x:v>1</x:v>
      </x:c>
      <x:c r="AN84" s="74" t="str">
        <x:v>1</x:v>
      </x:c>
      <x:c r="AO84" s="60" t="str">
        <x:v>0</x:v>
      </x:c>
      <x:c r="AP84" s="76" t="str">
        <x:v>Meta tracking detected; no embedded homepage video found</x:v>
      </x:c>
      <x:c r="AQ84" s="76" t="str">
        <x:v>Meta Pixel; financing; visible service offer; no embedded homepage video detected</x:v>
      </x:c>
      <x:c r="AR84" s="76" t="str">
        <x:v>I noticed Roofers LLC's site has Meta tracking installed, but I couldn't find an embedded video on the homepage.</x:v>
      </x:c>
      <x:c r="AS84" s="76" t="str">
        <x:v>storm-to-inspection before/after ad</x:v>
      </x:c>
      <x:c r="AT84" s="76" t="str">
        <x:v>Roofers LLC ad concept</x:v>
      </x:c>
      <x:c r="AU84" s="76" t="str">
        <x:v>Hi Roofers LLC — I noticed Roofers LLC's site has Meta tracking installed, but I couldn't find an embedded video on the homepage. I mapped a private 15-second storm-to-inspection before/after ad for Roofers LLC using only public brand context—not for publishing, just to show the angle. We build three client-approved video ad concepts in seven days, then turn the winners into fresh variations. No filming day required. Worth sending the private sample?</x:v>
      </x:c>
      <x:c r="AV84" s="76" t="str">
        <x:v>Quick follow-up: the sample angle is a storm-to-inspection before/after ad. If it misses the mark, no problem—I won't keep chasing. Should I send it?</x:v>
      </x:c>
      <x:c r="AW84" s="76" t="str">
        <x:v>Hi Roofers LLC, Ryan here. I was looking at Roofers LLC's public marketing and noticed: meta tracking detected; no embedded homepage video found. I mapped one private storm-to-inspection before/after ad as an example. Did I catch you with 30 seconds?</x:v>
      </x:c>
      <x:c r="AX84" s="60" t="str">
        <x:v>https://www.facebook.com/ads/library/?active_status=active&amp;ad_type=all&amp;country=US&amp;q=Roofers%20LLC&amp;search_type=keyword_unordered</x:v>
      </x:c>
      <x:c r="AY84" s="60" t="str">
        <x:v>ok:200</x:v>
      </x:c>
      <x:c r="AZ84" s="60" t="n">
        <x:v>46232.722858796296</x:v>
      </x:c>
      <x:c r="BA84" s="60" t="str">
        <x:v>Google Maps home-services export</x:v>
      </x:c>
      <x:c r="BB84" s="60" t="str">
        <x:v>https://maps.google.com/?cid=4982662894671103540&amp;g_mp=Cidnb29nbGUubWFwcy5wbGFjZXMudjEuUGxhY2VzLlNlYXJjaFRleHQQAhgEIAA | https://roofersllc.com</x:v>
      </x:c>
      <x:c r="BC84" s="60" t="str"/>
    </x:row>
    <x:row r="85" ht="18" customHeight="1">
      <x:c r="A85" s="70" t="str">
        <x:v>84</x:v>
      </x:c>
      <x:c r="B85" s="70" t="str">
        <x:v>A - Layup</x:v>
      </x:c>
      <x:c r="C85" s="72" t="str">
        <x:v>71</x:v>
      </x:c>
      <x:c r="D85" s="60" t="str">
        <x:v>Freedom Air Heating and Air Conditioning</x:v>
      </x:c>
      <x:c r="E85" s="60" t="str">
        <x:v>https://callfreedomair.com</x:v>
      </x:c>
      <x:c r="F85" s="60" t="str">
        <x:v>https://www.callfreedomair.com/</x:v>
      </x:c>
      <x:c r="G85" s="60" t="str">
        <x:v>Hilton Head</x:v>
      </x:c>
      <x:c r="H85" s="60" t="str">
        <x:v>South Carolina</x:v>
      </x:c>
      <x:c r="I85" s="60" t="str">
        <x:v>HVAC</x:v>
      </x:c>
      <x:c r="J85" s="60" t="str">
        <x:v>Freedom Air Heating and Air Conditioning</x:v>
      </x:c>
      <x:c r="K85" s="60" t="str"/>
      <x:c r="L85" s="60" t="str">
        <x:v>Owner / decision maker to verify</x:v>
      </x:c>
      <x:c r="M85" s="60" t="str"/>
      <x:c r="N85" s="60" t="str"/>
      <x:c r="O85" s="60" t="str">
        <x:v>(803) 573-4032</x:v>
      </x:c>
      <x:c r="P85" s="60" t="str"/>
      <x:c r="Q85" s="60" t="str"/>
      <x:c r="R85" s="60" t="str"/>
      <x:c r="S85" s="60" t="str">
        <x:v>4.7</x:v>
      </x:c>
      <x:c r="T85" s="74" t="str">
        <x:v>523</x:v>
      </x:c>
      <x:c r="U85" s="60" t="str"/>
      <x:c r="V85" s="74" t="str">
        <x:v>29</x:v>
      </x:c>
      <x:c r="W85" s="74" t="str">
        <x:v>15</x:v>
      </x:c>
      <x:c r="X85" s="74" t="str">
        <x:v>16</x:v>
      </x:c>
      <x:c r="Y85" s="74" t="str">
        <x:v>6</x:v>
      </x:c>
      <x:c r="Z85" s="74" t="str">
        <x:v>5</x:v>
      </x:c>
      <x:c r="AA85" s="74" t="str">
        <x:v>1</x:v>
      </x:c>
      <x:c r="AB85" s="74" t="str">
        <x:v>0</x:v>
      </x:c>
      <x:c r="AC85" s="74" t="str">
        <x:v>1</x:v>
      </x:c>
      <x:c r="AD85" s="74" t="str">
        <x:v>0</x:v>
      </x:c>
      <x:c r="AE85" s="74" t="str">
        <x:v>0</x:v>
      </x:c>
      <x:c r="AF85" s="74" t="str"/>
      <x:c r="AG85" s="74" t="str">
        <x:v>0</x:v>
      </x:c>
      <x:c r="AH85" s="74" t="str">
        <x:v>0</x:v>
      </x:c>
      <x:c r="AI85" s="74" t="str">
        <x:v>0</x:v>
      </x:c>
      <x:c r="AJ85" s="74" t="str">
        <x:v>0</x:v>
      </x:c>
      <x:c r="AK85" s="74" t="str">
        <x:v>1</x:v>
      </x:c>
      <x:c r="AL85" s="74" t="str">
        <x:v>0</x:v>
      </x:c>
      <x:c r="AM85" s="74" t="str">
        <x:v>1</x:v>
      </x:c>
      <x:c r="AN85" s="74" t="str">
        <x:v>0</x:v>
      </x:c>
      <x:c r="AO85" s="60" t="str">
        <x:v>2026</x:v>
      </x:c>
      <x:c r="AP85" s="76" t="str">
        <x:v>Meta tracking detected; no embedded homepage video found</x:v>
      </x:c>
      <x:c r="AQ85" s="76" t="str">
        <x:v>Meta Pixel; visible service offer; no embedded homepage video detected</x:v>
      </x:c>
      <x:c r="AR85" s="76" t="str">
        <x:v>I noticed Freedom Air Heating and Air Conditioning's site has Meta tracking installed, but I couldn't find an embedded video on the homepage.</x:v>
      </x:c>
      <x:c r="AS85" s="76" t="str">
        <x:v>no-cool-call to same-day comfort ad</x:v>
      </x:c>
      <x:c r="AT85" s="76" t="str">
        <x:v>Freedom Air Heating and Air Conditioning ad concept</x:v>
      </x:c>
      <x:c r="AU85" s="76" t="str">
        <x:v>Hi Freedom Air Heating and Air Conditioning — I noticed Freedom Air Heating and Air Conditioning's site has Meta tracking installed, but I couldn't find an embedded video on the homepage. I mapped a private 15-second no-cool-call to same-day comfort ad for Freedom Air Heating and Air Conditioning using only public brand context—not for publishing, just to show the angle. We build three client-approved video ad concepts in seven days, then turn the winners into fresh variations. No filming day required. Worth sending the private sample?</x:v>
      </x:c>
      <x:c r="AV85" s="76" t="str">
        <x:v>Quick follow-up: the sample angle is a no-cool-call to same-day comfort ad. If it misses the mark, no problem—I won't keep chasing. Should I send it?</x:v>
      </x:c>
      <x:c r="AW85" s="76" t="str">
        <x:v>Hi Freedom Air Heating and Air Conditioning, Ryan here. I was looking at Freedom Air Heating and Air Conditioning's public marketing and noticed: meta tracking detected; no embedded homepage video found. I mapped one private no-cool-call to same-day comfort ad as an example. Did I catch you with 30 seconds?</x:v>
      </x:c>
      <x:c r="AX85" s="60" t="str">
        <x:v>https://www.facebook.com/ads/library/?active_status=active&amp;ad_type=all&amp;country=US&amp;q=Freedom%20Air%20Heating%20and%20Air%20Conditioning&amp;search_type=keyword_unordered</x:v>
      </x:c>
      <x:c r="AY85" s="60" t="str">
        <x:v>ok:200</x:v>
      </x:c>
      <x:c r="AZ85" s="60" t="n">
        <x:v>46232.722858796296</x:v>
      </x:c>
      <x:c r="BA85" s="60" t="str">
        <x:v>Google Maps home-services export</x:v>
      </x:c>
      <x:c r="BB85" s="60" t="str">
        <x:v>https://callfreedomair.com | https://maps.google.com/?cid=783824871603966290&amp;g_mp=Cidnb29nbGUubWFwcy5wbGFjZXMudjEuUGxhY2VzLlNlYXJjaFRleHQQAhgEIAA</x:v>
      </x:c>
      <x:c r="BC85" s="60" t="str"/>
    </x:row>
    <x:row r="86" ht="18" customHeight="1">
      <x:c r="A86" s="70" t="str">
        <x:v>85</x:v>
      </x:c>
      <x:c r="B86" s="70" t="str">
        <x:v>A - Layup</x:v>
      </x:c>
      <x:c r="C86" s="72" t="str">
        <x:v>71</x:v>
      </x:c>
      <x:c r="D86" s="60" t="str">
        <x:v>Klaus Roofing Systems by Carolina Energy Conservation</x:v>
      </x:c>
      <x:c r="E86" s="60" t="str">
        <x:v>https://klausroofingbycarolinaec.com</x:v>
      </x:c>
      <x:c r="F86" s="60" t="str">
        <x:v>https://klausroofingbycarolinaec.com</x:v>
      </x:c>
      <x:c r="G86" s="60" t="str">
        <x:v>Myrtle Beach</x:v>
      </x:c>
      <x:c r="H86" s="60" t="str">
        <x:v>South Carolina</x:v>
      </x:c>
      <x:c r="I86" s="60" t="str">
        <x:v>Roofing</x:v>
      </x:c>
      <x:c r="J86" s="60" t="str">
        <x:v>Klaus Roofing Systems by Carolina Energy Conservation</x:v>
      </x:c>
      <x:c r="K86" s="60" t="str"/>
      <x:c r="L86" s="60" t="str">
        <x:v>Owner / decision maker to verify</x:v>
      </x:c>
      <x:c r="M86" s="60" t="str"/>
      <x:c r="N86" s="60" t="str"/>
      <x:c r="O86" s="60" t="str">
        <x:v>(843) 748-0295</x:v>
      </x:c>
      <x:c r="P86" s="60" t="str"/>
      <x:c r="Q86" s="60" t="str"/>
      <x:c r="R86" s="60" t="str"/>
      <x:c r="S86" s="60" t="str">
        <x:v>5</x:v>
      </x:c>
      <x:c r="T86" s="74" t="str">
        <x:v>288</x:v>
      </x:c>
      <x:c r="U86" s="60" t="str"/>
      <x:c r="V86" s="74" t="str">
        <x:v>30</x:v>
      </x:c>
      <x:c r="W86" s="74" t="str">
        <x:v>13</x:v>
      </x:c>
      <x:c r="X86" s="74" t="str">
        <x:v>12</x:v>
      </x:c>
      <x:c r="Y86" s="74" t="str">
        <x:v>11</x:v>
      </x:c>
      <x:c r="Z86" s="74" t="str">
        <x:v>5</x:v>
      </x:c>
      <x:c r="AA86" s="74" t="str">
        <x:v>0</x:v>
      </x:c>
      <x:c r="AB86" s="74" t="str">
        <x:v>1</x:v>
      </x:c>
      <x:c r="AC86" s="74" t="str">
        <x:v>1</x:v>
      </x:c>
      <x:c r="AD86" s="74" t="str">
        <x:v>0</x:v>
      </x:c>
      <x:c r="AE86" s="74" t="str">
        <x:v>0</x:v>
      </x:c>
      <x:c r="AF86" s="74" t="str"/>
      <x:c r="AG86" s="74" t="str">
        <x:v>0</x:v>
      </x:c>
      <x:c r="AH86" s="74" t="str">
        <x:v>1</x:v>
      </x:c>
      <x:c r="AI86" s="74" t="str">
        <x:v>0</x:v>
      </x:c>
      <x:c r="AJ86" s="74" t="str">
        <x:v>0</x:v>
      </x:c>
      <x:c r="AK86" s="74" t="str">
        <x:v>1</x:v>
      </x:c>
      <x:c r="AL86" s="74" t="str">
        <x:v>1</x:v>
      </x:c>
      <x:c r="AM86" s="74" t="str">
        <x:v>1</x:v>
      </x:c>
      <x:c r="AN86" s="74" t="str">
        <x:v>1</x:v>
      </x:c>
      <x:c r="AO86" s="60" t="str">
        <x:v>2026</x:v>
      </x:c>
      <x:c r="AP86" s="76" t="str">
        <x:v>Google Ads tag detected; no embedded homepage video found</x:v>
      </x:c>
      <x:c r="AQ86" s="76" t="str">
        <x:v>Google Ads tag; project/gallery proof; visible service offer; no embedded homepage video detected</x:v>
      </x:c>
      <x:c r="AR86" s="76" t="str">
        <x:v>I noticed Klaus Roofing Systems by Carolina Energy Conservation's site has a Google Ads tag installed, but I couldn't find an embedded video on the homepage.</x:v>
      </x:c>
      <x:c r="AS86" s="76" t="str">
        <x:v>storm-to-inspection before/after ad</x:v>
      </x:c>
      <x:c r="AT86" s="76" t="str">
        <x:v>Klaus Roofing Systems by Carolina Energy Conservation ad concept</x:v>
      </x:c>
      <x:c r="AU86" s="76" t="str">
        <x:v>Hi Klaus Roofing Systems by Carolina Energy Conservation — I noticed Klaus Roofing Systems by Carolina Energy Conservation's site has a Google Ads tag installed, but I couldn't find an embedded video on the homepage. I mapped a private 15-second storm-to-inspection before/after ad for Klaus Roofing Systems by Carolina Energy Conservation using only public brand context—not for publishing, just to show the angle. We build three client-approved video ad concepts in seven days, then turn the winners into fresh variations. No filming day required. Worth sending the private sample?</x:v>
      </x:c>
      <x:c r="AV86" s="76" t="str">
        <x:v>Quick follow-up: the sample angle is a storm-to-inspection before/after ad. If it misses the mark, no problem—I won't keep chasing. Should I send it?</x:v>
      </x:c>
      <x:c r="AW86" s="76" t="str">
        <x:v>Hi Klaus Roofing Systems by Carolina Energy Conservation, Ryan here. I was looking at Klaus Roofing Systems by Carolina Energy Conservation's public marketing and noticed: google ads tag detected; no embedded homepage video found. I mapped one private storm-to-inspection before/after ad as an example. Did I catch you with 30 seconds?</x:v>
      </x:c>
      <x:c r="AX86" s="60" t="str">
        <x:v>https://www.facebook.com/ads/library/?active_status=active&amp;ad_type=all&amp;country=US&amp;q=Klaus%20Roofing%20Systems%20by%20Carolina%20Energy%20Conservation&amp;search_type=keyword_unordered</x:v>
      </x:c>
      <x:c r="AY86" s="60" t="str">
        <x:v>ok:200</x:v>
      </x:c>
      <x:c r="AZ86" s="60" t="n">
        <x:v>46232.722858796296</x:v>
      </x:c>
      <x:c r="BA86" s="60" t="str">
        <x:v>Google Maps home-services export</x:v>
      </x:c>
      <x:c r="BB86" s="60" t="str">
        <x:v>https://klausroofingbycarolinaec.com | https://maps.google.com/?cid=7216593261206016909&amp;g_mp=Cidnb29nbGUubWFwcy5wbGFjZXMudjEuUGxhY2VzLlNlYXJjaFRleHQQAhgEIAA</x:v>
      </x:c>
      <x:c r="BC86" s="60" t="str"/>
    </x:row>
    <x:row r="87" ht="18" customHeight="1">
      <x:c r="A87" s="70" t="str">
        <x:v>86</x:v>
      </x:c>
      <x:c r="B87" s="70" t="str">
        <x:v>A - Layup</x:v>
      </x:c>
      <x:c r="C87" s="72" t="str">
        <x:v>71</x:v>
      </x:c>
      <x:c r="D87" s="60" t="str">
        <x:v>Collins Roofing and Repair</x:v>
      </x:c>
      <x:c r="E87" s="60" t="str">
        <x:v>https://collinsroofandrepair.com</x:v>
      </x:c>
      <x:c r="F87" s="60" t="str">
        <x:v>https://collinsroofandrepair.com</x:v>
      </x:c>
      <x:c r="G87" s="60" t="str">
        <x:v>Myrtle Beach</x:v>
      </x:c>
      <x:c r="H87" s="60" t="str">
        <x:v>South Carolina</x:v>
      </x:c>
      <x:c r="I87" s="60" t="str">
        <x:v>Roofing</x:v>
      </x:c>
      <x:c r="J87" s="60" t="str">
        <x:v>Collins Roofing and Repair</x:v>
      </x:c>
      <x:c r="K87" s="60" t="str"/>
      <x:c r="L87" s="60" t="str">
        <x:v>Owner / decision maker to verify</x:v>
      </x:c>
      <x:c r="M87" s="60" t="str"/>
      <x:c r="N87" s="60" t="str"/>
      <x:c r="O87" s="60" t="str">
        <x:v>(843) 536-5951</x:v>
      </x:c>
      <x:c r="P87" s="60" t="str"/>
      <x:c r="Q87" s="60" t="str"/>
      <x:c r="R87" s="60" t="str"/>
      <x:c r="S87" s="60" t="str">
        <x:v>4.9</x:v>
      </x:c>
      <x:c r="T87" s="74" t="str">
        <x:v>55</x:v>
      </x:c>
      <x:c r="U87" s="60" t="str"/>
      <x:c r="V87" s="74" t="str">
        <x:v>27</x:v>
      </x:c>
      <x:c r="W87" s="74" t="str">
        <x:v>13</x:v>
      </x:c>
      <x:c r="X87" s="74" t="str">
        <x:v>16</x:v>
      </x:c>
      <x:c r="Y87" s="74" t="str">
        <x:v>10</x:v>
      </x:c>
      <x:c r="Z87" s="74" t="str">
        <x:v>5</x:v>
      </x:c>
      <x:c r="AA87" s="74" t="str">
        <x:v>0</x:v>
      </x:c>
      <x:c r="AB87" s="74" t="str">
        <x:v>1</x:v>
      </x:c>
      <x:c r="AC87" s="74" t="str">
        <x:v>1</x:v>
      </x:c>
      <x:c r="AD87" s="74" t="str">
        <x:v>0</x:v>
      </x:c>
      <x:c r="AE87" s="74" t="str">
        <x:v>0</x:v>
      </x:c>
      <x:c r="AF87" s="74" t="str"/>
      <x:c r="AG87" s="74" t="str">
        <x:v>0</x:v>
      </x:c>
      <x:c r="AH87" s="74" t="str">
        <x:v>1</x:v>
      </x:c>
      <x:c r="AI87" s="74" t="str">
        <x:v>0</x:v>
      </x:c>
      <x:c r="AJ87" s="74" t="str">
        <x:v>0</x:v>
      </x:c>
      <x:c r="AK87" s="74" t="str">
        <x:v>1</x:v>
      </x:c>
      <x:c r="AL87" s="74" t="str">
        <x:v>0</x:v>
      </x:c>
      <x:c r="AM87" s="74" t="str">
        <x:v>1</x:v>
      </x:c>
      <x:c r="AN87" s="74" t="str">
        <x:v>0</x:v>
      </x:c>
      <x:c r="AO87" s="60" t="str">
        <x:v>2025</x:v>
      </x:c>
      <x:c r="AP87" s="76" t="str">
        <x:v>Google Ads tag detected; no embedded homepage video found</x:v>
      </x:c>
      <x:c r="AQ87" s="76" t="str">
        <x:v>Google Ads tag; project/gallery proof; visible service offer; no embedded homepage video detected</x:v>
      </x:c>
      <x:c r="AR87" s="76" t="str">
        <x:v>I noticed Collins Roofing and Repair's site has a Google Ads tag installed, but I couldn't find an embedded video on the homepage.</x:v>
      </x:c>
      <x:c r="AS87" s="76" t="str">
        <x:v>storm-to-inspection before/after ad</x:v>
      </x:c>
      <x:c r="AT87" s="76" t="str">
        <x:v>Collins Roofing and Repair ad concept</x:v>
      </x:c>
      <x:c r="AU87" s="76" t="str">
        <x:v>Hi Collins Roofing and Repair — I noticed Collins Roofing and Repair's site has a Google Ads tag installed, but I couldn't find an embedded video on the homepage. I mapped a private 15-second storm-to-inspection before/after ad for Collins Roofing and Repair using only public brand context—not for publishing, just to show the angle. We build three client-approved video ad concepts in seven days, then turn the winners into fresh variations. No filming day required. Worth sending the private sample?</x:v>
      </x:c>
      <x:c r="AV87" s="76" t="str">
        <x:v>Quick follow-up: the sample angle is a storm-to-inspection before/after ad. If it misses the mark, no problem—I won't keep chasing. Should I send it?</x:v>
      </x:c>
      <x:c r="AW87" s="76" t="str">
        <x:v>Hi Collins Roofing and Repair, Ryan here. I was looking at Collins Roofing and Repair's public marketing and noticed: google ads tag detected; no embedded homepage video found. I mapped one private storm-to-inspection before/after ad as an example. Did I catch you with 30 seconds?</x:v>
      </x:c>
      <x:c r="AX87" s="60" t="str">
        <x:v>https://www.facebook.com/ads/library/?active_status=active&amp;ad_type=all&amp;country=US&amp;q=Collins%20Roofing%20and%20Repair&amp;search_type=keyword_unordered</x:v>
      </x:c>
      <x:c r="AY87" s="60" t="str">
        <x:v>ok:200</x:v>
      </x:c>
      <x:c r="AZ87" s="60" t="n">
        <x:v>46232.722858796296</x:v>
      </x:c>
      <x:c r="BA87" s="60" t="str">
        <x:v>Google Maps home-services export</x:v>
      </x:c>
      <x:c r="BB87" s="60" t="str">
        <x:v>https://collinsroofandrepair.com | https://maps.google.com/?cid=93335461556473492&amp;g_mp=Cidnb29nbGUubWFwcy5wbGFjZXMudjEuUGxhY2VzLlNlYXJjaFRleHQQAhgEIAA</x:v>
      </x:c>
      <x:c r="BC87" s="60" t="str"/>
    </x:row>
    <x:row r="88" ht="18" customHeight="1">
      <x:c r="A88" s="70" t="str">
        <x:v>87</x:v>
      </x:c>
      <x:c r="B88" s="70" t="str">
        <x:v>A - Layup</x:v>
      </x:c>
      <x:c r="C88" s="72" t="str">
        <x:v>71</x:v>
      </x:c>
      <x:c r="D88" s="60" t="str">
        <x:v>Patriot Roofing</x:v>
      </x:c>
      <x:c r="E88" s="60" t="str">
        <x:v>https://patriotroofingsc.com</x:v>
      </x:c>
      <x:c r="F88" s="60" t="str">
        <x:v>https://patriotroofingsc.com</x:v>
      </x:c>
      <x:c r="G88" s="60" t="str">
        <x:v>Charleston</x:v>
      </x:c>
      <x:c r="H88" s="60" t="str">
        <x:v>South Carolina</x:v>
      </x:c>
      <x:c r="I88" s="60" t="str">
        <x:v>Roofing</x:v>
      </x:c>
      <x:c r="J88" s="60" t="str">
        <x:v>Patriot Roofing</x:v>
      </x:c>
      <x:c r="K88" s="60" t="str"/>
      <x:c r="L88" s="60" t="str">
        <x:v>Owner / decision maker to verify</x:v>
      </x:c>
      <x:c r="M88" s="60" t="str"/>
      <x:c r="N88" s="60" t="str"/>
      <x:c r="O88" s="60" t="str">
        <x:v>(843) 350-2975</x:v>
      </x:c>
      <x:c r="P88" s="60" t="str"/>
      <x:c r="Q88" s="60" t="str"/>
      <x:c r="R88" s="60" t="str"/>
      <x:c r="S88" s="60" t="str">
        <x:v>4.9</x:v>
      </x:c>
      <x:c r="T88" s="74" t="str">
        <x:v>154</x:v>
      </x:c>
      <x:c r="U88" s="60" t="str"/>
      <x:c r="V88" s="74" t="str">
        <x:v>29</x:v>
      </x:c>
      <x:c r="W88" s="74" t="str">
        <x:v>13</x:v>
      </x:c>
      <x:c r="X88" s="74" t="str">
        <x:v>16</x:v>
      </x:c>
      <x:c r="Y88" s="74" t="str">
        <x:v>8</x:v>
      </x:c>
      <x:c r="Z88" s="74" t="str">
        <x:v>5</x:v>
      </x:c>
      <x:c r="AA88" s="74" t="str">
        <x:v>0</x:v>
      </x:c>
      <x:c r="AB88" s="74" t="str">
        <x:v>1</x:v>
      </x:c>
      <x:c r="AC88" s="74" t="str">
        <x:v>1</x:v>
      </x:c>
      <x:c r="AD88" s="74" t="str">
        <x:v>0</x:v>
      </x:c>
      <x:c r="AE88" s="74" t="str">
        <x:v>0</x:v>
      </x:c>
      <x:c r="AF88" s="74" t="str"/>
      <x:c r="AG88" s="74" t="str">
        <x:v>0</x:v>
      </x:c>
      <x:c r="AH88" s="74" t="str">
        <x:v>1</x:v>
      </x:c>
      <x:c r="AI88" s="74" t="str">
        <x:v>0</x:v>
      </x:c>
      <x:c r="AJ88" s="74" t="str">
        <x:v>0</x:v>
      </x:c>
      <x:c r="AK88" s="74" t="str">
        <x:v>0</x:v>
      </x:c>
      <x:c r="AL88" s="74" t="str">
        <x:v>0</x:v>
      </x:c>
      <x:c r="AM88" s="74" t="str">
        <x:v>0</x:v>
      </x:c>
      <x:c r="AN88" s="74" t="str">
        <x:v>0</x:v>
      </x:c>
      <x:c r="AO88" s="60" t="str">
        <x:v>0</x:v>
      </x:c>
      <x:c r="AP88" s="76" t="str">
        <x:v>Google Ads tag detected; no embedded homepage video found</x:v>
      </x:c>
      <x:c r="AQ88" s="76" t="str">
        <x:v>Google Ads tag; project/gallery proof; no embedded homepage video detected</x:v>
      </x:c>
      <x:c r="AR88" s="76" t="str">
        <x:v>I noticed Patriot Roofing's site has a Google Ads tag installed, but I couldn't find an embedded video on the homepage.</x:v>
      </x:c>
      <x:c r="AS88" s="76" t="str">
        <x:v>storm-to-inspection before/after ad</x:v>
      </x:c>
      <x:c r="AT88" s="76" t="str">
        <x:v>Patriot Roofing ad concept</x:v>
      </x:c>
      <x:c r="AU88" s="76" t="str">
        <x:v>Hi Patriot Roofing — I noticed Patriot Roofing's site has a Google Ads tag installed, but I couldn't find an embedded video on the homepage. I mapped a private 15-second storm-to-inspection before/after ad for Patriot Roofing using only public brand context—not for publishing, just to show the angle. We build three client-approved video ad concepts in seven days, then turn the winners into fresh variations. No filming day required. Worth sending the private sample?</x:v>
      </x:c>
      <x:c r="AV88" s="76" t="str">
        <x:v>Quick follow-up: the sample angle is a storm-to-inspection before/after ad. If it misses the mark, no problem—I won't keep chasing. Should I send it?</x:v>
      </x:c>
      <x:c r="AW88" s="76" t="str">
        <x:v>Hi Patriot Roofing, Ryan here. I was looking at Patriot Roofing's public marketing and noticed: google ads tag detected; no embedded homepage video found. I mapped one private storm-to-inspection before/after ad as an example. Did I catch you with 30 seconds?</x:v>
      </x:c>
      <x:c r="AX88" s="60" t="str">
        <x:v>https://www.facebook.com/ads/library/?active_status=active&amp;ad_type=all&amp;country=US&amp;q=Patriot%20Roofing&amp;search_type=keyword_unordered</x:v>
      </x:c>
      <x:c r="AY88" s="60" t="str">
        <x:v>ok:200</x:v>
      </x:c>
      <x:c r="AZ88" s="60" t="n">
        <x:v>46232.722858796296</x:v>
      </x:c>
      <x:c r="BA88" s="60" t="str">
        <x:v>Google Maps home-services export</x:v>
      </x:c>
      <x:c r="BB88" s="60" t="str">
        <x:v>https://maps.google.com/?cid=11941029677334282702&amp;g_mp=Cidnb29nbGUubWFwcy5wbGFjZXMudjEuUGxhY2VzLlNlYXJjaFRleHQQAhgEIAA | https://patriotroofingsc.com</x:v>
      </x:c>
      <x:c r="BC88" s="60" t="str"/>
    </x:row>
    <x:row r="89" ht="18" customHeight="1">
      <x:c r="A89" s="70" t="str">
        <x:v>88</x:v>
      </x:c>
      <x:c r="B89" s="70" t="str">
        <x:v>A - Layup</x:v>
      </x:c>
      <x:c r="C89" s="72" t="str">
        <x:v>71</x:v>
      </x:c>
      <x:c r="D89" s="60" t="str">
        <x:v>Dr Rooter</x:v>
      </x:c>
      <x:c r="E89" s="60" t="str">
        <x:v>https://drrooterlexington.com</x:v>
      </x:c>
      <x:c r="F89" s="60" t="str">
        <x:v>https://www.drrooterlexington.com/</x:v>
      </x:c>
      <x:c r="G89" s="60" t="str">
        <x:v>Lexington</x:v>
      </x:c>
      <x:c r="H89" s="60" t="str">
        <x:v>South Carolina</x:v>
      </x:c>
      <x:c r="I89" s="60" t="str">
        <x:v>Plumbing</x:v>
      </x:c>
      <x:c r="J89" s="60" t="str">
        <x:v>JK</x:v>
      </x:c>
      <x:c r="K89" s="60" t="str">
        <x:v>Sims</x:v>
      </x:c>
      <x:c r="L89" s="60" t="str">
        <x:v>Owner</x:v>
      </x:c>
      <x:c r="M89" s="60" t="str">
        <x:v>jksims@drrooterlexington.com</x:v>
      </x:c>
      <x:c r="N89" s="60" t="str">
        <x:v>Verified with BounceBan on 08 Jun 26 12:06</x:v>
      </x:c>
      <x:c r="O89" s="60" t="str">
        <x:v>+1 864 992 5947, +1 864 941 2292</x:v>
      </x:c>
      <x:c r="P89" s="60" t="str">
        <x:v>https://www.linkedin.com/in/jksims</x:v>
      </x:c>
      <x:c r="Q89" s="60" t="str">
        <x:v>2-10</x:v>
      </x:c>
      <x:c r="R89" s="60" t="str">
        <x:v>500000-999999</x:v>
      </x:c>
      <x:c r="S89" s="60" t="str"/>
      <x:c r="T89" s="74" t="str">
        <x:v>0</x:v>
      </x:c>
      <x:c r="U89" s="60" t="str"/>
      <x:c r="V89" s="74" t="str">
        <x:v>25</x:v>
      </x:c>
      <x:c r="W89" s="74" t="str">
        <x:v>13</x:v>
      </x:c>
      <x:c r="X89" s="74" t="str">
        <x:v>16</x:v>
      </x:c>
      <x:c r="Y89" s="74" t="str">
        <x:v>7</x:v>
      </x:c>
      <x:c r="Z89" s="74" t="str">
        <x:v>10</x:v>
      </x:c>
      <x:c r="AA89" s="74" t="str">
        <x:v>0</x:v>
      </x:c>
      <x:c r="AB89" s="74" t="str">
        <x:v>1</x:v>
      </x:c>
      <x:c r="AC89" s="74" t="str">
        <x:v>1</x:v>
      </x:c>
      <x:c r="AD89" s="74" t="str">
        <x:v>0</x:v>
      </x:c>
      <x:c r="AE89" s="74" t="str">
        <x:v>0</x:v>
      </x:c>
      <x:c r="AF89" s="74" t="str"/>
      <x:c r="AG89" s="74" t="str">
        <x:v>0</x:v>
      </x:c>
      <x:c r="AH89" s="74" t="str">
        <x:v>0</x:v>
      </x:c>
      <x:c r="AI89" s="74" t="str">
        <x:v>1</x:v>
      </x:c>
      <x:c r="AJ89" s="74" t="str">
        <x:v>0</x:v>
      </x:c>
      <x:c r="AK89" s="74" t="str">
        <x:v>1</x:v>
      </x:c>
      <x:c r="AL89" s="74" t="str">
        <x:v>0</x:v>
      </x:c>
      <x:c r="AM89" s="74" t="str">
        <x:v>1</x:v>
      </x:c>
      <x:c r="AN89" s="74" t="str">
        <x:v>0</x:v>
      </x:c>
      <x:c r="AO89" s="60" t="str">
        <x:v>0</x:v>
      </x:c>
      <x:c r="AP89" s="76" t="str">
        <x:v>Google Ads tag detected; no embedded homepage video found</x:v>
      </x:c>
      <x:c r="AQ89" s="76" t="str">
        <x:v>Google Ads tag; testimonials; visible service offer; no embedded homepage video detected</x:v>
      </x:c>
      <x:c r="AR89" s="76" t="str">
        <x:v>I noticed Dr Rooter's site has a Google Ads tag installed, but I couldn't find an embedded video on the homepage.</x:v>
      </x:c>
      <x:c r="AS89" s="76" t="str">
        <x:v>small symptom to prevented-emergency ad</x:v>
      </x:c>
      <x:c r="AT89" s="76" t="str">
        <x:v>Dr Rooter ad concept</x:v>
      </x:c>
      <x:c r="AU89" s="76" t="str">
        <x:v>Hi JK — I noticed Dr Rooter's site has a Google Ads tag installed, but I couldn't find an embedded video on the homepage. I mapped a private 15-second small symptom to prevented-emergency ad for Dr Rooter using only public brand context—not for publishing, just to show the angle. We build three client-approved video ad concepts in seven days, then turn the winners into fresh variations. No filming day required. Worth sending the private sample?</x:v>
      </x:c>
      <x:c r="AV89" s="76" t="str">
        <x:v>Quick follow-up: the sample angle is a small symptom to prevented-emergency ad. If it misses the mark, no problem—I won't keep chasing. Should I send it?</x:v>
      </x:c>
      <x:c r="AW89" s="76" t="str">
        <x:v>Hi JK, Ryan here. I was looking at Dr Rooter's public marketing and noticed: google ads tag detected; no embedded homepage video found. I mapped one private small symptom to prevented-emergency ad as an example. Did I catch you with 30 seconds?</x:v>
      </x:c>
      <x:c r="AX89" s="60" t="str">
        <x:v>https://www.facebook.com/ads/library/?active_status=active&amp;ad_type=all&amp;country=US&amp;q=Dr%20Rooter&amp;search_type=keyword_unordered</x:v>
      </x:c>
      <x:c r="AY89" s="60" t="str">
        <x:v>ok:200</x:v>
      </x:c>
      <x:c r="AZ89" s="60" t="n">
        <x:v>46232.722858796296</x:v>
      </x:c>
      <x:c r="BA89" s="60" t="str">
        <x:v>AI Ark SC trades export</x:v>
      </x:c>
      <x:c r="BB89" s="60" t="str">
        <x:v>https://drrooterlexington.com | https://www.linkedin.com/company/dr-rooter</x:v>
      </x:c>
      <x:c r="BC89" s="60" t="str"/>
    </x:row>
    <x:row r="90" ht="18" customHeight="1">
      <x:c r="A90" s="70" t="str">
        <x:v>89</x:v>
      </x:c>
      <x:c r="B90" s="70" t="str">
        <x:v>A - Layup</x:v>
      </x:c>
      <x:c r="C90" s="72" t="str">
        <x:v>71</x:v>
      </x:c>
      <x:c r="D90" s="60" t="str">
        <x:v>Quality Preferred Painting</x:v>
      </x:c>
      <x:c r="E90" s="60" t="str">
        <x:v>https://qualitypreferred.com</x:v>
      </x:c>
      <x:c r="F90" s="60" t="str">
        <x:v>https://www.qualitypreferred.com/</x:v>
      </x:c>
      <x:c r="G90" s="60" t="str">
        <x:v>Charleston County</x:v>
      </x:c>
      <x:c r="H90" s="60" t="str">
        <x:v>South Carolina</x:v>
      </x:c>
      <x:c r="I90" s="60" t="str">
        <x:v>General Contractor</x:v>
      </x:c>
      <x:c r="J90" s="60" t="str">
        <x:v>Greg</x:v>
      </x:c>
      <x:c r="K90" s="60" t="str">
        <x:v>Heath</x:v>
      </x:c>
      <x:c r="L90" s="60" t="str">
        <x:v>owner</x:v>
      </x:c>
      <x:c r="M90" s="60" t="str"/>
      <x:c r="N90" s="60" t="str"/>
      <x:c r="O90" s="60" t="str">
        <x:v>+1 781 356 2050</x:v>
      </x:c>
      <x:c r="P90" s="60" t="str">
        <x:v>https://www.linkedin.com/in/greg-heath-441277ba</x:v>
      </x:c>
      <x:c r="Q90" s="60" t="str">
        <x:v>11-50</x:v>
      </x:c>
      <x:c r="R90" s="60" t="str">
        <x:v>1000000-4999999</x:v>
      </x:c>
      <x:c r="S90" s="60" t="str"/>
      <x:c r="T90" s="74" t="str">
        <x:v>0</x:v>
      </x:c>
      <x:c r="U90" s="60" t="str"/>
      <x:c r="V90" s="74" t="str">
        <x:v>27</x:v>
      </x:c>
      <x:c r="W90" s="74" t="str">
        <x:v>11</x:v>
      </x:c>
      <x:c r="X90" s="74" t="str">
        <x:v>16</x:v>
      </x:c>
      <x:c r="Y90" s="74" t="str">
        <x:v>12</x:v>
      </x:c>
      <x:c r="Z90" s="74" t="str">
        <x:v>5</x:v>
      </x:c>
      <x:c r="AA90" s="74" t="str">
        <x:v>0</x:v>
      </x:c>
      <x:c r="AB90" s="74" t="str">
        <x:v>0</x:v>
      </x:c>
      <x:c r="AC90" s="74" t="str">
        <x:v>1</x:v>
      </x:c>
      <x:c r="AD90" s="74" t="str">
        <x:v>0</x:v>
      </x:c>
      <x:c r="AE90" s="74" t="str">
        <x:v>1</x:v>
      </x:c>
      <x:c r="AF90" s="74" t="str"/>
      <x:c r="AG90" s="74" t="str">
        <x:v>0</x:v>
      </x:c>
      <x:c r="AH90" s="74" t="str">
        <x:v>1</x:v>
      </x:c>
      <x:c r="AI90" s="74" t="str">
        <x:v>1</x:v>
      </x:c>
      <x:c r="AJ90" s="74" t="str">
        <x:v>0</x:v>
      </x:c>
      <x:c r="AK90" s="74" t="str">
        <x:v>1</x:v>
      </x:c>
      <x:c r="AL90" s="74" t="str">
        <x:v>0</x:v>
      </x:c>
      <x:c r="AM90" s="74" t="str">
        <x:v>1</x:v>
      </x:c>
      <x:c r="AN90" s="74" t="str">
        <x:v>0</x:v>
      </x:c>
      <x:c r="AO90" s="60" t="str">
        <x:v>0</x:v>
      </x:c>
      <x:c r="AP90" s="76" t="str">
        <x:v>Call-tracking stack detected; no embedded homepage video found</x:v>
      </x:c>
      <x:c r="AQ90" s="76" t="str">
        <x:v>call tracking; project/gallery proof; testimonials; visible service offer; no embedded homepage video detected</x:v>
      </x:c>
      <x:c r="AR90" s="76" t="str">
        <x:v>I noticed Quality Preferred Painting has call tracking in place, but I couldn't find an embedded video on the homepage.</x:v>
      </x:c>
      <x:c r="AS90" s="76" t="str">
        <x:v>project walkthrough with proof milestones</x:v>
      </x:c>
      <x:c r="AT90" s="76" t="str">
        <x:v>Quality Preferred Painting ad concept</x:v>
      </x:c>
      <x:c r="AU90" s="76" t="str">
        <x:v>Hi Greg — I noticed Quality Preferred Painting has call tracking in place, but I couldn't find an embedded video on the homepage. I mapped a private 15-second project walkthrough with proof milestones for Quality Preferred Painting using only public brand context—not for publishing, just to show the angle. We build three client-approved video ad concepts in seven days, then turn the winners into fresh variations. No filming day required. Worth sending the private sample?</x:v>
      </x:c>
      <x:c r="AV90" s="76" t="str">
        <x:v>Quick follow-up: the sample angle is a project walkthrough with proof milestones. If it misses the mark, no problem—I won't keep chasing. Should I send it?</x:v>
      </x:c>
      <x:c r="AW90" s="76" t="str">
        <x:v>Hi Greg, Ryan here. I was looking at Quality Preferred Painting's public marketing and noticed: call-tracking stack detected; no embedded homepage video found. I mapped one private project walkthrough with proof milestones as an example. Did I catch you with 30 seconds?</x:v>
      </x:c>
      <x:c r="AX90" s="60" t="str">
        <x:v>https://www.facebook.com/ads/library/?active_status=active&amp;ad_type=all&amp;country=US&amp;q=Quality%20Preferred%20Painting&amp;search_type=keyword_unordered</x:v>
      </x:c>
      <x:c r="AY90" s="60" t="str">
        <x:v>ok:200</x:v>
      </x:c>
      <x:c r="AZ90" s="60" t="n">
        <x:v>46232.722858796296</x:v>
      </x:c>
      <x:c r="BA90" s="60" t="str">
        <x:v>AI Ark SC trades export</x:v>
      </x:c>
      <x:c r="BB90" s="60" t="str">
        <x:v>https://qualitypreferred.com | https://www.linkedin.com/company/quality-preferred-painting</x:v>
      </x:c>
      <x:c r="BC90" s="60" t="str"/>
    </x:row>
    <x:row r="91" ht="18" customHeight="1">
      <x:c r="A91" s="70" t="str">
        <x:v>90</x:v>
      </x:c>
      <x:c r="B91" s="70" t="str">
        <x:v>A - Layup</x:v>
      </x:c>
      <x:c r="C91" s="72" t="str">
        <x:v>70</x:v>
      </x:c>
      <x:c r="D91" s="60" t="str">
        <x:v>Pipedex Plumbing and Drains</x:v>
      </x:c>
      <x:c r="E91" s="60" t="str">
        <x:v>https://pipedex.com</x:v>
      </x:c>
      <x:c r="F91" s="60" t="str">
        <x:v>https://pipedex.com</x:v>
      </x:c>
      <x:c r="G91" s="60" t="str">
        <x:v>Spartanburg</x:v>
      </x:c>
      <x:c r="H91" s="60" t="str">
        <x:v>South Carolina</x:v>
      </x:c>
      <x:c r="I91" s="60" t="str">
        <x:v>Plumbing</x:v>
      </x:c>
      <x:c r="J91" s="60" t="str">
        <x:v>Pipedex Plumbing and Drains</x:v>
      </x:c>
      <x:c r="K91" s="60" t="str"/>
      <x:c r="L91" s="60" t="str">
        <x:v>Owner / decision maker to verify</x:v>
      </x:c>
      <x:c r="M91" s="60" t="str"/>
      <x:c r="N91" s="60" t="str"/>
      <x:c r="O91" s="60" t="str">
        <x:v>(864) 900-0300</x:v>
      </x:c>
      <x:c r="P91" s="60" t="str"/>
      <x:c r="Q91" s="60" t="str"/>
      <x:c r="R91" s="60" t="str"/>
      <x:c r="S91" s="60" t="str">
        <x:v>5</x:v>
      </x:c>
      <x:c r="T91" s="74" t="str">
        <x:v>329</x:v>
      </x:c>
      <x:c r="U91" s="60" t="str"/>
      <x:c r="V91" s="74" t="str">
        <x:v>25</x:v>
      </x:c>
      <x:c r="W91" s="74" t="str">
        <x:v>25</x:v>
      </x:c>
      <x:c r="X91" s="74" t="str">
        <x:v>0</x:v>
      </x:c>
      <x:c r="Y91" s="74" t="str">
        <x:v>15</x:v>
      </x:c>
      <x:c r="Z91" s="74" t="str">
        <x:v>5</x:v>
      </x:c>
      <x:c r="AA91" s="74" t="str">
        <x:v>1</x:v>
      </x:c>
      <x:c r="AB91" s="74" t="str">
        <x:v>1</x:v>
      </x:c>
      <x:c r="AC91" s="74" t="str">
        <x:v>1</x:v>
      </x:c>
      <x:c r="AD91" s="74" t="str">
        <x:v>0</x:v>
      </x:c>
      <x:c r="AE91" s="74" t="str">
        <x:v>0</x:v>
      </x:c>
      <x:c r="AF91" s="74" t="str"/>
      <x:c r="AG91" s="74" t="str">
        <x:v>1</x:v>
      </x:c>
      <x:c r="AH91" s="74" t="str">
        <x:v>1</x:v>
      </x:c>
      <x:c r="AI91" s="74" t="str">
        <x:v>1</x:v>
      </x:c>
      <x:c r="AJ91" s="74" t="str">
        <x:v>1</x:v>
      </x:c>
      <x:c r="AK91" s="74" t="str">
        <x:v>1</x:v>
      </x:c>
      <x:c r="AL91" s="74" t="str">
        <x:v>0</x:v>
      </x:c>
      <x:c r="AM91" s="74" t="str">
        <x:v>1</x:v>
      </x:c>
      <x:c r="AN91" s="74" t="str">
        <x:v>1</x:v>
      </x:c>
      <x:c r="AO91" s="60" t="str">
        <x:v>2026</x:v>
      </x:c>
      <x:c r="AP91" s="76" t="str">
        <x:v>Paid-demand technology detected; creative refresh hypothesis</x:v>
      </x:c>
      <x:c r="AQ91" s="76" t="str">
        <x:v>Meta Pixel; Google Ads tag; project/gallery proof; testimonials; financing; visible service offer</x:v>
      </x:c>
      <x:c r="AR91" s="76" t="str">
        <x:v>I was reviewing plumbing companies in Spartanburg, South Carolina and Pipedex Plumbing and Drains looked like a strong fit for a creative test.</x:v>
      </x:c>
      <x:c r="AS91" s="76" t="str">
        <x:v>small symptom to prevented-emergency ad</x:v>
      </x:c>
      <x:c r="AT91" s="76" t="str">
        <x:v>Pipedex Plumbing and Drains ad concept</x:v>
      </x:c>
      <x:c r="AU91" s="76" t="str">
        <x:v>Hi Pipedex Plumbing and Drains — I was reviewing plumbing companies in Spartanburg, South Carolina and Pipedex Plumbing and Drains looked like a strong fit for a creative test. I mapped a private 15-second small symptom to prevented-emergency ad for Pipedex Plumbing and Drains using only public brand context—not for publishing, just to show the angle. We build three client-approved video ad concepts in seven days, then turn the winners into fresh variations. No filming day required. Worth sending the private sample?</x:v>
      </x:c>
      <x:c r="AV91" s="76" t="str">
        <x:v>Quick follow-up: the sample angle is a small symptom to prevented-emergency ad. If it misses the mark, no problem—I won't keep chasing. Should I send it?</x:v>
      </x:c>
      <x:c r="AW91" s="76" t="str">
        <x:v>Hi Pipedex Plumbing and Drains, Ryan here. I was looking at Pipedex Plumbing and Drains's public marketing and noticed: paid-demand technology detected; creative refresh hypothesis. I mapped one private small symptom to prevented-emergency ad as an example. Did I catch you with 30 seconds?</x:v>
      </x:c>
      <x:c r="AX91" s="60" t="str">
        <x:v>https://www.facebook.com/ads/library/?active_status=active&amp;ad_type=all&amp;country=US&amp;q=Pipedex%20Plumbing%20and%20Drains&amp;search_type=keyword_unordered</x:v>
      </x:c>
      <x:c r="AY91" s="60" t="str">
        <x:v>ok:200</x:v>
      </x:c>
      <x:c r="AZ91" s="60" t="n">
        <x:v>46232.722858796296</x:v>
      </x:c>
      <x:c r="BA91" s="60" t="str">
        <x:v>Google Maps home-services export</x:v>
      </x:c>
      <x:c r="BB91" s="60" t="str">
        <x:v>https://maps.google.com/?cid=8046182069900198764&amp;g_mp=Cidnb29nbGUubWFwcy5wbGFjZXMudjEuUGxhY2VzLlNlYXJjaFRleHQQAhgEIAA | https://pipedex.com</x:v>
      </x:c>
      <x:c r="BC91" s="60" t="str"/>
    </x:row>
    <x:row r="92" ht="18" customHeight="1">
      <x:c r="A92" s="70" t="str">
        <x:v>91</x:v>
      </x:c>
      <x:c r="B92" s="70" t="str">
        <x:v>A - Layup</x:v>
      </x:c>
      <x:c r="C92" s="72" t="str">
        <x:v>70</x:v>
      </x:c>
      <x:c r="D92" s="60" t="str">
        <x:v>Devlin Plumbing Service</x:v>
      </x:c>
      <x:c r="E92" s="60" t="str">
        <x:v>https://plumbingdoneproperly.com</x:v>
      </x:c>
      <x:c r="F92" s="60" t="str">
        <x:v>https://plumbingdoneproperly.com/index.html</x:v>
      </x:c>
      <x:c r="G92" s="60" t="str">
        <x:v>Myrtle Beach</x:v>
      </x:c>
      <x:c r="H92" s="60" t="str">
        <x:v>South Carolina</x:v>
      </x:c>
      <x:c r="I92" s="60" t="str">
        <x:v>Plumbing</x:v>
      </x:c>
      <x:c r="J92" s="60" t="str">
        <x:v>Devlin Plumbing Service</x:v>
      </x:c>
      <x:c r="K92" s="60" t="str"/>
      <x:c r="L92" s="60" t="str">
        <x:v>Owner / decision maker to verify</x:v>
      </x:c>
      <x:c r="M92" s="60" t="str"/>
      <x:c r="N92" s="60" t="str"/>
      <x:c r="O92" s="60" t="str">
        <x:v>(843) 585-0550</x:v>
      </x:c>
      <x:c r="P92" s="60" t="str"/>
      <x:c r="Q92" s="60" t="str"/>
      <x:c r="R92" s="60" t="str"/>
      <x:c r="S92" s="60" t="str">
        <x:v>4.8</x:v>
      </x:c>
      <x:c r="T92" s="74" t="str">
        <x:v>433</x:v>
      </x:c>
      <x:c r="U92" s="60" t="str"/>
      <x:c r="V92" s="74" t="str">
        <x:v>25</x:v>
      </x:c>
      <x:c r="W92" s="74" t="str">
        <x:v>25</x:v>
      </x:c>
      <x:c r="X92" s="74" t="str">
        <x:v>0</x:v>
      </x:c>
      <x:c r="Y92" s="74" t="str">
        <x:v>15</x:v>
      </x:c>
      <x:c r="Z92" s="74" t="str">
        <x:v>5</x:v>
      </x:c>
      <x:c r="AA92" s="74" t="str">
        <x:v>1</x:v>
      </x:c>
      <x:c r="AB92" s="74" t="str">
        <x:v>1</x:v>
      </x:c>
      <x:c r="AC92" s="74" t="str">
        <x:v>1</x:v>
      </x:c>
      <x:c r="AD92" s="74" t="str">
        <x:v>0</x:v>
      </x:c>
      <x:c r="AE92" s="74" t="str">
        <x:v>0</x:v>
      </x:c>
      <x:c r="AF92" s="74" t="str"/>
      <x:c r="AG92" s="74" t="str">
        <x:v>1</x:v>
      </x:c>
      <x:c r="AH92" s="74" t="str">
        <x:v>1</x:v>
      </x:c>
      <x:c r="AI92" s="74" t="str">
        <x:v>1</x:v>
      </x:c>
      <x:c r="AJ92" s="74" t="str">
        <x:v>0</x:v>
      </x:c>
      <x:c r="AK92" s="74" t="str">
        <x:v>1</x:v>
      </x:c>
      <x:c r="AL92" s="74" t="str">
        <x:v>0</x:v>
      </x:c>
      <x:c r="AM92" s="74" t="str">
        <x:v>1</x:v>
      </x:c>
      <x:c r="AN92" s="74" t="str">
        <x:v>1</x:v>
      </x:c>
      <x:c r="AO92" s="60" t="str">
        <x:v>0</x:v>
      </x:c>
      <x:c r="AP92" s="76" t="str">
        <x:v>Paid-demand technology detected; creative refresh hypothesis</x:v>
      </x:c>
      <x:c r="AQ92" s="76" t="str">
        <x:v>Meta Pixel; Google Ads tag; project/gallery proof; testimonials; visible service offer</x:v>
      </x:c>
      <x:c r="AR92" s="76" t="str">
        <x:v>I was reviewing plumbing companies in Myrtle Beach, South Carolina and Devlin Plumbing Service looked like a strong fit for a creative test.</x:v>
      </x:c>
      <x:c r="AS92" s="76" t="str">
        <x:v>small symptom to prevented-emergency ad</x:v>
      </x:c>
      <x:c r="AT92" s="76" t="str">
        <x:v>Devlin Plumbing Service ad concept</x:v>
      </x:c>
      <x:c r="AU92" s="76" t="str">
        <x:v>Hi Devlin Plumbing Service — I was reviewing plumbing companies in Myrtle Beach, South Carolina and Devlin Plumbing Service looked like a strong fit for a creative test. I mapped a private 15-second small symptom to prevented-emergency ad for Devlin Plumbing Service using only public brand context—not for publishing, just to show the angle. We build three client-approved video ad concepts in seven days, then turn the winners into fresh variations. No filming day required. Worth sending the private sample?</x:v>
      </x:c>
      <x:c r="AV92" s="76" t="str">
        <x:v>Quick follow-up: the sample angle is a small symptom to prevented-emergency ad. If it misses the mark, no problem—I won't keep chasing. Should I send it?</x:v>
      </x:c>
      <x:c r="AW92" s="76" t="str">
        <x:v>Hi Devlin Plumbing Service, Ryan here. I was looking at Devlin Plumbing Service's public marketing and noticed: paid-demand technology detected; creative refresh hypothesis. I mapped one private small symptom to prevented-emergency ad as an example. Did I catch you with 30 seconds?</x:v>
      </x:c>
      <x:c r="AX92" s="60" t="str">
        <x:v>https://www.facebook.com/ads/library/?active_status=active&amp;ad_type=all&amp;country=US&amp;q=Devlin%20Plumbing%20Service&amp;search_type=keyword_unordered</x:v>
      </x:c>
      <x:c r="AY92" s="60" t="str">
        <x:v>ok:200</x:v>
      </x:c>
      <x:c r="AZ92" s="60" t="n">
        <x:v>46232.722858796296</x:v>
      </x:c>
      <x:c r="BA92" s="60" t="str">
        <x:v>Google Maps home-services export</x:v>
      </x:c>
      <x:c r="BB92" s="60" t="str">
        <x:v>https://maps.google.com/?cid=4977064858355861749&amp;g_mp=Cidnb29nbGUubWFwcy5wbGFjZXMudjEuUGxhY2VzLlNlYXJjaFRleHQQAhgEIAA | https://plumbingdoneproperly.com</x:v>
      </x:c>
      <x:c r="BC92" s="60" t="str"/>
    </x:row>
    <x:row r="93" ht="18" customHeight="1">
      <x:c r="A93" s="70" t="str">
        <x:v>92</x:v>
      </x:c>
      <x:c r="B93" s="70" t="str">
        <x:v>A - Layup</x:v>
      </x:c>
      <x:c r="C93" s="72" t="str">
        <x:v>70</x:v>
      </x:c>
      <x:c r="D93" s="60" t="str">
        <x:v>Mayhem Roofing And Construction</x:v>
      </x:c>
      <x:c r="E93" s="60" t="str">
        <x:v>https://mayhemroofing.com</x:v>
      </x:c>
      <x:c r="F93" s="60" t="str">
        <x:v>https://www.mayhemroofing.com/</x:v>
      </x:c>
      <x:c r="G93" s="60" t="str">
        <x:v>Florence</x:v>
      </x:c>
      <x:c r="H93" s="60" t="str">
        <x:v>South Carolina</x:v>
      </x:c>
      <x:c r="I93" s="60" t="str">
        <x:v>Roofing</x:v>
      </x:c>
      <x:c r="J93" s="60" t="str">
        <x:v>Mayhem Roofing And Construction</x:v>
      </x:c>
      <x:c r="K93" s="60" t="str"/>
      <x:c r="L93" s="60" t="str">
        <x:v>Owner / decision maker to verify</x:v>
      </x:c>
      <x:c r="M93" s="60" t="str"/>
      <x:c r="N93" s="60" t="str"/>
      <x:c r="O93" s="60" t="str">
        <x:v>(803) 233-8023</x:v>
      </x:c>
      <x:c r="P93" s="60" t="str"/>
      <x:c r="Q93" s="60" t="str"/>
      <x:c r="R93" s="60" t="str"/>
      <x:c r="S93" s="60" t="str">
        <x:v>4.6</x:v>
      </x:c>
      <x:c r="T93" s="74" t="str">
        <x:v>57</x:v>
      </x:c>
      <x:c r="U93" s="60" t="str"/>
      <x:c r="V93" s="74" t="str">
        <x:v>27</x:v>
      </x:c>
      <x:c r="W93" s="74" t="str">
        <x:v>25</x:v>
      </x:c>
      <x:c r="X93" s="74" t="str">
        <x:v>3</x:v>
      </x:c>
      <x:c r="Y93" s="74" t="str">
        <x:v>10</x:v>
      </x:c>
      <x:c r="Z93" s="74" t="str">
        <x:v>5</x:v>
      </x:c>
      <x:c r="AA93" s="74" t="str">
        <x:v>1</x:v>
      </x:c>
      <x:c r="AB93" s="74" t="str">
        <x:v>1</x:v>
      </x:c>
      <x:c r="AC93" s="74" t="str">
        <x:v>1</x:v>
      </x:c>
      <x:c r="AD93" s="74" t="str">
        <x:v>0</x:v>
      </x:c>
      <x:c r="AE93" s="74" t="str">
        <x:v>0</x:v>
      </x:c>
      <x:c r="AF93" s="74" t="str"/>
      <x:c r="AG93" s="74" t="str">
        <x:v>1</x:v>
      </x:c>
      <x:c r="AH93" s="74" t="str">
        <x:v>1</x:v>
      </x:c>
      <x:c r="AI93" s="74" t="str">
        <x:v>0</x:v>
      </x:c>
      <x:c r="AJ93" s="74" t="str">
        <x:v>0</x:v>
      </x:c>
      <x:c r="AK93" s="74" t="str">
        <x:v>1</x:v>
      </x:c>
      <x:c r="AL93" s="74" t="str">
        <x:v>0</x:v>
      </x:c>
      <x:c r="AM93" s="74" t="str">
        <x:v>1</x:v>
      </x:c>
      <x:c r="AN93" s="74" t="str">
        <x:v>1</x:v>
      </x:c>
      <x:c r="AO93" s="60" t="str">
        <x:v>2024</x:v>
      </x:c>
      <x:c r="AP93" s="76" t="str">
        <x:v>Paid-demand technology detected; creative refresh hypothesis</x:v>
      </x:c>
      <x:c r="AQ93" s="76" t="str">
        <x:v>Meta Pixel; Google Ads tag; project/gallery proof; visible service offer</x:v>
      </x:c>
      <x:c r="AR93" s="76" t="str">
        <x:v>I was reviewing roofing companies in Florence, South Carolina and Mayhem Roofing And Construction looked like a strong fit for a creative test.</x:v>
      </x:c>
      <x:c r="AS93" s="76" t="str">
        <x:v>storm-to-inspection before/after ad</x:v>
      </x:c>
      <x:c r="AT93" s="76" t="str">
        <x:v>Mayhem Roofing And Construction ad concept</x:v>
      </x:c>
      <x:c r="AU93" s="76" t="str">
        <x:v>Hi Mayhem Roofing And Construction — I was reviewing roofing companies in Florence, South Carolina and Mayhem Roofing And Construction looked like a strong fit for a creative test. I mapped a private 15-second storm-to-inspection before/after ad for Mayhem Roofing And Construction using only public brand context—not for publishing, just to show the angle. We build three client-approved video ad concepts in seven days, then turn the winners into fresh variations. No filming day required. Worth sending the private sample?</x:v>
      </x:c>
      <x:c r="AV93" s="76" t="str">
        <x:v>Quick follow-up: the sample angle is a storm-to-inspection before/after ad. If it misses the mark, no problem—I won't keep chasing. Should I send it?</x:v>
      </x:c>
      <x:c r="AW93" s="76" t="str">
        <x:v>Hi Mayhem Roofing And Construction, Ryan here. I was looking at Mayhem Roofing And Construction's public marketing and noticed: paid-demand technology detected; creative refresh hypothesis. I mapped one private storm-to-inspection before/after ad as an example. Did I catch you with 30 seconds?</x:v>
      </x:c>
      <x:c r="AX93" s="60" t="str">
        <x:v>https://www.facebook.com/ads/library/?active_status=active&amp;ad_type=all&amp;country=US&amp;q=Mayhem%20Roofing%20And%20Construction&amp;search_type=keyword_unordered</x:v>
      </x:c>
      <x:c r="AY93" s="60" t="str">
        <x:v>ok:200</x:v>
      </x:c>
      <x:c r="AZ93" s="60" t="n">
        <x:v>46232.722858796296</x:v>
      </x:c>
      <x:c r="BA93" s="60" t="str">
        <x:v>Google Maps home-services export</x:v>
      </x:c>
      <x:c r="BB93" s="60" t="str">
        <x:v>https://maps.google.com/?cid=14449855827591268464&amp;g_mp=Cidnb29nbGUubWFwcy5wbGFjZXMudjEuUGxhY2VzLlNlYXJjaFRleHQQAhgEIAA | https://mayhemroofing.com</x:v>
      </x:c>
      <x:c r="BC93" s="60" t="str"/>
    </x:row>
    <x:row r="94" ht="18" customHeight="1">
      <x:c r="A94" s="70" t="str">
        <x:v>93</x:v>
      </x:c>
      <x:c r="B94" s="70" t="str">
        <x:v>A - Layup</x:v>
      </x:c>
      <x:c r="C94" s="72" t="str">
        <x:v>70</x:v>
      </x:c>
      <x:c r="D94" s="60" t="str">
        <x:v>Ferguson Builders LLC</x:v>
      </x:c>
      <x:c r="E94" s="60" t="str">
        <x:v>https://fergusonbuilders.com</x:v>
      </x:c>
      <x:c r="F94" s="60" t="str">
        <x:v>https://fergusonbuilders.com</x:v>
      </x:c>
      <x:c r="G94" s="60" t="str">
        <x:v>Greenville</x:v>
      </x:c>
      <x:c r="H94" s="60" t="str">
        <x:v>South Carolina</x:v>
      </x:c>
      <x:c r="I94" s="60" t="str">
        <x:v>Roofing</x:v>
      </x:c>
      <x:c r="J94" s="60" t="str">
        <x:v>Mark</x:v>
      </x:c>
      <x:c r="K94" s="60" t="str">
        <x:v>Ferguson</x:v>
      </x:c>
      <x:c r="L94" s="60" t="str">
        <x:v>Owner / President</x:v>
      </x:c>
      <x:c r="M94" s="60" t="str">
        <x:v>mark@fergusonbuilders.com</x:v>
      </x:c>
      <x:c r="N94" s="60" t="str">
        <x:v>Verified with BounceBan on 08 Jun 26 12:06</x:v>
      </x:c>
      <x:c r="O94" s="60" t="str">
        <x:v>+1 805 591 0259</x:v>
      </x:c>
      <x:c r="P94" s="60" t="str">
        <x:v>https://www.linkedin.com/in/mark-ferguson-6248142b</x:v>
      </x:c>
      <x:c r="Q94" s="60" t="str">
        <x:v>11-50</x:v>
      </x:c>
      <x:c r="R94" s="60" t="str">
        <x:v>500000-999999</x:v>
      </x:c>
      <x:c r="S94" s="60" t="str"/>
      <x:c r="T94" s="74" t="str">
        <x:v>0</x:v>
      </x:c>
      <x:c r="U94" s="60" t="str"/>
      <x:c r="V94" s="74" t="str">
        <x:v>30</x:v>
      </x:c>
      <x:c r="W94" s="74" t="str">
        <x:v>25</x:v>
      </x:c>
      <x:c r="X94" s="74" t="str">
        <x:v>0</x:v>
      </x:c>
      <x:c r="Y94" s="74" t="str">
        <x:v>5</x:v>
      </x:c>
      <x:c r="Z94" s="74" t="str">
        <x:v>10</x:v>
      </x:c>
      <x:c r="AA94" s="74" t="str">
        <x:v>1</x:v>
      </x:c>
      <x:c r="AB94" s="74" t="str">
        <x:v>1</x:v>
      </x:c>
      <x:c r="AC94" s="74" t="str">
        <x:v>1</x:v>
      </x:c>
      <x:c r="AD94" s="74" t="str">
        <x:v>0</x:v>
      </x:c>
      <x:c r="AE94" s="74" t="str">
        <x:v>0</x:v>
      </x:c>
      <x:c r="AF94" s="74" t="str"/>
      <x:c r="AG94" s="74" t="str">
        <x:v>1</x:v>
      </x:c>
      <x:c r="AH94" s="74" t="str">
        <x:v>1</x:v>
      </x:c>
      <x:c r="AI94" s="74" t="str">
        <x:v>0</x:v>
      </x:c>
      <x:c r="AJ94" s="74" t="str">
        <x:v>0</x:v>
      </x:c>
      <x:c r="AK94" s="74" t="str">
        <x:v>0</x:v>
      </x:c>
      <x:c r="AL94" s="74" t="str">
        <x:v>1</x:v>
      </x:c>
      <x:c r="AM94" s="74" t="str">
        <x:v>1</x:v>
      </x:c>
      <x:c r="AN94" s="74" t="str">
        <x:v>1</x:v>
      </x:c>
      <x:c r="AO94" s="60" t="str">
        <x:v>0</x:v>
      </x:c>
      <x:c r="AP94" s="76" t="str">
        <x:v>Paid-demand technology detected; creative refresh hypothesis</x:v>
      </x:c>
      <x:c r="AQ94" s="76" t="str">
        <x:v>Meta Pixel; Google Ads tag; project/gallery proof</x:v>
      </x:c>
      <x:c r="AR94" s="76" t="str">
        <x:v>I was reviewing roofing companies in Greenville, South Carolina and Ferguson Builders LLC looked like a strong fit for a creative test.</x:v>
      </x:c>
      <x:c r="AS94" s="76" t="str">
        <x:v>storm-to-inspection before/after ad</x:v>
      </x:c>
      <x:c r="AT94" s="76" t="str">
        <x:v>Ferguson Builders LLC ad concept</x:v>
      </x:c>
      <x:c r="AU94" s="76" t="str">
        <x:v>Hi Mark — I was reviewing roofing companies in Greenville, South Carolina and Ferguson Builders LLC looked like a strong fit for a creative test. I mapped a private 15-second storm-to-inspection before/after ad for Ferguson Builders LLC using only public brand context—not for publishing, just to show the angle. We build three client-approved video ad concepts in seven days, then turn the winners into fresh variations. No filming day required. Worth sending the private sample?</x:v>
      </x:c>
      <x:c r="AV94" s="76" t="str">
        <x:v>Quick follow-up: the sample angle is a storm-to-inspection before/after ad. If it misses the mark, no problem—I won't keep chasing. Should I send it?</x:v>
      </x:c>
      <x:c r="AW94" s="76" t="str">
        <x:v>Hi Mark, Ryan here. I was looking at Ferguson Builders LLC's public marketing and noticed: paid-demand technology detected; creative refresh hypothesis. I mapped one private storm-to-inspection before/after ad as an example. Did I catch you with 30 seconds?</x:v>
      </x:c>
      <x:c r="AX94" s="60" t="str">
        <x:v>https://www.facebook.com/ads/library/?active_status=active&amp;ad_type=all&amp;country=US&amp;q=Ferguson%20Builders%20LLC&amp;search_type=keyword_unordered</x:v>
      </x:c>
      <x:c r="AY94" s="60" t="str">
        <x:v>ok:200</x:v>
      </x:c>
      <x:c r="AZ94" s="60" t="n">
        <x:v>46232.722858796296</x:v>
      </x:c>
      <x:c r="BA94" s="60" t="str">
        <x:v>AI Ark SC trades export</x:v>
      </x:c>
      <x:c r="BB94" s="60" t="str">
        <x:v>https://fergusonbuilders.com | https://www.linkedin.com/company/ferguson-builders-llc</x:v>
      </x:c>
      <x:c r="BC94" s="60" t="str"/>
    </x:row>
    <x:row r="95" ht="18" customHeight="1">
      <x:c r="A95" s="70" t="str">
        <x:v>94</x:v>
      </x:c>
      <x:c r="B95" s="70" t="str">
        <x:v>A - Layup</x:v>
      </x:c>
      <x:c r="C95" s="72" t="str">
        <x:v>70</x:v>
      </x:c>
      <x:c r="D95" s="60" t="str">
        <x:v>ClimateMakers Heating ● AC ● Plumbing</x:v>
      </x:c>
      <x:c r="E95" s="60" t="str">
        <x:v>https://climatemakers.biz</x:v>
      </x:c>
      <x:c r="F95" s="60" t="str">
        <x:v>https://climatemakers.biz</x:v>
      </x:c>
      <x:c r="G95" s="60" t="str">
        <x:v>North Charleston</x:v>
      </x:c>
      <x:c r="H95" s="60" t="str">
        <x:v>South Carolina</x:v>
      </x:c>
      <x:c r="I95" s="60" t="str">
        <x:v>HVAC</x:v>
      </x:c>
      <x:c r="J95" s="60" t="str">
        <x:v>ClimateMakers Heating ● AC ● Plumbing</x:v>
      </x:c>
      <x:c r="K95" s="60" t="str"/>
      <x:c r="L95" s="60" t="str">
        <x:v>Owner / decision maker to verify</x:v>
      </x:c>
      <x:c r="M95" s="60" t="str"/>
      <x:c r="N95" s="60" t="str"/>
      <x:c r="O95" s="60" t="str">
        <x:v>(843) 994-2850</x:v>
      </x:c>
      <x:c r="P95" s="60" t="str"/>
      <x:c r="Q95" s="60" t="str"/>
      <x:c r="R95" s="60" t="str"/>
      <x:c r="S95" s="60" t="str">
        <x:v>4.8</x:v>
      </x:c>
      <x:c r="T95" s="74" t="str">
        <x:v>281</x:v>
      </x:c>
      <x:c r="U95" s="60" t="str">
        <x:v>communication</x:v>
      </x:c>
      <x:c r="V95" s="74" t="str">
        <x:v>29</x:v>
      </x:c>
      <x:c r="W95" s="74" t="str">
        <x:v>24</x:v>
      </x:c>
      <x:c r="X95" s="74" t="str">
        <x:v>6</x:v>
      </x:c>
      <x:c r="Y95" s="74" t="str">
        <x:v>6</x:v>
      </x:c>
      <x:c r="Z95" s="74" t="str">
        <x:v>5</x:v>
      </x:c>
      <x:c r="AA95" s="74" t="str">
        <x:v>0</x:v>
      </x:c>
      <x:c r="AB95" s="74" t="str">
        <x:v>1</x:v>
      </x:c>
      <x:c r="AC95" s="74" t="str">
        <x:v>1</x:v>
      </x:c>
      <x:c r="AD95" s="74" t="str">
        <x:v>0</x:v>
      </x:c>
      <x:c r="AE95" s="74" t="str">
        <x:v>1</x:v>
      </x:c>
      <x:c r="AF95" s="74" t="str">
        <x:v>podium</x:v>
      </x:c>
      <x:c r="AG95" s="74" t="str">
        <x:v>1</x:v>
      </x:c>
      <x:c r="AH95" s="74" t="str">
        <x:v>0</x:v>
      </x:c>
      <x:c r="AI95" s="74" t="str">
        <x:v>0</x:v>
      </x:c>
      <x:c r="AJ95" s="74" t="str">
        <x:v>0</x:v>
      </x:c>
      <x:c r="AK95" s="74" t="str">
        <x:v>1</x:v>
      </x:c>
      <x:c r="AL95" s="74" t="str">
        <x:v>0</x:v>
      </x:c>
      <x:c r="AM95" s="74" t="str">
        <x:v>0</x:v>
      </x:c>
      <x:c r="AN95" s="74" t="str">
        <x:v>0</x:v>
      </x:c>
      <x:c r="AO95" s="60" t="str">
        <x:v>0</x:v>
      </x:c>
      <x:c r="AP95" s="76" t="str">
        <x:v>Paid-demand technology detected; creative refresh hypothesis</x:v>
      </x:c>
      <x:c r="AQ95" s="76" t="str">
        <x:v>Google Ads tag; call tracking; visible service offer</x:v>
      </x:c>
      <x:c r="AR95" s="76" t="str">
        <x:v>I was reviewing hvac companies in North Charleston, South Carolina and ClimateMakers Heating ● AC ● Plumbing looked like a strong fit for a creative test.</x:v>
      </x:c>
      <x:c r="AS95" s="76" t="str">
        <x:v>no-cool-call to same-day comfort ad</x:v>
      </x:c>
      <x:c r="AT95" s="76" t="str">
        <x:v>ClimateMakers Heating ● AC ● Plumbing ad concept</x:v>
      </x:c>
      <x:c r="AU95" s="76" t="str">
        <x:v>Hi ClimateMakers Heating ● AC ● Plumbing — I was reviewing hvac companies in North Charleston, South Carolina and ClimateMakers Heating ● AC ● Plumbing looked like a strong fit for a creative test. I mapped a private 15-second no-cool-call to same-day comfort ad for ClimateMakers Heating ● AC ● Plumbing using only public brand context—not for publishing, just to show the angle. We build three client-approved video ad concepts in seven days, then turn the winners into fresh variations. No filming day required. Worth sending the private sample?</x:v>
      </x:c>
      <x:c r="AV95" s="76" t="str">
        <x:v>Quick follow-up: the sample angle is a no-cool-call to same-day comfort ad. If it misses the mark, no problem—I won't keep chasing. Should I send it?</x:v>
      </x:c>
      <x:c r="AW95" s="76" t="str">
        <x:v>Hi ClimateMakers Heating ● AC ● Plumbing, Ryan here. I was looking at ClimateMakers Heating ● AC ● Plumbing's public marketing and noticed: paid-demand technology detected; creative refresh hypothesis. I mapped one private no-cool-call to same-day comfort ad as an example. Did I catch you with 30 seconds?</x:v>
      </x:c>
      <x:c r="AX95" s="60" t="str">
        <x:v>https://www.facebook.com/ads/library/?active_status=active&amp;ad_type=all&amp;country=US&amp;q=ClimateMakers%20Heating%20%E2%97%8F%20AC%20%E2%97%8F%20Plumbing&amp;search_type=keyword_unordered</x:v>
      </x:c>
      <x:c r="AY95" s="60" t="str">
        <x:v>ok:200</x:v>
      </x:c>
      <x:c r="AZ95" s="60" t="n">
        <x:v>46232.722858796296</x:v>
      </x:c>
      <x:c r="BA95" s="60" t="str">
        <x:v>Google Maps home-services export</x:v>
      </x:c>
      <x:c r="BB95" s="60" t="str">
        <x:v>https://climatemakers.biz | https://maps.google.com/?cid=1812328372544730087&amp;g_mp=Cidnb29nbGUubWFwcy5wbGFjZXMudjEuUGxhY2VzLlNlYXJjaFRleHQQAhgEIAA</x:v>
      </x:c>
      <x:c r="BC95" s="60" t="str"/>
    </x:row>
    <x:row r="96" ht="18" customHeight="1">
      <x:c r="A96" s="70" t="str">
        <x:v>95</x:v>
      </x:c>
      <x:c r="B96" s="70" t="str">
        <x:v>A - Layup</x:v>
      </x:c>
      <x:c r="C96" s="72" t="str">
        <x:v>70</x:v>
      </x:c>
      <x:c r="D96" s="60" t="str">
        <x:v>Servpro of Aiken</x:v>
      </x:c>
      <x:c r="E96" s="60" t="str">
        <x:v>https://servproaiken.com</x:v>
      </x:c>
      <x:c r="F96" s="60" t="str">
        <x:v>https://www.servpro.com/locations/sc/servpro-of-aiken</x:v>
      </x:c>
      <x:c r="G96" s="60" t="str">
        <x:v>Aiken</x:v>
      </x:c>
      <x:c r="H96" s="60" t="str">
        <x:v>South Carolina</x:v>
      </x:c>
      <x:c r="I96" s="60" t="str">
        <x:v>Restoration</x:v>
      </x:c>
      <x:c r="J96" s="60" t="str">
        <x:v>Todd</x:v>
      </x:c>
      <x:c r="K96" s="60" t="str">
        <x:v>Brown</x:v>
      </x:c>
      <x:c r="L96" s="60" t="str">
        <x:v>Owner</x:v>
      </x:c>
      <x:c r="M96" s="60" t="str">
        <x:v>tbrown@servproaiken.com</x:v>
      </x:c>
      <x:c r="N96" s="60" t="str">
        <x:v>Verified with BounceBan on 08 Jun 26 12:06</x:v>
      </x:c>
      <x:c r="O96" s="60" t="str">
        <x:v>+1 803 622 5956</x:v>
      </x:c>
      <x:c r="P96" s="60" t="str">
        <x:v>https://www.linkedin.com/in/todd-brown-3239781</x:v>
      </x:c>
      <x:c r="Q96" s="60" t="str">
        <x:v>11-50</x:v>
      </x:c>
      <x:c r="R96" s="60" t="str">
        <x:v>100000-499999</x:v>
      </x:c>
      <x:c r="S96" s="60" t="str"/>
      <x:c r="T96" s="74" t="str">
        <x:v>0</x:v>
      </x:c>
      <x:c r="U96" s="60" t="str"/>
      <x:c r="V96" s="74" t="str">
        <x:v>30</x:v>
      </x:c>
      <x:c r="W96" s="74" t="str">
        <x:v>23</x:v>
      </x:c>
      <x:c r="X96" s="74" t="str">
        <x:v>4</x:v>
      </x:c>
      <x:c r="Y96" s="74" t="str">
        <x:v>3</x:v>
      </x:c>
      <x:c r="Z96" s="74" t="str">
        <x:v>10</x:v>
      </x:c>
      <x:c r="AA96" s="74" t="str">
        <x:v>1</x:v>
      </x:c>
      <x:c r="AB96" s="74" t="str">
        <x:v>0</x:v>
      </x:c>
      <x:c r="AC96" s="74" t="str">
        <x:v>1</x:v>
      </x:c>
      <x:c r="AD96" s="74" t="str">
        <x:v>0</x:v>
      </x:c>
      <x:c r="AE96" s="74" t="str">
        <x:v>1</x:v>
      </x:c>
      <x:c r="AF96" s="74" t="str"/>
      <x:c r="AG96" s="74" t="str">
        <x:v>1</x:v>
      </x:c>
      <x:c r="AH96" s="74" t="str">
        <x:v>0</x:v>
      </x:c>
      <x:c r="AI96" s="74" t="str">
        <x:v>0</x:v>
      </x:c>
      <x:c r="AJ96" s="74" t="str">
        <x:v>0</x:v>
      </x:c>
      <x:c r="AK96" s="74" t="str">
        <x:v>1</x:v>
      </x:c>
      <x:c r="AL96" s="74" t="str">
        <x:v>0</x:v>
      </x:c>
      <x:c r="AM96" s="74" t="str">
        <x:v>1</x:v>
      </x:c>
      <x:c r="AN96" s="74" t="str">
        <x:v>0</x:v>
      </x:c>
      <x:c r="AO96" s="60" t="str">
        <x:v>2026</x:v>
      </x:c>
      <x:c r="AP96" s="76" t="str">
        <x:v>Paid-demand technology detected; creative refresh hypothesis</x:v>
      </x:c>
      <x:c r="AQ96" s="76" t="str">
        <x:v>Meta Pixel; call tracking; visible service offer</x:v>
      </x:c>
      <x:c r="AR96" s="76" t="str">
        <x:v>I was reviewing restoration companies in Aiken, South Carolina and Servpro of Aiken looked like a strong fit for a creative test.</x:v>
      </x:c>
      <x:c r="AS96" s="76" t="str">
        <x:v>first-24-hours emergency-response ad</x:v>
      </x:c>
      <x:c r="AT96" s="76" t="str">
        <x:v>Servpro of Aiken ad concept</x:v>
      </x:c>
      <x:c r="AU96" s="76" t="str">
        <x:v>Hi Todd — I was reviewing restoration companies in Aiken, South Carolina and Servpro of Aiken looked like a strong fit for a creative test. I mapped a private 15-second first-24-hours emergency-response ad for Servpro of Aiken using only public brand context—not for publishing, just to show the angle. We build three client-approved video ad concepts in seven days, then turn the winners into fresh variations. No filming day required. Worth sending the private sample?</x:v>
      </x:c>
      <x:c r="AV96" s="76" t="str">
        <x:v>Quick follow-up: the sample angle is a first-24-hours emergency-response ad. If it misses the mark, no problem—I won't keep chasing. Should I send it?</x:v>
      </x:c>
      <x:c r="AW96" s="76" t="str">
        <x:v>Hi Todd, Ryan here. I was looking at Servpro of Aiken's public marketing and noticed: paid-demand technology detected; creative refresh hypothesis. I mapped one private first-24-hours emergency-response ad as an example. Did I catch you with 30 seconds?</x:v>
      </x:c>
      <x:c r="AX96" s="60" t="str">
        <x:v>https://www.facebook.com/ads/library/?active_status=active&amp;ad_type=all&amp;country=US&amp;q=Servpro%20of%20Aiken&amp;search_type=keyword_unordered</x:v>
      </x:c>
      <x:c r="AY96" s="60" t="str">
        <x:v>ok:200</x:v>
      </x:c>
      <x:c r="AZ96" s="60" t="n">
        <x:v>46232.722858796296</x:v>
      </x:c>
      <x:c r="BA96" s="60" t="str">
        <x:v>AI Ark SC trades export</x:v>
      </x:c>
      <x:c r="BB96" s="60" t="str">
        <x:v>https://servproaiken.com | https://www.linkedin.com/company/servproofaiken</x:v>
      </x:c>
      <x:c r="BC96" s="60" t="str"/>
    </x:row>
    <x:row r="97" ht="18" customHeight="1">
      <x:c r="A97" s="70" t="str">
        <x:v>96</x:v>
      </x:c>
      <x:c r="B97" s="70" t="str">
        <x:v>A - Layup</x:v>
      </x:c>
      <x:c r="C97" s="72" t="str">
        <x:v>70</x:v>
      </x:c>
      <x:c r="D97" s="60" t="str">
        <x:v>Allcon Roofing</x:v>
      </x:c>
      <x:c r="E97" s="60" t="str">
        <x:v>https://allconroofing.com</x:v>
      </x:c>
      <x:c r="F97" s="60" t="str">
        <x:v>https://www.allconroofing.com/</x:v>
      </x:c>
      <x:c r="G97" s="60" t="str">
        <x:v>Greenville</x:v>
      </x:c>
      <x:c r="H97" s="60" t="str">
        <x:v>South Carolina</x:v>
      </x:c>
      <x:c r="I97" s="60" t="str">
        <x:v>Roofing</x:v>
      </x:c>
      <x:c r="J97" s="60" t="str">
        <x:v>Allcon Roofing</x:v>
      </x:c>
      <x:c r="K97" s="60" t="str"/>
      <x:c r="L97" s="60" t="str">
        <x:v>Owner / decision maker to verify</x:v>
      </x:c>
      <x:c r="M97" s="60" t="str"/>
      <x:c r="N97" s="60" t="str"/>
      <x:c r="O97" s="60" t="str">
        <x:v>(864) 552-1365</x:v>
      </x:c>
      <x:c r="P97" s="60" t="str"/>
      <x:c r="Q97" s="60" t="str"/>
      <x:c r="R97" s="60" t="str"/>
      <x:c r="S97" s="60" t="str">
        <x:v>4.9</x:v>
      </x:c>
      <x:c r="T97" s="74" t="str">
        <x:v>304</x:v>
      </x:c>
      <x:c r="U97" s="60" t="str"/>
      <x:c r="V97" s="74" t="str">
        <x:v>30</x:v>
      </x:c>
      <x:c r="W97" s="74" t="str">
        <x:v>21</x:v>
      </x:c>
      <x:c r="X97" s="74" t="str">
        <x:v>0</x:v>
      </x:c>
      <x:c r="Y97" s="74" t="str">
        <x:v>14</x:v>
      </x:c>
      <x:c r="Z97" s="74" t="str">
        <x:v>5</x:v>
      </x:c>
      <x:c r="AA97" s="74" t="str">
        <x:v>0</x:v>
      </x:c>
      <x:c r="AB97" s="74" t="str">
        <x:v>1</x:v>
      </x:c>
      <x:c r="AC97" s="74" t="str">
        <x:v>1</x:v>
      </x:c>
      <x:c r="AD97" s="74" t="str">
        <x:v>0</x:v>
      </x:c>
      <x:c r="AE97" s="74" t="str">
        <x:v>1</x:v>
      </x:c>
      <x:c r="AF97" s="74" t="str"/>
      <x:c r="AG97" s="74" t="str">
        <x:v>1</x:v>
      </x:c>
      <x:c r="AH97" s="74" t="str">
        <x:v>1</x:v>
      </x:c>
      <x:c r="AI97" s="74" t="str">
        <x:v>0</x:v>
      </x:c>
      <x:c r="AJ97" s="74" t="str">
        <x:v>1</x:v>
      </x:c>
      <x:c r="AK97" s="74" t="str">
        <x:v>1</x:v>
      </x:c>
      <x:c r="AL97" s="74" t="str">
        <x:v>0</x:v>
      </x:c>
      <x:c r="AM97" s="74" t="str">
        <x:v>1</x:v>
      </x:c>
      <x:c r="AN97" s="74" t="str">
        <x:v>1</x:v>
      </x:c>
      <x:c r="AO97" s="60" t="str">
        <x:v>2026</x:v>
      </x:c>
      <x:c r="AP97" s="76" t="str">
        <x:v>Paid-demand technology detected; creative refresh hypothesis</x:v>
      </x:c>
      <x:c r="AQ97" s="76" t="str">
        <x:v>Google Ads tag; call tracking; project/gallery proof; financing; visible service offer</x:v>
      </x:c>
      <x:c r="AR97" s="76" t="str">
        <x:v>I was reviewing roofing companies in Greenville, South Carolina and Allcon Roofing looked like a strong fit for a creative test.</x:v>
      </x:c>
      <x:c r="AS97" s="76" t="str">
        <x:v>storm-to-inspection before/after ad</x:v>
      </x:c>
      <x:c r="AT97" s="76" t="str">
        <x:v>Allcon Roofing ad concept</x:v>
      </x:c>
      <x:c r="AU97" s="76" t="str">
        <x:v>Hi Allcon Roofing — I was reviewing roofing companies in Greenville, South Carolina and Allcon Roofing looked like a strong fit for a creative test. I mapped a private 15-second storm-to-inspection before/after ad for Allcon Roofing using only public brand context—not for publishing, just to show the angle. We build three client-approved video ad concepts in seven days, then turn the winners into fresh variations. No filming day required. Worth sending the private sample?</x:v>
      </x:c>
      <x:c r="AV97" s="76" t="str">
        <x:v>Quick follow-up: the sample angle is a storm-to-inspection before/after ad. If it misses the mark, no problem—I won't keep chasing. Should I send it?</x:v>
      </x:c>
      <x:c r="AW97" s="76" t="str">
        <x:v>Hi Allcon Roofing, Ryan here. I was looking at Allcon Roofing's public marketing and noticed: paid-demand technology detected; creative refresh hypothesis. I mapped one private storm-to-inspection before/after ad as an example. Did I catch you with 30 seconds?</x:v>
      </x:c>
      <x:c r="AX97" s="60" t="str">
        <x:v>https://www.facebook.com/ads/library/?active_status=active&amp;ad_type=all&amp;country=US&amp;q=Allcon%20Roofing&amp;search_type=keyword_unordered</x:v>
      </x:c>
      <x:c r="AY97" s="60" t="str">
        <x:v>ok:200</x:v>
      </x:c>
      <x:c r="AZ97" s="60" t="n">
        <x:v>46232.722858796296</x:v>
      </x:c>
      <x:c r="BA97" s="60" t="str">
        <x:v>Google Maps home-services export</x:v>
      </x:c>
      <x:c r="BB97" s="60" t="str">
        <x:v>https://allconroofing.com | https://maps.google.com/?cid=9649688620492191576&amp;g_mp=Cidnb29nbGUubWFwcy5wbGFjZXMudjEuUGxhY2VzLlNlYXJjaFRleHQQAhgEIAA</x:v>
      </x:c>
      <x:c r="BC97" s="60" t="str"/>
    </x:row>
    <x:row r="98" ht="18" customHeight="1">
      <x:c r="A98" s="70" t="str">
        <x:v>97</x:v>
      </x:c>
      <x:c r="B98" s="70" t="str">
        <x:v>A - Layup</x:v>
      </x:c>
      <x:c r="C98" s="72" t="str">
        <x:v>70</x:v>
      </x:c>
      <x:c r="D98" s="60" t="str">
        <x:v>Aiken Augusta Electric &amp; Security</x:v>
      </x:c>
      <x:c r="E98" s="60" t="str">
        <x:v>https://aikenaugustaelectricsecurity.com</x:v>
      </x:c>
      <x:c r="F98" s="60" t="str">
        <x:v>https://aikenaugustaelectricsecurity.com</x:v>
      </x:c>
      <x:c r="G98" s="60" t="str">
        <x:v>Aiken</x:v>
      </x:c>
      <x:c r="H98" s="60" t="str">
        <x:v>South Carolina</x:v>
      </x:c>
      <x:c r="I98" s="60" t="str">
        <x:v>Electrical</x:v>
      </x:c>
      <x:c r="J98" s="60" t="str">
        <x:v>Aiken Augusta Electric &amp; Security</x:v>
      </x:c>
      <x:c r="K98" s="60" t="str"/>
      <x:c r="L98" s="60" t="str">
        <x:v>Owner / decision maker to verify</x:v>
      </x:c>
      <x:c r="M98" s="60" t="str"/>
      <x:c r="N98" s="60" t="str"/>
      <x:c r="O98" s="60" t="str">
        <x:v>(706) 863-8722</x:v>
      </x:c>
      <x:c r="P98" s="60" t="str"/>
      <x:c r="Q98" s="60" t="str"/>
      <x:c r="R98" s="60" t="str"/>
      <x:c r="S98" s="60" t="str">
        <x:v>4.7</x:v>
      </x:c>
      <x:c r="T98" s="74" t="str">
        <x:v>30</x:v>
      </x:c>
      <x:c r="U98" s="60" t="str">
        <x:v>communication</x:v>
      </x:c>
      <x:c r="V98" s="74" t="str">
        <x:v>21</x:v>
      </x:c>
      <x:c r="W98" s="74" t="str">
        <x:v>15</x:v>
      </x:c>
      <x:c r="X98" s="74" t="str">
        <x:v>18</x:v>
      </x:c>
      <x:c r="Y98" s="74" t="str">
        <x:v>11</x:v>
      </x:c>
      <x:c r="Z98" s="74" t="str">
        <x:v>5</x:v>
      </x:c>
      <x:c r="AA98" s="74" t="str">
        <x:v>1</x:v>
      </x:c>
      <x:c r="AB98" s="74" t="str">
        <x:v>0</x:v>
      </x:c>
      <x:c r="AC98" s="74" t="str">
        <x:v>1</x:v>
      </x:c>
      <x:c r="AD98" s="74" t="str">
        <x:v>0</x:v>
      </x:c>
      <x:c r="AE98" s="74" t="str">
        <x:v>0</x:v>
      </x:c>
      <x:c r="AF98" s="74" t="str"/>
      <x:c r="AG98" s="74" t="str">
        <x:v>0</x:v>
      </x:c>
      <x:c r="AH98" s="74" t="str">
        <x:v>1</x:v>
      </x:c>
      <x:c r="AI98" s="74" t="str">
        <x:v>1</x:v>
      </x:c>
      <x:c r="AJ98" s="74" t="str">
        <x:v>0</x:v>
      </x:c>
      <x:c r="AK98" s="74" t="str">
        <x:v>0</x:v>
      </x:c>
      <x:c r="AL98" s="74" t="str">
        <x:v>0</x:v>
      </x:c>
      <x:c r="AM98" s="74" t="str">
        <x:v>1</x:v>
      </x:c>
      <x:c r="AN98" s="74" t="str">
        <x:v>0</x:v>
      </x:c>
      <x:c r="AO98" s="60" t="str">
        <x:v>2026</x:v>
      </x:c>
      <x:c r="AP98" s="76" t="str">
        <x:v>Meta tracking detected; no embedded homepage video found</x:v>
      </x:c>
      <x:c r="AQ98" s="76" t="str">
        <x:v>Meta Pixel; project/gallery proof; testimonials; no embedded homepage video detected</x:v>
      </x:c>
      <x:c r="AR98" s="76" t="str">
        <x:v>I noticed Aiken Augusta Electric &amp; Security's site has Meta tracking installed, but I couldn't find an embedded video on the homepage.</x:v>
      </x:c>
      <x:c r="AS98" s="76" t="str">
        <x:v>safety inspection problem/solution ad</x:v>
      </x:c>
      <x:c r="AT98" s="76" t="str">
        <x:v>Aiken Augusta Electric &amp; Security ad concept</x:v>
      </x:c>
      <x:c r="AU98" s="76" t="str">
        <x:v>Hi Aiken Augusta Electric &amp; Security — I noticed Aiken Augusta Electric &amp; Security's site has Meta tracking installed, but I couldn't find an embedded video on the homepage. I mapped a private 15-second safety inspection problem/solution ad for Aiken Augusta Electric &amp; Security using only public brand context—not for publishing, just to show the angle. We build three client-approved video ad concepts in seven days, then turn the winners into fresh variations. No filming day required. Worth sending the private sample?</x:v>
      </x:c>
      <x:c r="AV98" s="76" t="str">
        <x:v>Quick follow-up: the sample angle is a safety inspection problem/solution ad. If it misses the mark, no problem—I won't keep chasing. Should I send it?</x:v>
      </x:c>
      <x:c r="AW98" s="76" t="str">
        <x:v>Hi Aiken Augusta Electric &amp; Security, Ryan here. I was looking at Aiken Augusta Electric &amp; Security's public marketing and noticed: meta tracking detected; no embedded homepage video found. I mapped one private safety inspection problem/solution ad as an example. Did I catch you with 30 seconds?</x:v>
      </x:c>
      <x:c r="AX98" s="60" t="str">
        <x:v>https://www.facebook.com/ads/library/?active_status=active&amp;ad_type=all&amp;country=US&amp;q=Aiken%20Augusta%20Electric%20%26%20Security&amp;search_type=keyword_unordered</x:v>
      </x:c>
      <x:c r="AY98" s="60" t="str">
        <x:v>ok:200</x:v>
      </x:c>
      <x:c r="AZ98" s="60" t="n">
        <x:v>46232.722858796296</x:v>
      </x:c>
      <x:c r="BA98" s="60" t="str">
        <x:v>Google Maps home-services export</x:v>
      </x:c>
      <x:c r="BB98" s="60" t="str">
        <x:v>https://aikenaugustaelectricsecurity.com | https://maps.google.com/?cid=1835041406687697892&amp;g_mp=Cidnb29nbGUubWFwcy5wbGFjZXMudjEuUGxhY2VzLlNlYXJjaFRleHQQAhgEIAA</x:v>
      </x:c>
      <x:c r="BC98" s="60" t="str"/>
    </x:row>
    <x:row r="99" ht="18" customHeight="1">
      <x:c r="A99" s="70" t="str">
        <x:v>98</x:v>
      </x:c>
      <x:c r="B99" s="70" t="str">
        <x:v>A - Layup</x:v>
      </x:c>
      <x:c r="C99" s="72" t="str">
        <x:v>70</x:v>
      </x:c>
      <x:c r="D99" s="60" t="str">
        <x:v>Rooter Man Plumbing</x:v>
      </x:c>
      <x:c r="E99" s="60" t="str">
        <x:v>https://rootermansc.com</x:v>
      </x:c>
      <x:c r="F99" s="60" t="str">
        <x:v>https://rootermansc.com</x:v>
      </x:c>
      <x:c r="G99" s="60" t="str">
        <x:v>Charleston</x:v>
      </x:c>
      <x:c r="H99" s="60" t="str">
        <x:v>South Carolina</x:v>
      </x:c>
      <x:c r="I99" s="60" t="str">
        <x:v>Plumbing</x:v>
      </x:c>
      <x:c r="J99" s="60" t="str">
        <x:v>Rooter Man Plumbing</x:v>
      </x:c>
      <x:c r="K99" s="60" t="str"/>
      <x:c r="L99" s="60" t="str">
        <x:v>Owner / decision maker to verify</x:v>
      </x:c>
      <x:c r="M99" s="60" t="str"/>
      <x:c r="N99" s="60" t="str"/>
      <x:c r="O99" s="60" t="str">
        <x:v>(843) 402-7799</x:v>
      </x:c>
      <x:c r="P99" s="60" t="str"/>
      <x:c r="Q99" s="60" t="str"/>
      <x:c r="R99" s="60" t="str"/>
      <x:c r="S99" s="60" t="str">
        <x:v>5</x:v>
      </x:c>
      <x:c r="T99" s="74" t="str">
        <x:v>582</x:v>
      </x:c>
      <x:c r="U99" s="60" t="str"/>
      <x:c r="V99" s="74" t="str">
        <x:v>25</x:v>
      </x:c>
      <x:c r="W99" s="74" t="str">
        <x:v>13</x:v>
      </x:c>
      <x:c r="X99" s="74" t="str">
        <x:v>12</x:v>
      </x:c>
      <x:c r="Y99" s="74" t="str">
        <x:v>15</x:v>
      </x:c>
      <x:c r="Z99" s="74" t="str">
        <x:v>5</x:v>
      </x:c>
      <x:c r="AA99" s="74" t="str">
        <x:v>0</x:v>
      </x:c>
      <x:c r="AB99" s="74" t="str">
        <x:v>1</x:v>
      </x:c>
      <x:c r="AC99" s="74" t="str">
        <x:v>1</x:v>
      </x:c>
      <x:c r="AD99" s="74" t="str">
        <x:v>0</x:v>
      </x:c>
      <x:c r="AE99" s="74" t="str">
        <x:v>0</x:v>
      </x:c>
      <x:c r="AF99" s="74" t="str"/>
      <x:c r="AG99" s="74" t="str">
        <x:v>0</x:v>
      </x:c>
      <x:c r="AH99" s="74" t="str">
        <x:v>1</x:v>
      </x:c>
      <x:c r="AI99" s="74" t="str">
        <x:v>1</x:v>
      </x:c>
      <x:c r="AJ99" s="74" t="str">
        <x:v>0</x:v>
      </x:c>
      <x:c r="AK99" s="74" t="str">
        <x:v>1</x:v>
      </x:c>
      <x:c r="AL99" s="74" t="str">
        <x:v>0</x:v>
      </x:c>
      <x:c r="AM99" s="74" t="str">
        <x:v>1</x:v>
      </x:c>
      <x:c r="AN99" s="74" t="str">
        <x:v>1</x:v>
      </x:c>
      <x:c r="AO99" s="60" t="str">
        <x:v>2025</x:v>
      </x:c>
      <x:c r="AP99" s="76" t="str">
        <x:v>Google Ads tag detected; no embedded homepage video found</x:v>
      </x:c>
      <x:c r="AQ99" s="76" t="str">
        <x:v>Google Ads tag; project/gallery proof; testimonials; visible service offer; no embedded homepage video detected</x:v>
      </x:c>
      <x:c r="AR99" s="76" t="str">
        <x:v>I noticed Rooter Man Plumbing's site has a Google Ads tag installed, but I couldn't find an embedded video on the homepage.</x:v>
      </x:c>
      <x:c r="AS99" s="76" t="str">
        <x:v>small symptom to prevented-emergency ad</x:v>
      </x:c>
      <x:c r="AT99" s="76" t="str">
        <x:v>Rooter Man Plumbing ad concept</x:v>
      </x:c>
      <x:c r="AU99" s="76" t="str">
        <x:v>Hi Rooter Man Plumbing — I noticed Rooter Man Plumbing's site has a Google Ads tag installed, but I couldn't find an embedded video on the homepage. I mapped a private 15-second small symptom to prevented-emergency ad for Rooter Man Plumbing using only public brand context—not for publishing, just to show the angle. We build three client-approved video ad concepts in seven days, then turn the winners into fresh variations. No filming day required. Worth sending the private sample?</x:v>
      </x:c>
      <x:c r="AV99" s="76" t="str">
        <x:v>Quick follow-up: the sample angle is a small symptom to prevented-emergency ad. If it misses the mark, no problem—I won't keep chasing. Should I send it?</x:v>
      </x:c>
      <x:c r="AW99" s="76" t="str">
        <x:v>Hi Rooter Man Plumbing, Ryan here. I was looking at Rooter Man Plumbing's public marketing and noticed: google ads tag detected; no embedded homepage video found. I mapped one private small symptom to prevented-emergency ad as an example. Did I catch you with 30 seconds?</x:v>
      </x:c>
      <x:c r="AX99" s="60" t="str">
        <x:v>https://www.facebook.com/ads/library/?active_status=active&amp;ad_type=all&amp;country=US&amp;q=Rooter%20Man%20Plumbing&amp;search_type=keyword_unordered</x:v>
      </x:c>
      <x:c r="AY99" s="60" t="str">
        <x:v>ok:200</x:v>
      </x:c>
      <x:c r="AZ99" s="60" t="n">
        <x:v>46232.722858796296</x:v>
      </x:c>
      <x:c r="BA99" s="60" t="str">
        <x:v>Google Maps home-services export</x:v>
      </x:c>
      <x:c r="BB99" s="60" t="str">
        <x:v>https://maps.google.com/?cid=14884005189903893965&amp;g_mp=Cidnb29nbGUubWFwcy5wbGFjZXMudjEuUGxhY2VzLlNlYXJjaFRleHQQAhgEIAA | https://rootermansc.com</x:v>
      </x:c>
      <x:c r="BC99" s="60" t="str"/>
    </x:row>
    <x:row r="100" ht="18" customHeight="1">
      <x:c r="A100" s="70" t="str">
        <x:v>99</x:v>
      </x:c>
      <x:c r="B100" s="70" t="str">
        <x:v>A - Layup</x:v>
      </x:c>
      <x:c r="C100" s="72" t="str">
        <x:v>70</x:v>
      </x:c>
      <x:c r="D100" s="60" t="str">
        <x:v>RoofBoyz LLC</x:v>
      </x:c>
      <x:c r="E100" s="60" t="str">
        <x:v>https://roofboyz.com</x:v>
      </x:c>
      <x:c r="F100" s="60" t="str">
        <x:v>https://www.roofboyz.com/</x:v>
      </x:c>
      <x:c r="G100" s="60" t="str">
        <x:v>Summerville</x:v>
      </x:c>
      <x:c r="H100" s="60" t="str">
        <x:v>South Carolina</x:v>
      </x:c>
      <x:c r="I100" s="60" t="str">
        <x:v>Roofing</x:v>
      </x:c>
      <x:c r="J100" s="60" t="str">
        <x:v>RoofBoyz LLC</x:v>
      </x:c>
      <x:c r="K100" s="60" t="str"/>
      <x:c r="L100" s="60" t="str">
        <x:v>Owner / decision maker to verify</x:v>
      </x:c>
      <x:c r="M100" s="60" t="str"/>
      <x:c r="N100" s="60" t="str"/>
      <x:c r="O100" s="60" t="str">
        <x:v>(843) 452-8985</x:v>
      </x:c>
      <x:c r="P100" s="60" t="str"/>
      <x:c r="Q100" s="60" t="str"/>
      <x:c r="R100" s="60" t="str"/>
      <x:c r="S100" s="60" t="str">
        <x:v>5</x:v>
      </x:c>
      <x:c r="T100" s="74" t="str">
        <x:v>35</x:v>
      </x:c>
      <x:c r="U100" s="60" t="str"/>
      <x:c r="V100" s="74" t="str">
        <x:v>27</x:v>
      </x:c>
      <x:c r="W100" s="74" t="str">
        <x:v>13</x:v>
      </x:c>
      <x:c r="X100" s="74" t="str">
        <x:v>12</x:v>
      </x:c>
      <x:c r="Y100" s="74" t="str">
        <x:v>13</x:v>
      </x:c>
      <x:c r="Z100" s="74" t="str">
        <x:v>5</x:v>
      </x:c>
      <x:c r="AA100" s="74" t="str">
        <x:v>0</x:v>
      </x:c>
      <x:c r="AB100" s="74" t="str">
        <x:v>1</x:v>
      </x:c>
      <x:c r="AC100" s="74" t="str">
        <x:v>1</x:v>
      </x:c>
      <x:c r="AD100" s="74" t="str">
        <x:v>0</x:v>
      </x:c>
      <x:c r="AE100" s="74" t="str">
        <x:v>0</x:v>
      </x:c>
      <x:c r="AF100" s="74" t="str"/>
      <x:c r="AG100" s="74" t="str">
        <x:v>0</x:v>
      </x:c>
      <x:c r="AH100" s="74" t="str">
        <x:v>1</x:v>
      </x:c>
      <x:c r="AI100" s="74" t="str">
        <x:v>0</x:v>
      </x:c>
      <x:c r="AJ100" s="74" t="str">
        <x:v>1</x:v>
      </x:c>
      <x:c r="AK100" s="74" t="str">
        <x:v>1</x:v>
      </x:c>
      <x:c r="AL100" s="74" t="str">
        <x:v>1</x:v>
      </x:c>
      <x:c r="AM100" s="74" t="str">
        <x:v>1</x:v>
      </x:c>
      <x:c r="AN100" s="74" t="str">
        <x:v>0</x:v>
      </x:c>
      <x:c r="AO100" s="60" t="str">
        <x:v>2026</x:v>
      </x:c>
      <x:c r="AP100" s="76" t="str">
        <x:v>Google Ads tag detected; no embedded homepage video found</x:v>
      </x:c>
      <x:c r="AQ100" s="76" t="str">
        <x:v>Google Ads tag; project/gallery proof; financing; visible service offer; no embedded homepage video detected</x:v>
      </x:c>
      <x:c r="AR100" s="76" t="str">
        <x:v>I noticed RoofBoyz LLC's site has a Google Ads tag installed, but I couldn't find an embedded video on the homepage.</x:v>
      </x:c>
      <x:c r="AS100" s="76" t="str">
        <x:v>storm-to-inspection before/after ad</x:v>
      </x:c>
      <x:c r="AT100" s="76" t="str">
        <x:v>RoofBoyz LLC ad concept</x:v>
      </x:c>
      <x:c r="AU100" s="76" t="str">
        <x:v>Hi RoofBoyz LLC — I noticed RoofBoyz LLC's site has a Google Ads tag installed, but I couldn't find an embedded video on the homepage. I mapped a private 15-second storm-to-inspection before/after ad for RoofBoyz LLC using only public brand context—not for publishing, just to show the angle. We build three client-approved video ad concepts in seven days, then turn the winners into fresh variations. No filming day required. Worth sending the private sample?</x:v>
      </x:c>
      <x:c r="AV100" s="76" t="str">
        <x:v>Quick follow-up: the sample angle is a storm-to-inspection before/after ad. If it misses the mark, no problem—I won't keep chasing. Should I send it?</x:v>
      </x:c>
      <x:c r="AW100" s="76" t="str">
        <x:v>Hi RoofBoyz LLC, Ryan here. I was looking at RoofBoyz LLC's public marketing and noticed: google ads tag detected; no embedded homepage video found. I mapped one private storm-to-inspection before/after ad as an example. Did I catch you with 30 seconds?</x:v>
      </x:c>
      <x:c r="AX100" s="60" t="str">
        <x:v>https://www.facebook.com/ads/library/?active_status=active&amp;ad_type=all&amp;country=US&amp;q=RoofBoyz%20LLC&amp;search_type=keyword_unordered</x:v>
      </x:c>
      <x:c r="AY100" s="60" t="str">
        <x:v>ok:200</x:v>
      </x:c>
      <x:c r="AZ100" s="60" t="n">
        <x:v>46232.722858796296</x:v>
      </x:c>
      <x:c r="BA100" s="60" t="str">
        <x:v>Google Maps home-services export</x:v>
      </x:c>
      <x:c r="BB100" s="60" t="str">
        <x:v>https://maps.google.com/?cid=7462749946394103939&amp;g_mp=Cidnb29nbGUubWFwcy5wbGFjZXMudjEuUGxhY2VzLlNlYXJjaFRleHQQAhgEIAA | https://roofboyz.com</x:v>
      </x:c>
      <x:c r="BC100" s="60" t="str"/>
    </x:row>
    <x:row r="101" ht="18" customHeight="1">
      <x:c r="A101" s="70" t="str">
        <x:v>100</x:v>
      </x:c>
      <x:c r="B101" s="70" t="str">
        <x:v>A - Layup</x:v>
      </x:c>
      <x:c r="C101" s="72" t="str">
        <x:v>70</x:v>
      </x:c>
      <x:c r="D101" s="60" t="str">
        <x:v>Palmetto Air Conditioning Co.</x:v>
      </x:c>
      <x:c r="E101" s="60" t="str">
        <x:v>https://palmettoairconditioning.com</x:v>
      </x:c>
      <x:c r="F101" s="60" t="str">
        <x:v>https://palmettoairconditioning.com</x:v>
      </x:c>
      <x:c r="G101" s="60" t="str">
        <x:v>Columbia</x:v>
      </x:c>
      <x:c r="H101" s="60" t="str">
        <x:v>South Carolina</x:v>
      </x:c>
      <x:c r="I101" s="60" t="str">
        <x:v>HVAC</x:v>
      </x:c>
      <x:c r="J101" s="60" t="str">
        <x:v>Palmetto Air Conditioning Co.</x:v>
      </x:c>
      <x:c r="K101" s="60" t="str"/>
      <x:c r="L101" s="60" t="str">
        <x:v>Owner / decision maker to verify</x:v>
      </x:c>
      <x:c r="M101" s="60" t="str"/>
      <x:c r="N101" s="60" t="str"/>
      <x:c r="O101" s="60" t="str">
        <x:v>(803) 358-9673</x:v>
      </x:c>
      <x:c r="P101" s="60" t="str"/>
      <x:c r="Q101" s="60" t="str"/>
      <x:c r="R101" s="60" t="str"/>
      <x:c r="S101" s="60" t="str">
        <x:v>5</x:v>
      </x:c>
      <x:c r="T101" s="74" t="str">
        <x:v>337</x:v>
      </x:c>
      <x:c r="U101" s="60" t="str"/>
      <x:c r="V101" s="74" t="str">
        <x:v>29</x:v>
      </x:c>
      <x:c r="W101" s="74" t="str">
        <x:v>11</x:v>
      </x:c>
      <x:c r="X101" s="74" t="str">
        <x:v>16</x:v>
      </x:c>
      <x:c r="Y101" s="74" t="str">
        <x:v>9</x:v>
      </x:c>
      <x:c r="Z101" s="74" t="str">
        <x:v>5</x:v>
      </x:c>
      <x:c r="AA101" s="74" t="str">
        <x:v>0</x:v>
      </x:c>
      <x:c r="AB101" s="74" t="str">
        <x:v>0</x:v>
      </x:c>
      <x:c r="AC101" s="74" t="str">
        <x:v>1</x:v>
      </x:c>
      <x:c r="AD101" s="74" t="str">
        <x:v>0</x:v>
      </x:c>
      <x:c r="AE101" s="74" t="str">
        <x:v>1</x:v>
      </x:c>
      <x:c r="AF101" s="74" t="str"/>
      <x:c r="AG101" s="74" t="str">
        <x:v>0</x:v>
      </x:c>
      <x:c r="AH101" s="74" t="str">
        <x:v>0</x:v>
      </x:c>
      <x:c r="AI101" s="74" t="str">
        <x:v>0</x:v>
      </x:c>
      <x:c r="AJ101" s="74" t="str">
        <x:v>1</x:v>
      </x:c>
      <x:c r="AK101" s="74" t="str">
        <x:v>1</x:v>
      </x:c>
      <x:c r="AL101" s="74" t="str">
        <x:v>0</x:v>
      </x:c>
      <x:c r="AM101" s="74" t="str">
        <x:v>1</x:v>
      </x:c>
      <x:c r="AN101" s="74" t="str">
        <x:v>0</x:v>
      </x:c>
      <x:c r="AO101" s="60" t="str">
        <x:v>2026</x:v>
      </x:c>
      <x:c r="AP101" s="76" t="str">
        <x:v>Call-tracking stack detected; no embedded homepage video found</x:v>
      </x:c>
      <x:c r="AQ101" s="76" t="str">
        <x:v>call tracking; financing; visible service offer; no embedded homepage video detected</x:v>
      </x:c>
      <x:c r="AR101" s="76" t="str">
        <x:v>I noticed Palmetto Air Conditioning Co. has call tracking in place, but I couldn't find an embedded video on the homepage.</x:v>
      </x:c>
      <x:c r="AS101" s="76" t="str">
        <x:v>no-cool-call to same-day comfort ad</x:v>
      </x:c>
      <x:c r="AT101" s="76" t="str">
        <x:v>Palmetto Air Conditioning Co. ad concept</x:v>
      </x:c>
      <x:c r="AU101" s="76" t="str">
        <x:v>Hi Palmetto Air Conditioning Co. — I noticed Palmetto Air Conditioning Co. has call tracking in place, but I couldn't find an embedded video on the homepage. I mapped a private 15-second no-cool-call to same-day comfort ad for Palmetto Air Conditioning Co. using only public brand context—not for publishing, just to show the angle. We build three client-approved video ad concepts in seven days, then turn the winners into fresh variations. No filming day required. Worth sending the private sample?</x:v>
      </x:c>
      <x:c r="AV101" s="76" t="str">
        <x:v>Quick follow-up: the sample angle is a no-cool-call to same-day comfort ad. If it misses the mark, no problem—I won't keep chasing. Should I send it?</x:v>
      </x:c>
      <x:c r="AW101" s="76" t="str">
        <x:v>Hi Palmetto Air Conditioning Co., Ryan here. I was looking at Palmetto Air Conditioning Co.'s public marketing and noticed: call-tracking stack detected; no embedded homepage video found. I mapped one private no-cool-call to same-day comfort ad as an example. Did I catch you with 30 seconds?</x:v>
      </x:c>
      <x:c r="AX101" s="60" t="str">
        <x:v>https://www.facebook.com/ads/library/?active_status=active&amp;ad_type=all&amp;country=US&amp;q=Palmetto%20Air%20Conditioning%20Co.&amp;search_type=keyword_unordered</x:v>
      </x:c>
      <x:c r="AY101" s="60" t="str">
        <x:v>ok:200</x:v>
      </x:c>
      <x:c r="AZ101" s="60" t="n">
        <x:v>46232.722858796296</x:v>
      </x:c>
      <x:c r="BA101" s="60" t="str">
        <x:v>Google Maps home-services export</x:v>
      </x:c>
      <x:c r="BB101" s="60" t="str">
        <x:v>https://maps.google.com/?cid=3827010906691256636&amp;g_mp=Cidnb29nbGUubWFwcy5wbGFjZXMudjEuUGxhY2VzLlNlYXJjaFRleHQQAhgEIAA | https://palmettoairconditioning.com</x:v>
      </x:c>
      <x:c r="BC101" s="60" t="str"/>
    </x:row>
    <x:row r="102" ht="18" customHeight="1">
      <x:c r="A102" s="70" t="str">
        <x:v>101</x:v>
      </x:c>
      <x:c r="B102" s="70" t="str">
        <x:v>B - Strong</x:v>
      </x:c>
      <x:c r="C102" s="72" t="str">
        <x:v>69</x:v>
      </x:c>
      <x:c r="D102" s="60" t="str">
        <x:v>Armour Roofing</x:v>
      </x:c>
      <x:c r="E102" s="60" t="str">
        <x:v>https://teamarmourroofing.com</x:v>
      </x:c>
      <x:c r="F102" s="60" t="str">
        <x:v>https://teamarmourroofing.com</x:v>
      </x:c>
      <x:c r="G102" s="60" t="str">
        <x:v>Aiken</x:v>
      </x:c>
      <x:c r="H102" s="60" t="str">
        <x:v>South Carolina</x:v>
      </x:c>
      <x:c r="I102" s="60" t="str">
        <x:v>Roofing</x:v>
      </x:c>
      <x:c r="J102" s="60" t="str">
        <x:v>Armour Roofing</x:v>
      </x:c>
      <x:c r="K102" s="60" t="str"/>
      <x:c r="L102" s="60" t="str">
        <x:v>Owner / decision maker to verify</x:v>
      </x:c>
      <x:c r="M102" s="60" t="str"/>
      <x:c r="N102" s="60" t="str"/>
      <x:c r="O102" s="60" t="str">
        <x:v>(706) 920-6837</x:v>
      </x:c>
      <x:c r="P102" s="60" t="str"/>
      <x:c r="Q102" s="60" t="str"/>
      <x:c r="R102" s="60" t="str"/>
      <x:c r="S102" s="60" t="str">
        <x:v>4.9</x:v>
      </x:c>
      <x:c r="T102" s="74" t="str">
        <x:v>61</x:v>
      </x:c>
      <x:c r="U102" s="60" t="str"/>
      <x:c r="V102" s="74" t="str">
        <x:v>27</x:v>
      </x:c>
      <x:c r="W102" s="74" t="str">
        <x:v>28</x:v>
      </x:c>
      <x:c r="X102" s="74" t="str">
        <x:v>4</x:v>
      </x:c>
      <x:c r="Y102" s="74" t="str">
        <x:v>5</x:v>
      </x:c>
      <x:c r="Z102" s="74" t="str">
        <x:v>5</x:v>
      </x:c>
      <x:c r="AA102" s="74" t="str">
        <x:v>1</x:v>
      </x:c>
      <x:c r="AB102" s="74" t="str">
        <x:v>1</x:v>
      </x:c>
      <x:c r="AC102" s="74" t="str">
        <x:v>1</x:v>
      </x:c>
      <x:c r="AD102" s="74" t="str">
        <x:v>0</x:v>
      </x:c>
      <x:c r="AE102" s="74" t="str">
        <x:v>0</x:v>
      </x:c>
      <x:c r="AF102" s="74" t="str">
        <x:v>housecallpro</x:v>
      </x:c>
      <x:c r="AG102" s="74" t="str">
        <x:v>1</x:v>
      </x:c>
      <x:c r="AH102" s="74" t="str">
        <x:v>0</x:v>
      </x:c>
      <x:c r="AI102" s="74" t="str">
        <x:v>0</x:v>
      </x:c>
      <x:c r="AJ102" s="74" t="str">
        <x:v>0</x:v>
      </x:c>
      <x:c r="AK102" s="74" t="str">
        <x:v>1</x:v>
      </x:c>
      <x:c r="AL102" s="74" t="str">
        <x:v>0</x:v>
      </x:c>
      <x:c r="AM102" s="74" t="str">
        <x:v>1</x:v>
      </x:c>
      <x:c r="AN102" s="74" t="str">
        <x:v>0</x:v>
      </x:c>
      <x:c r="AO102" s="60" t="str">
        <x:v>0</x:v>
      </x:c>
      <x:c r="AP102" s="76" t="str">
        <x:v>Paid-demand technology detected; creative refresh hypothesis</x:v>
      </x:c>
      <x:c r="AQ102" s="76" t="str">
        <x:v>Meta Pixel; Google Ads tag; visible service offer</x:v>
      </x:c>
      <x:c r="AR102" s="76" t="str">
        <x:v>I was reviewing roofing companies in Aiken, South Carolina and Armour Roofing looked like a strong fit for a creative test.</x:v>
      </x:c>
      <x:c r="AS102" s="76" t="str">
        <x:v>storm-to-inspection before/after ad</x:v>
      </x:c>
      <x:c r="AT102" s="76" t="str">
        <x:v>Armour Roofing ad concept</x:v>
      </x:c>
      <x:c r="AU102" s="76" t="str">
        <x:v>Hi Armour Roofing — I was reviewing roofing companies in Aiken, South Carolina and Armour Roofing looked like a strong fit for a creative test. I mapped a private 15-second storm-to-inspection before/after ad for Armour Roofing using only public brand context—not for publishing, just to show the angle. We build three client-approved video ad concepts in seven days, then turn the winners into fresh variations. No filming day required. Worth sending the private sample?</x:v>
      </x:c>
      <x:c r="AV102" s="76" t="str">
        <x:v>Quick follow-up: the sample angle is a storm-to-inspection before/after ad. If it misses the mark, no problem—I won't keep chasing. Should I send it?</x:v>
      </x:c>
      <x:c r="AW102" s="76" t="str">
        <x:v>Hi Armour Roofing, Ryan here. I was looking at Armour Roofing's public marketing and noticed: paid-demand technology detected; creative refresh hypothesis. I mapped one private storm-to-inspection before/after ad as an example. Did I catch you with 30 seconds?</x:v>
      </x:c>
      <x:c r="AX102" s="60" t="str">
        <x:v>https://www.facebook.com/ads/library/?active_status=active&amp;ad_type=all&amp;country=US&amp;q=Armour%20Roofing&amp;search_type=keyword_unordered</x:v>
      </x:c>
      <x:c r="AY102" s="60" t="str">
        <x:v>ok:200</x:v>
      </x:c>
      <x:c r="AZ102" s="60" t="n">
        <x:v>46232.722858796296</x:v>
      </x:c>
      <x:c r="BA102" s="60" t="str">
        <x:v>Google Maps home-services export</x:v>
      </x:c>
      <x:c r="BB102" s="60" t="str">
        <x:v>https://maps.google.com/?cid=1592371493706945791&amp;g_mp=Cidnb29nbGUubWFwcy5wbGFjZXMudjEuUGxhY2VzLlNlYXJjaFRleHQQAhgEIAA | https://maps.google.com/?cid=7116891833416946321&amp;g_mp=Cidnb29nbGUubWFwcy5wbGFjZXMudjEuUGxhY2VzLlNlYXJjaFRleHQQAhgEIAA | https://teamarmourroofing.com</x:v>
      </x:c>
      <x:c r="BC102" s="60" t="str"/>
    </x:row>
    <x:row r="103" ht="18" customHeight="1">
      <x:c r="A103" s="70" t="str">
        <x:v>102</x:v>
      </x:c>
      <x:c r="B103" s="70" t="str">
        <x:v>B - Strong</x:v>
      </x:c>
      <x:c r="C103" s="72" t="str">
        <x:v>69</x:v>
      </x:c>
      <x:c r="D103" s="60" t="str">
        <x:v>Superior Services</x:v>
      </x:c>
      <x:c r="E103" s="60" t="str">
        <x:v>https://gotosuperior.com</x:v>
      </x:c>
      <x:c r="F103" s="60" t="str">
        <x:v>https://gotosuperior.com</x:v>
      </x:c>
      <x:c r="G103" s="60" t="str">
        <x:v>Bluffton</x:v>
      </x:c>
      <x:c r="H103" s="60" t="str">
        <x:v>South Carolina</x:v>
      </x:c>
      <x:c r="I103" s="60" t="str">
        <x:v>HVAC</x:v>
      </x:c>
      <x:c r="J103" s="60" t="str">
        <x:v>Dave</x:v>
      </x:c>
      <x:c r="K103" s="60" t="str">
        <x:v>Miller</x:v>
      </x:c>
      <x:c r="L103" s="60" t="str">
        <x:v>Owner</x:v>
      </x:c>
      <x:c r="M103" s="60" t="str">
        <x:v>davem@gotosuperior.com</x:v>
      </x:c>
      <x:c r="N103" s="60" t="str">
        <x:v>Verified with BounceBan on 07 Jun 26 18:31</x:v>
      </x:c>
      <x:c r="O103" s="60" t="str">
        <x:v>+1 843 384 0188</x:v>
      </x:c>
      <x:c r="P103" s="60" t="str">
        <x:v>https://www.linkedin.com/in/dave-miller-68437910</x:v>
      </x:c>
      <x:c r="Q103" s="60" t="str">
        <x:v>11-50</x:v>
      </x:c>
      <x:c r="R103" s="60" t="str">
        <x:v>5000000-9999999</x:v>
      </x:c>
      <x:c r="S103" s="60" t="str"/>
      <x:c r="T103" s="74" t="str">
        <x:v>0</x:v>
      </x:c>
      <x:c r="U103" s="60" t="str"/>
      <x:c r="V103" s="74" t="str">
        <x:v>30</x:v>
      </x:c>
      <x:c r="W103" s="74" t="str">
        <x:v>26</x:v>
      </x:c>
      <x:c r="X103" s="74" t="str">
        <x:v>0</x:v>
      </x:c>
      <x:c r="Y103" s="74" t="str">
        <x:v>3</x:v>
      </x:c>
      <x:c r="Z103" s="74" t="str">
        <x:v>10</x:v>
      </x:c>
      <x:c r="AA103" s="74" t="str">
        <x:v>1</x:v>
      </x:c>
      <x:c r="AB103" s="74" t="str">
        <x:v>0</x:v>
      </x:c>
      <x:c r="AC103" s="74" t="str">
        <x:v>1</x:v>
      </x:c>
      <x:c r="AD103" s="74" t="str">
        <x:v>0</x:v>
      </x:c>
      <x:c r="AE103" s="74" t="str">
        <x:v>1</x:v>
      </x:c>
      <x:c r="AF103" s="74" t="str">
        <x:v>podium</x:v>
      </x:c>
      <x:c r="AG103" s="74" t="str">
        <x:v>1</x:v>
      </x:c>
      <x:c r="AH103" s="74" t="str">
        <x:v>0</x:v>
      </x:c>
      <x:c r="AI103" s="74" t="str">
        <x:v>0</x:v>
      </x:c>
      <x:c r="AJ103" s="74" t="str">
        <x:v>0</x:v>
      </x:c>
      <x:c r="AK103" s="74" t="str">
        <x:v>1</x:v>
      </x:c>
      <x:c r="AL103" s="74" t="str">
        <x:v>1</x:v>
      </x:c>
      <x:c r="AM103" s="74" t="str">
        <x:v>1</x:v>
      </x:c>
      <x:c r="AN103" s="74" t="str">
        <x:v>1</x:v>
      </x:c>
      <x:c r="AO103" s="60" t="str">
        <x:v>2026</x:v>
      </x:c>
      <x:c r="AP103" s="76" t="str">
        <x:v>Paid-demand technology detected; creative refresh hypothesis</x:v>
      </x:c>
      <x:c r="AQ103" s="76" t="str">
        <x:v>Meta Pixel; call tracking; visible service offer</x:v>
      </x:c>
      <x:c r="AR103" s="76" t="str">
        <x:v>I was reviewing hvac companies in Bluffton, South Carolina and Superior Services looked like a strong fit for a creative test.</x:v>
      </x:c>
      <x:c r="AS103" s="76" t="str">
        <x:v>no-cool-call to same-day comfort ad</x:v>
      </x:c>
      <x:c r="AT103" s="76" t="str">
        <x:v>Superior Services ad concept</x:v>
      </x:c>
      <x:c r="AU103" s="76" t="str">
        <x:v>Hi Dave — I was reviewing hvac companies in Bluffton, South Carolina and Superior Services looked like a strong fit for a creative test. I mapped a private 15-second no-cool-call to same-day comfort ad for Superior Services using only public brand context—not for publishing, just to show the angle. We build three client-approved video ad concepts in seven days, then turn the winners into fresh variations. No filming day required. Worth sending the private sample?</x:v>
      </x:c>
      <x:c r="AV103" s="76" t="str">
        <x:v>Quick follow-up: the sample angle is a no-cool-call to same-day comfort ad. If it misses the mark, no problem—I won't keep chasing. Should I send it?</x:v>
      </x:c>
      <x:c r="AW103" s="76" t="str">
        <x:v>Hi Dave, Ryan here. I was looking at Superior Services's public marketing and noticed: paid-demand technology detected; creative refresh hypothesis. I mapped one private no-cool-call to same-day comfort ad as an example. Did I catch you with 30 seconds?</x:v>
      </x:c>
      <x:c r="AX103" s="60" t="str">
        <x:v>https://www.facebook.com/ads/library/?active_status=active&amp;ad_type=all&amp;country=US&amp;q=Superior%20Services&amp;search_type=keyword_unordered</x:v>
      </x:c>
      <x:c r="AY103" s="60" t="str">
        <x:v>ok:200</x:v>
      </x:c>
      <x:c r="AZ103" s="60" t="n">
        <x:v>46232.722858796296</x:v>
      </x:c>
      <x:c r="BA103" s="60" t="str">
        <x:v>AI Ark SC trades export</x:v>
      </x:c>
      <x:c r="BB103" s="60" t="str">
        <x:v>https://gotosuperior.com | https://www.linkedin.com/company/superior-heating-air-inc</x:v>
      </x:c>
      <x:c r="BC103" s="60" t="str"/>
    </x:row>
    <x:row r="104" ht="18" customHeight="1">
      <x:c r="A104" s="70" t="str">
        <x:v>103</x:v>
      </x:c>
      <x:c r="B104" s="70" t="str">
        <x:v>B - Strong</x:v>
      </x:c>
      <x:c r="C104" s="72" t="str">
        <x:v>69</x:v>
      </x:c>
      <x:c r="D104" s="60" t="str">
        <x:v>Palmetto Bath</x:v>
      </x:c>
      <x:c r="E104" s="60" t="str">
        <x:v>https://palmettobath.com</x:v>
      </x:c>
      <x:c r="F104" s="60" t="str">
        <x:v>https://www.palmettobath.com/</x:v>
      </x:c>
      <x:c r="G104" s="60" t="str">
        <x:v>Lyman</x:v>
      </x:c>
      <x:c r="H104" s="60" t="str">
        <x:v>South Carolina</x:v>
      </x:c>
      <x:c r="I104" s="60" t="str">
        <x:v>Remodeling</x:v>
      </x:c>
      <x:c r="J104" s="60" t="str">
        <x:v>Conan</x:v>
      </x:c>
      <x:c r="K104" s="60" t="str">
        <x:v>Edwards</x:v>
      </x:c>
      <x:c r="L104" s="60" t="str">
        <x:v>President &amp; Owner</x:v>
      </x:c>
      <x:c r="M104" s="60" t="str"/>
      <x:c r="N104" s="60" t="str"/>
      <x:c r="O104" s="60" t="str">
        <x:v>+1 864 398 2221</x:v>
      </x:c>
      <x:c r="P104" s="60" t="str">
        <x:v>https://www.linkedin.com/in/conan-edwards-956a10a8</x:v>
      </x:c>
      <x:c r="Q104" s="60" t="str">
        <x:v>11-50</x:v>
      </x:c>
      <x:c r="R104" s="60" t="str">
        <x:v>100000-499999</x:v>
      </x:c>
      <x:c r="S104" s="60" t="str"/>
      <x:c r="T104" s="74" t="str">
        <x:v>0</x:v>
      </x:c>
      <x:c r="U104" s="60" t="str"/>
      <x:c r="V104" s="74" t="str">
        <x:v>28</x:v>
      </x:c>
      <x:c r="W104" s="74" t="str">
        <x:v>25</x:v>
      </x:c>
      <x:c r="X104" s="74" t="str">
        <x:v>0</x:v>
      </x:c>
      <x:c r="Y104" s="74" t="str">
        <x:v>11</x:v>
      </x:c>
      <x:c r="Z104" s="74" t="str">
        <x:v>5</x:v>
      </x:c>
      <x:c r="AA104" s="74" t="str">
        <x:v>1</x:v>
      </x:c>
      <x:c r="AB104" s="74" t="str">
        <x:v>1</x:v>
      </x:c>
      <x:c r="AC104" s="74" t="str">
        <x:v>1</x:v>
      </x:c>
      <x:c r="AD104" s="74" t="str">
        <x:v>0</x:v>
      </x:c>
      <x:c r="AE104" s="74" t="str">
        <x:v>0</x:v>
      </x:c>
      <x:c r="AF104" s="74" t="str"/>
      <x:c r="AG104" s="74" t="str">
        <x:v>1</x:v>
      </x:c>
      <x:c r="AH104" s="74" t="str">
        <x:v>1</x:v>
      </x:c>
      <x:c r="AI104" s="74" t="str">
        <x:v>0</x:v>
      </x:c>
      <x:c r="AJ104" s="74" t="str">
        <x:v>1</x:v>
      </x:c>
      <x:c r="AK104" s="74" t="str">
        <x:v>1</x:v>
      </x:c>
      <x:c r="AL104" s="74" t="str">
        <x:v>0</x:v>
      </x:c>
      <x:c r="AM104" s="74" t="str">
        <x:v>1</x:v>
      </x:c>
      <x:c r="AN104" s="74" t="str">
        <x:v>1</x:v>
      </x:c>
      <x:c r="AO104" s="60" t="str">
        <x:v>2026</x:v>
      </x:c>
      <x:c r="AP104" s="76" t="str">
        <x:v>Paid-demand technology detected; creative refresh hypothesis</x:v>
      </x:c>
      <x:c r="AQ104" s="76" t="str">
        <x:v>Meta Pixel; Google Ads tag; project/gallery proof; financing; visible service offer</x:v>
      </x:c>
      <x:c r="AR104" s="76" t="str">
        <x:v>I was reviewing remodeling companies in Lyman, South Carolina and Palmetto Bath looked like a strong fit for a creative test.</x:v>
      </x:c>
      <x:c r="AS104" s="76" t="str">
        <x:v>project reveal with budget-and-timeline proof</x:v>
      </x:c>
      <x:c r="AT104" s="76" t="str">
        <x:v>Palmetto Bath ad concept</x:v>
      </x:c>
      <x:c r="AU104" s="76" t="str">
        <x:v>Hi Conan — I was reviewing remodeling companies in Lyman, South Carolina and Palmetto Bath looked like a strong fit for a creative test. I mapped a private 15-second project reveal with budget-and-timeline proof for Palmetto Bath using only public brand context—not for publishing, just to show the angle. We build three client-approved video ad concepts in seven days, then turn the winners into fresh variations. No filming day required. Worth sending the private sample?</x:v>
      </x:c>
      <x:c r="AV104" s="76" t="str">
        <x:v>Quick follow-up: the sample angle is a project reveal with budget-and-timeline proof. If it misses the mark, no problem—I won't keep chasing. Should I send it?</x:v>
      </x:c>
      <x:c r="AW104" s="76" t="str">
        <x:v>Hi Conan, Ryan here. I was looking at Palmetto Bath's public marketing and noticed: paid-demand technology detected; creative refresh hypothesis. I mapped one private project reveal with budget-and-timeline proof as an example. Did I catch you with 30 seconds?</x:v>
      </x:c>
      <x:c r="AX104" s="60" t="str">
        <x:v>https://www.facebook.com/ads/library/?active_status=active&amp;ad_type=all&amp;country=US&amp;q=Palmetto%20Bath&amp;search_type=keyword_unordered</x:v>
      </x:c>
      <x:c r="AY104" s="60" t="str">
        <x:v>ok:200</x:v>
      </x:c>
      <x:c r="AZ104" s="60" t="n">
        <x:v>46232.722858796296</x:v>
      </x:c>
      <x:c r="BA104" s="60" t="str">
        <x:v>AI Ark SC trades export</x:v>
      </x:c>
      <x:c r="BB104" s="60" t="str">
        <x:v>https://palmettobath.com | https://www.linkedin.com/company/palmetto-bath</x:v>
      </x:c>
      <x:c r="BC104" s="60" t="str"/>
    </x:row>
    <x:row r="105" ht="18" customHeight="1">
      <x:c r="A105" s="70" t="str">
        <x:v>104</x:v>
      </x:c>
      <x:c r="B105" s="70" t="str">
        <x:v>B - Strong</x:v>
      </x:c>
      <x:c r="C105" s="72" t="str">
        <x:v>69</x:v>
      </x:c>
      <x:c r="D105" s="60" t="str">
        <x:v>All American Roofing</x:v>
      </x:c>
      <x:c r="E105" s="60" t="str">
        <x:v>https://allamericanroofingok.com</x:v>
      </x:c>
      <x:c r="F105" s="60" t="str">
        <x:v>https://allamericanroofingok.com</x:v>
      </x:c>
      <x:c r="G105" s="60" t="str">
        <x:v>Columbia</x:v>
      </x:c>
      <x:c r="H105" s="60" t="str">
        <x:v>South Carolina</x:v>
      </x:c>
      <x:c r="I105" s="60" t="str">
        <x:v>Roofing</x:v>
      </x:c>
      <x:c r="J105" s="60" t="str">
        <x:v>Henry</x:v>
      </x:c>
      <x:c r="K105" s="60" t="str">
        <x:v>Taylor</x:v>
      </x:c>
      <x:c r="L105" s="60" t="str">
        <x:v>Company Owner</x:v>
      </x:c>
      <x:c r="M105" s="60" t="str"/>
      <x:c r="N105" s="60" t="str"/>
      <x:c r="O105" s="60" t="str">
        <x:v>+1 803 466 4536</x:v>
      </x:c>
      <x:c r="P105" s="60" t="str">
        <x:v>https://www.linkedin.com/in/henry-taylor-6227a123</x:v>
      </x:c>
      <x:c r="Q105" s="60" t="str">
        <x:v>2-10</x:v>
      </x:c>
      <x:c r="R105" s="60" t="str">
        <x:v>1000000-4999999</x:v>
      </x:c>
      <x:c r="S105" s="60" t="str"/>
      <x:c r="T105" s="74" t="str">
        <x:v>0</x:v>
      </x:c>
      <x:c r="U105" s="60" t="str"/>
      <x:c r="V105" s="74" t="str">
        <x:v>30</x:v>
      </x:c>
      <x:c r="W105" s="74" t="str">
        <x:v>25</x:v>
      </x:c>
      <x:c r="X105" s="74" t="str">
        <x:v>0</x:v>
      </x:c>
      <x:c r="Y105" s="74" t="str">
        <x:v>9</x:v>
      </x:c>
      <x:c r="Z105" s="74" t="str">
        <x:v>5</x:v>
      </x:c>
      <x:c r="AA105" s="74" t="str">
        <x:v>1</x:v>
      </x:c>
      <x:c r="AB105" s="74" t="str">
        <x:v>1</x:v>
      </x:c>
      <x:c r="AC105" s="74" t="str">
        <x:v>1</x:v>
      </x:c>
      <x:c r="AD105" s="74" t="str">
        <x:v>0</x:v>
      </x:c>
      <x:c r="AE105" s="74" t="str">
        <x:v>0</x:v>
      </x:c>
      <x:c r="AF105" s="74" t="str"/>
      <x:c r="AG105" s="74" t="str">
        <x:v>1</x:v>
      </x:c>
      <x:c r="AH105" s="74" t="str">
        <x:v>1</x:v>
      </x:c>
      <x:c r="AI105" s="74" t="str">
        <x:v>1</x:v>
      </x:c>
      <x:c r="AJ105" s="74" t="str">
        <x:v>0</x:v>
      </x:c>
      <x:c r="AK105" s="74" t="str">
        <x:v>0</x:v>
      </x:c>
      <x:c r="AL105" s="74" t="str">
        <x:v>1</x:v>
      </x:c>
      <x:c r="AM105" s="74" t="str">
        <x:v>1</x:v>
      </x:c>
      <x:c r="AN105" s="74" t="str">
        <x:v>1</x:v>
      </x:c>
      <x:c r="AO105" s="60" t="str">
        <x:v>2026</x:v>
      </x:c>
      <x:c r="AP105" s="76" t="str">
        <x:v>Paid-demand technology detected; creative refresh hypothesis</x:v>
      </x:c>
      <x:c r="AQ105" s="76" t="str">
        <x:v>Meta Pixel; Google Ads tag; project/gallery proof; testimonials</x:v>
      </x:c>
      <x:c r="AR105" s="76" t="str">
        <x:v>I was reviewing roofing companies in Columbia, South Carolina and All American Roofing looked like a strong fit for a creative test.</x:v>
      </x:c>
      <x:c r="AS105" s="76" t="str">
        <x:v>storm-to-inspection before/after ad</x:v>
      </x:c>
      <x:c r="AT105" s="76" t="str">
        <x:v>All American Roofing ad concept</x:v>
      </x:c>
      <x:c r="AU105" s="76" t="str">
        <x:v>Hi Henry — I was reviewing roofing companies in Columbia, South Carolina and All American Roofing looked like a strong fit for a creative test. I mapped a private 15-second storm-to-inspection before/after ad for All American Roofing using only public brand context—not for publishing, just to show the angle. We build three client-approved video ad concepts in seven days, then turn the winners into fresh variations. No filming day required. Worth sending the private sample?</x:v>
      </x:c>
      <x:c r="AV105" s="76" t="str">
        <x:v>Quick follow-up: the sample angle is a storm-to-inspection before/after ad. If it misses the mark, no problem—I won't keep chasing. Should I send it?</x:v>
      </x:c>
      <x:c r="AW105" s="76" t="str">
        <x:v>Hi Henry, Ryan here. I was looking at All American Roofing's public marketing and noticed: paid-demand technology detected; creative refresh hypothesis. I mapped one private storm-to-inspection before/after ad as an example. Did I catch you with 30 seconds?</x:v>
      </x:c>
      <x:c r="AX105" s="60" t="str">
        <x:v>https://www.facebook.com/ads/library/?active_status=active&amp;ad_type=all&amp;country=US&amp;q=All%20American%20Roofing&amp;search_type=keyword_unordered</x:v>
      </x:c>
      <x:c r="AY105" s="60" t="str">
        <x:v>ok:200</x:v>
      </x:c>
      <x:c r="AZ105" s="60" t="n">
        <x:v>46232.722858796296</x:v>
      </x:c>
      <x:c r="BA105" s="60" t="str">
        <x:v>AI Ark SC trades export</x:v>
      </x:c>
      <x:c r="BB105" s="60" t="str">
        <x:v>https://allamericanroofingok.com | https://www.linkedin.com/company/all-american-roofing</x:v>
      </x:c>
      <x:c r="BC105" s="60" t="str"/>
    </x:row>
    <x:row r="106" ht="18" customHeight="1">
      <x:c r="A106" s="70" t="str">
        <x:v>105</x:v>
      </x:c>
      <x:c r="B106" s="70" t="str">
        <x:v>B - Strong</x:v>
      </x:c>
      <x:c r="C106" s="72" t="str">
        <x:v>69</x:v>
      </x:c>
      <x:c r="D106" s="60" t="str">
        <x:v>RealClean Aircraft Detailing</x:v>
      </x:c>
      <x:c r="E106" s="60" t="str">
        <x:v>https://realcleanaircraft.com</x:v>
      </x:c>
      <x:c r="F106" s="60" t="str">
        <x:v>https://www.realcleanaircraft.com/</x:v>
      </x:c>
      <x:c r="G106" s="60" t="str">
        <x:v>Charleston</x:v>
      </x:c>
      <x:c r="H106" s="60" t="str">
        <x:v>South Carolina</x:v>
      </x:c>
      <x:c r="I106" s="60" t="str">
        <x:v>Restoration</x:v>
      </x:c>
      <x:c r="J106" s="60" t="str">
        <x:v>Sammy</x:v>
      </x:c>
      <x:c r="K106" s="60" t="str">
        <x:v>Alfrey</x:v>
      </x:c>
      <x:c r="L106" s="60" t="str">
        <x:v>Owner/Operator</x:v>
      </x:c>
      <x:c r="M106" s="60" t="str">
        <x:v>s.alfrey@realcleanaircraft.com</x:v>
      </x:c>
      <x:c r="N106" s="60" t="str">
        <x:v>Verified with BounceBan on 07 Jun 26 01:30</x:v>
      </x:c>
      <x:c r="O106" s="60" t="str">
        <x:v>+1 615 585 5966</x:v>
      </x:c>
      <x:c r="P106" s="60" t="str">
        <x:v>https://www.linkedin.com/in/samuel-alfrey</x:v>
      </x:c>
      <x:c r="Q106" s="60" t="str">
        <x:v>11-50</x:v>
      </x:c>
      <x:c r="R106" s="60" t="str">
        <x:v>500000-999999</x:v>
      </x:c>
      <x:c r="S106" s="60" t="str"/>
      <x:c r="T106" s="74" t="str">
        <x:v>0</x:v>
      </x:c>
      <x:c r="U106" s="60" t="str"/>
      <x:c r="V106" s="74" t="str">
        <x:v>30</x:v>
      </x:c>
      <x:c r="W106" s="74" t="str">
        <x:v>25</x:v>
      </x:c>
      <x:c r="X106" s="74" t="str">
        <x:v>4</x:v>
      </x:c>
      <x:c r="Y106" s="74" t="str">
        <x:v>0</x:v>
      </x:c>
      <x:c r="Z106" s="74" t="str">
        <x:v>10</x:v>
      </x:c>
      <x:c r="AA106" s="74" t="str">
        <x:v>1</x:v>
      </x:c>
      <x:c r="AB106" s="74" t="str">
        <x:v>1</x:v>
      </x:c>
      <x:c r="AC106" s="74" t="str">
        <x:v>1</x:v>
      </x:c>
      <x:c r="AD106" s="74" t="str">
        <x:v>0</x:v>
      </x:c>
      <x:c r="AE106" s="74" t="str">
        <x:v>0</x:v>
      </x:c>
      <x:c r="AF106" s="74" t="str"/>
      <x:c r="AG106" s="74" t="str">
        <x:v>1</x:v>
      </x:c>
      <x:c r="AH106" s="74" t="str">
        <x:v>0</x:v>
      </x:c>
      <x:c r="AI106" s="74" t="str">
        <x:v>0</x:v>
      </x:c>
      <x:c r="AJ106" s="74" t="str">
        <x:v>0</x:v>
      </x:c>
      <x:c r="AK106" s="74" t="str">
        <x:v>0</x:v>
      </x:c>
      <x:c r="AL106" s="74" t="str">
        <x:v>0</x:v>
      </x:c>
      <x:c r="AM106" s="74" t="str">
        <x:v>1</x:v>
      </x:c>
      <x:c r="AN106" s="74" t="str">
        <x:v>0</x:v>
      </x:c>
      <x:c r="AO106" s="60" t="str">
        <x:v>0</x:v>
      </x:c>
      <x:c r="AP106" s="76" t="str">
        <x:v>Paid-demand technology detected; creative refresh hypothesis</x:v>
      </x:c>
      <x:c r="AQ106" s="76" t="str">
        <x:v>Meta Pixel; Google Ads tag</x:v>
      </x:c>
      <x:c r="AR106" s="76" t="str">
        <x:v>I was reviewing restoration companies in Charleston, South Carolina and RealClean Aircraft Detailing looked like a strong fit for a creative test.</x:v>
      </x:c>
      <x:c r="AS106" s="76" t="str">
        <x:v>first-24-hours emergency-response ad</x:v>
      </x:c>
      <x:c r="AT106" s="76" t="str">
        <x:v>RealClean Aircraft Detailing ad concept</x:v>
      </x:c>
      <x:c r="AU106" s="76" t="str">
        <x:v>Hi Sammy — I was reviewing restoration companies in Charleston, South Carolina and RealClean Aircraft Detailing looked like a strong fit for a creative test. I mapped a private 15-second first-24-hours emergency-response ad for RealClean Aircraft Detailing using only public brand context—not for publishing, just to show the angle. We build three client-approved video ad concepts in seven days, then turn the winners into fresh variations. No filming day required. Worth sending the private sample?</x:v>
      </x:c>
      <x:c r="AV106" s="76" t="str">
        <x:v>Quick follow-up: the sample angle is a first-24-hours emergency-response ad. If it misses the mark, no problem—I won't keep chasing. Should I send it?</x:v>
      </x:c>
      <x:c r="AW106" s="76" t="str">
        <x:v>Hi Sammy, Ryan here. I was looking at RealClean Aircraft Detailing's public marketing and noticed: paid-demand technology detected; creative refresh hypothesis. I mapped one private first-24-hours emergency-response ad as an example. Did I catch you with 30 seconds?</x:v>
      </x:c>
      <x:c r="AX106" s="60" t="str">
        <x:v>https://www.facebook.com/ads/library/?active_status=active&amp;ad_type=all&amp;country=US&amp;q=RealClean%20Aircraft%20Detailing&amp;search_type=keyword_unordered</x:v>
      </x:c>
      <x:c r="AY106" s="60" t="str">
        <x:v>ok:200</x:v>
      </x:c>
      <x:c r="AZ106" s="60" t="n">
        <x:v>46232.722858796296</x:v>
      </x:c>
      <x:c r="BA106" s="60" t="str">
        <x:v>AI Ark SC trades export</x:v>
      </x:c>
      <x:c r="BB106" s="60" t="str">
        <x:v>https://realcleanaircraft.com | https://www.linkedin.com/company/realclean-aircraft-detailing</x:v>
      </x:c>
      <x:c r="BC106" s="60" t="str"/>
    </x:row>
    <x:row r="107" ht="18" customHeight="1">
      <x:c r="A107" s="70" t="str">
        <x:v>106</x:v>
      </x:c>
      <x:c r="B107" s="70" t="str">
        <x:v>B - Strong</x:v>
      </x:c>
      <x:c r="C107" s="72" t="str">
        <x:v>69</x:v>
      </x:c>
      <x:c r="D107" s="60" t="str">
        <x:v>dumpster+ of Columbia</x:v>
      </x:c>
      <x:c r="E107" s="60" t="str">
        <x:v>https://dumpster-plus.com</x:v>
      </x:c>
      <x:c r="F107" s="60" t="str">
        <x:v>https://www.dumpster-plus.com/columbia-sc/</x:v>
      </x:c>
      <x:c r="G107" s="60" t="str">
        <x:v>Columbia</x:v>
      </x:c>
      <x:c r="H107" s="60" t="str">
        <x:v>South Carolina</x:v>
      </x:c>
      <x:c r="I107" s="60" t="str">
        <x:v>General Contractor</x:v>
      </x:c>
      <x:c r="J107" s="60" t="str">
        <x:v>Erin H</x:v>
      </x:c>
      <x:c r="K107" s="60" t="str">
        <x:v>Marino</x:v>
      </x:c>
      <x:c r="L107" s="60" t="str">
        <x:v>Business Owner</x:v>
      </x:c>
      <x:c r="M107" s="60" t="str">
        <x:v>emarino@dumpster-plus.com</x:v>
      </x:c>
      <x:c r="N107" s="60" t="str">
        <x:v>Verified with BounceBan on 08 Jun 26 12:06</x:v>
      </x:c>
      <x:c r="O107" s="60" t="str"/>
      <x:c r="P107" s="60" t="str">
        <x:v>https://www.linkedin.com/in/erin-h-marino-5a8840235</x:v>
      </x:c>
      <x:c r="Q107" s="60" t="str">
        <x:v>2-10</x:v>
      </x:c>
      <x:c r="R107" s="60" t="str">
        <x:v>0-99999</x:v>
      </x:c>
      <x:c r="S107" s="60" t="str"/>
      <x:c r="T107" s="74" t="str">
        <x:v>0</x:v>
      </x:c>
      <x:c r="U107" s="60" t="str"/>
      <x:c r="V107" s="74" t="str">
        <x:v>20</x:v>
      </x:c>
      <x:c r="W107" s="74" t="str">
        <x:v>20</x:v>
      </x:c>
      <x:c r="X107" s="74" t="str">
        <x:v>15</x:v>
      </x:c>
      <x:c r="Y107" s="74" t="str">
        <x:v>7</x:v>
      </x:c>
      <x:c r="Z107" s="74" t="str">
        <x:v>7</x:v>
      </x:c>
      <x:c r="AA107" s="74" t="str">
        <x:v>1</x:v>
      </x:c>
      <x:c r="AB107" s="74" t="str">
        <x:v>0</x:v>
      </x:c>
      <x:c r="AC107" s="74" t="str">
        <x:v>1</x:v>
      </x:c>
      <x:c r="AD107" s="74" t="str">
        <x:v>1</x:v>
      </x:c>
      <x:c r="AE107" s="74" t="str">
        <x:v>0</x:v>
      </x:c>
      <x:c r="AF107" s="74" t="str"/>
      <x:c r="AG107" s="74" t="str">
        <x:v>0</x:v>
      </x:c>
      <x:c r="AH107" s="74" t="str">
        <x:v>0</x:v>
      </x:c>
      <x:c r="AI107" s="74" t="str">
        <x:v>1</x:v>
      </x:c>
      <x:c r="AJ107" s="74" t="str">
        <x:v>0</x:v>
      </x:c>
      <x:c r="AK107" s="74" t="str">
        <x:v>1</x:v>
      </x:c>
      <x:c r="AL107" s="74" t="str">
        <x:v>1</x:v>
      </x:c>
      <x:c r="AM107" s="74" t="str">
        <x:v>1</x:v>
      </x:c>
      <x:c r="AN107" s="74" t="str">
        <x:v>0</x:v>
      </x:c>
      <x:c r="AO107" s="60" t="str">
        <x:v>2022</x:v>
      </x:c>
      <x:c r="AP107" s="76" t="str">
        <x:v>Meta tracking detected; no embedded homepage video found</x:v>
      </x:c>
      <x:c r="AQ107" s="76" t="str">
        <x:v>Meta Pixel; TikTok Pixel; testimonials; visible service offer; no embedded homepage video detected</x:v>
      </x:c>
      <x:c r="AR107" s="76" t="str">
        <x:v>I noticed dumpster+ of Columbia's site has Meta tracking installed, but I couldn't find an embedded video on the homepage.</x:v>
      </x:c>
      <x:c r="AS107" s="76" t="str">
        <x:v>project walkthrough with proof milestones</x:v>
      </x:c>
      <x:c r="AT107" s="76" t="str">
        <x:v>dumpster+ of Columbia ad concept</x:v>
      </x:c>
      <x:c r="AU107" s="76" t="str">
        <x:v>Hi Erin H — I noticed dumpster+ of Columbia's site has Meta tracking installed, but I couldn't find an embedded video on the homepage. I mapped a private 15-second project walkthrough with proof milestones for dumpster+ of Columbia using only public brand context—not for publishing, just to show the angle. We build three client-approved video ad concepts in seven days, then turn the winners into fresh variations. No filming day required. Worth sending the private sample?</x:v>
      </x:c>
      <x:c r="AV107" s="76" t="str">
        <x:v>Quick follow-up: the sample angle is a project walkthrough with proof milestones. If it misses the mark, no problem—I won't keep chasing. Should I send it?</x:v>
      </x:c>
      <x:c r="AW107" s="76" t="str">
        <x:v>Hi Erin H, Ryan here. I was looking at dumpster+ of Columbia's public marketing and noticed: meta tracking detected; no embedded homepage video found. I mapped one private project walkthrough with proof milestones as an example. Did I catch you with 30 seconds?</x:v>
      </x:c>
      <x:c r="AX107" s="60" t="str">
        <x:v>https://www.facebook.com/ads/library/?active_status=active&amp;ad_type=all&amp;country=US&amp;q=dumpster%2B%20of%20Columbia&amp;search_type=keyword_unordered</x:v>
      </x:c>
      <x:c r="AY107" s="60" t="str">
        <x:v>ok:200</x:v>
      </x:c>
      <x:c r="AZ107" s="60" t="n">
        <x:v>46232.722858796296</x:v>
      </x:c>
      <x:c r="BA107" s="60" t="str">
        <x:v>AI Ark SC trades export</x:v>
      </x:c>
      <x:c r="BB107" s="60" t="str">
        <x:v>https://dumpster-plus.com | https://www.linkedin.com/company/dumpster-of-columbia</x:v>
      </x:c>
      <x:c r="BC107" s="60" t="str"/>
    </x:row>
    <x:row r="108" ht="18" customHeight="1">
      <x:c r="A108" s="70" t="str">
        <x:v>107</x:v>
      </x:c>
      <x:c r="B108" s="70" t="str">
        <x:v>B - Strong</x:v>
      </x:c>
      <x:c r="C108" s="72" t="str">
        <x:v>69</x:v>
      </x:c>
      <x:c r="D108" s="60" t="str">
        <x:v>Hayes Roofing LLC</x:v>
      </x:c>
      <x:c r="E108" s="60" t="str">
        <x:v>https://hayesroofingsc.com</x:v>
      </x:c>
      <x:c r="F108" s="60" t="str">
        <x:v>https://hayesroofingsc.com</x:v>
      </x:c>
      <x:c r="G108" s="60" t="str">
        <x:v>Spartanburg</x:v>
      </x:c>
      <x:c r="H108" s="60" t="str">
        <x:v>South Carolina</x:v>
      </x:c>
      <x:c r="I108" s="60" t="str">
        <x:v>Roofing</x:v>
      </x:c>
      <x:c r="J108" s="60" t="str">
        <x:v>Hayes Roofing LLC</x:v>
      </x:c>
      <x:c r="K108" s="60" t="str"/>
      <x:c r="L108" s="60" t="str">
        <x:v>Owner / decision maker to verify</x:v>
      </x:c>
      <x:c r="M108" s="60" t="str"/>
      <x:c r="N108" s="60" t="str"/>
      <x:c r="O108" s="60" t="str">
        <x:v>(864) 586-3338</x:v>
      </x:c>
      <x:c r="P108" s="60" t="str"/>
      <x:c r="Q108" s="60" t="str"/>
      <x:c r="R108" s="60" t="str"/>
      <x:c r="S108" s="60" t="str">
        <x:v>4.8</x:v>
      </x:c>
      <x:c r="T108" s="74" t="str">
        <x:v>324</x:v>
      </x:c>
      <x:c r="U108" s="60" t="str"/>
      <x:c r="V108" s="74" t="str">
        <x:v>30</x:v>
      </x:c>
      <x:c r="W108" s="74" t="str">
        <x:v>15</x:v>
      </x:c>
      <x:c r="X108" s="74" t="str">
        <x:v>4</x:v>
      </x:c>
      <x:c r="Y108" s="74" t="str">
        <x:v>15</x:v>
      </x:c>
      <x:c r="Z108" s="74" t="str">
        <x:v>5</x:v>
      </x:c>
      <x:c r="AA108" s="74" t="str">
        <x:v>1</x:v>
      </x:c>
      <x:c r="AB108" s="74" t="str">
        <x:v>0</x:v>
      </x:c>
      <x:c r="AC108" s="74" t="str">
        <x:v>1</x:v>
      </x:c>
      <x:c r="AD108" s="74" t="str">
        <x:v>0</x:v>
      </x:c>
      <x:c r="AE108" s="74" t="str">
        <x:v>0</x:v>
      </x:c>
      <x:c r="AF108" s="74" t="str"/>
      <x:c r="AG108" s="74" t="str">
        <x:v>1</x:v>
      </x:c>
      <x:c r="AH108" s="74" t="str">
        <x:v>1</x:v>
      </x:c>
      <x:c r="AI108" s="74" t="str">
        <x:v>1</x:v>
      </x:c>
      <x:c r="AJ108" s="74" t="str">
        <x:v>1</x:v>
      </x:c>
      <x:c r="AK108" s="74" t="str">
        <x:v>1</x:v>
      </x:c>
      <x:c r="AL108" s="74" t="str">
        <x:v>0</x:v>
      </x:c>
      <x:c r="AM108" s="74" t="str">
        <x:v>1</x:v>
      </x:c>
      <x:c r="AN108" s="74" t="str">
        <x:v>0</x:v>
      </x:c>
      <x:c r="AO108" s="60" t="str">
        <x:v>2026</x:v>
      </x:c>
      <x:c r="AP108" s="76" t="str">
        <x:v>Paid-demand technology detected; creative refresh hypothesis</x:v>
      </x:c>
      <x:c r="AQ108" s="76" t="str">
        <x:v>Meta Pixel; project/gallery proof; testimonials; financing; visible service offer</x:v>
      </x:c>
      <x:c r="AR108" s="76" t="str">
        <x:v>I was reviewing roofing companies in Spartanburg, South Carolina and Hayes Roofing LLC looked like a strong fit for a creative test.</x:v>
      </x:c>
      <x:c r="AS108" s="76" t="str">
        <x:v>storm-to-inspection before/after ad</x:v>
      </x:c>
      <x:c r="AT108" s="76" t="str">
        <x:v>Hayes Roofing LLC ad concept</x:v>
      </x:c>
      <x:c r="AU108" s="76" t="str">
        <x:v>Hi Hayes Roofing LLC — I was reviewing roofing companies in Spartanburg, South Carolina and Hayes Roofing LLC looked like a strong fit for a creative test. I mapped a private 15-second storm-to-inspection before/after ad for Hayes Roofing LLC using only public brand context—not for publishing, just to show the angle. We build three client-approved video ad concepts in seven days, then turn the winners into fresh variations. No filming day required. Worth sending the private sample?</x:v>
      </x:c>
      <x:c r="AV108" s="76" t="str">
        <x:v>Quick follow-up: the sample angle is a storm-to-inspection before/after ad. If it misses the mark, no problem—I won't keep chasing. Should I send it?</x:v>
      </x:c>
      <x:c r="AW108" s="76" t="str">
        <x:v>Hi Hayes Roofing LLC, Ryan here. I was looking at Hayes Roofing LLC's public marketing and noticed: paid-demand technology detected; creative refresh hypothesis. I mapped one private storm-to-inspection before/after ad as an example. Did I catch you with 30 seconds?</x:v>
      </x:c>
      <x:c r="AX108" s="60" t="str">
        <x:v>https://www.facebook.com/ads/library/?active_status=active&amp;ad_type=all&amp;country=US&amp;q=Hayes%20Roofing%20LLC&amp;search_type=keyword_unordered</x:v>
      </x:c>
      <x:c r="AY108" s="60" t="str">
        <x:v>ok:200</x:v>
      </x:c>
      <x:c r="AZ108" s="60" t="n">
        <x:v>46232.722858796296</x:v>
      </x:c>
      <x:c r="BA108" s="60" t="str">
        <x:v>Google Maps home-services export</x:v>
      </x:c>
      <x:c r="BB108" s="60" t="str">
        <x:v>https://hayesroofingsc.com | https://maps.google.com/?cid=17436455987761567515&amp;g_mp=Cidnb29nbGUubWFwcy5wbGFjZXMudjEuUGxhY2VzLlNlYXJjaFRleHQQAhgEIAA</x:v>
      </x:c>
      <x:c r="BC108" s="60" t="str"/>
    </x:row>
    <x:row r="109" ht="18" customHeight="1">
      <x:c r="A109" s="70" t="str">
        <x:v>108</x:v>
      </x:c>
      <x:c r="B109" s="70" t="str">
        <x:v>B - Strong</x:v>
      </x:c>
      <x:c r="C109" s="72" t="str">
        <x:v>69</x:v>
      </x:c>
      <x:c r="D109" s="60" t="str">
        <x:v>Luna Roofing LLC</x:v>
      </x:c>
      <x:c r="E109" s="60" t="str">
        <x:v>https://lunaroofingsc.com</x:v>
      </x:c>
      <x:c r="F109" s="60" t="str">
        <x:v>https://lunaroofingsc.com</x:v>
      </x:c>
      <x:c r="G109" s="60" t="str">
        <x:v>Hilton Head</x:v>
      </x:c>
      <x:c r="H109" s="60" t="str">
        <x:v>South Carolina</x:v>
      </x:c>
      <x:c r="I109" s="60" t="str">
        <x:v>Roofing</x:v>
      </x:c>
      <x:c r="J109" s="60" t="str">
        <x:v>Luna Roofing LLC</x:v>
      </x:c>
      <x:c r="K109" s="60" t="str"/>
      <x:c r="L109" s="60" t="str">
        <x:v>Owner / decision maker to verify</x:v>
      </x:c>
      <x:c r="M109" s="60" t="str"/>
      <x:c r="N109" s="60" t="str"/>
      <x:c r="O109" s="60" t="str">
        <x:v>(843) 689-9099</x:v>
      </x:c>
      <x:c r="P109" s="60" t="str"/>
      <x:c r="Q109" s="60" t="str"/>
      <x:c r="R109" s="60" t="str"/>
      <x:c r="S109" s="60" t="str">
        <x:v>4.1</x:v>
      </x:c>
      <x:c r="T109" s="74" t="str">
        <x:v>24</x:v>
      </x:c>
      <x:c r="U109" s="60" t="str"/>
      <x:c r="V109" s="74" t="str">
        <x:v>25</x:v>
      </x:c>
      <x:c r="W109" s="74" t="str">
        <x:v>15</x:v>
      </x:c>
      <x:c r="X109" s="74" t="str">
        <x:v>16</x:v>
      </x:c>
      <x:c r="Y109" s="74" t="str">
        <x:v>8</x:v>
      </x:c>
      <x:c r="Z109" s="74" t="str">
        <x:v>5</x:v>
      </x:c>
      <x:c r="AA109" s="74" t="str">
        <x:v>1</x:v>
      </x:c>
      <x:c r="AB109" s="74" t="str">
        <x:v>0</x:v>
      </x:c>
      <x:c r="AC109" s="74" t="str">
        <x:v>1</x:v>
      </x:c>
      <x:c r="AD109" s="74" t="str">
        <x:v>0</x:v>
      </x:c>
      <x:c r="AE109" s="74" t="str">
        <x:v>0</x:v>
      </x:c>
      <x:c r="AF109" s="74" t="str"/>
      <x:c r="AG109" s="74" t="str">
        <x:v>0</x:v>
      </x:c>
      <x:c r="AH109" s="74" t="str">
        <x:v>1</x:v>
      </x:c>
      <x:c r="AI109" s="74" t="str">
        <x:v>0</x:v>
      </x:c>
      <x:c r="AJ109" s="74" t="str">
        <x:v>0</x:v>
      </x:c>
      <x:c r="AK109" s="74" t="str">
        <x:v>1</x:v>
      </x:c>
      <x:c r="AL109" s="74" t="str">
        <x:v>0</x:v>
      </x:c>
      <x:c r="AM109" s="74" t="str">
        <x:v>1</x:v>
      </x:c>
      <x:c r="AN109" s="74" t="str">
        <x:v>0</x:v>
      </x:c>
      <x:c r="AO109" s="60" t="str">
        <x:v>2026</x:v>
      </x:c>
      <x:c r="AP109" s="76" t="str">
        <x:v>Meta tracking detected; no embedded homepage video found</x:v>
      </x:c>
      <x:c r="AQ109" s="76" t="str">
        <x:v>Meta Pixel; project/gallery proof; visible service offer; no embedded homepage video detected</x:v>
      </x:c>
      <x:c r="AR109" s="76" t="str">
        <x:v>I noticed Luna Roofing LLC's site has Meta tracking installed, but I couldn't find an embedded video on the homepage.</x:v>
      </x:c>
      <x:c r="AS109" s="76" t="str">
        <x:v>storm-to-inspection before/after ad</x:v>
      </x:c>
      <x:c r="AT109" s="76" t="str">
        <x:v>Luna Roofing LLC ad concept</x:v>
      </x:c>
      <x:c r="AU109" s="76" t="str">
        <x:v>Hi Luna Roofing LLC — I noticed Luna Roofing LLC's site has Meta tracking installed, but I couldn't find an embedded video on the homepage. I mapped a private 15-second storm-to-inspection before/after ad for Luna Roofing LLC using only public brand context—not for publishing, just to show the angle. We build three client-approved video ad concepts in seven days, then turn the winners into fresh variations. No filming day required. Worth sending the private sample?</x:v>
      </x:c>
      <x:c r="AV109" s="76" t="str">
        <x:v>Quick follow-up: the sample angle is a storm-to-inspection before/after ad. If it misses the mark, no problem—I won't keep chasing. Should I send it?</x:v>
      </x:c>
      <x:c r="AW109" s="76" t="str">
        <x:v>Hi Luna Roofing LLC, Ryan here. I was looking at Luna Roofing LLC's public marketing and noticed: meta tracking detected; no embedded homepage video found. I mapped one private storm-to-inspection before/after ad as an example. Did I catch you with 30 seconds?</x:v>
      </x:c>
      <x:c r="AX109" s="60" t="str">
        <x:v>https://www.facebook.com/ads/library/?active_status=active&amp;ad_type=all&amp;country=US&amp;q=Luna%20Roofing%20LLC&amp;search_type=keyword_unordered</x:v>
      </x:c>
      <x:c r="AY109" s="60" t="str">
        <x:v>ok:200</x:v>
      </x:c>
      <x:c r="AZ109" s="60" t="n">
        <x:v>46232.722858796296</x:v>
      </x:c>
      <x:c r="BA109" s="60" t="str">
        <x:v>Google Maps home-services export</x:v>
      </x:c>
      <x:c r="BB109" s="60" t="str">
        <x:v>https://lunaroofingsc.com | https://maps.google.com/?cid=10840296475832182570&amp;g_mp=Cidnb29nbGUubWFwcy5wbGFjZXMudjEuUGxhY2VzLlNlYXJjaFRleHQQAhgEIAA</x:v>
      </x:c>
      <x:c r="BC109" s="60" t="str"/>
    </x:row>
    <x:row r="110" ht="18" customHeight="1">
      <x:c r="A110" s="70" t="str">
        <x:v>109</x:v>
      </x:c>
      <x:c r="B110" s="70" t="str">
        <x:v>B - Strong</x:v>
      </x:c>
      <x:c r="C110" s="72" t="str">
        <x:v>69</x:v>
      </x:c>
      <x:c r="D110" s="60" t="str">
        <x:v>Integrity Garage Door Repair LLC</x:v>
      </x:c>
      <x:c r="E110" s="60" t="str">
        <x:v>https://integritygaragedoorsrepair.net</x:v>
      </x:c>
      <x:c r="F110" s="60" t="str">
        <x:v>https://integritygaragedoorsrepair.net</x:v>
      </x:c>
      <x:c r="G110" s="60" t="str">
        <x:v>Charleston</x:v>
      </x:c>
      <x:c r="H110" s="60" t="str">
        <x:v>South Carolina</x:v>
      </x:c>
      <x:c r="I110" s="60" t="str">
        <x:v>Garage Doors</x:v>
      </x:c>
      <x:c r="J110" s="60" t="str">
        <x:v>Integrity Garage Door Repair LLC</x:v>
      </x:c>
      <x:c r="K110" s="60" t="str"/>
      <x:c r="L110" s="60" t="str">
        <x:v>Owner / decision maker to verify</x:v>
      </x:c>
      <x:c r="M110" s="60" t="str"/>
      <x:c r="N110" s="60" t="str"/>
      <x:c r="O110" s="60" t="str">
        <x:v>(843) 396-5070</x:v>
      </x:c>
      <x:c r="P110" s="60" t="str"/>
      <x:c r="Q110" s="60" t="str"/>
      <x:c r="R110" s="60" t="str"/>
      <x:c r="S110" s="60" t="str">
        <x:v>5</x:v>
      </x:c>
      <x:c r="T110" s="74" t="str">
        <x:v>18</x:v>
      </x:c>
      <x:c r="U110" s="60" t="str"/>
      <x:c r="V110" s="74" t="str">
        <x:v>20</x:v>
      </x:c>
      <x:c r="W110" s="74" t="str">
        <x:v>13</x:v>
      </x:c>
      <x:c r="X110" s="74" t="str">
        <x:v>19</x:v>
      </x:c>
      <x:c r="Y110" s="74" t="str">
        <x:v>12</x:v>
      </x:c>
      <x:c r="Z110" s="74" t="str">
        <x:v>5</x:v>
      </x:c>
      <x:c r="AA110" s="74" t="str">
        <x:v>0</x:v>
      </x:c>
      <x:c r="AB110" s="74" t="str">
        <x:v>1</x:v>
      </x:c>
      <x:c r="AC110" s="74" t="str">
        <x:v>1</x:v>
      </x:c>
      <x:c r="AD110" s="74" t="str">
        <x:v>0</x:v>
      </x:c>
      <x:c r="AE110" s="74" t="str">
        <x:v>0</x:v>
      </x:c>
      <x:c r="AF110" s="74" t="str"/>
      <x:c r="AG110" s="74" t="str">
        <x:v>0</x:v>
      </x:c>
      <x:c r="AH110" s="74" t="str">
        <x:v>1</x:v>
      </x:c>
      <x:c r="AI110" s="74" t="str">
        <x:v>1</x:v>
      </x:c>
      <x:c r="AJ110" s="74" t="str">
        <x:v>0</x:v>
      </x:c>
      <x:c r="AK110" s="74" t="str">
        <x:v>1</x:v>
      </x:c>
      <x:c r="AL110" s="74" t="str">
        <x:v>0</x:v>
      </x:c>
      <x:c r="AM110" s="74" t="str">
        <x:v>1</x:v>
      </x:c>
      <x:c r="AN110" s="74" t="str">
        <x:v>0</x:v>
      </x:c>
      <x:c r="AO110" s="60" t="str">
        <x:v>2024</x:v>
      </x:c>
      <x:c r="AP110" s="76" t="str">
        <x:v>Google Ads tag detected; no embedded homepage video found</x:v>
      </x:c>
      <x:c r="AQ110" s="76" t="str">
        <x:v>Google Ads tag; project/gallery proof; testimonials; visible service offer; no embedded homepage video detected</x:v>
      </x:c>
      <x:c r="AR110" s="76" t="str">
        <x:v>I noticed Integrity Garage Door Repair LLC's site has a Google Ads tag installed, but I couldn't find an embedded video on the homepage.</x:v>
      </x:c>
      <x:c r="AS110" s="76" t="str">
        <x:v>curb-appeal transformation ad</x:v>
      </x:c>
      <x:c r="AT110" s="76" t="str">
        <x:v>Integrity Garage Door Repair LLC ad concept</x:v>
      </x:c>
      <x:c r="AU110" s="76" t="str">
        <x:v>Hi Integrity Garage Door Repair LLC — I noticed Integrity Garage Door Repair LLC's site has a Google Ads tag installed, but I couldn't find an embedded video on the homepage. I mapped a private 15-second curb-appeal transformation ad for Integrity Garage Door Repair LLC using only public brand context—not for publishing, just to show the angle. We build three client-approved video ad concepts in seven days, then turn the winners into fresh variations. No filming day required. Worth sending the private sample?</x:v>
      </x:c>
      <x:c r="AV110" s="76" t="str">
        <x:v>Quick follow-up: the sample angle is a curb-appeal transformation ad. If it misses the mark, no problem—I won't keep chasing. Should I send it?</x:v>
      </x:c>
      <x:c r="AW110" s="76" t="str">
        <x:v>Hi Integrity Garage Door Repair LLC, Ryan here. I was looking at Integrity Garage Door Repair LLC's public marketing and noticed: google ads tag detected; no embedded homepage video found. I mapped one private curb-appeal transformation ad as an example. Did I catch you with 30 seconds?</x:v>
      </x:c>
      <x:c r="AX110" s="60" t="str">
        <x:v>https://www.facebook.com/ads/library/?active_status=active&amp;ad_type=all&amp;country=US&amp;q=Integrity%20Garage%20Door%20Repair%20LLC&amp;search_type=keyword_unordered</x:v>
      </x:c>
      <x:c r="AY110" s="60" t="str">
        <x:v>ok:200</x:v>
      </x:c>
      <x:c r="AZ110" s="60" t="n">
        <x:v>46232.722858796296</x:v>
      </x:c>
      <x:c r="BA110" s="60" t="str">
        <x:v>Google Maps home-services export</x:v>
      </x:c>
      <x:c r="BB110" s="60" t="str">
        <x:v>https://integritygaragedoorsrepair.net | https://maps.google.com/?cid=1770174674432051253&amp;g_mp=Cidnb29nbGUubWFwcy5wbGFjZXMudjEuUGxhY2VzLlNlYXJjaFRleHQQAhgEIAA</x:v>
      </x:c>
      <x:c r="BC110" s="60" t="str"/>
    </x:row>
    <x:row r="111" ht="18" customHeight="1">
      <x:c r="A111" s="70" t="str">
        <x:v>110</x:v>
      </x:c>
      <x:c r="B111" s="70" t="str">
        <x:v>B - Strong</x:v>
      </x:c>
      <x:c r="C111" s="72" t="str">
        <x:v>69</x:v>
      </x:c>
      <x:c r="D111" s="60" t="str">
        <x:v>Ryan Plumbing, Heating and Fire Protection</x:v>
      </x:c>
      <x:c r="E111" s="60" t="str">
        <x:v>https://ryanservice.com</x:v>
      </x:c>
      <x:c r="F111" s="60" t="str">
        <x:v>https://www.ryanservice.com/</x:v>
      </x:c>
      <x:c r="G111" s="60" t="str">
        <x:v>Hilton Head Island</x:v>
      </x:c>
      <x:c r="H111" s="60" t="str">
        <x:v>South Carolina</x:v>
      </x:c>
      <x:c r="I111" s="60" t="str">
        <x:v>HVAC</x:v>
      </x:c>
      <x:c r="J111" s="60" t="str">
        <x:v>Robert</x:v>
      </x:c>
      <x:c r="K111" s="60" t="str">
        <x:v>Ryan</x:v>
      </x:c>
      <x:c r="L111" s="60" t="str">
        <x:v>Company Owner</x:v>
      </x:c>
      <x:c r="M111" s="60" t="str"/>
      <x:c r="N111" s="60" t="str"/>
      <x:c r="O111" s="60" t="str"/>
      <x:c r="P111" s="60" t="str">
        <x:v>https://www.linkedin.com/in/robert-ryan-194b26288</x:v>
      </x:c>
      <x:c r="Q111" s="60" t="str">
        <x:v>51-200</x:v>
      </x:c>
      <x:c r="R111" s="60" t="str">
        <x:v>1000000-4999999</x:v>
      </x:c>
      <x:c r="S111" s="60" t="str"/>
      <x:c r="T111" s="74" t="str">
        <x:v>0</x:v>
      </x:c>
      <x:c r="U111" s="60" t="str"/>
      <x:c r="V111" s="74" t="str">
        <x:v>30</x:v>
      </x:c>
      <x:c r="W111" s="74" t="str">
        <x:v>13</x:v>
      </x:c>
      <x:c r="X111" s="74" t="str">
        <x:v>12</x:v>
      </x:c>
      <x:c r="Y111" s="74" t="str">
        <x:v>12</x:v>
      </x:c>
      <x:c r="Z111" s="74" t="str">
        <x:v>2</x:v>
      </x:c>
      <x:c r="AA111" s="74" t="str">
        <x:v>0</x:v>
      </x:c>
      <x:c r="AB111" s="74" t="str">
        <x:v>1</x:v>
      </x:c>
      <x:c r="AC111" s="74" t="str">
        <x:v>1</x:v>
      </x:c>
      <x:c r="AD111" s="74" t="str">
        <x:v>0</x:v>
      </x:c>
      <x:c r="AE111" s="74" t="str">
        <x:v>0</x:v>
      </x:c>
      <x:c r="AF111" s="74" t="str"/>
      <x:c r="AG111" s="74" t="str">
        <x:v>0</x:v>
      </x:c>
      <x:c r="AH111" s="74" t="str">
        <x:v>1</x:v>
      </x:c>
      <x:c r="AI111" s="74" t="str">
        <x:v>1</x:v>
      </x:c>
      <x:c r="AJ111" s="74" t="str">
        <x:v>0</x:v>
      </x:c>
      <x:c r="AK111" s="74" t="str">
        <x:v>1</x:v>
      </x:c>
      <x:c r="AL111" s="74" t="str">
        <x:v>1</x:v>
      </x:c>
      <x:c r="AM111" s="74" t="str">
        <x:v>1</x:v>
      </x:c>
      <x:c r="AN111" s="74" t="str">
        <x:v>0</x:v>
      </x:c>
      <x:c r="AO111" s="60" t="str">
        <x:v>0</x:v>
      </x:c>
      <x:c r="AP111" s="76" t="str">
        <x:v>Google Ads tag detected; no embedded homepage video found</x:v>
      </x:c>
      <x:c r="AQ111" s="76" t="str">
        <x:v>Google Ads tag; project/gallery proof; testimonials; visible service offer; no embedded homepage video detected</x:v>
      </x:c>
      <x:c r="AR111" s="76" t="str">
        <x:v>I noticed Ryan Plumbing, Heating and Fire Protection's site has a Google Ads tag installed, but I couldn't find an embedded video on the homepage.</x:v>
      </x:c>
      <x:c r="AS111" s="76" t="str">
        <x:v>no-cool-call to same-day comfort ad</x:v>
      </x:c>
      <x:c r="AT111" s="76" t="str">
        <x:v>Ryan Plumbing, Heating and Fire Protection ad concept</x:v>
      </x:c>
      <x:c r="AU111" s="76" t="str">
        <x:v>Hi Robert — I noticed Ryan Plumbing, Heating and Fire Protection's site has a Google Ads tag installed, but I couldn't find an embedded video on the homepage. I mapped a private 15-second no-cool-call to same-day comfort ad for Ryan Plumbing, Heating and Fire Protection using only public brand context—not for publishing, just to show the angle. We build three client-approved video ad concepts in seven days, then turn the winners into fresh variations. No filming day required. Worth sending the private sample?</x:v>
      </x:c>
      <x:c r="AV111" s="76" t="str">
        <x:v>Quick follow-up: the sample angle is a no-cool-call to same-day comfort ad. If it misses the mark, no problem—I won't keep chasing. Should I send it?</x:v>
      </x:c>
      <x:c r="AW111" s="76" t="str">
        <x:v>Hi Robert, Ryan here. I was looking at Ryan Plumbing, Heating and Fire Protection's public marketing and noticed: google ads tag detected; no embedded homepage video found. I mapped one private no-cool-call to same-day comfort ad as an example. Did I catch you with 30 seconds?</x:v>
      </x:c>
      <x:c r="AX111" s="60" t="str">
        <x:v>https://www.facebook.com/ads/library/?active_status=active&amp;ad_type=all&amp;country=US&amp;q=Ryan%20Plumbing%2C%20Heating%20and%20Fire%20Protection&amp;search_type=keyword_unordered</x:v>
      </x:c>
      <x:c r="AY111" s="60" t="str">
        <x:v>ok:200</x:v>
      </x:c>
      <x:c r="AZ111" s="60" t="n">
        <x:v>46232.722858796296</x:v>
      </x:c>
      <x:c r="BA111" s="60" t="str">
        <x:v>AI Ark SC trades export</x:v>
      </x:c>
      <x:c r="BB111" s="60" t="str">
        <x:v>https://ryanservice.com | https://www.linkedin.com/company/ryan-plumbing-heating-air-conditioning-fire-protection-llc</x:v>
      </x:c>
      <x:c r="BC111" s="60" t="str"/>
    </x:row>
    <x:row r="112" ht="18" customHeight="1">
      <x:c r="A112" s="70" t="str">
        <x:v>111</x:v>
      </x:c>
      <x:c r="B112" s="70" t="str">
        <x:v>B - Strong</x:v>
      </x:c>
      <x:c r="C112" s="72" t="str">
        <x:v>69</x:v>
      </x:c>
      <x:c r="D112" s="60" t="str">
        <x:v>Lakeside Landscaping</x:v>
      </x:c>
      <x:c r="E112" s="60" t="str">
        <x:v>https://lakesidelandscaping.ca</x:v>
      </x:c>
      <x:c r="F112" s="60" t="str">
        <x:v>https://lakesidelandscaping.ca/homepage/</x:v>
      </x:c>
      <x:c r="G112" s="60" t="str">
        <x:v>Westminster</x:v>
      </x:c>
      <x:c r="H112" s="60" t="str">
        <x:v>South Carolina</x:v>
      </x:c>
      <x:c r="I112" s="60" t="str">
        <x:v>Restoration</x:v>
      </x:c>
      <x:c r="J112" s="60" t="str">
        <x:v>Tim</x:v>
      </x:c>
      <x:c r="K112" s="60" t="str">
        <x:v>Ramsey</x:v>
      </x:c>
      <x:c r="L112" s="60" t="str">
        <x:v>Independent Business Owner</x:v>
      </x:c>
      <x:c r="M112" s="60" t="str"/>
      <x:c r="N112" s="60" t="str"/>
      <x:c r="O112" s="60" t="str">
        <x:v>+1 864 247 4232</x:v>
      </x:c>
      <x:c r="P112" s="60" t="str">
        <x:v>https://www.linkedin.com/in/tim-ramsey-1b878a129</x:v>
      </x:c>
      <x:c r="Q112" s="60" t="str">
        <x:v>2-10</x:v>
      </x:c>
      <x:c r="R112" s="60" t="str">
        <x:v>1000000-4999999</x:v>
      </x:c>
      <x:c r="S112" s="60" t="str"/>
      <x:c r="T112" s="74" t="str">
        <x:v>0</x:v>
      </x:c>
      <x:c r="U112" s="60" t="str"/>
      <x:c r="V112" s="74" t="str">
        <x:v>30</x:v>
      </x:c>
      <x:c r="W112" s="74" t="str">
        <x:v>13</x:v>
      </x:c>
      <x:c r="X112" s="74" t="str">
        <x:v>16</x:v>
      </x:c>
      <x:c r="Y112" s="74" t="str">
        <x:v>5</x:v>
      </x:c>
      <x:c r="Z112" s="74" t="str">
        <x:v>5</x:v>
      </x:c>
      <x:c r="AA112" s="74" t="str">
        <x:v>0</x:v>
      </x:c>
      <x:c r="AB112" s="74" t="str">
        <x:v>1</x:v>
      </x:c>
      <x:c r="AC112" s="74" t="str">
        <x:v>1</x:v>
      </x:c>
      <x:c r="AD112" s="74" t="str">
        <x:v>0</x:v>
      </x:c>
      <x:c r="AE112" s="74" t="str">
        <x:v>0</x:v>
      </x:c>
      <x:c r="AF112" s="74" t="str"/>
      <x:c r="AG112" s="74" t="str">
        <x:v>0</x:v>
      </x:c>
      <x:c r="AH112" s="74" t="str">
        <x:v>1</x:v>
      </x:c>
      <x:c r="AI112" s="74" t="str">
        <x:v>0</x:v>
      </x:c>
      <x:c r="AJ112" s="74" t="str">
        <x:v>0</x:v>
      </x:c>
      <x:c r="AK112" s="74" t="str">
        <x:v>0</x:v>
      </x:c>
      <x:c r="AL112" s="74" t="str">
        <x:v>0</x:v>
      </x:c>
      <x:c r="AM112" s="74" t="str">
        <x:v>0</x:v>
      </x:c>
      <x:c r="AN112" s="74" t="str">
        <x:v>0</x:v>
      </x:c>
      <x:c r="AO112" s="60" t="str">
        <x:v>2025</x:v>
      </x:c>
      <x:c r="AP112" s="76" t="str">
        <x:v>Google Ads tag detected; no embedded homepage video found</x:v>
      </x:c>
      <x:c r="AQ112" s="76" t="str">
        <x:v>Google Ads tag; project/gallery proof; no embedded homepage video detected</x:v>
      </x:c>
      <x:c r="AR112" s="76" t="str">
        <x:v>I noticed Lakeside Landscaping's site has a Google Ads tag installed, but I couldn't find an embedded video on the homepage.</x:v>
      </x:c>
      <x:c r="AS112" s="76" t="str">
        <x:v>first-24-hours emergency-response ad</x:v>
      </x:c>
      <x:c r="AT112" s="76" t="str">
        <x:v>Lakeside Landscaping ad concept</x:v>
      </x:c>
      <x:c r="AU112" s="76" t="str">
        <x:v>Hi Tim — I noticed Lakeside Landscaping's site has a Google Ads tag installed, but I couldn't find an embedded video on the homepage. I mapped a private 15-second first-24-hours emergency-response ad for Lakeside Landscaping using only public brand context—not for publishing, just to show the angle. We build three client-approved video ad concepts in seven days, then turn the winners into fresh variations. No filming day required. Worth sending the private sample?</x:v>
      </x:c>
      <x:c r="AV112" s="76" t="str">
        <x:v>Quick follow-up: the sample angle is a first-24-hours emergency-response ad. If it misses the mark, no problem—I won't keep chasing. Should I send it?</x:v>
      </x:c>
      <x:c r="AW112" s="76" t="str">
        <x:v>Hi Tim, Ryan here. I was looking at Lakeside Landscaping's public marketing and noticed: google ads tag detected; no embedded homepage video found. I mapped one private first-24-hours emergency-response ad as an example. Did I catch you with 30 seconds?</x:v>
      </x:c>
      <x:c r="AX112" s="60" t="str">
        <x:v>https://www.facebook.com/ads/library/?active_status=active&amp;ad_type=all&amp;country=US&amp;q=Lakeside%20Landscaping&amp;search_type=keyword_unordered</x:v>
      </x:c>
      <x:c r="AY112" s="60" t="str">
        <x:v>ok:200</x:v>
      </x:c>
      <x:c r="AZ112" s="60" t="n">
        <x:v>46232.722858796296</x:v>
      </x:c>
      <x:c r="BA112" s="60" t="str">
        <x:v>AI Ark SC trades export</x:v>
      </x:c>
      <x:c r="BB112" s="60" t="str">
        <x:v>https://lakesidelandscaping.ca | https://www.linkedin.com/company/lakeside-landscaping</x:v>
      </x:c>
      <x:c r="BC112" s="60" t="str"/>
    </x:row>
    <x:row r="113" ht="18" customHeight="1">
      <x:c r="A113" s="70" t="str">
        <x:v>112</x:v>
      </x:c>
      <x:c r="B113" s="70" t="str">
        <x:v>B - Strong</x:v>
      </x:c>
      <x:c r="C113" s="72" t="str">
        <x:v>69</x:v>
      </x:c>
      <x:c r="D113" s="60" t="str">
        <x:v>Anderson Roofing Inc.</x:v>
      </x:c>
      <x:c r="E113" s="60" t="str">
        <x:v>https://andersonroofinginc.com</x:v>
      </x:c>
      <x:c r="F113" s="60" t="str">
        <x:v>https://www.andersonroofinginc.com/</x:v>
      </x:c>
      <x:c r="G113" s="60" t="str">
        <x:v>Myrtle Beach</x:v>
      </x:c>
      <x:c r="H113" s="60" t="str">
        <x:v>South Carolina</x:v>
      </x:c>
      <x:c r="I113" s="60" t="str">
        <x:v>Roofing</x:v>
      </x:c>
      <x:c r="J113" s="60" t="str">
        <x:v>Anderson Roofing Inc.</x:v>
      </x:c>
      <x:c r="K113" s="60" t="str"/>
      <x:c r="L113" s="60" t="str">
        <x:v>Owner / decision maker to verify</x:v>
      </x:c>
      <x:c r="M113" s="60" t="str"/>
      <x:c r="N113" s="60" t="str"/>
      <x:c r="O113" s="60" t="str">
        <x:v>(843) 903-4953</x:v>
      </x:c>
      <x:c r="P113" s="60" t="str"/>
      <x:c r="Q113" s="60" t="str"/>
      <x:c r="R113" s="60" t="str"/>
      <x:c r="S113" s="60" t="str">
        <x:v>4.9</x:v>
      </x:c>
      <x:c r="T113" s="74" t="str">
        <x:v>35</x:v>
      </x:c>
      <x:c r="U113" s="60" t="str"/>
      <x:c r="V113" s="74" t="str">
        <x:v>27</x:v>
      </x:c>
      <x:c r="W113" s="74" t="str">
        <x:v>11</x:v>
      </x:c>
      <x:c r="X113" s="74" t="str">
        <x:v>16</x:v>
      </x:c>
      <x:c r="Y113" s="74" t="str">
        <x:v>10</x:v>
      </x:c>
      <x:c r="Z113" s="74" t="str">
        <x:v>5</x:v>
      </x:c>
      <x:c r="AA113" s="74" t="str">
        <x:v>0</x:v>
      </x:c>
      <x:c r="AB113" s="74" t="str">
        <x:v>0</x:v>
      </x:c>
      <x:c r="AC113" s="74" t="str">
        <x:v>1</x:v>
      </x:c>
      <x:c r="AD113" s="74" t="str">
        <x:v>0</x:v>
      </x:c>
      <x:c r="AE113" s="74" t="str">
        <x:v>1</x:v>
      </x:c>
      <x:c r="AF113" s="74" t="str"/>
      <x:c r="AG113" s="74" t="str">
        <x:v>0</x:v>
      </x:c>
      <x:c r="AH113" s="74" t="str">
        <x:v>1</x:v>
      </x:c>
      <x:c r="AI113" s="74" t="str">
        <x:v>0</x:v>
      </x:c>
      <x:c r="AJ113" s="74" t="str">
        <x:v>0</x:v>
      </x:c>
      <x:c r="AK113" s="74" t="str">
        <x:v>1</x:v>
      </x:c>
      <x:c r="AL113" s="74" t="str">
        <x:v>0</x:v>
      </x:c>
      <x:c r="AM113" s="74" t="str">
        <x:v>1</x:v>
      </x:c>
      <x:c r="AN113" s="74" t="str">
        <x:v>0</x:v>
      </x:c>
      <x:c r="AO113" s="60" t="str">
        <x:v>0</x:v>
      </x:c>
      <x:c r="AP113" s="76" t="str">
        <x:v>Call-tracking stack detected; no embedded homepage video found</x:v>
      </x:c>
      <x:c r="AQ113" s="76" t="str">
        <x:v>call tracking; project/gallery proof; visible service offer; no embedded homepage video detected</x:v>
      </x:c>
      <x:c r="AR113" s="76" t="str">
        <x:v>I noticed Anderson Roofing Inc. has call tracking in place, but I couldn't find an embedded video on the homepage.</x:v>
      </x:c>
      <x:c r="AS113" s="76" t="str">
        <x:v>storm-to-inspection before/after ad</x:v>
      </x:c>
      <x:c r="AT113" s="76" t="str">
        <x:v>Anderson Roofing Inc. ad concept</x:v>
      </x:c>
      <x:c r="AU113" s="76" t="str">
        <x:v>Hi Anderson Roofing Inc. — I noticed Anderson Roofing Inc. has call tracking in place, but I couldn't find an embedded video on the homepage. I mapped a private 15-second storm-to-inspection before/after ad for Anderson Roofing Inc. using only public brand context—not for publishing, just to show the angle. We build three client-approved video ad concepts in seven days, then turn the winners into fresh variations. No filming day required. Worth sending the private sample?</x:v>
      </x:c>
      <x:c r="AV113" s="76" t="str">
        <x:v>Quick follow-up: the sample angle is a storm-to-inspection before/after ad. If it misses the mark, no problem—I won't keep chasing. Should I send it?</x:v>
      </x:c>
      <x:c r="AW113" s="76" t="str">
        <x:v>Hi Anderson Roofing Inc., Ryan here. I was looking at Anderson Roofing Inc.'s public marketing and noticed: call-tracking stack detected; no embedded homepage video found. I mapped one private storm-to-inspection before/after ad as an example. Did I catch you with 30 seconds?</x:v>
      </x:c>
      <x:c r="AX113" s="60" t="str">
        <x:v>https://www.facebook.com/ads/library/?active_status=active&amp;ad_type=all&amp;country=US&amp;q=Anderson%20Roofing%20Inc.&amp;search_type=keyword_unordered</x:v>
      </x:c>
      <x:c r="AY113" s="60" t="str">
        <x:v>ok:200</x:v>
      </x:c>
      <x:c r="AZ113" s="60" t="n">
        <x:v>46232.722858796296</x:v>
      </x:c>
      <x:c r="BA113" s="60" t="str">
        <x:v>Google Maps home-services export</x:v>
      </x:c>
      <x:c r="BB113" s="60" t="str">
        <x:v>https://andersonroofinginc.com | https://maps.google.com/?cid=14183838795665025264&amp;g_mp=Cidnb29nbGUubWFwcy5wbGFjZXMudjEuUGxhY2VzLlNlYXJjaFRleHQQAhgEIAA</x:v>
      </x:c>
      <x:c r="BC113" s="60" t="str"/>
    </x:row>
    <x:row r="114" ht="18" customHeight="1">
      <x:c r="A114" s="70" t="str">
        <x:v>113</x:v>
      </x:c>
      <x:c r="B114" s="70" t="str">
        <x:v>B - Strong</x:v>
      </x:c>
      <x:c r="C114" s="72" t="str">
        <x:v>68</x:v>
      </x:c>
      <x:c r="D114" s="60" t="str">
        <x:v>OGD Overhead Garage Door</x:v>
      </x:c>
      <x:c r="E114" s="60" t="str">
        <x:v>https://ogd.com</x:v>
      </x:c>
      <x:c r="F114" s="60" t="str">
        <x:v>https://ogd.com</x:v>
      </x:c>
      <x:c r="G114" s="60" t="str">
        <x:v>Columbia</x:v>
      </x:c>
      <x:c r="H114" s="60" t="str">
        <x:v>South Carolina</x:v>
      </x:c>
      <x:c r="I114" s="60" t="str">
        <x:v>Garage Doors</x:v>
      </x:c>
      <x:c r="J114" s="60" t="str">
        <x:v>OGD Overhead Garage Door</x:v>
      </x:c>
      <x:c r="K114" s="60" t="str"/>
      <x:c r="L114" s="60" t="str">
        <x:v>Owner / decision maker to verify</x:v>
      </x:c>
      <x:c r="M114" s="60" t="str"/>
      <x:c r="N114" s="60" t="str"/>
      <x:c r="O114" s="60" t="str">
        <x:v>(803) 879-5100</x:v>
      </x:c>
      <x:c r="P114" s="60" t="str"/>
      <x:c r="Q114" s="60" t="str"/>
      <x:c r="R114" s="60" t="str"/>
      <x:c r="S114" s="60" t="str">
        <x:v>4.8</x:v>
      </x:c>
      <x:c r="T114" s="74" t="str">
        <x:v>362</x:v>
      </x:c>
      <x:c r="U114" s="60" t="str"/>
      <x:c r="V114" s="74" t="str">
        <x:v>25</x:v>
      </x:c>
      <x:c r="W114" s="74" t="str">
        <x:v>20</x:v>
      </x:c>
      <x:c r="X114" s="74" t="str">
        <x:v>12</x:v>
      </x:c>
      <x:c r="Y114" s="74" t="str">
        <x:v>6</x:v>
      </x:c>
      <x:c r="Z114" s="74" t="str">
        <x:v>5</x:v>
      </x:c>
      <x:c r="AA114" s="74" t="str">
        <x:v>1</x:v>
      </x:c>
      <x:c r="AB114" s="74" t="str">
        <x:v>0</x:v>
      </x:c>
      <x:c r="AC114" s="74" t="str">
        <x:v>1</x:v>
      </x:c>
      <x:c r="AD114" s="74" t="str">
        <x:v>1</x:v>
      </x:c>
      <x:c r="AE114" s="74" t="str">
        <x:v>0</x:v>
      </x:c>
      <x:c r="AF114" s="74" t="str"/>
      <x:c r="AG114" s="74" t="str">
        <x:v>0</x:v>
      </x:c>
      <x:c r="AH114" s="74" t="str">
        <x:v>0</x:v>
      </x:c>
      <x:c r="AI114" s="74" t="str">
        <x:v>0</x:v>
      </x:c>
      <x:c r="AJ114" s="74" t="str">
        <x:v>0</x:v>
      </x:c>
      <x:c r="AK114" s="74" t="str">
        <x:v>1</x:v>
      </x:c>
      <x:c r="AL114" s="74" t="str">
        <x:v>0</x:v>
      </x:c>
      <x:c r="AM114" s="74" t="str">
        <x:v>1</x:v>
      </x:c>
      <x:c r="AN114" s="74" t="str">
        <x:v>1</x:v>
      </x:c>
      <x:c r="AO114" s="60" t="str">
        <x:v>0</x:v>
      </x:c>
      <x:c r="AP114" s="76" t="str">
        <x:v>Meta tracking detected; no embedded homepage video found</x:v>
      </x:c>
      <x:c r="AQ114" s="76" t="str">
        <x:v>Meta Pixel; TikTok Pixel; visible service offer; no embedded homepage video detected</x:v>
      </x:c>
      <x:c r="AR114" s="76" t="str">
        <x:v>I noticed OGD Overhead Garage Door's site has Meta tracking installed, but I couldn't find an embedded video on the homepage.</x:v>
      </x:c>
      <x:c r="AS114" s="76" t="str">
        <x:v>curb-appeal transformation ad</x:v>
      </x:c>
      <x:c r="AT114" s="76" t="str">
        <x:v>OGD Overhead Garage Door ad concept</x:v>
      </x:c>
      <x:c r="AU114" s="76" t="str">
        <x:v>Hi OGD Overhead Garage Door — I noticed OGD Overhead Garage Door's site has Meta tracking installed, but I couldn't find an embedded video on the homepage. I mapped a private 15-second curb-appeal transformation ad for OGD Overhead Garage Door using only public brand context—not for publishing, just to show the angle. We build three client-approved video ad concepts in seven days, then turn the winners into fresh variations. No filming day required. Worth sending the private sample?</x:v>
      </x:c>
      <x:c r="AV114" s="76" t="str">
        <x:v>Quick follow-up: the sample angle is a curb-appeal transformation ad. If it misses the mark, no problem—I won't keep chasing. Should I send it?</x:v>
      </x:c>
      <x:c r="AW114" s="76" t="str">
        <x:v>Hi OGD Overhead Garage Door, Ryan here. I was looking at OGD Overhead Garage Door's public marketing and noticed: meta tracking detected; no embedded homepage video found. I mapped one private curb-appeal transformation ad as an example. Did I catch you with 30 seconds?</x:v>
      </x:c>
      <x:c r="AX114" s="60" t="str">
        <x:v>https://www.facebook.com/ads/library/?active_status=active&amp;ad_type=all&amp;country=US&amp;q=OGD%20Overhead%20Garage%20Door&amp;search_type=keyword_unordered</x:v>
      </x:c>
      <x:c r="AY114" s="60" t="str">
        <x:v>ok:200</x:v>
      </x:c>
      <x:c r="AZ114" s="60" t="n">
        <x:v>46232.722858796296</x:v>
      </x:c>
      <x:c r="BA114" s="60" t="str">
        <x:v>Google Maps home-services export</x:v>
      </x:c>
      <x:c r="BB114" s="60" t="str">
        <x:v>https://maps.google.com/?cid=12349169392537606720&amp;g_mp=Cidnb29nbGUubWFwcy5wbGFjZXMudjEuUGxhY2VzLlNlYXJjaFRleHQQAhgEIAA | https://maps.google.com/?cid=2036544322056045683&amp;g_mp=Cidnb29nbGUubWFwcy5wbGFjZXMudjEuUGxhY2VzLlNlYXJjaFRleHQQAhgEIAA | https://ogd.com</x:v>
      </x:c>
      <x:c r="BC114" s="60" t="str"/>
    </x:row>
    <x:row r="115" ht="18" customHeight="1">
      <x:c r="A115" s="70" t="str">
        <x:v>114</x:v>
      </x:c>
      <x:c r="B115" s="70" t="str">
        <x:v>B - Strong</x:v>
      </x:c>
      <x:c r="C115" s="72" t="str">
        <x:v>68</x:v>
      </x:c>
      <x:c r="D115" s="60" t="str">
        <x:v>Rudin Electric LLC</x:v>
      </x:c>
      <x:c r="E115" s="60" t="str">
        <x:v>https://rudinelectric.com</x:v>
      </x:c>
      <x:c r="F115" s="60" t="str">
        <x:v>https://www.rudinelectric.com/</x:v>
      </x:c>
      <x:c r="G115" s="60" t="str">
        <x:v>Greenville</x:v>
      </x:c>
      <x:c r="H115" s="60" t="str">
        <x:v>South Carolina</x:v>
      </x:c>
      <x:c r="I115" s="60" t="str">
        <x:v>Electrical</x:v>
      </x:c>
      <x:c r="J115" s="60" t="str">
        <x:v>Rudin Electric LLC</x:v>
      </x:c>
      <x:c r="K115" s="60" t="str"/>
      <x:c r="L115" s="60" t="str">
        <x:v>Owner / decision maker to verify</x:v>
      </x:c>
      <x:c r="M115" s="60" t="str"/>
      <x:c r="N115" s="60" t="str"/>
      <x:c r="O115" s="60" t="str">
        <x:v>(864) 906-9900</x:v>
      </x:c>
      <x:c r="P115" s="60" t="str"/>
      <x:c r="Q115" s="60" t="str"/>
      <x:c r="R115" s="60" t="str"/>
      <x:c r="S115" s="60" t="str">
        <x:v>4.9</x:v>
      </x:c>
      <x:c r="T115" s="74" t="str">
        <x:v>284</x:v>
      </x:c>
      <x:c r="U115" s="60" t="str"/>
      <x:c r="V115" s="74" t="str">
        <x:v>24</x:v>
      </x:c>
      <x:c r="W115" s="74" t="str">
        <x:v>16</x:v>
      </x:c>
      <x:c r="X115" s="74" t="str">
        <x:v>12</x:v>
      </x:c>
      <x:c r="Y115" s="74" t="str">
        <x:v>11</x:v>
      </x:c>
      <x:c r="Z115" s="74" t="str">
        <x:v>5</x:v>
      </x:c>
      <x:c r="AA115" s="74" t="str">
        <x:v>0</x:v>
      </x:c>
      <x:c r="AB115" s="74" t="str">
        <x:v>1</x:v>
      </x:c>
      <x:c r="AC115" s="74" t="str">
        <x:v>1</x:v>
      </x:c>
      <x:c r="AD115" s="74" t="str">
        <x:v>0</x:v>
      </x:c>
      <x:c r="AE115" s="74" t="str">
        <x:v>0</x:v>
      </x:c>
      <x:c r="AF115" s="74" t="str">
        <x:v>housecallpro</x:v>
      </x:c>
      <x:c r="AG115" s="74" t="str">
        <x:v>0</x:v>
      </x:c>
      <x:c r="AH115" s="74" t="str">
        <x:v>1</x:v>
      </x:c>
      <x:c r="AI115" s="74" t="str">
        <x:v>0</x:v>
      </x:c>
      <x:c r="AJ115" s="74" t="str">
        <x:v>0</x:v>
      </x:c>
      <x:c r="AK115" s="74" t="str">
        <x:v>1</x:v>
      </x:c>
      <x:c r="AL115" s="74" t="str">
        <x:v>1</x:v>
      </x:c>
      <x:c r="AM115" s="74" t="str">
        <x:v>1</x:v>
      </x:c>
      <x:c r="AN115" s="74" t="str">
        <x:v>0</x:v>
      </x:c>
      <x:c r="AO115" s="60" t="str">
        <x:v>0</x:v>
      </x:c>
      <x:c r="AP115" s="76" t="str">
        <x:v>Google Ads tag detected; no embedded homepage video found</x:v>
      </x:c>
      <x:c r="AQ115" s="76" t="str">
        <x:v>Google Ads tag; project/gallery proof; visible service offer; no embedded homepage video detected</x:v>
      </x:c>
      <x:c r="AR115" s="76" t="str">
        <x:v>I noticed Rudin Electric LLC's site has a Google Ads tag installed, but I couldn't find an embedded video on the homepage.</x:v>
      </x:c>
      <x:c r="AS115" s="76" t="str">
        <x:v>safety inspection problem/solution ad</x:v>
      </x:c>
      <x:c r="AT115" s="76" t="str">
        <x:v>Rudin Electric LLC ad concept</x:v>
      </x:c>
      <x:c r="AU115" s="76" t="str">
        <x:v>Hi Rudin Electric LLC — I noticed Rudin Electric LLC's site has a Google Ads tag installed, but I couldn't find an embedded video on the homepage. I mapped a private 15-second safety inspection problem/solution ad for Rudin Electric LLC using only public brand context—not for publishing, just to show the angle. We build three client-approved video ad concepts in seven days, then turn the winners into fresh variations. No filming day required. Worth sending the private sample?</x:v>
      </x:c>
      <x:c r="AV115" s="76" t="str">
        <x:v>Quick follow-up: the sample angle is a safety inspection problem/solution ad. If it misses the mark, no problem—I won't keep chasing. Should I send it?</x:v>
      </x:c>
      <x:c r="AW115" s="76" t="str">
        <x:v>Hi Rudin Electric LLC, Ryan here. I was looking at Rudin Electric LLC's public marketing and noticed: google ads tag detected; no embedded homepage video found. I mapped one private safety inspection problem/solution ad as an example. Did I catch you with 30 seconds?</x:v>
      </x:c>
      <x:c r="AX115" s="60" t="str">
        <x:v>https://www.facebook.com/ads/library/?active_status=active&amp;ad_type=all&amp;country=US&amp;q=Rudin%20Electric%20LLC&amp;search_type=keyword_unordered</x:v>
      </x:c>
      <x:c r="AY115" s="60" t="str">
        <x:v>ok:200</x:v>
      </x:c>
      <x:c r="AZ115" s="60" t="n">
        <x:v>46232.722858796296</x:v>
      </x:c>
      <x:c r="BA115" s="60" t="str">
        <x:v>Google Maps home-services export</x:v>
      </x:c>
      <x:c r="BB115" s="60" t="str">
        <x:v>https://maps.google.com/?cid=5472678899649325764&amp;g_mp=Cidnb29nbGUubWFwcy5wbGFjZXMudjEuUGxhY2VzLlNlYXJjaFRleHQQAhgEIAA | https://rudinelectric.com</x:v>
      </x:c>
      <x:c r="BC115" s="60" t="str"/>
    </x:row>
    <x:row r="116" ht="18" customHeight="1">
      <x:c r="A116" s="70" t="str">
        <x:v>115</x:v>
      </x:c>
      <x:c r="B116" s="70" t="str">
        <x:v>B - Strong</x:v>
      </x:c>
      <x:c r="C116" s="72" t="str">
        <x:v>68</x:v>
      </x:c>
      <x:c r="D116" s="60" t="str">
        <x:v>BC Roofing and Handyman Services</x:v>
      </x:c>
      <x:c r="E116" s="60" t="str">
        <x:v>https://bc-serv.com</x:v>
      </x:c>
      <x:c r="F116" s="60" t="str">
        <x:v>https://bc-serv.com</x:v>
      </x:c>
      <x:c r="G116" s="60" t="str">
        <x:v>Beaufort</x:v>
      </x:c>
      <x:c r="H116" s="60" t="str">
        <x:v>South Carolina</x:v>
      </x:c>
      <x:c r="I116" s="60" t="str">
        <x:v>Roofing</x:v>
      </x:c>
      <x:c r="J116" s="60" t="str">
        <x:v>BC Roofing and Handyman Services</x:v>
      </x:c>
      <x:c r="K116" s="60" t="str"/>
      <x:c r="L116" s="60" t="str">
        <x:v>Owner / decision maker to verify</x:v>
      </x:c>
      <x:c r="M116" s="60" t="str"/>
      <x:c r="N116" s="60" t="str"/>
      <x:c r="O116" s="60" t="str">
        <x:v>(843) 321-8185</x:v>
      </x:c>
      <x:c r="P116" s="60" t="str"/>
      <x:c r="Q116" s="60" t="str"/>
      <x:c r="R116" s="60" t="str"/>
      <x:c r="S116" s="60" t="str">
        <x:v>4.5</x:v>
      </x:c>
      <x:c r="T116" s="74" t="str">
        <x:v>31</x:v>
      </x:c>
      <x:c r="U116" s="60" t="str"/>
      <x:c r="V116" s="74" t="str">
        <x:v>27</x:v>
      </x:c>
      <x:c r="W116" s="74" t="str">
        <x:v>15</x:v>
      </x:c>
      <x:c r="X116" s="74" t="str">
        <x:v>12</x:v>
      </x:c>
      <x:c r="Y116" s="74" t="str">
        <x:v>9</x:v>
      </x:c>
      <x:c r="Z116" s="74" t="str">
        <x:v>5</x:v>
      </x:c>
      <x:c r="AA116" s="74" t="str">
        <x:v>1</x:v>
      </x:c>
      <x:c r="AB116" s="74" t="str">
        <x:v>0</x:v>
      </x:c>
      <x:c r="AC116" s="74" t="str">
        <x:v>1</x:v>
      </x:c>
      <x:c r="AD116" s="74" t="str">
        <x:v>0</x:v>
      </x:c>
      <x:c r="AE116" s="74" t="str">
        <x:v>0</x:v>
      </x:c>
      <x:c r="AF116" s="74" t="str"/>
      <x:c r="AG116" s="74" t="str">
        <x:v>0</x:v>
      </x:c>
      <x:c r="AH116" s="74" t="str">
        <x:v>0</x:v>
      </x:c>
      <x:c r="AI116" s="74" t="str">
        <x:v>1</x:v>
      </x:c>
      <x:c r="AJ116" s="74" t="str">
        <x:v>0</x:v>
      </x:c>
      <x:c r="AK116" s="74" t="str">
        <x:v>1</x:v>
      </x:c>
      <x:c r="AL116" s="74" t="str">
        <x:v>1</x:v>
      </x:c>
      <x:c r="AM116" s="74" t="str">
        <x:v>1</x:v>
      </x:c>
      <x:c r="AN116" s="74" t="str">
        <x:v>0</x:v>
      </x:c>
      <x:c r="AO116" s="60" t="str">
        <x:v>2026</x:v>
      </x:c>
      <x:c r="AP116" s="76" t="str">
        <x:v>Meta tracking detected; no embedded homepage video found</x:v>
      </x:c>
      <x:c r="AQ116" s="76" t="str">
        <x:v>Meta Pixel; testimonials; visible service offer; no embedded homepage video detected</x:v>
      </x:c>
      <x:c r="AR116" s="76" t="str">
        <x:v>I noticed BC Roofing and Handyman Services's site has Meta tracking installed, but I couldn't find an embedded video on the homepage.</x:v>
      </x:c>
      <x:c r="AS116" s="76" t="str">
        <x:v>storm-to-inspection before/after ad</x:v>
      </x:c>
      <x:c r="AT116" s="76" t="str">
        <x:v>BC Roofing and Handyman Services ad concept</x:v>
      </x:c>
      <x:c r="AU116" s="76" t="str">
        <x:v>Hi BC Roofing and Handyman Services — I noticed BC Roofing and Handyman Services's site has Meta tracking installed, but I couldn't find an embedded video on the homepage. I mapped a private 15-second storm-to-inspection before/after ad for BC Roofing and Handyman Services using only public brand context—not for publishing, just to show the angle. We build three client-approved video ad concepts in seven days, then turn the winners into fresh variations. No filming day required. Worth sending the private sample?</x:v>
      </x:c>
      <x:c r="AV116" s="76" t="str">
        <x:v>Quick follow-up: the sample angle is a storm-to-inspection before/after ad. If it misses the mark, no problem—I won't keep chasing. Should I send it?</x:v>
      </x:c>
      <x:c r="AW116" s="76" t="str">
        <x:v>Hi BC Roofing and Handyman Services, Ryan here. I was looking at BC Roofing and Handyman Services's public marketing and noticed: meta tracking detected; no embedded homepage video found. I mapped one private storm-to-inspection before/after ad as an example. Did I catch you with 30 seconds?</x:v>
      </x:c>
      <x:c r="AX116" s="60" t="str">
        <x:v>https://www.facebook.com/ads/library/?active_status=active&amp;ad_type=all&amp;country=US&amp;q=BC%20Roofing%20and%20Handyman%20Services&amp;search_type=keyword_unordered</x:v>
      </x:c>
      <x:c r="AY116" s="60" t="str">
        <x:v>ok:200</x:v>
      </x:c>
      <x:c r="AZ116" s="60" t="n">
        <x:v>46232.722858796296</x:v>
      </x:c>
      <x:c r="BA116" s="60" t="str">
        <x:v>Google Maps home-services export</x:v>
      </x:c>
      <x:c r="BB116" s="60" t="str">
        <x:v>https://bc-serv.com | https://maps.google.com/?cid=16962446290600331562&amp;g_mp=Cidnb29nbGUubWFwcy5wbGFjZXMudjEuUGxhY2VzLlNlYXJjaFRleHQQAhgEIAA</x:v>
      </x:c>
      <x:c r="BC116" s="60" t="str"/>
    </x:row>
    <x:row r="117" ht="18" customHeight="1">
      <x:c r="A117" s="70" t="str">
        <x:v>116</x:v>
      </x:c>
      <x:c r="B117" s="70" t="str">
        <x:v>B - Strong</x:v>
      </x:c>
      <x:c r="C117" s="72" t="str">
        <x:v>68</x:v>
      </x:c>
      <x:c r="D117" s="60" t="str">
        <x:v>Dependable Heating &amp; Air Conditioning</x:v>
      </x:c>
      <x:c r="E117" s="60" t="str">
        <x:v>https://dependableair.com</x:v>
      </x:c>
      <x:c r="F117" s="60" t="str">
        <x:v>https://www.dependableair.com/</x:v>
      </x:c>
      <x:c r="G117" s="60" t="str">
        <x:v>Greenville</x:v>
      </x:c>
      <x:c r="H117" s="60" t="str">
        <x:v>South Carolina</x:v>
      </x:c>
      <x:c r="I117" s="60" t="str">
        <x:v>HVAC</x:v>
      </x:c>
      <x:c r="J117" s="60" t="str">
        <x:v>Stephen</x:v>
      </x:c>
      <x:c r="K117" s="60" t="str">
        <x:v>Bellows</x:v>
      </x:c>
      <x:c r="L117" s="60" t="str">
        <x:v>Owner / Service Tech / Sales</x:v>
      </x:c>
      <x:c r="M117" s="60" t="str"/>
      <x:c r="N117" s="60" t="str"/>
      <x:c r="O117" s="60" t="str">
        <x:v>+1 864 351 9983</x:v>
      </x:c>
      <x:c r="P117" s="60" t="str">
        <x:v>https://www.linkedin.com/in/stephen-bellows-0b951614</x:v>
      </x:c>
      <x:c r="Q117" s="60" t="str">
        <x:v>51-200</x:v>
      </x:c>
      <x:c r="R117" s="60" t="str">
        <x:v>100000-499999</x:v>
      </x:c>
      <x:c r="S117" s="60" t="str"/>
      <x:c r="T117" s="74" t="str">
        <x:v>0</x:v>
      </x:c>
      <x:c r="U117" s="60" t="str"/>
      <x:c r="V117" s="74" t="str">
        <x:v>30</x:v>
      </x:c>
      <x:c r="W117" s="74" t="str">
        <x:v>14</x:v>
      </x:c>
      <x:c r="X117" s="74" t="str">
        <x:v>16</x:v>
      </x:c>
      <x:c r="Y117" s="74" t="str">
        <x:v>3</x:v>
      </x:c>
      <x:c r="Z117" s="74" t="str">
        <x:v>5</x:v>
      </x:c>
      <x:c r="AA117" s="74" t="str">
        <x:v>0</x:v>
      </x:c>
      <x:c r="AB117" s="74" t="str">
        <x:v>0</x:v>
      </x:c>
      <x:c r="AC117" s="74" t="str">
        <x:v>1</x:v>
      </x:c>
      <x:c r="AD117" s="74" t="str">
        <x:v>0</x:v>
      </x:c>
      <x:c r="AE117" s="74" t="str">
        <x:v>1</x:v>
      </x:c>
      <x:c r="AF117" s="74" t="str">
        <x:v>servicetitan</x:v>
      </x:c>
      <x:c r="AG117" s="74" t="str">
        <x:v>0</x:v>
      </x:c>
      <x:c r="AH117" s="74" t="str">
        <x:v>0</x:v>
      </x:c>
      <x:c r="AI117" s="74" t="str">
        <x:v>0</x:v>
      </x:c>
      <x:c r="AJ117" s="74" t="str">
        <x:v>0</x:v>
      </x:c>
      <x:c r="AK117" s="74" t="str">
        <x:v>1</x:v>
      </x:c>
      <x:c r="AL117" s="74" t="str">
        <x:v>0</x:v>
      </x:c>
      <x:c r="AM117" s="74" t="str">
        <x:v>1</x:v>
      </x:c>
      <x:c r="AN117" s="74" t="str">
        <x:v>0</x:v>
      </x:c>
      <x:c r="AO117" s="60" t="str">
        <x:v>2026</x:v>
      </x:c>
      <x:c r="AP117" s="76" t="str">
        <x:v>Call-tracking stack detected; no embedded homepage video found</x:v>
      </x:c>
      <x:c r="AQ117" s="76" t="str">
        <x:v>call tracking; visible service offer; no embedded homepage video detected</x:v>
      </x:c>
      <x:c r="AR117" s="76" t="str">
        <x:v>I noticed Dependable Heating &amp; Air Conditioning has call tracking in place, but I couldn't find an embedded video on the homepage.</x:v>
      </x:c>
      <x:c r="AS117" s="76" t="str">
        <x:v>no-cool-call to same-day comfort ad</x:v>
      </x:c>
      <x:c r="AT117" s="76" t="str">
        <x:v>Dependable Heating &amp; Air Conditioning ad concept</x:v>
      </x:c>
      <x:c r="AU117" s="76" t="str">
        <x:v>Hi Stephen — I noticed Dependable Heating &amp; Air Conditioning has call tracking in place, but I couldn't find an embedded video on the homepage. I mapped a private 15-second no-cool-call to same-day comfort ad for Dependable Heating &amp; Air Conditioning using only public brand context—not for publishing, just to show the angle. We build three client-approved video ad concepts in seven days, then turn the winners into fresh variations. No filming day required. Worth sending the private sample?</x:v>
      </x:c>
      <x:c r="AV117" s="76" t="str">
        <x:v>Quick follow-up: the sample angle is a no-cool-call to same-day comfort ad. If it misses the mark, no problem—I won't keep chasing. Should I send it?</x:v>
      </x:c>
      <x:c r="AW117" s="76" t="str">
        <x:v>Hi Stephen, Ryan here. I was looking at Dependable Heating &amp; Air Conditioning's public marketing and noticed: call-tracking stack detected; no embedded homepage video found. I mapped one private no-cool-call to same-day comfort ad as an example. Did I catch you with 30 seconds?</x:v>
      </x:c>
      <x:c r="AX117" s="60" t="str">
        <x:v>https://www.facebook.com/ads/library/?active_status=active&amp;ad_type=all&amp;country=US&amp;q=Dependable%20Heating%20%26%20Air%20Conditioning&amp;search_type=keyword_unordered</x:v>
      </x:c>
      <x:c r="AY117" s="60" t="str">
        <x:v>ok:200</x:v>
      </x:c>
      <x:c r="AZ117" s="60" t="n">
        <x:v>46232.722858796296</x:v>
      </x:c>
      <x:c r="BA117" s="60" t="str">
        <x:v>AI Ark SC trades export</x:v>
      </x:c>
      <x:c r="BB117" s="60" t="str">
        <x:v>https://dependableair.com | https://www.linkedin.com/company/dependable-heating-&amp;-air-conditioning</x:v>
      </x:c>
      <x:c r="BC117" s="60" t="str"/>
    </x:row>
    <x:row r="118" ht="18" customHeight="1">
      <x:c r="A118" s="70" t="str">
        <x:v>117</x:v>
      </x:c>
      <x:c r="B118" s="70" t="str">
        <x:v>B - Strong</x:v>
      </x:c>
      <x:c r="C118" s="72" t="str">
        <x:v>68</x:v>
      </x:c>
      <x:c r="D118" s="60" t="str">
        <x:v>Citi Plumbing LLC</x:v>
      </x:c>
      <x:c r="E118" s="60" t="str">
        <x:v>https://citiplumbing-sc.com</x:v>
      </x:c>
      <x:c r="F118" s="60" t="str">
        <x:v>https://citiplumbing-sc.com</x:v>
      </x:c>
      <x:c r="G118" s="60" t="str">
        <x:v>Spartanburg</x:v>
      </x:c>
      <x:c r="H118" s="60" t="str">
        <x:v>South Carolina</x:v>
      </x:c>
      <x:c r="I118" s="60" t="str">
        <x:v>Plumbing</x:v>
      </x:c>
      <x:c r="J118" s="60" t="str">
        <x:v>Citi Plumbing LLC</x:v>
      </x:c>
      <x:c r="K118" s="60" t="str"/>
      <x:c r="L118" s="60" t="str">
        <x:v>Owner / decision maker to verify</x:v>
      </x:c>
      <x:c r="M118" s="60" t="str"/>
      <x:c r="N118" s="60" t="str"/>
      <x:c r="O118" s="60" t="str">
        <x:v>(864) 205-8475</x:v>
      </x:c>
      <x:c r="P118" s="60" t="str"/>
      <x:c r="Q118" s="60" t="str"/>
      <x:c r="R118" s="60" t="str"/>
      <x:c r="S118" s="60" t="str">
        <x:v>5</x:v>
      </x:c>
      <x:c r="T118" s="74" t="str">
        <x:v>46</x:v>
      </x:c>
      <x:c r="U118" s="60" t="str"/>
      <x:c r="V118" s="74" t="str">
        <x:v>22</x:v>
      </x:c>
      <x:c r="W118" s="74" t="str">
        <x:v>13</x:v>
      </x:c>
      <x:c r="X118" s="74" t="str">
        <x:v>16</x:v>
      </x:c>
      <x:c r="Y118" s="74" t="str">
        <x:v>12</x:v>
      </x:c>
      <x:c r="Z118" s="74" t="str">
        <x:v>5</x:v>
      </x:c>
      <x:c r="AA118" s="74" t="str">
        <x:v>0</x:v>
      </x:c>
      <x:c r="AB118" s="74" t="str">
        <x:v>1</x:v>
      </x:c>
      <x:c r="AC118" s="74" t="str">
        <x:v>1</x:v>
      </x:c>
      <x:c r="AD118" s="74" t="str">
        <x:v>0</x:v>
      </x:c>
      <x:c r="AE118" s="74" t="str">
        <x:v>0</x:v>
      </x:c>
      <x:c r="AF118" s="74" t="str"/>
      <x:c r="AG118" s="74" t="str">
        <x:v>0</x:v>
      </x:c>
      <x:c r="AH118" s="74" t="str">
        <x:v>0</x:v>
      </x:c>
      <x:c r="AI118" s="74" t="str">
        <x:v>1</x:v>
      </x:c>
      <x:c r="AJ118" s="74" t="str">
        <x:v>1</x:v>
      </x:c>
      <x:c r="AK118" s="74" t="str">
        <x:v>1</x:v>
      </x:c>
      <x:c r="AL118" s="74" t="str">
        <x:v>0</x:v>
      </x:c>
      <x:c r="AM118" s="74" t="str">
        <x:v>0</x:v>
      </x:c>
      <x:c r="AN118" s="74" t="str">
        <x:v>0</x:v>
      </x:c>
      <x:c r="AO118" s="60" t="str">
        <x:v>2026</x:v>
      </x:c>
      <x:c r="AP118" s="76" t="str">
        <x:v>Google Ads tag detected; no embedded homepage video found</x:v>
      </x:c>
      <x:c r="AQ118" s="76" t="str">
        <x:v>Google Ads tag; testimonials; financing; visible service offer; no embedded homepage video detected</x:v>
      </x:c>
      <x:c r="AR118" s="76" t="str">
        <x:v>I noticed Citi Plumbing LLC's site has a Google Ads tag installed, but I couldn't find an embedded video on the homepage.</x:v>
      </x:c>
      <x:c r="AS118" s="76" t="str">
        <x:v>small symptom to prevented-emergency ad</x:v>
      </x:c>
      <x:c r="AT118" s="76" t="str">
        <x:v>Citi Plumbing LLC ad concept</x:v>
      </x:c>
      <x:c r="AU118" s="76" t="str">
        <x:v>Hi Citi Plumbing LLC — I noticed Citi Plumbing LLC's site has a Google Ads tag installed, but I couldn't find an embedded video on the homepage. I mapped a private 15-second small symptom to prevented-emergency ad for Citi Plumbing LLC using only public brand context—not for publishing, just to show the angle. We build three client-approved video ad concepts in seven days, then turn the winners into fresh variations. No filming day required. Worth sending the private sample?</x:v>
      </x:c>
      <x:c r="AV118" s="76" t="str">
        <x:v>Quick follow-up: the sample angle is a small symptom to prevented-emergency ad. If it misses the mark, no problem—I won't keep chasing. Should I send it?</x:v>
      </x:c>
      <x:c r="AW118" s="76" t="str">
        <x:v>Hi Citi Plumbing LLC, Ryan here. I was looking at Citi Plumbing LLC's public marketing and noticed: google ads tag detected; no embedded homepage video found. I mapped one private small symptom to prevented-emergency ad as an example. Did I catch you with 30 seconds?</x:v>
      </x:c>
      <x:c r="AX118" s="60" t="str">
        <x:v>https://www.facebook.com/ads/library/?active_status=active&amp;ad_type=all&amp;country=US&amp;q=Citi%20Plumbing%20LLC&amp;search_type=keyword_unordered</x:v>
      </x:c>
      <x:c r="AY118" s="60" t="str">
        <x:v>ok:200</x:v>
      </x:c>
      <x:c r="AZ118" s="60" t="n">
        <x:v>46232.722858796296</x:v>
      </x:c>
      <x:c r="BA118" s="60" t="str">
        <x:v>Google Maps home-services export</x:v>
      </x:c>
      <x:c r="BB118" s="60" t="str">
        <x:v>https://citiplumbing-sc.com | https://maps.google.com/?cid=8100649313031966875&amp;g_mp=Cidnb29nbGUubWFwcy5wbGFjZXMudjEuUGxhY2VzLlNlYXJjaFRleHQQAhgEIAA</x:v>
      </x:c>
      <x:c r="BC118" s="60" t="str"/>
    </x:row>
    <x:row r="119" ht="18" customHeight="1">
      <x:c r="A119" s="70" t="str">
        <x:v>118</x:v>
      </x:c>
      <x:c r="B119" s="70" t="str">
        <x:v>B - Strong</x:v>
      </x:c>
      <x:c r="C119" s="72" t="str">
        <x:v>68</x:v>
      </x:c>
      <x:c r="D119" s="60" t="str">
        <x:v>Aldridge Construction Group</x:v>
      </x:c>
      <x:c r="E119" s="60" t="str">
        <x:v>https://aldridgeroofing.com</x:v>
      </x:c>
      <x:c r="F119" s="60" t="str">
        <x:v>https://aldridgeroofing.com</x:v>
      </x:c>
      <x:c r="G119" s="60" t="str">
        <x:v>Greenville</x:v>
      </x:c>
      <x:c r="H119" s="60" t="str">
        <x:v>South Carolina</x:v>
      </x:c>
      <x:c r="I119" s="60" t="str">
        <x:v>Roofing</x:v>
      </x:c>
      <x:c r="J119" s="60" t="str">
        <x:v>Aldridge Construction Group</x:v>
      </x:c>
      <x:c r="K119" s="60" t="str"/>
      <x:c r="L119" s="60" t="str">
        <x:v>Owner / decision maker to verify</x:v>
      </x:c>
      <x:c r="M119" s="60" t="str"/>
      <x:c r="N119" s="60" t="str"/>
      <x:c r="O119" s="60" t="str">
        <x:v>(864) 916-8596</x:v>
      </x:c>
      <x:c r="P119" s="60" t="str"/>
      <x:c r="Q119" s="60" t="str"/>
      <x:c r="R119" s="60" t="str"/>
      <x:c r="S119" s="60" t="str">
        <x:v>5</x:v>
      </x:c>
      <x:c r="T119" s="74" t="str">
        <x:v>226</x:v>
      </x:c>
      <x:c r="U119" s="60" t="str"/>
      <x:c r="V119" s="74" t="str">
        <x:v>29</x:v>
      </x:c>
      <x:c r="W119" s="74" t="str">
        <x:v>11</x:v>
      </x:c>
      <x:c r="X119" s="74" t="str">
        <x:v>12</x:v>
      </x:c>
      <x:c r="Y119" s="74" t="str">
        <x:v>11</x:v>
      </x:c>
      <x:c r="Z119" s="74" t="str">
        <x:v>5</x:v>
      </x:c>
      <x:c r="AA119" s="74" t="str">
        <x:v>0</x:v>
      </x:c>
      <x:c r="AB119" s="74" t="str">
        <x:v>0</x:v>
      </x:c>
      <x:c r="AC119" s="74" t="str">
        <x:v>1</x:v>
      </x:c>
      <x:c r="AD119" s="74" t="str">
        <x:v>0</x:v>
      </x:c>
      <x:c r="AE119" s="74" t="str">
        <x:v>1</x:v>
      </x:c>
      <x:c r="AF119" s="74" t="str"/>
      <x:c r="AG119" s="74" t="str">
        <x:v>0</x:v>
      </x:c>
      <x:c r="AH119" s="74" t="str">
        <x:v>1</x:v>
      </x:c>
      <x:c r="AI119" s="74" t="str">
        <x:v>0</x:v>
      </x:c>
      <x:c r="AJ119" s="74" t="str">
        <x:v>0</x:v>
      </x:c>
      <x:c r="AK119" s="74" t="str">
        <x:v>1</x:v>
      </x:c>
      <x:c r="AL119" s="74" t="str">
        <x:v>1</x:v>
      </x:c>
      <x:c r="AM119" s="74" t="str">
        <x:v>1</x:v>
      </x:c>
      <x:c r="AN119" s="74" t="str">
        <x:v>1</x:v>
      </x:c>
      <x:c r="AO119" s="60" t="str">
        <x:v>2026</x:v>
      </x:c>
      <x:c r="AP119" s="76" t="str">
        <x:v>Call-tracking stack detected; no embedded homepage video found</x:v>
      </x:c>
      <x:c r="AQ119" s="76" t="str">
        <x:v>call tracking; project/gallery proof; visible service offer; no embedded homepage video detected</x:v>
      </x:c>
      <x:c r="AR119" s="76" t="str">
        <x:v>I noticed Aldridge Construction Group has call tracking in place, but I couldn't find an embedded video on the homepage.</x:v>
      </x:c>
      <x:c r="AS119" s="76" t="str">
        <x:v>storm-to-inspection before/after ad</x:v>
      </x:c>
      <x:c r="AT119" s="76" t="str">
        <x:v>Aldridge Construction Group ad concept</x:v>
      </x:c>
      <x:c r="AU119" s="76" t="str">
        <x:v>Hi Aldridge Construction Group — I noticed Aldridge Construction Group has call tracking in place, but I couldn't find an embedded video on the homepage. I mapped a private 15-second storm-to-inspection before/after ad for Aldridge Construction Group using only public brand context—not for publishing, just to show the angle. We build three client-approved video ad concepts in seven days, then turn the winners into fresh variations. No filming day required. Worth sending the private sample?</x:v>
      </x:c>
      <x:c r="AV119" s="76" t="str">
        <x:v>Quick follow-up: the sample angle is a storm-to-inspection before/after ad. If it misses the mark, no problem—I won't keep chasing. Should I send it?</x:v>
      </x:c>
      <x:c r="AW119" s="76" t="str">
        <x:v>Hi Aldridge Construction Group, Ryan here. I was looking at Aldridge Construction Group's public marketing and noticed: call-tracking stack detected; no embedded homepage video found. I mapped one private storm-to-inspection before/after ad as an example. Did I catch you with 30 seconds?</x:v>
      </x:c>
      <x:c r="AX119" s="60" t="str">
        <x:v>https://www.facebook.com/ads/library/?active_status=active&amp;ad_type=all&amp;country=US&amp;q=Aldridge%20Construction%20Group&amp;search_type=keyword_unordered</x:v>
      </x:c>
      <x:c r="AY119" s="60" t="str">
        <x:v>ok:200</x:v>
      </x:c>
      <x:c r="AZ119" s="60" t="n">
        <x:v>46232.722858796296</x:v>
      </x:c>
      <x:c r="BA119" s="60" t="str">
        <x:v>Google Maps home-services export</x:v>
      </x:c>
      <x:c r="BB119" s="60" t="str">
        <x:v>https://aldridgeroofing.com | https://maps.google.com/?cid=12689300556451860043&amp;g_mp=Cidnb29nbGUubWFwcy5wbGFjZXMudjEuUGxhY2VzLlNlYXJjaFRleHQQAhgEIAA</x:v>
      </x:c>
      <x:c r="BC119" s="60" t="str"/>
    </x:row>
    <x:row r="120" ht="18" customHeight="1">
      <x:c r="A120" s="70" t="str">
        <x:v>119</x:v>
      </x:c>
      <x:c r="B120" s="70" t="str">
        <x:v>B - Strong</x:v>
      </x:c>
      <x:c r="C120" s="72" t="str">
        <x:v>67</x:v>
      </x:c>
      <x:c r="D120" s="60" t="str">
        <x:v>Hixon's Roofing - Commercial and Residential Roofers</x:v>
      </x:c>
      <x:c r="E120" s="60" t="str">
        <x:v>https://hixonsroofing.com</x:v>
      </x:c>
      <x:c r="F120" s="60" t="str">
        <x:v>https://hixonsroofing.com</x:v>
      </x:c>
      <x:c r="G120" s="60" t="str">
        <x:v>Aiken</x:v>
      </x:c>
      <x:c r="H120" s="60" t="str">
        <x:v>South Carolina</x:v>
      </x:c>
      <x:c r="I120" s="60" t="str">
        <x:v>Roofing</x:v>
      </x:c>
      <x:c r="J120" s="60" t="str">
        <x:v>Hixon's Roofing - Commercial and Residential Roofers</x:v>
      </x:c>
      <x:c r="K120" s="60" t="str"/>
      <x:c r="L120" s="60" t="str">
        <x:v>Owner / decision maker to verify</x:v>
      </x:c>
      <x:c r="M120" s="60" t="str"/>
      <x:c r="N120" s="60" t="str"/>
      <x:c r="O120" s="60" t="str">
        <x:v>(803) 991-3018</x:v>
      </x:c>
      <x:c r="P120" s="60" t="str"/>
      <x:c r="Q120" s="60" t="str"/>
      <x:c r="R120" s="60" t="str"/>
      <x:c r="S120" s="60" t="str">
        <x:v>4.6</x:v>
      </x:c>
      <x:c r="T120" s="74" t="str">
        <x:v>256</x:v>
      </x:c>
      <x:c r="U120" s="60" t="str"/>
      <x:c r="V120" s="74" t="str">
        <x:v>30</x:v>
      </x:c>
      <x:c r="W120" s="74" t="str">
        <x:v>23</x:v>
      </x:c>
      <x:c r="X120" s="74" t="str">
        <x:v>0</x:v>
      </x:c>
      <x:c r="Y120" s="74" t="str">
        <x:v>9</x:v>
      </x:c>
      <x:c r="Z120" s="74" t="str">
        <x:v>5</x:v>
      </x:c>
      <x:c r="AA120" s="74" t="str">
        <x:v>1</x:v>
      </x:c>
      <x:c r="AB120" s="74" t="str">
        <x:v>0</x:v>
      </x:c>
      <x:c r="AC120" s="74" t="str">
        <x:v>1</x:v>
      </x:c>
      <x:c r="AD120" s="74" t="str">
        <x:v>0</x:v>
      </x:c>
      <x:c r="AE120" s="74" t="str">
        <x:v>1</x:v>
      </x:c>
      <x:c r="AF120" s="74" t="str"/>
      <x:c r="AG120" s="74" t="str">
        <x:v>1</x:v>
      </x:c>
      <x:c r="AH120" s="74" t="str">
        <x:v>0</x:v>
      </x:c>
      <x:c r="AI120" s="74" t="str">
        <x:v>0</x:v>
      </x:c>
      <x:c r="AJ120" s="74" t="str">
        <x:v>1</x:v>
      </x:c>
      <x:c r="AK120" s="74" t="str">
        <x:v>1</x:v>
      </x:c>
      <x:c r="AL120" s="74" t="str">
        <x:v>1</x:v>
      </x:c>
      <x:c r="AM120" s="74" t="str">
        <x:v>1</x:v>
      </x:c>
      <x:c r="AN120" s="74" t="str">
        <x:v>0</x:v>
      </x:c>
      <x:c r="AO120" s="60" t="str">
        <x:v>2025</x:v>
      </x:c>
      <x:c r="AP120" s="76" t="str">
        <x:v>Paid-demand technology detected; creative refresh hypothesis</x:v>
      </x:c>
      <x:c r="AQ120" s="76" t="str">
        <x:v>Meta Pixel; call tracking; financing; visible service offer</x:v>
      </x:c>
      <x:c r="AR120" s="76" t="str">
        <x:v>I was reviewing roofing companies in Aiken, South Carolina and Hixon's Roofing - Commercial and Residential Roofers looked like a strong fit for a creative test.</x:v>
      </x:c>
      <x:c r="AS120" s="76" t="str">
        <x:v>storm-to-inspection before/after ad</x:v>
      </x:c>
      <x:c r="AT120" s="76" t="str">
        <x:v>Hixon's Roofing - Commercial and Residential Roofers ad concept</x:v>
      </x:c>
      <x:c r="AU120" s="76" t="str">
        <x:v>Hi Hixon's Roofing - Commercial and Residential Roofers — I was reviewing roofing companies in Aiken, South Carolina and Hixon's Roofing - Commercial and Residential Roofers looked like a strong fit for a creative test. I mapped a private 15-second storm-to-inspection before/after ad for Hixon's Roofing - Commercial and Residential Roofers using only public brand context—not for publishing, just to show the angle. We build three client-approved video ad concepts in seven days, then turn the winners into fresh variations. No filming day required. Worth sending the private sample?</x:v>
      </x:c>
      <x:c r="AV120" s="76" t="str">
        <x:v>Quick follow-up: the sample angle is a storm-to-inspection before/after ad. If it misses the mark, no problem—I won't keep chasing. Should I send it?</x:v>
      </x:c>
      <x:c r="AW120" s="76" t="str">
        <x:v>Hi Hixon's Roofing - Commercial and Residential Roofers, Ryan here. I was looking at Hixon's Roofing - Commercial and Residential Roofers's public marketing and noticed: paid-demand technology detected; creative refresh hypothesis. I mapped one private storm-to-inspection before/after ad as an example. Did I catch you with 30 seconds?</x:v>
      </x:c>
      <x:c r="AX120" s="60" t="str">
        <x:v>https://www.facebook.com/ads/library/?active_status=active&amp;ad_type=all&amp;country=US&amp;q=Hixon%27s%20Roofing%20-%20Commercial%20and%20Residential%20Roofers&amp;search_type=keyword_unordered</x:v>
      </x:c>
      <x:c r="AY120" s="60" t="str">
        <x:v>ok:200</x:v>
      </x:c>
      <x:c r="AZ120" s="60" t="n">
        <x:v>46232.722858796296</x:v>
      </x:c>
      <x:c r="BA120" s="60" t="str">
        <x:v>Google Maps home-services export</x:v>
      </x:c>
      <x:c r="BB120" s="60" t="str">
        <x:v>https://hixonsroofing.com | https://maps.google.com/?cid=10453039885785925927&amp;g_mp=Cidnb29nbGUubWFwcy5wbGFjZXMudjEuUGxhY2VzLlNlYXJjaFRleHQQAhgEIAA</x:v>
      </x:c>
      <x:c r="BC120" s="60" t="str"/>
    </x:row>
    <x:row r="121" ht="18" customHeight="1">
      <x:c r="A121" s="70" t="str">
        <x:v>120</x:v>
      </x:c>
      <x:c r="B121" s="70" t="str">
        <x:v>B - Strong</x:v>
      </x:c>
      <x:c r="C121" s="72" t="str">
        <x:v>67</x:v>
      </x:c>
      <x:c r="D121" s="60" t="str">
        <x:v>Accurate Roof Design Consulting Services LLC</x:v>
      </x:c>
      <x:c r="E121" s="60" t="str">
        <x:v>https://wordpress.com</x:v>
      </x:c>
      <x:c r="F121" s="60" t="str">
        <x:v>https://wordpress.com</x:v>
      </x:c>
      <x:c r="G121" s="60" t="str">
        <x:v>West Columbia</x:v>
      </x:c>
      <x:c r="H121" s="60" t="str">
        <x:v>South Carolina</x:v>
      </x:c>
      <x:c r="I121" s="60" t="str">
        <x:v>Roofing</x:v>
      </x:c>
      <x:c r="J121" s="60" t="str">
        <x:v>Graeme</x:v>
      </x:c>
      <x:c r="K121" s="60" t="str">
        <x:v>Taylor CGC,CRC,MCSE,LREA</x:v>
      </x:c>
      <x:c r="L121" s="60" t="str">
        <x:v>Company Owner</x:v>
      </x:c>
      <x:c r="M121" s="60" t="str"/>
      <x:c r="N121" s="60" t="str"/>
      <x:c r="O121" s="60" t="str">
        <x:v>+1 803 210 8735</x:v>
      </x:c>
      <x:c r="P121" s="60" t="str">
        <x:v>https://www.linkedin.com/in/graemertaylor</x:v>
      </x:c>
      <x:c r="Q121" s="60" t="str">
        <x:v>2-10</x:v>
      </x:c>
      <x:c r="R121" s="60" t="str">
        <x:v>0-99999</x:v>
      </x:c>
      <x:c r="S121" s="60" t="str"/>
      <x:c r="T121" s="74" t="str">
        <x:v>0</x:v>
      </x:c>
      <x:c r="U121" s="60" t="str"/>
      <x:c r="V121" s="74" t="str">
        <x:v>28</x:v>
      </x:c>
      <x:c r="W121" s="74" t="str">
        <x:v>22</x:v>
      </x:c>
      <x:c r="X121" s="74" t="str">
        <x:v>12</x:v>
      </x:c>
      <x:c r="Y121" s="74" t="str">
        <x:v>0</x:v>
      </x:c>
      <x:c r="Z121" s="74" t="str">
        <x:v>5</x:v>
      </x:c>
      <x:c r="AA121" s="74" t="str">
        <x:v>1</x:v>
      </x:c>
      <x:c r="AB121" s="74" t="str">
        <x:v>1</x:v>
      </x:c>
      <x:c r="AC121" s="74" t="str">
        <x:v>0</x:v>
      </x:c>
      <x:c r="AD121" s="74" t="str">
        <x:v>0</x:v>
      </x:c>
      <x:c r="AE121" s="74" t="str">
        <x:v>0</x:v>
      </x:c>
      <x:c r="AF121" s="74" t="str"/>
      <x:c r="AG121" s="74" t="str">
        <x:v>0</x:v>
      </x:c>
      <x:c r="AH121" s="74" t="str">
        <x:v>0</x:v>
      </x:c>
      <x:c r="AI121" s="74" t="str">
        <x:v>0</x:v>
      </x:c>
      <x:c r="AJ121" s="74" t="str">
        <x:v>0</x:v>
      </x:c>
      <x:c r="AK121" s="74" t="str">
        <x:v>0</x:v>
      </x:c>
      <x:c r="AL121" s="74" t="str">
        <x:v>1</x:v>
      </x:c>
      <x:c r="AM121" s="74" t="str">
        <x:v>1</x:v>
      </x:c>
      <x:c r="AN121" s="74" t="str">
        <x:v>1</x:v>
      </x:c>
      <x:c r="AO121" s="60" t="str">
        <x:v>0</x:v>
      </x:c>
      <x:c r="AP121" s="76" t="str">
        <x:v>Meta tracking detected; no embedded homepage video found</x:v>
      </x:c>
      <x:c r="AQ121" s="76" t="str">
        <x:v>Meta Pixel; Google Ads tag; no embedded homepage video detected</x:v>
      </x:c>
      <x:c r="AR121" s="76" t="str">
        <x:v>I noticed Accurate Roof Design Consulting Services LLC's site has Meta tracking installed, but I couldn't find an embedded video on the homepage.</x:v>
      </x:c>
      <x:c r="AS121" s="76" t="str">
        <x:v>storm-to-inspection before/after ad</x:v>
      </x:c>
      <x:c r="AT121" s="76" t="str">
        <x:v>Accurate Roof Design Consulting Services LLC ad concept</x:v>
      </x:c>
      <x:c r="AU121" s="76" t="str">
        <x:v>Hi Graeme — I noticed Accurate Roof Design Consulting Services LLC's site has Meta tracking installed, but I couldn't find an embedded video on the homepage. I mapped a private 15-second storm-to-inspection before/after ad for Accurate Roof Design Consulting Services LLC using only public brand context—not for publishing, just to show the angle. We build three client-approved video ad concepts in seven days, then turn the winners into fresh variations. No filming day required. Worth sending the private sample?</x:v>
      </x:c>
      <x:c r="AV121" s="76" t="str">
        <x:v>Quick follow-up: the sample angle is a storm-to-inspection before/after ad. If it misses the mark, no problem—I won't keep chasing. Should I send it?</x:v>
      </x:c>
      <x:c r="AW121" s="76" t="str">
        <x:v>Hi Graeme, Ryan here. I was looking at Accurate Roof Design Consulting Services LLC's public marketing and noticed: meta tracking detected; no embedded homepage video found. I mapped one private storm-to-inspection before/after ad as an example. Did I catch you with 30 seconds?</x:v>
      </x:c>
      <x:c r="AX121" s="60" t="str">
        <x:v>https://www.facebook.com/ads/library/?active_status=active&amp;ad_type=all&amp;country=US&amp;q=Accurate%20Roof%20Design%20Consulting%20Services%20LLC&amp;search_type=keyword_unordered</x:v>
      </x:c>
      <x:c r="AY121" s="60" t="str">
        <x:v>ok:200</x:v>
      </x:c>
      <x:c r="AZ121" s="60" t="n">
        <x:v>46232.722858796296</x:v>
      </x:c>
      <x:c r="BA121" s="60" t="str">
        <x:v>AI Ark SC trades export</x:v>
      </x:c>
      <x:c r="BB121" s="60" t="str">
        <x:v>https://wordpress.com | https://www.linkedin.com/company/accurate-roof-design-consulting-services-llc</x:v>
      </x:c>
      <x:c r="BC121" s="60" t="str"/>
    </x:row>
    <x:row r="122" ht="18" customHeight="1">
      <x:c r="A122" s="70" t="str">
        <x:v>121</x:v>
      </x:c>
      <x:c r="B122" s="70" t="str">
        <x:v>B - Strong</x:v>
      </x:c>
      <x:c r="C122" s="72" t="str">
        <x:v>67</x:v>
      </x:c>
      <x:c r="D122" s="60" t="str">
        <x:v>Blitch Plumbing</x:v>
      </x:c>
      <x:c r="E122" s="60" t="str">
        <x:v>https://blitchplumbing.com</x:v>
      </x:c>
      <x:c r="F122" s="60" t="str">
        <x:v>https://blitchplumbing.com</x:v>
      </x:c>
      <x:c r="G122" s="60" t="str">
        <x:v>Charleston</x:v>
      </x:c>
      <x:c r="H122" s="60" t="str">
        <x:v>South Carolina</x:v>
      </x:c>
      <x:c r="I122" s="60" t="str">
        <x:v>Plumbing</x:v>
      </x:c>
      <x:c r="J122" s="60" t="str">
        <x:v>Blitch Plumbing</x:v>
      </x:c>
      <x:c r="K122" s="60" t="str"/>
      <x:c r="L122" s="60" t="str">
        <x:v>Owner / decision maker to verify</x:v>
      </x:c>
      <x:c r="M122" s="60" t="str"/>
      <x:c r="N122" s="60" t="str"/>
      <x:c r="O122" s="60" t="str">
        <x:v>(843) 795-9674</x:v>
      </x:c>
      <x:c r="P122" s="60" t="str"/>
      <x:c r="Q122" s="60" t="str"/>
      <x:c r="R122" s="60" t="str"/>
      <x:c r="S122" s="60" t="str">
        <x:v>4.3</x:v>
      </x:c>
      <x:c r="T122" s="74" t="str">
        <x:v>164</x:v>
      </x:c>
      <x:c r="U122" s="60" t="str"/>
      <x:c r="V122" s="74" t="str">
        <x:v>24</x:v>
      </x:c>
      <x:c r="W122" s="74" t="str">
        <x:v>15</x:v>
      </x:c>
      <x:c r="X122" s="74" t="str">
        <x:v>12</x:v>
      </x:c>
      <x:c r="Y122" s="74" t="str">
        <x:v>11</x:v>
      </x:c>
      <x:c r="Z122" s="74" t="str">
        <x:v>5</x:v>
      </x:c>
      <x:c r="AA122" s="74" t="str">
        <x:v>1</x:v>
      </x:c>
      <x:c r="AB122" s="74" t="str">
        <x:v>0</x:v>
      </x:c>
      <x:c r="AC122" s="74" t="str">
        <x:v>1</x:v>
      </x:c>
      <x:c r="AD122" s="74" t="str">
        <x:v>0</x:v>
      </x:c>
      <x:c r="AE122" s="74" t="str">
        <x:v>0</x:v>
      </x:c>
      <x:c r="AF122" s="74" t="str"/>
      <x:c r="AG122" s="74" t="str">
        <x:v>0</x:v>
      </x:c>
      <x:c r="AH122" s="74" t="str">
        <x:v>1</x:v>
      </x:c>
      <x:c r="AI122" s="74" t="str">
        <x:v>0</x:v>
      </x:c>
      <x:c r="AJ122" s="74" t="str">
        <x:v>0</x:v>
      </x:c>
      <x:c r="AK122" s="74" t="str">
        <x:v>1</x:v>
      </x:c>
      <x:c r="AL122" s="74" t="str">
        <x:v>1</x:v>
      </x:c>
      <x:c r="AM122" s="74" t="str">
        <x:v>1</x:v>
      </x:c>
      <x:c r="AN122" s="74" t="str">
        <x:v>0</x:v>
      </x:c>
      <x:c r="AO122" s="60" t="str">
        <x:v>2025</x:v>
      </x:c>
      <x:c r="AP122" s="76" t="str">
        <x:v>Meta tracking detected; no embedded homepage video found</x:v>
      </x:c>
      <x:c r="AQ122" s="76" t="str">
        <x:v>Meta Pixel; project/gallery proof; visible service offer; no embedded homepage video detected</x:v>
      </x:c>
      <x:c r="AR122" s="76" t="str">
        <x:v>I noticed Blitch Plumbing's site has Meta tracking installed, but I couldn't find an embedded video on the homepage.</x:v>
      </x:c>
      <x:c r="AS122" s="76" t="str">
        <x:v>small symptom to prevented-emergency ad</x:v>
      </x:c>
      <x:c r="AT122" s="76" t="str">
        <x:v>Blitch Plumbing ad concept</x:v>
      </x:c>
      <x:c r="AU122" s="76" t="str">
        <x:v>Hi Blitch Plumbing — I noticed Blitch Plumbing's site has Meta tracking installed, but I couldn't find an embedded video on the homepage. I mapped a private 15-second small symptom to prevented-emergency ad for Blitch Plumbing using only public brand context—not for publishing, just to show the angle. We build three client-approved video ad concepts in seven days, then turn the winners into fresh variations. No filming day required. Worth sending the private sample?</x:v>
      </x:c>
      <x:c r="AV122" s="76" t="str">
        <x:v>Quick follow-up: the sample angle is a small symptom to prevented-emergency ad. If it misses the mark, no problem—I won't keep chasing. Should I send it?</x:v>
      </x:c>
      <x:c r="AW122" s="76" t="str">
        <x:v>Hi Blitch Plumbing, Ryan here. I was looking at Blitch Plumbing's public marketing and noticed: meta tracking detected; no embedded homepage video found. I mapped one private small symptom to prevented-emergency ad as an example. Did I catch you with 30 seconds?</x:v>
      </x:c>
      <x:c r="AX122" s="60" t="str">
        <x:v>https://www.facebook.com/ads/library/?active_status=active&amp;ad_type=all&amp;country=US&amp;q=Blitch%20Plumbing&amp;search_type=keyword_unordered</x:v>
      </x:c>
      <x:c r="AY122" s="60" t="str">
        <x:v>ok:200</x:v>
      </x:c>
      <x:c r="AZ122" s="60" t="n">
        <x:v>46232.722858796296</x:v>
      </x:c>
      <x:c r="BA122" s="60" t="str">
        <x:v>Google Maps home-services export</x:v>
      </x:c>
      <x:c r="BB122" s="60" t="str">
        <x:v>https://blitchplumbing.com | https://maps.google.com/?cid=9008644169173320825&amp;g_mp=Cidnb29nbGUubWFwcy5wbGFjZXMudjEuUGxhY2VzLlNlYXJjaFRleHQQAhgEIAA</x:v>
      </x:c>
      <x:c r="BC122" s="60" t="str"/>
    </x:row>
    <x:row r="123" ht="18" customHeight="1">
      <x:c r="A123" s="70" t="str">
        <x:v>122</x:v>
      </x:c>
      <x:c r="B123" s="70" t="str">
        <x:v>B - Strong</x:v>
      </x:c>
      <x:c r="C123" s="72" t="str">
        <x:v>67</x:v>
      </x:c>
      <x:c r="D123" s="60" t="str">
        <x:v>The Wholesale Flooring Company</x:v>
      </x:c>
      <x:c r="E123" s="60" t="str">
        <x:v>https://myrtlebeachfloors.com</x:v>
      </x:c>
      <x:c r="F123" s="60" t="str">
        <x:v>https://www.myrtlebeachfloors.com/</x:v>
      </x:c>
      <x:c r="G123" s="60" t="str">
        <x:v>Myrtle Beach</x:v>
      </x:c>
      <x:c r="H123" s="60" t="str">
        <x:v>South Carolina</x:v>
      </x:c>
      <x:c r="I123" s="60" t="str">
        <x:v>Remodeling</x:v>
      </x:c>
      <x:c r="J123" s="60" t="str">
        <x:v>Tom</x:v>
      </x:c>
      <x:c r="K123" s="60" t="str">
        <x:v>Guido</x:v>
      </x:c>
      <x:c r="L123" s="60" t="str">
        <x:v>Owner</x:v>
      </x:c>
      <x:c r="M123" s="60" t="str"/>
      <x:c r="N123" s="60" t="str"/>
      <x:c r="O123" s="60" t="str">
        <x:v>+1 843 446 3397</x:v>
      </x:c>
      <x:c r="P123" s="60" t="str">
        <x:v>https://www.linkedin.com/in/tom-guido-8a568243</x:v>
      </x:c>
      <x:c r="Q123" s="60" t="str">
        <x:v>2-10</x:v>
      </x:c>
      <x:c r="R123" s="60" t="str">
        <x:v>100000-499999</x:v>
      </x:c>
      <x:c r="S123" s="60" t="str"/>
      <x:c r="T123" s="74" t="str">
        <x:v>0</x:v>
      </x:c>
      <x:c r="U123" s="60" t="str"/>
      <x:c r="V123" s="74" t="str">
        <x:v>25</x:v>
      </x:c>
      <x:c r="W123" s="74" t="str">
        <x:v>15</x:v>
      </x:c>
      <x:c r="X123" s="74" t="str">
        <x:v>16</x:v>
      </x:c>
      <x:c r="Y123" s="74" t="str">
        <x:v>6</x:v>
      </x:c>
      <x:c r="Z123" s="74" t="str">
        <x:v>5</x:v>
      </x:c>
      <x:c r="AA123" s="74" t="str">
        <x:v>1</x:v>
      </x:c>
      <x:c r="AB123" s="74" t="str">
        <x:v>0</x:v>
      </x:c>
      <x:c r="AC123" s="74" t="str">
        <x:v>1</x:v>
      </x:c>
      <x:c r="AD123" s="74" t="str">
        <x:v>0</x:v>
      </x:c>
      <x:c r="AE123" s="74" t="str">
        <x:v>0</x:v>
      </x:c>
      <x:c r="AF123" s="74" t="str"/>
      <x:c r="AG123" s="74" t="str">
        <x:v>0</x:v>
      </x:c>
      <x:c r="AH123" s="74" t="str">
        <x:v>0</x:v>
      </x:c>
      <x:c r="AI123" s="74" t="str">
        <x:v>0</x:v>
      </x:c>
      <x:c r="AJ123" s="74" t="str">
        <x:v>1</x:v>
      </x:c>
      <x:c r="AK123" s="74" t="str">
        <x:v>1</x:v>
      </x:c>
      <x:c r="AL123" s="74" t="str">
        <x:v>0</x:v>
      </x:c>
      <x:c r="AM123" s="74" t="str">
        <x:v>1</x:v>
      </x:c>
      <x:c r="AN123" s="74" t="str">
        <x:v>0</x:v>
      </x:c>
      <x:c r="AO123" s="60" t="str">
        <x:v>2026</x:v>
      </x:c>
      <x:c r="AP123" s="76" t="str">
        <x:v>Meta tracking detected; no embedded homepage video found</x:v>
      </x:c>
      <x:c r="AQ123" s="76" t="str">
        <x:v>Meta Pixel; financing; visible service offer; no embedded homepage video detected</x:v>
      </x:c>
      <x:c r="AR123" s="76" t="str">
        <x:v>I noticed The Wholesale Flooring Company's site has Meta tracking installed, but I couldn't find an embedded video on the homepage.</x:v>
      </x:c>
      <x:c r="AS123" s="76" t="str">
        <x:v>project reveal with budget-and-timeline proof</x:v>
      </x:c>
      <x:c r="AT123" s="76" t="str">
        <x:v>The Wholesale Flooring Company ad concept</x:v>
      </x:c>
      <x:c r="AU123" s="76" t="str">
        <x:v>Hi Tom — I noticed The Wholesale Flooring Company's site has Meta tracking installed, but I couldn't find an embedded video on the homepage. I mapped a private 15-second project reveal with budget-and-timeline proof for The Wholesale Flooring Company using only public brand context—not for publishing, just to show the angle. We build three client-approved video ad concepts in seven days, then turn the winners into fresh variations. No filming day required. Worth sending the private sample?</x:v>
      </x:c>
      <x:c r="AV123" s="76" t="str">
        <x:v>Quick follow-up: the sample angle is a project reveal with budget-and-timeline proof. If it misses the mark, no problem—I won't keep chasing. Should I send it?</x:v>
      </x:c>
      <x:c r="AW123" s="76" t="str">
        <x:v>Hi Tom, Ryan here. I was looking at The Wholesale Flooring Company's public marketing and noticed: meta tracking detected; no embedded homepage video found. I mapped one private project reveal with budget-and-timeline proof as an example. Did I catch you with 30 seconds?</x:v>
      </x:c>
      <x:c r="AX123" s="60" t="str">
        <x:v>https://www.facebook.com/ads/library/?active_status=active&amp;ad_type=all&amp;country=US&amp;q=The%20Wholesale%20Flooring%20Company&amp;search_type=keyword_unordered</x:v>
      </x:c>
      <x:c r="AY123" s="60" t="str">
        <x:v>ok:200</x:v>
      </x:c>
      <x:c r="AZ123" s="60" t="n">
        <x:v>46232.722858796296</x:v>
      </x:c>
      <x:c r="BA123" s="60" t="str">
        <x:v>AI Ark SC trades export</x:v>
      </x:c>
      <x:c r="BB123" s="60" t="str">
        <x:v>https://myrtlebeachfloors.com | https://www.linkedin.com/company/the-wholesale-flooring-company</x:v>
      </x:c>
      <x:c r="BC123" s="60" t="str"/>
    </x:row>
    <x:row r="124" ht="18" customHeight="1">
      <x:c r="A124" s="70" t="str">
        <x:v>123</x:v>
      </x:c>
      <x:c r="B124" s="70" t="str">
        <x:v>B - Strong</x:v>
      </x:c>
      <x:c r="C124" s="72" t="str">
        <x:v>67</x:v>
      </x:c>
      <x:c r="D124" s="60" t="str">
        <x:v>MowMore_ Mower Parts &amp; More</x:v>
      </x:c>
      <x:c r="E124" s="60" t="str">
        <x:v>https://mowmore.com</x:v>
      </x:c>
      <x:c r="F124" s="60" t="str">
        <x:v>https://www.mowmore.com/</x:v>
      </x:c>
      <x:c r="G124" s="60" t="str">
        <x:v>Greenville</x:v>
      </x:c>
      <x:c r="H124" s="60" t="str">
        <x:v>South Carolina</x:v>
      </x:c>
      <x:c r="I124" s="60" t="str">
        <x:v>Landscaping &amp; Tree</x:v>
      </x:c>
      <x:c r="J124" s="60" t="str">
        <x:v>Paul</x:v>
      </x:c>
      <x:c r="K124" s="60" t="str">
        <x:v>Hamilton</x:v>
      </x:c>
      <x:c r="L124" s="60" t="str">
        <x:v>Co-Owner</x:v>
      </x:c>
      <x:c r="M124" s="60" t="str">
        <x:v>paul@mowmore.com</x:v>
      </x:c>
      <x:c r="N124" s="60" t="str">
        <x:v>Verified with BounceBan on 07 Jun 26 18:44</x:v>
      </x:c>
      <x:c r="O124" s="60" t="str">
        <x:v>+1 978 902 5672</x:v>
      </x:c>
      <x:c r="P124" s="60" t="str">
        <x:v>https://www.linkedin.com/in/paul-hamilton-b669974</x:v>
      </x:c>
      <x:c r="Q124" s="60" t="str">
        <x:v>11-50</x:v>
      </x:c>
      <x:c r="R124" s="60" t="str">
        <x:v>100000-499999</x:v>
      </x:c>
      <x:c r="S124" s="60" t="str"/>
      <x:c r="T124" s="74" t="str">
        <x:v>0</x:v>
      </x:c>
      <x:c r="U124" s="60" t="str"/>
      <x:c r="V124" s="74" t="str">
        <x:v>25</x:v>
      </x:c>
      <x:c r="W124" s="74" t="str">
        <x:v>13</x:v>
      </x:c>
      <x:c r="X124" s="74" t="str">
        <x:v>16</x:v>
      </x:c>
      <x:c r="Y124" s="74" t="str">
        <x:v>3</x:v>
      </x:c>
      <x:c r="Z124" s="74" t="str">
        <x:v>10</x:v>
      </x:c>
      <x:c r="AA124" s="74" t="str">
        <x:v>0</x:v>
      </x:c>
      <x:c r="AB124" s="74" t="str">
        <x:v>1</x:v>
      </x:c>
      <x:c r="AC124" s="74" t="str">
        <x:v>1</x:v>
      </x:c>
      <x:c r="AD124" s="74" t="str">
        <x:v>0</x:v>
      </x:c>
      <x:c r="AE124" s="74" t="str">
        <x:v>0</x:v>
      </x:c>
      <x:c r="AF124" s="74" t="str"/>
      <x:c r="AG124" s="74" t="str">
        <x:v>0</x:v>
      </x:c>
      <x:c r="AH124" s="74" t="str">
        <x:v>0</x:v>
      </x:c>
      <x:c r="AI124" s="74" t="str">
        <x:v>0</x:v>
      </x:c>
      <x:c r="AJ124" s="74" t="str">
        <x:v>0</x:v>
      </x:c>
      <x:c r="AK124" s="74" t="str">
        <x:v>1</x:v>
      </x:c>
      <x:c r="AL124" s="74" t="str">
        <x:v>0</x:v>
      </x:c>
      <x:c r="AM124" s="74" t="str">
        <x:v>0</x:v>
      </x:c>
      <x:c r="AN124" s="74" t="str">
        <x:v>0</x:v>
      </x:c>
      <x:c r="AO124" s="60" t="str">
        <x:v>0</x:v>
      </x:c>
      <x:c r="AP124" s="76" t="str">
        <x:v>Google Ads tag detected; no embedded homepage video found</x:v>
      </x:c>
      <x:c r="AQ124" s="76" t="str">
        <x:v>Google Ads tag; visible service offer; no embedded homepage video detected</x:v>
      </x:c>
      <x:c r="AR124" s="76" t="str">
        <x:v>I noticed MowMore_ Mower Parts &amp; More's site has a Google Ads tag installed, but I couldn't find an embedded video on the homepage.</x:v>
      </x:c>
      <x:c r="AS124" s="76" t="str">
        <x:v>property transformation ad</x:v>
      </x:c>
      <x:c r="AT124" s="76" t="str">
        <x:v>MowMore_ Mower Parts &amp; More ad concept</x:v>
      </x:c>
      <x:c r="AU124" s="76" t="str">
        <x:v>Hi Paul — I noticed MowMore_ Mower Parts &amp; More's site has a Google Ads tag installed, but I couldn't find an embedded video on the homepage. I mapped a private 15-second property transformation ad for MowMore_ Mower Parts &amp; More using only public brand context—not for publishing, just to show the angle. We build three client-approved video ad concepts in seven days, then turn the winners into fresh variations. No filming day required. Worth sending the private sample?</x:v>
      </x:c>
      <x:c r="AV124" s="76" t="str">
        <x:v>Quick follow-up: the sample angle is a property transformation ad. If it misses the mark, no problem—I won't keep chasing. Should I send it?</x:v>
      </x:c>
      <x:c r="AW124" s="76" t="str">
        <x:v>Hi Paul, Ryan here. I was looking at MowMore_ Mower Parts &amp; More's public marketing and noticed: google ads tag detected; no embedded homepage video found. I mapped one private property transformation ad as an example. Did I catch you with 30 seconds?</x:v>
      </x:c>
      <x:c r="AX124" s="60" t="str">
        <x:v>https://www.facebook.com/ads/library/?active_status=active&amp;ad_type=all&amp;country=US&amp;q=MowMore_%20Mower%20Parts%20%26%20More&amp;search_type=keyword_unordered</x:v>
      </x:c>
      <x:c r="AY124" s="60" t="str">
        <x:v>ok:200</x:v>
      </x:c>
      <x:c r="AZ124" s="60" t="n">
        <x:v>46232.722858796296</x:v>
      </x:c>
      <x:c r="BA124" s="60" t="str">
        <x:v>AI Ark SC trades export</x:v>
      </x:c>
      <x:c r="BB124" s="60" t="str">
        <x:v>https://mowmore.com | https://www.linkedin.com/company/mowmoreparts</x:v>
      </x:c>
      <x:c r="BC124" s="60" t="str"/>
    </x:row>
    <x:row r="125" ht="18" customHeight="1">
      <x:c r="A125" s="70" t="str">
        <x:v>124</x:v>
      </x:c>
      <x:c r="B125" s="70" t="str">
        <x:v>B - Strong</x:v>
      </x:c>
      <x:c r="C125" s="72" t="str">
        <x:v>67</x:v>
      </x:c>
      <x:c r="D125" s="60" t="str">
        <x:v>Precision Garage Door Service</x:v>
      </x:c>
      <x:c r="E125" s="60" t="str">
        <x:v>https://precisiondoorflorence.com</x:v>
      </x:c>
      <x:c r="F125" s="60" t="str">
        <x:v>https://precisiondoorflorence.com</x:v>
      </x:c>
      <x:c r="G125" s="60" t="str">
        <x:v>Florence</x:v>
      </x:c>
      <x:c r="H125" s="60" t="str">
        <x:v>South Carolina</x:v>
      </x:c>
      <x:c r="I125" s="60" t="str">
        <x:v>Garage Doors</x:v>
      </x:c>
      <x:c r="J125" s="60" t="str">
        <x:v>Precision Garage Door Service</x:v>
      </x:c>
      <x:c r="K125" s="60" t="str"/>
      <x:c r="L125" s="60" t="str">
        <x:v>Owner / decision maker to verify</x:v>
      </x:c>
      <x:c r="M125" s="60" t="str"/>
      <x:c r="N125" s="60" t="str"/>
      <x:c r="O125" s="60" t="str">
        <x:v>(843) 886-1611</x:v>
      </x:c>
      <x:c r="P125" s="60" t="str"/>
      <x:c r="Q125" s="60" t="str"/>
      <x:c r="R125" s="60" t="str"/>
      <x:c r="S125" s="60" t="str">
        <x:v>4.9</x:v>
      </x:c>
      <x:c r="T125" s="74" t="str">
        <x:v>144</x:v>
      </x:c>
      <x:c r="U125" s="60" t="str"/>
      <x:c r="V125" s="74" t="str">
        <x:v>24</x:v>
      </x:c>
      <x:c r="W125" s="74" t="str">
        <x:v>11</x:v>
      </x:c>
      <x:c r="X125" s="74" t="str">
        <x:v>16</x:v>
      </x:c>
      <x:c r="Y125" s="74" t="str">
        <x:v>11</x:v>
      </x:c>
      <x:c r="Z125" s="74" t="str">
        <x:v>5</x:v>
      </x:c>
      <x:c r="AA125" s="74" t="str">
        <x:v>0</x:v>
      </x:c>
      <x:c r="AB125" s="74" t="str">
        <x:v>0</x:v>
      </x:c>
      <x:c r="AC125" s="74" t="str">
        <x:v>1</x:v>
      </x:c>
      <x:c r="AD125" s="74" t="str">
        <x:v>0</x:v>
      </x:c>
      <x:c r="AE125" s="74" t="str">
        <x:v>1</x:v>
      </x:c>
      <x:c r="AF125" s="74" t="str"/>
      <x:c r="AG125" s="74" t="str">
        <x:v>0</x:v>
      </x:c>
      <x:c r="AH125" s="74" t="str">
        <x:v>1</x:v>
      </x:c>
      <x:c r="AI125" s="74" t="str">
        <x:v>0</x:v>
      </x:c>
      <x:c r="AJ125" s="74" t="str">
        <x:v>0</x:v>
      </x:c>
      <x:c r="AK125" s="74" t="str">
        <x:v>1</x:v>
      </x:c>
      <x:c r="AL125" s="74" t="str">
        <x:v>0</x:v>
      </x:c>
      <x:c r="AM125" s="74" t="str">
        <x:v>0</x:v>
      </x:c>
      <x:c r="AN125" s="74" t="str">
        <x:v>0</x:v>
      </x:c>
      <x:c r="AO125" s="60" t="str">
        <x:v>2026</x:v>
      </x:c>
      <x:c r="AP125" s="76" t="str">
        <x:v>Call-tracking stack detected; no embedded homepage video found</x:v>
      </x:c>
      <x:c r="AQ125" s="76" t="str">
        <x:v>call tracking; project/gallery proof; visible service offer; no embedded homepage video detected</x:v>
      </x:c>
      <x:c r="AR125" s="76" t="str">
        <x:v>I noticed Precision Garage Door Service has call tracking in place, but I couldn't find an embedded video on the homepage.</x:v>
      </x:c>
      <x:c r="AS125" s="76" t="str">
        <x:v>curb-appeal transformation ad</x:v>
      </x:c>
      <x:c r="AT125" s="76" t="str">
        <x:v>Precision Garage Door Service ad concept</x:v>
      </x:c>
      <x:c r="AU125" s="76" t="str">
        <x:v>Hi Precision Garage Door Service — I noticed Precision Garage Door Service has call tracking in place, but I couldn't find an embedded video on the homepage. I mapped a private 15-second curb-appeal transformation ad for Precision Garage Door Service using only public brand context—not for publishing, just to show the angle. We build three client-approved video ad concepts in seven days, then turn the winners into fresh variations. No filming day required. Worth sending the private sample?</x:v>
      </x:c>
      <x:c r="AV125" s="76" t="str">
        <x:v>Quick follow-up: the sample angle is a curb-appeal transformation ad. If it misses the mark, no problem—I won't keep chasing. Should I send it?</x:v>
      </x:c>
      <x:c r="AW125" s="76" t="str">
        <x:v>Hi Precision Garage Door Service, Ryan here. I was looking at Precision Garage Door Service's public marketing and noticed: call-tracking stack detected; no embedded homepage video found. I mapped one private curb-appeal transformation ad as an example. Did I catch you with 30 seconds?</x:v>
      </x:c>
      <x:c r="AX125" s="60" t="str">
        <x:v>https://www.facebook.com/ads/library/?active_status=active&amp;ad_type=all&amp;country=US&amp;q=Precision%20Garage%20Door%20Service&amp;search_type=keyword_unordered</x:v>
      </x:c>
      <x:c r="AY125" s="60" t="str">
        <x:v>ok:200</x:v>
      </x:c>
      <x:c r="AZ125" s="60" t="n">
        <x:v>46232.722858796296</x:v>
      </x:c>
      <x:c r="BA125" s="60" t="str">
        <x:v>Google Maps home-services export</x:v>
      </x:c>
      <x:c r="BB125" s="60" t="str">
        <x:v>https://maps.google.com/?cid=16912663805565442401&amp;g_mp=Cidnb29nbGUubWFwcy5wbGFjZXMudjEuUGxhY2VzLlNlYXJjaFRleHQQAhgEIAA | https://precisiondoorflorence.com</x:v>
      </x:c>
      <x:c r="BC125" s="60" t="str"/>
    </x:row>
    <x:row r="126" ht="18" customHeight="1">
      <x:c r="A126" s="70" t="str">
        <x:v>125</x:v>
      </x:c>
      <x:c r="B126" s="70" t="str">
        <x:v>B - Strong</x:v>
      </x:c>
      <x:c r="C126" s="72" t="str">
        <x:v>67</x:v>
      </x:c>
      <x:c r="D126" s="60" t="str">
        <x:v>Ken's Plumbing</x:v>
      </x:c>
      <x:c r="E126" s="60" t="str">
        <x:v>https://kensplumbing.net</x:v>
      </x:c>
      <x:c r="F126" s="60" t="str">
        <x:v>https://kensplumbing.net</x:v>
      </x:c>
      <x:c r="G126" s="60" t="str">
        <x:v>Greenville</x:v>
      </x:c>
      <x:c r="H126" s="60" t="str">
        <x:v>South Carolina</x:v>
      </x:c>
      <x:c r="I126" s="60" t="str">
        <x:v>Plumbing</x:v>
      </x:c>
      <x:c r="J126" s="60" t="str">
        <x:v>Ken's Plumbing</x:v>
      </x:c>
      <x:c r="K126" s="60" t="str"/>
      <x:c r="L126" s="60" t="str">
        <x:v>Owner / decision maker to verify</x:v>
      </x:c>
      <x:c r="M126" s="60" t="str"/>
      <x:c r="N126" s="60" t="str"/>
      <x:c r="O126" s="60" t="str">
        <x:v>(864) 766-8403</x:v>
      </x:c>
      <x:c r="P126" s="60" t="str"/>
      <x:c r="Q126" s="60" t="str"/>
      <x:c r="R126" s="60" t="str"/>
      <x:c r="S126" s="60" t="str">
        <x:v>4.7</x:v>
      </x:c>
      <x:c r="T126" s="74" t="str">
        <x:v>492</x:v>
      </x:c>
      <x:c r="U126" s="60" t="str"/>
      <x:c r="V126" s="74" t="str">
        <x:v>25</x:v>
      </x:c>
      <x:c r="W126" s="74" t="str">
        <x:v>11</x:v>
      </x:c>
      <x:c r="X126" s="74" t="str">
        <x:v>16</x:v>
      </x:c>
      <x:c r="Y126" s="74" t="str">
        <x:v>10</x:v>
      </x:c>
      <x:c r="Z126" s="74" t="str">
        <x:v>5</x:v>
      </x:c>
      <x:c r="AA126" s="74" t="str">
        <x:v>0</x:v>
      </x:c>
      <x:c r="AB126" s="74" t="str">
        <x:v>0</x:v>
      </x:c>
      <x:c r="AC126" s="74" t="str">
        <x:v>1</x:v>
      </x:c>
      <x:c r="AD126" s="74" t="str">
        <x:v>0</x:v>
      </x:c>
      <x:c r="AE126" s="74" t="str">
        <x:v>1</x:v>
      </x:c>
      <x:c r="AF126" s="74" t="str"/>
      <x:c r="AG126" s="74" t="str">
        <x:v>0</x:v>
      </x:c>
      <x:c r="AH126" s="74" t="str">
        <x:v>0</x:v>
      </x:c>
      <x:c r="AI126" s="74" t="str">
        <x:v>1</x:v>
      </x:c>
      <x:c r="AJ126" s="74" t="str">
        <x:v>0</x:v>
      </x:c>
      <x:c r="AK126" s="74" t="str">
        <x:v>1</x:v>
      </x:c>
      <x:c r="AL126" s="74" t="str">
        <x:v>0</x:v>
      </x:c>
      <x:c r="AM126" s="74" t="str">
        <x:v>1</x:v>
      </x:c>
      <x:c r="AN126" s="74" t="str">
        <x:v>0</x:v>
      </x:c>
      <x:c r="AO126" s="60" t="str">
        <x:v>2026</x:v>
      </x:c>
      <x:c r="AP126" s="76" t="str">
        <x:v>Call-tracking stack detected; no embedded homepage video found</x:v>
      </x:c>
      <x:c r="AQ126" s="76" t="str">
        <x:v>call tracking; testimonials; visible service offer; no embedded homepage video detected</x:v>
      </x:c>
      <x:c r="AR126" s="76" t="str">
        <x:v>I noticed Ken's Plumbing has call tracking in place, but I couldn't find an embedded video on the homepage.</x:v>
      </x:c>
      <x:c r="AS126" s="76" t="str">
        <x:v>small symptom to prevented-emergency ad</x:v>
      </x:c>
      <x:c r="AT126" s="76" t="str">
        <x:v>Ken's Plumbing ad concept</x:v>
      </x:c>
      <x:c r="AU126" s="76" t="str">
        <x:v>Hi Ken's Plumbing — I noticed Ken's Plumbing has call tracking in place, but I couldn't find an embedded video on the homepage. I mapped a private 15-second small symptom to prevented-emergency ad for Ken's Plumbing using only public brand context—not for publishing, just to show the angle. We build three client-approved video ad concepts in seven days, then turn the winners into fresh variations. No filming day required. Worth sending the private sample?</x:v>
      </x:c>
      <x:c r="AV126" s="76" t="str">
        <x:v>Quick follow-up: the sample angle is a small symptom to prevented-emergency ad. If it misses the mark, no problem—I won't keep chasing. Should I send it?</x:v>
      </x:c>
      <x:c r="AW126" s="76" t="str">
        <x:v>Hi Ken's Plumbing, Ryan here. I was looking at Ken's Plumbing's public marketing and noticed: call-tracking stack detected; no embedded homepage video found. I mapped one private small symptom to prevented-emergency ad as an example. Did I catch you with 30 seconds?</x:v>
      </x:c>
      <x:c r="AX126" s="60" t="str">
        <x:v>https://www.facebook.com/ads/library/?active_status=active&amp;ad_type=all&amp;country=US&amp;q=Ken%27s%20Plumbing&amp;search_type=keyword_unordered</x:v>
      </x:c>
      <x:c r="AY126" s="60" t="str">
        <x:v>ok:200</x:v>
      </x:c>
      <x:c r="AZ126" s="60" t="n">
        <x:v>46232.722858796296</x:v>
      </x:c>
      <x:c r="BA126" s="60" t="str">
        <x:v>Google Maps home-services export</x:v>
      </x:c>
      <x:c r="BB126" s="60" t="str">
        <x:v>https://kensplumbing.net | https://maps.google.com/?cid=7700559178511251403&amp;g_mp=Cidnb29nbGUubWFwcy5wbGFjZXMudjEuUGxhY2VzLlNlYXJjaFRleHQQAhgEIAA</x:v>
      </x:c>
      <x:c r="BC126" s="60" t="str"/>
    </x:row>
    <x:row r="127" ht="18" customHeight="1">
      <x:c r="A127" s="70" t="str">
        <x:v>126</x:v>
      </x:c>
      <x:c r="B127" s="70" t="str">
        <x:v>B - Strong</x:v>
      </x:c>
      <x:c r="C127" s="72" t="str">
        <x:v>67</x:v>
      </x:c>
      <x:c r="D127" s="60" t="str">
        <x:v>The Roofing Company</x:v>
      </x:c>
      <x:c r="E127" s="60" t="str">
        <x:v>https://theroofingco.com</x:v>
      </x:c>
      <x:c r="F127" s="60" t="str">
        <x:v>https://theroofingco.com</x:v>
      </x:c>
      <x:c r="G127" s="60" t="str">
        <x:v>Spartanburg</x:v>
      </x:c>
      <x:c r="H127" s="60" t="str">
        <x:v>South Carolina</x:v>
      </x:c>
      <x:c r="I127" s="60" t="str">
        <x:v>Roofing</x:v>
      </x:c>
      <x:c r="J127" s="60" t="str">
        <x:v>Jeff</x:v>
      </x:c>
      <x:c r="K127" s="60" t="str">
        <x:v>Jones</x:v>
      </x:c>
      <x:c r="L127" s="60" t="str">
        <x:v>Co-Owner</x:v>
      </x:c>
      <x:c r="M127" s="60" t="str">
        <x:v>jeffj@theroofingco.com</x:v>
      </x:c>
      <x:c r="N127" s="60" t="str">
        <x:v>Verified with BounceBan on 08 Jun 26 12:06</x:v>
      </x:c>
      <x:c r="O127" s="60" t="str"/>
      <x:c r="P127" s="60" t="str">
        <x:v>https://www.linkedin.com/in/jeff-jones-977256263</x:v>
      </x:c>
      <x:c r="Q127" s="60" t="str">
        <x:v>51-200</x:v>
      </x:c>
      <x:c r="R127" s="60" t="str">
        <x:v>5000000-9999999</x:v>
      </x:c>
      <x:c r="S127" s="60" t="str"/>
      <x:c r="T127" s="74" t="str">
        <x:v>0</x:v>
      </x:c>
      <x:c r="U127" s="60" t="str"/>
      <x:c r="V127" s="74" t="str">
        <x:v>30</x:v>
      </x:c>
      <x:c r="W127" s="74" t="str">
        <x:v>11</x:v>
      </x:c>
      <x:c r="X127" s="74" t="str">
        <x:v>12</x:v>
      </x:c>
      <x:c r="Y127" s="74" t="str">
        <x:v>7</x:v>
      </x:c>
      <x:c r="Z127" s="74" t="str">
        <x:v>7</x:v>
      </x:c>
      <x:c r="AA127" s="74" t="str">
        <x:v>0</x:v>
      </x:c>
      <x:c r="AB127" s="74" t="str">
        <x:v>0</x:v>
      </x:c>
      <x:c r="AC127" s="74" t="str">
        <x:v>1</x:v>
      </x:c>
      <x:c r="AD127" s="74" t="str">
        <x:v>0</x:v>
      </x:c>
      <x:c r="AE127" s="74" t="str">
        <x:v>1</x:v>
      </x:c>
      <x:c r="AF127" s="74" t="str"/>
      <x:c r="AG127" s="74" t="str">
        <x:v>0</x:v>
      </x:c>
      <x:c r="AH127" s="74" t="str">
        <x:v>0</x:v>
      </x:c>
      <x:c r="AI127" s="74" t="str">
        <x:v>1</x:v>
      </x:c>
      <x:c r="AJ127" s="74" t="str">
        <x:v>0</x:v>
      </x:c>
      <x:c r="AK127" s="74" t="str">
        <x:v>1</x:v>
      </x:c>
      <x:c r="AL127" s="74" t="str">
        <x:v>1</x:v>
      </x:c>
      <x:c r="AM127" s="74" t="str">
        <x:v>0</x:v>
      </x:c>
      <x:c r="AN127" s="74" t="str">
        <x:v>0</x:v>
      </x:c>
      <x:c r="AO127" s="60" t="str">
        <x:v>2026</x:v>
      </x:c>
      <x:c r="AP127" s="76" t="str">
        <x:v>Call-tracking stack detected; no embedded homepage video found</x:v>
      </x:c>
      <x:c r="AQ127" s="76" t="str">
        <x:v>call tracking; testimonials; visible service offer; no embedded homepage video detected</x:v>
      </x:c>
      <x:c r="AR127" s="76" t="str">
        <x:v>I noticed The Roofing Company has call tracking in place, but I couldn't find an embedded video on the homepage.</x:v>
      </x:c>
      <x:c r="AS127" s="76" t="str">
        <x:v>storm-to-inspection before/after ad</x:v>
      </x:c>
      <x:c r="AT127" s="76" t="str">
        <x:v>The Roofing Company ad concept</x:v>
      </x:c>
      <x:c r="AU127" s="76" t="str">
        <x:v>Hi Jeff — I noticed The Roofing Company has call tracking in place, but I couldn't find an embedded video on the homepage. I mapped a private 15-second storm-to-inspection before/after ad for The Roofing Company using only public brand context—not for publishing, just to show the angle. We build three client-approved video ad concepts in seven days, then turn the winners into fresh variations. No filming day required. Worth sending the private sample?</x:v>
      </x:c>
      <x:c r="AV127" s="76" t="str">
        <x:v>Quick follow-up: the sample angle is a storm-to-inspection before/after ad. If it misses the mark, no problem—I won't keep chasing. Should I send it?</x:v>
      </x:c>
      <x:c r="AW127" s="76" t="str">
        <x:v>Hi Jeff, Ryan here. I was looking at The Roofing Company's public marketing and noticed: call-tracking stack detected; no embedded homepage video found. I mapped one private storm-to-inspection before/after ad as an example. Did I catch you with 30 seconds?</x:v>
      </x:c>
      <x:c r="AX127" s="60" t="str">
        <x:v>https://www.facebook.com/ads/library/?active_status=active&amp;ad_type=all&amp;country=US&amp;q=The%20Roofing%20Company&amp;search_type=keyword_unordered</x:v>
      </x:c>
      <x:c r="AY127" s="60" t="str">
        <x:v>ok:200</x:v>
      </x:c>
      <x:c r="AZ127" s="60" t="n">
        <x:v>46232.722858796296</x:v>
      </x:c>
      <x:c r="BA127" s="60" t="str">
        <x:v>AI Ark SC trades export</x:v>
      </x:c>
      <x:c r="BB127" s="60" t="str">
        <x:v>https://theroofingco.com | https://www.linkedin.com/company/the-roofing-company</x:v>
      </x:c>
      <x:c r="BC127" s="60" t="str"/>
    </x:row>
    <x:row r="128" ht="18" customHeight="1">
      <x:c r="A128" s="70" t="str">
        <x:v>127</x:v>
      </x:c>
      <x:c r="B128" s="70" t="str">
        <x:v>B - Strong</x:v>
      </x:c>
      <x:c r="C128" s="72" t="str">
        <x:v>66</x:v>
      </x:c>
      <x:c r="D128" s="60" t="str">
        <x:v>Mitchell Heating &amp; Cooling</x:v>
      </x:c>
      <x:c r="E128" s="60" t="str">
        <x:v>https://mitchellhvac.com</x:v>
      </x:c>
      <x:c r="F128" s="60" t="str">
        <x:v>https://mitchellhvac.com</x:v>
      </x:c>
      <x:c r="G128" s="60" t="str">
        <x:v>Mount Pleasant</x:v>
      </x:c>
      <x:c r="H128" s="60" t="str">
        <x:v>South Carolina</x:v>
      </x:c>
      <x:c r="I128" s="60" t="str">
        <x:v>HVAC</x:v>
      </x:c>
      <x:c r="J128" s="60" t="str">
        <x:v>Mitchell Heating &amp; Cooling</x:v>
      </x:c>
      <x:c r="K128" s="60" t="str"/>
      <x:c r="L128" s="60" t="str">
        <x:v>Owner / decision maker to verify</x:v>
      </x:c>
      <x:c r="M128" s="60" t="str"/>
      <x:c r="N128" s="60" t="str"/>
      <x:c r="O128" s="60" t="str">
        <x:v>(843) 790-7301</x:v>
      </x:c>
      <x:c r="P128" s="60" t="str"/>
      <x:c r="Q128" s="60" t="str"/>
      <x:c r="R128" s="60" t="str"/>
      <x:c r="S128" s="60" t="str">
        <x:v>4.9</x:v>
      </x:c>
      <x:c r="T128" s="74" t="str">
        <x:v>28</x:v>
      </x:c>
      <x:c r="U128" s="60" t="str">
        <x:v>missed_calls, communication</x:v>
      </x:c>
      <x:c r="V128" s="74" t="str">
        <x:v>24</x:v>
      </x:c>
      <x:c r="W128" s="74" t="str">
        <x:v>25</x:v>
      </x:c>
      <x:c r="X128" s="74" t="str">
        <x:v>2</x:v>
      </x:c>
      <x:c r="Y128" s="74" t="str">
        <x:v>10</x:v>
      </x:c>
      <x:c r="Z128" s="74" t="str">
        <x:v>5</x:v>
      </x:c>
      <x:c r="AA128" s="74" t="str">
        <x:v>1</x:v>
      </x:c>
      <x:c r="AB128" s="74" t="str">
        <x:v>1</x:v>
      </x:c>
      <x:c r="AC128" s="74" t="str">
        <x:v>1</x:v>
      </x:c>
      <x:c r="AD128" s="74" t="str">
        <x:v>0</x:v>
      </x:c>
      <x:c r="AE128" s="74" t="str">
        <x:v>0</x:v>
      </x:c>
      <x:c r="AF128" s="74" t="str"/>
      <x:c r="AG128" s="74" t="str">
        <x:v>1</x:v>
      </x:c>
      <x:c r="AH128" s="74" t="str">
        <x:v>0</x:v>
      </x:c>
      <x:c r="AI128" s="74" t="str">
        <x:v>1</x:v>
      </x:c>
      <x:c r="AJ128" s="74" t="str">
        <x:v>1</x:v>
      </x:c>
      <x:c r="AK128" s="74" t="str">
        <x:v>1</x:v>
      </x:c>
      <x:c r="AL128" s="74" t="str">
        <x:v>1</x:v>
      </x:c>
      <x:c r="AM128" s="74" t="str">
        <x:v>1</x:v>
      </x:c>
      <x:c r="AN128" s="74" t="str">
        <x:v>1</x:v>
      </x:c>
      <x:c r="AO128" s="60" t="str">
        <x:v>2026</x:v>
      </x:c>
      <x:c r="AP128" s="76" t="str">
        <x:v>Paid-demand technology detected; creative refresh hypothesis</x:v>
      </x:c>
      <x:c r="AQ128" s="76" t="str">
        <x:v>Meta Pixel; Google Ads tag; testimonials; financing; visible service offer</x:v>
      </x:c>
      <x:c r="AR128" s="76" t="str">
        <x:v>I was reviewing hvac companies in Mount Pleasant, South Carolina and Mitchell Heating &amp; Cooling looked like a strong fit for a creative test.</x:v>
      </x:c>
      <x:c r="AS128" s="76" t="str">
        <x:v>no-cool-call to same-day comfort ad</x:v>
      </x:c>
      <x:c r="AT128" s="76" t="str">
        <x:v>Mitchell Heating &amp; Cooling ad concept</x:v>
      </x:c>
      <x:c r="AU128" s="76" t="str">
        <x:v>Hi Mitchell Heating &amp; Cooling — I was reviewing hvac companies in Mount Pleasant, South Carolina and Mitchell Heating &amp; Cooling looked like a strong fit for a creative test. I mapped a private 15-second no-cool-call to same-day comfort ad for Mitchell Heating &amp; Cooling using only public brand context—not for publishing, just to show the angle. We build three client-approved video ad concepts in seven days, then turn the winners into fresh variations. No filming day required. Worth sending the private sample?</x:v>
      </x:c>
      <x:c r="AV128" s="76" t="str">
        <x:v>Quick follow-up: the sample angle is a no-cool-call to same-day comfort ad. If it misses the mark, no problem—I won't keep chasing. Should I send it?</x:v>
      </x:c>
      <x:c r="AW128" s="76" t="str">
        <x:v>Hi Mitchell Heating &amp; Cooling, Ryan here. I was looking at Mitchell Heating &amp; Cooling's public marketing and noticed: paid-demand technology detected; creative refresh hypothesis. I mapped one private no-cool-call to same-day comfort ad as an example. Did I catch you with 30 seconds?</x:v>
      </x:c>
      <x:c r="AX128" s="60" t="str">
        <x:v>https://www.facebook.com/ads/library/?active_status=active&amp;ad_type=all&amp;country=US&amp;q=Mitchell%20Heating%20%26%20Cooling&amp;search_type=keyword_unordered</x:v>
      </x:c>
      <x:c r="AY128" s="60" t="str">
        <x:v>ok:200</x:v>
      </x:c>
      <x:c r="AZ128" s="60" t="n">
        <x:v>46232.722858796296</x:v>
      </x:c>
      <x:c r="BA128" s="60" t="str">
        <x:v>Google Maps home-services export</x:v>
      </x:c>
      <x:c r="BB128" s="60" t="str">
        <x:v>https://maps.google.com/?cid=9022126685955497281&amp;g_mp=Cidnb29nbGUubWFwcy5wbGFjZXMudjEuUGxhY2VzLlNlYXJjaFRleHQQAhgEIAA | https://mitchellhvac.com</x:v>
      </x:c>
      <x:c r="BC128" s="60" t="str"/>
    </x:row>
    <x:row r="129" ht="18" customHeight="1">
      <x:c r="A129" s="70" t="str">
        <x:v>128</x:v>
      </x:c>
      <x:c r="B129" s="70" t="str">
        <x:v>B - Strong</x:v>
      </x:c>
      <x:c r="C129" s="72" t="str">
        <x:v>66</x:v>
      </x:c>
      <x:c r="D129" s="60" t="str">
        <x:v>Leverage Roofing</x:v>
      </x:c>
      <x:c r="E129" s="60" t="str">
        <x:v>https://leverageroofing.com</x:v>
      </x:c>
      <x:c r="F129" s="60" t="str">
        <x:v>https://leverageroofing.com</x:v>
      </x:c>
      <x:c r="G129" s="60" t="str">
        <x:v>Myrtle Beach</x:v>
      </x:c>
      <x:c r="H129" s="60" t="str">
        <x:v>South Carolina</x:v>
      </x:c>
      <x:c r="I129" s="60" t="str">
        <x:v>Roofing</x:v>
      </x:c>
      <x:c r="J129" s="60" t="str">
        <x:v>Leverage Roofing</x:v>
      </x:c>
      <x:c r="K129" s="60" t="str"/>
      <x:c r="L129" s="60" t="str">
        <x:v>Owner / decision maker to verify</x:v>
      </x:c>
      <x:c r="M129" s="60" t="str"/>
      <x:c r="N129" s="60" t="str"/>
      <x:c r="O129" s="60" t="str">
        <x:v>(843) 284-6444</x:v>
      </x:c>
      <x:c r="P129" s="60" t="str"/>
      <x:c r="Q129" s="60" t="str"/>
      <x:c r="R129" s="60" t="str"/>
      <x:c r="S129" s="60" t="str">
        <x:v>4.9</x:v>
      </x:c>
      <x:c r="T129" s="74" t="str">
        <x:v>423</x:v>
      </x:c>
      <x:c r="U129" s="60" t="str"/>
      <x:c r="V129" s="74" t="str">
        <x:v>30</x:v>
      </x:c>
      <x:c r="W129" s="74" t="str">
        <x:v>18</x:v>
      </x:c>
      <x:c r="X129" s="74" t="str">
        <x:v>0</x:v>
      </x:c>
      <x:c r="Y129" s="74" t="str">
        <x:v>13</x:v>
      </x:c>
      <x:c r="Z129" s="74" t="str">
        <x:v>5</x:v>
      </x:c>
      <x:c r="AA129" s="74" t="str">
        <x:v>1</x:v>
      </x:c>
      <x:c r="AB129" s="74" t="str">
        <x:v>0</x:v>
      </x:c>
      <x:c r="AC129" s="74" t="str">
        <x:v>1</x:v>
      </x:c>
      <x:c r="AD129" s="74" t="str">
        <x:v>0</x:v>
      </x:c>
      <x:c r="AE129" s="74" t="str">
        <x:v>0</x:v>
      </x:c>
      <x:c r="AF129" s="74" t="str">
        <x:v>podium</x:v>
      </x:c>
      <x:c r="AG129" s="74" t="str">
        <x:v>1</x:v>
      </x:c>
      <x:c r="AH129" s="74" t="str">
        <x:v>0</x:v>
      </x:c>
      <x:c r="AI129" s="74" t="str">
        <x:v>1</x:v>
      </x:c>
      <x:c r="AJ129" s="74" t="str">
        <x:v>1</x:v>
      </x:c>
      <x:c r="AK129" s="74" t="str">
        <x:v>1</x:v>
      </x:c>
      <x:c r="AL129" s="74" t="str">
        <x:v>1</x:v>
      </x:c>
      <x:c r="AM129" s="74" t="str">
        <x:v>1</x:v>
      </x:c>
      <x:c r="AN129" s="74" t="str">
        <x:v>0</x:v>
      </x:c>
      <x:c r="AO129" s="60" t="str">
        <x:v>2026</x:v>
      </x:c>
      <x:c r="AP129" s="76" t="str">
        <x:v>Paid-demand technology detected; creative refresh hypothesis</x:v>
      </x:c>
      <x:c r="AQ129" s="76" t="str">
        <x:v>Meta Pixel; testimonials; financing; visible service offer</x:v>
      </x:c>
      <x:c r="AR129" s="76" t="str">
        <x:v>I was reviewing roofing companies in Myrtle Beach, South Carolina and Leverage Roofing looked like a strong fit for a creative test.</x:v>
      </x:c>
      <x:c r="AS129" s="76" t="str">
        <x:v>storm-to-inspection before/after ad</x:v>
      </x:c>
      <x:c r="AT129" s="76" t="str">
        <x:v>Leverage Roofing ad concept</x:v>
      </x:c>
      <x:c r="AU129" s="76" t="str">
        <x:v>Hi Leverage Roofing — I was reviewing roofing companies in Myrtle Beach, South Carolina and Leverage Roofing looked like a strong fit for a creative test. I mapped a private 15-second storm-to-inspection before/after ad for Leverage Roofing using only public brand context—not for publishing, just to show the angle. We build three client-approved video ad concepts in seven days, then turn the winners into fresh variations. No filming day required. Worth sending the private sample?</x:v>
      </x:c>
      <x:c r="AV129" s="76" t="str">
        <x:v>Quick follow-up: the sample angle is a storm-to-inspection before/after ad. If it misses the mark, no problem—I won't keep chasing. Should I send it?</x:v>
      </x:c>
      <x:c r="AW129" s="76" t="str">
        <x:v>Hi Leverage Roofing, Ryan here. I was looking at Leverage Roofing's public marketing and noticed: paid-demand technology detected; creative refresh hypothesis. I mapped one private storm-to-inspection before/after ad as an example. Did I catch you with 30 seconds?</x:v>
      </x:c>
      <x:c r="AX129" s="60" t="str">
        <x:v>https://www.facebook.com/ads/library/?active_status=active&amp;ad_type=all&amp;country=US&amp;q=Leverage%20Roofing&amp;search_type=keyword_unordered</x:v>
      </x:c>
      <x:c r="AY129" s="60" t="str">
        <x:v>ok:200</x:v>
      </x:c>
      <x:c r="AZ129" s="60" t="n">
        <x:v>46232.722858796296</x:v>
      </x:c>
      <x:c r="BA129" s="60" t="str">
        <x:v>Google Maps home-services export</x:v>
      </x:c>
      <x:c r="BB129" s="60" t="str">
        <x:v>https://leverageroofing.com | https://maps.google.com/?cid=13611188952169971939&amp;g_mp=Cidnb29nbGUubWFwcy5wbGFjZXMudjEuUGxhY2VzLlNlYXJjaFRleHQQAhgEIAA</x:v>
      </x:c>
      <x:c r="BC129" s="60" t="str"/>
    </x:row>
    <x:row r="130" ht="18" customHeight="1">
      <x:c r="A130" s="70" t="str">
        <x:v>129</x:v>
      </x:c>
      <x:c r="B130" s="70" t="str">
        <x:v>B - Strong</x:v>
      </x:c>
      <x:c r="C130" s="72" t="str">
        <x:v>66</x:v>
      </x:c>
      <x:c r="D130" s="60" t="str">
        <x:v>Pearson Heating &amp; Air</x:v>
      </x:c>
      <x:c r="E130" s="60" t="str">
        <x:v>https://pearsonheatingandair.com</x:v>
      </x:c>
      <x:c r="F130" s="60" t="str">
        <x:v>https://pearsonheatingandair.com</x:v>
      </x:c>
      <x:c r="G130" s="60" t="str">
        <x:v>Spartanburg</x:v>
      </x:c>
      <x:c r="H130" s="60" t="str">
        <x:v>South Carolina</x:v>
      </x:c>
      <x:c r="I130" s="60" t="str">
        <x:v>HVAC</x:v>
      </x:c>
      <x:c r="J130" s="60" t="str">
        <x:v>Jeff</x:v>
      </x:c>
      <x:c r="K130" s="60" t="str">
        <x:v>Pearson</x:v>
      </x:c>
      <x:c r="L130" s="60" t="str">
        <x:v>Business Owner</x:v>
      </x:c>
      <x:c r="M130" s="60" t="str"/>
      <x:c r="N130" s="60" t="str"/>
      <x:c r="O130" s="60" t="str">
        <x:v>+1 864 347 5571</x:v>
      </x:c>
      <x:c r="P130" s="60" t="str">
        <x:v>https://www.linkedin.com/in/jeff-pearson-7b0034a9</x:v>
      </x:c>
      <x:c r="Q130" s="60" t="str">
        <x:v>2-10</x:v>
      </x:c>
      <x:c r="R130" s="60" t="str">
        <x:v>100000-499999</x:v>
      </x:c>
      <x:c r="S130" s="60" t="str">
        <x:v>4.7</x:v>
      </x:c>
      <x:c r="T130" s="74" t="str">
        <x:v>93</x:v>
      </x:c>
      <x:c r="U130" s="60" t="str"/>
      <x:c r="V130" s="74" t="str">
        <x:v>29</x:v>
      </x:c>
      <x:c r="W130" s="74" t="str">
        <x:v>18</x:v>
      </x:c>
      <x:c r="X130" s="74" t="str">
        <x:v>12</x:v>
      </x:c>
      <x:c r="Y130" s="74" t="str">
        <x:v>2</x:v>
      </x:c>
      <x:c r="Z130" s="74" t="str">
        <x:v>5</x:v>
      </x:c>
      <x:c r="AA130" s="74" t="str">
        <x:v>1</x:v>
      </x:c>
      <x:c r="AB130" s="74" t="str">
        <x:v>0</x:v>
      </x:c>
      <x:c r="AC130" s="74" t="str">
        <x:v>1</x:v>
      </x:c>
      <x:c r="AD130" s="74" t="str">
        <x:v>0</x:v>
      </x:c>
      <x:c r="AE130" s="74" t="str">
        <x:v>0</x:v>
      </x:c>
      <x:c r="AF130" s="74" t="str">
        <x:v>housecallpro</x:v>
      </x:c>
      <x:c r="AG130" s="74" t="str">
        <x:v>0</x:v>
      </x:c>
      <x:c r="AH130" s="74" t="str">
        <x:v>0</x:v>
      </x:c>
      <x:c r="AI130" s="74" t="str">
        <x:v>0</x:v>
      </x:c>
      <x:c r="AJ130" s="74" t="str">
        <x:v>0</x:v>
      </x:c>
      <x:c r="AK130" s="74" t="str">
        <x:v>0</x:v>
      </x:c>
      <x:c r="AL130" s="74" t="str">
        <x:v>0</x:v>
      </x:c>
      <x:c r="AM130" s="74" t="str">
        <x:v>1</x:v>
      </x:c>
      <x:c r="AN130" s="74" t="str">
        <x:v>1</x:v>
      </x:c>
      <x:c r="AO130" s="60" t="str">
        <x:v>2026</x:v>
      </x:c>
      <x:c r="AP130" s="76" t="str">
        <x:v>Meta tracking detected; no embedded homepage video found</x:v>
      </x:c>
      <x:c r="AQ130" s="76" t="str">
        <x:v>Meta Pixel; no embedded homepage video detected</x:v>
      </x:c>
      <x:c r="AR130" s="76" t="str">
        <x:v>I noticed Pearson Heating &amp; Air's site has Meta tracking installed, but I couldn't find an embedded video on the homepage.</x:v>
      </x:c>
      <x:c r="AS130" s="76" t="str">
        <x:v>no-cool-call to same-day comfort ad</x:v>
      </x:c>
      <x:c r="AT130" s="76" t="str">
        <x:v>Pearson Heating &amp; Air ad concept</x:v>
      </x:c>
      <x:c r="AU130" s="76" t="str">
        <x:v>Hi Jeff — I noticed Pearson Heating &amp; Air's site has Meta tracking installed, but I couldn't find an embedded video on the homepage. I mapped a private 15-second no-cool-call to same-day comfort ad for Pearson Heating &amp; Air using only public brand context—not for publishing, just to show the angle. We build three client-approved video ad concepts in seven days, then turn the winners into fresh variations. No filming day required. Worth sending the private sample?</x:v>
      </x:c>
      <x:c r="AV130" s="76" t="str">
        <x:v>Quick follow-up: the sample angle is a no-cool-call to same-day comfort ad. If it misses the mark, no problem—I won't keep chasing. Should I send it?</x:v>
      </x:c>
      <x:c r="AW130" s="76" t="str">
        <x:v>Hi Jeff, Ryan here. I was looking at Pearson Heating &amp; Air's public marketing and noticed: meta tracking detected; no embedded homepage video found. I mapped one private no-cool-call to same-day comfort ad as an example. Did I catch you with 30 seconds?</x:v>
      </x:c>
      <x:c r="AX130" s="60" t="str">
        <x:v>https://www.facebook.com/ads/library/?active_status=active&amp;ad_type=all&amp;country=US&amp;q=Pearson%20Heating%20%26%20Air&amp;search_type=keyword_unordered</x:v>
      </x:c>
      <x:c r="AY130" s="60" t="str">
        <x:v>ok:200</x:v>
      </x:c>
      <x:c r="AZ130" s="60" t="n">
        <x:v>46232.722858796296</x:v>
      </x:c>
      <x:c r="BA130" s="60" t="str">
        <x:v>AI Ark SC trades export | Google Maps home-services export</x:v>
      </x:c>
      <x:c r="BB130" s="60" t="str">
        <x:v>https://maps.google.com/?cid=13687192644209508885&amp;g_mp=Cidnb29nbGUubWFwcy5wbGFjZXMudjEuUGxhY2VzLlNlYXJjaFRleHQQAhgEIAA | https://pearsonheatingandair.com | https://www.linkedin.com/company/pearson-heating-&amp;-air</x:v>
      </x:c>
      <x:c r="BC130" s="60" t="str"/>
    </x:row>
    <x:row r="131" ht="18" customHeight="1">
      <x:c r="A131" s="70" t="str">
        <x:v>130</x:v>
      </x:c>
      <x:c r="B131" s="70" t="str">
        <x:v>B - Strong</x:v>
      </x:c>
      <x:c r="C131" s="72" t="str">
        <x:v>66</x:v>
      </x:c>
      <x:c r="D131" s="60" t="str">
        <x:v>Z Plumberz</x:v>
      </x:c>
      <x:c r="E131" s="60" t="str">
        <x:v>https://zplumberz.com</x:v>
      </x:c>
      <x:c r="F131" s="60" t="str">
        <x:v>https://www.zplumberz.com/</x:v>
      </x:c>
      <x:c r="G131" s="60" t="str">
        <x:v>Rock Hill</x:v>
      </x:c>
      <x:c r="H131" s="60" t="str">
        <x:v>South Carolina</x:v>
      </x:c>
      <x:c r="I131" s="60" t="str">
        <x:v>Plumbing</x:v>
      </x:c>
      <x:c r="J131" s="60" t="str">
        <x:v>Z Plumberz</x:v>
      </x:c>
      <x:c r="K131" s="60" t="str"/>
      <x:c r="L131" s="60" t="str">
        <x:v>Owner / decision maker to verify</x:v>
      </x:c>
      <x:c r="M131" s="60" t="str"/>
      <x:c r="N131" s="60" t="str"/>
      <x:c r="O131" s="60" t="str">
        <x:v>(704) 216-4629</x:v>
      </x:c>
      <x:c r="P131" s="60" t="str"/>
      <x:c r="Q131" s="60" t="str"/>
      <x:c r="R131" s="60" t="str"/>
      <x:c r="S131" s="60" t="str">
        <x:v>5</x:v>
      </x:c>
      <x:c r="T131" s="74" t="str">
        <x:v>84</x:v>
      </x:c>
      <x:c r="U131" s="60" t="str"/>
      <x:c r="V131" s="74" t="str">
        <x:v>22</x:v>
      </x:c>
      <x:c r="W131" s="74" t="str">
        <x:v>15</x:v>
      </x:c>
      <x:c r="X131" s="74" t="str">
        <x:v>12</x:v>
      </x:c>
      <x:c r="Y131" s="74" t="str">
        <x:v>12</x:v>
      </x:c>
      <x:c r="Z131" s="74" t="str">
        <x:v>5</x:v>
      </x:c>
      <x:c r="AA131" s="74" t="str">
        <x:v>1</x:v>
      </x:c>
      <x:c r="AB131" s="74" t="str">
        <x:v>0</x:v>
      </x:c>
      <x:c r="AC131" s="74" t="str">
        <x:v>1</x:v>
      </x:c>
      <x:c r="AD131" s="74" t="str">
        <x:v>0</x:v>
      </x:c>
      <x:c r="AE131" s="74" t="str">
        <x:v>0</x:v>
      </x:c>
      <x:c r="AF131" s="74" t="str"/>
      <x:c r="AG131" s="74" t="str">
        <x:v>0</x:v>
      </x:c>
      <x:c r="AH131" s="74" t="str">
        <x:v>0</x:v>
      </x:c>
      <x:c r="AI131" s="74" t="str">
        <x:v>1</x:v>
      </x:c>
      <x:c r="AJ131" s="74" t="str">
        <x:v>1</x:v>
      </x:c>
      <x:c r="AK131" s="74" t="str">
        <x:v>1</x:v>
      </x:c>
      <x:c r="AL131" s="74" t="str">
        <x:v>1</x:v>
      </x:c>
      <x:c r="AM131" s="74" t="str">
        <x:v>1</x:v>
      </x:c>
      <x:c r="AN131" s="74" t="str">
        <x:v>0</x:v>
      </x:c>
      <x:c r="AO131" s="60" t="str">
        <x:v>2026</x:v>
      </x:c>
      <x:c r="AP131" s="76" t="str">
        <x:v>Meta tracking detected; no embedded homepage video found</x:v>
      </x:c>
      <x:c r="AQ131" s="76" t="str">
        <x:v>Meta Pixel; testimonials; financing; visible service offer; no embedded homepage video detected</x:v>
      </x:c>
      <x:c r="AR131" s="76" t="str">
        <x:v>I noticed Z Plumberz's site has Meta tracking installed, but I couldn't find an embedded video on the homepage.</x:v>
      </x:c>
      <x:c r="AS131" s="76" t="str">
        <x:v>small symptom to prevented-emergency ad</x:v>
      </x:c>
      <x:c r="AT131" s="76" t="str">
        <x:v>Z Plumberz ad concept</x:v>
      </x:c>
      <x:c r="AU131" s="76" t="str">
        <x:v>Hi Z Plumberz — I noticed Z Plumberz's site has Meta tracking installed, but I couldn't find an embedded video on the homepage. I mapped a private 15-second small symptom to prevented-emergency ad for Z Plumberz using only public brand context—not for publishing, just to show the angle. We build three client-approved video ad concepts in seven days, then turn the winners into fresh variations. No filming day required. Worth sending the private sample?</x:v>
      </x:c>
      <x:c r="AV131" s="76" t="str">
        <x:v>Quick follow-up: the sample angle is a small symptom to prevented-emergency ad. If it misses the mark, no problem—I won't keep chasing. Should I send it?</x:v>
      </x:c>
      <x:c r="AW131" s="76" t="str">
        <x:v>Hi Z Plumberz, Ryan here. I was looking at Z Plumberz's public marketing and noticed: meta tracking detected; no embedded homepage video found. I mapped one private small symptom to prevented-emergency ad as an example. Did I catch you with 30 seconds?</x:v>
      </x:c>
      <x:c r="AX131" s="60" t="str">
        <x:v>https://www.facebook.com/ads/library/?active_status=active&amp;ad_type=all&amp;country=US&amp;q=Z%20Plumberz&amp;search_type=keyword_unordered</x:v>
      </x:c>
      <x:c r="AY131" s="60" t="str">
        <x:v>ok:200</x:v>
      </x:c>
      <x:c r="AZ131" s="60" t="n">
        <x:v>46232.722858796296</x:v>
      </x:c>
      <x:c r="BA131" s="60" t="str">
        <x:v>Google Maps home-services export</x:v>
      </x:c>
      <x:c r="BB131" s="60" t="str">
        <x:v>https://maps.google.com/?cid=10831589928981729106&amp;g_mp=Cidnb29nbGUubWFwcy5wbGFjZXMudjEuUGxhY2VzLlNlYXJjaFRleHQQAhgEIAA | https://zplumberz.com</x:v>
      </x:c>
      <x:c r="BC131" s="60" t="str"/>
    </x:row>
    <x:row r="132" ht="18" customHeight="1">
      <x:c r="A132" s="70" t="str">
        <x:v>131</x:v>
      </x:c>
      <x:c r="B132" s="70" t="str">
        <x:v>B - Strong</x:v>
      </x:c>
      <x:c r="C132" s="72" t="str">
        <x:v>66</x:v>
      </x:c>
      <x:c r="D132" s="60" t="str">
        <x:v>Spann Roofing and Sheet Metal, Inc</x:v>
      </x:c>
      <x:c r="E132" s="60" t="str">
        <x:v>https://spannroofing.com</x:v>
      </x:c>
      <x:c r="F132" s="60" t="str">
        <x:v>https://spannroofing.com</x:v>
      </x:c>
      <x:c r="G132" s="60" t="str">
        <x:v>Murrells Inlet</x:v>
      </x:c>
      <x:c r="H132" s="60" t="str">
        <x:v>South Carolina</x:v>
      </x:c>
      <x:c r="I132" s="60" t="str">
        <x:v>Roofing</x:v>
      </x:c>
      <x:c r="J132" s="60" t="str">
        <x:v>Jimbo</x:v>
      </x:c>
      <x:c r="K132" s="60" t="str">
        <x:v>Spann</x:v>
      </x:c>
      <x:c r="L132" s="60" t="str">
        <x:v>Owner &amp; President</x:v>
      </x:c>
      <x:c r="M132" s="60" t="str">
        <x:v>jspann@spannroofing.com</x:v>
      </x:c>
      <x:c r="N132" s="60" t="str">
        <x:v>Verified with BounceBan on 07 Jun 26 21:06</x:v>
      </x:c>
      <x:c r="O132" s="60" t="str">
        <x:v>+1 334 435 0272, +1 803 448 8331</x:v>
      </x:c>
      <x:c r="P132" s="60" t="str">
        <x:v>https://www.linkedin.com/in/jimbo-spann-88582069</x:v>
      </x:c>
      <x:c r="Q132" s="60" t="str">
        <x:v>51-200</x:v>
      </x:c>
      <x:c r="R132" s="60" t="str">
        <x:v>1000000-4999999</x:v>
      </x:c>
      <x:c r="S132" s="60" t="str">
        <x:v>4.8</x:v>
      </x:c>
      <x:c r="T132" s="74" t="str">
        <x:v>123</x:v>
      </x:c>
      <x:c r="U132" s="60" t="str"/>
      <x:c r="V132" s="74" t="str">
        <x:v>30</x:v>
      </x:c>
      <x:c r="W132" s="74" t="str">
        <x:v>15</x:v>
      </x:c>
      <x:c r="X132" s="74" t="str">
        <x:v>0</x:v>
      </x:c>
      <x:c r="Y132" s="74" t="str">
        <x:v>11</x:v>
      </x:c>
      <x:c r="Z132" s="74" t="str">
        <x:v>10</x:v>
      </x:c>
      <x:c r="AA132" s="74" t="str">
        <x:v>1</x:v>
      </x:c>
      <x:c r="AB132" s="74" t="str">
        <x:v>0</x:v>
      </x:c>
      <x:c r="AC132" s="74" t="str">
        <x:v>1</x:v>
      </x:c>
      <x:c r="AD132" s="74" t="str">
        <x:v>0</x:v>
      </x:c>
      <x:c r="AE132" s="74" t="str">
        <x:v>0</x:v>
      </x:c>
      <x:c r="AF132" s="74" t="str"/>
      <x:c r="AG132" s="74" t="str">
        <x:v>1</x:v>
      </x:c>
      <x:c r="AH132" s="74" t="str">
        <x:v>1</x:v>
      </x:c>
      <x:c r="AI132" s="74" t="str">
        <x:v>0</x:v>
      </x:c>
      <x:c r="AJ132" s="74" t="str">
        <x:v>0</x:v>
      </x:c>
      <x:c r="AK132" s="74" t="str">
        <x:v>1</x:v>
      </x:c>
      <x:c r="AL132" s="74" t="str">
        <x:v>1</x:v>
      </x:c>
      <x:c r="AM132" s="74" t="str">
        <x:v>1</x:v>
      </x:c>
      <x:c r="AN132" s="74" t="str">
        <x:v>1</x:v>
      </x:c>
      <x:c r="AO132" s="60" t="str">
        <x:v>2026</x:v>
      </x:c>
      <x:c r="AP132" s="76" t="str">
        <x:v>Paid-demand technology detected; creative refresh hypothesis</x:v>
      </x:c>
      <x:c r="AQ132" s="76" t="str">
        <x:v>Meta Pixel; project/gallery proof; visible service offer</x:v>
      </x:c>
      <x:c r="AR132" s="76" t="str">
        <x:v>I was reviewing roofing companies in Murrells Inlet, South Carolina and Spann Roofing and Sheet Metal, Inc looked like a strong fit for a creative test.</x:v>
      </x:c>
      <x:c r="AS132" s="76" t="str">
        <x:v>storm-to-inspection before/after ad</x:v>
      </x:c>
      <x:c r="AT132" s="76" t="str">
        <x:v>Spann Roofing and Sheet Metal, Inc ad concept</x:v>
      </x:c>
      <x:c r="AU132" s="76" t="str">
        <x:v>Hi Jimbo — I was reviewing roofing companies in Murrells Inlet, South Carolina and Spann Roofing and Sheet Metal, Inc looked like a strong fit for a creative test. I mapped a private 15-second storm-to-inspection before/after ad for Spann Roofing and Sheet Metal, Inc using only public brand context—not for publishing, just to show the angle. We build three client-approved video ad concepts in seven days, then turn the winners into fresh variations. No filming day required. Worth sending the private sample?</x:v>
      </x:c>
      <x:c r="AV132" s="76" t="str">
        <x:v>Quick follow-up: the sample angle is a storm-to-inspection before/after ad. If it misses the mark, no problem—I won't keep chasing. Should I send it?</x:v>
      </x:c>
      <x:c r="AW132" s="76" t="str">
        <x:v>Hi Jimbo, Ryan here. I was looking at Spann Roofing and Sheet Metal, Inc's public marketing and noticed: paid-demand technology detected; creative refresh hypothesis. I mapped one private storm-to-inspection before/after ad as an example. Did I catch you with 30 seconds?</x:v>
      </x:c>
      <x:c r="AX132" s="60" t="str">
        <x:v>https://www.facebook.com/ads/library/?active_status=active&amp;ad_type=all&amp;country=US&amp;q=Spann%20Roofing%20and%20Sheet%20Metal%2C%20Inc&amp;search_type=keyword_unordered</x:v>
      </x:c>
      <x:c r="AY132" s="60" t="str">
        <x:v>ok:200</x:v>
      </x:c>
      <x:c r="AZ132" s="60" t="n">
        <x:v>46232.722858796296</x:v>
      </x:c>
      <x:c r="BA132" s="60" t="str">
        <x:v>AI Ark SC trades export | Google Maps home-services export</x:v>
      </x:c>
      <x:c r="BB132" s="60" t="str">
        <x:v>https://maps.google.com/?cid=8445903422162054320&amp;g_mp=Cidnb29nbGUubWFwcy5wbGFjZXMudjEuUGxhY2VzLlNlYXJjaFRleHQQAhgEIAA | https://spannroofing.com | https://www.linkedin.com/company/spann-roofing-and-sheet-metal-inc</x:v>
      </x:c>
      <x:c r="BC132" s="60" t="str"/>
    </x:row>
    <x:row r="133" ht="18" customHeight="1">
      <x:c r="A133" s="70" t="str">
        <x:v>132</x:v>
      </x:c>
      <x:c r="B133" s="70" t="str">
        <x:v>B - Strong</x:v>
      </x:c>
      <x:c r="C133" s="72" t="str">
        <x:v>66</x:v>
      </x:c>
      <x:c r="D133" s="60" t="str">
        <x:v>Sievert Electrical Contractors</x:v>
      </x:c>
      <x:c r="E133" s="60" t="str">
        <x:v>https://sievertelectrical.com</x:v>
      </x:c>
      <x:c r="F133" s="60" t="str">
        <x:v>https://sievertelectrical.com</x:v>
      </x:c>
      <x:c r="G133" s="60" t="str">
        <x:v>Charleston</x:v>
      </x:c>
      <x:c r="H133" s="60" t="str">
        <x:v>South Carolina</x:v>
      </x:c>
      <x:c r="I133" s="60" t="str">
        <x:v>Electrical</x:v>
      </x:c>
      <x:c r="J133" s="60" t="str">
        <x:v>Sievert Electrical Contractors</x:v>
      </x:c>
      <x:c r="K133" s="60" t="str"/>
      <x:c r="L133" s="60" t="str">
        <x:v>Owner / decision maker to verify</x:v>
      </x:c>
      <x:c r="M133" s="60" t="str"/>
      <x:c r="N133" s="60" t="str"/>
      <x:c r="O133" s="60" t="str">
        <x:v>(843) 906-9876</x:v>
      </x:c>
      <x:c r="P133" s="60" t="str"/>
      <x:c r="Q133" s="60" t="str"/>
      <x:c r="R133" s="60" t="str"/>
      <x:c r="S133" s="60" t="str">
        <x:v>4.7</x:v>
      </x:c>
      <x:c r="T133" s="74" t="str">
        <x:v>39</x:v>
      </x:c>
      <x:c r="U133" s="60" t="str"/>
      <x:c r="V133" s="74" t="str">
        <x:v>21</x:v>
      </x:c>
      <x:c r="W133" s="74" t="str">
        <x:v>15</x:v>
      </x:c>
      <x:c r="X133" s="74" t="str">
        <x:v>15</x:v>
      </x:c>
      <x:c r="Y133" s="74" t="str">
        <x:v>10</x:v>
      </x:c>
      <x:c r="Z133" s="74" t="str">
        <x:v>5</x:v>
      </x:c>
      <x:c r="AA133" s="74" t="str">
        <x:v>1</x:v>
      </x:c>
      <x:c r="AB133" s="74" t="str">
        <x:v>0</x:v>
      </x:c>
      <x:c r="AC133" s="74" t="str">
        <x:v>1</x:v>
      </x:c>
      <x:c r="AD133" s="74" t="str">
        <x:v>0</x:v>
      </x:c>
      <x:c r="AE133" s="74" t="str">
        <x:v>0</x:v>
      </x:c>
      <x:c r="AF133" s="74" t="str"/>
      <x:c r="AG133" s="74" t="str">
        <x:v>0</x:v>
      </x:c>
      <x:c r="AH133" s="74" t="str">
        <x:v>1</x:v>
      </x:c>
      <x:c r="AI133" s="74" t="str">
        <x:v>0</x:v>
      </x:c>
      <x:c r="AJ133" s="74" t="str">
        <x:v>0</x:v>
      </x:c>
      <x:c r="AK133" s="74" t="str">
        <x:v>1</x:v>
      </x:c>
      <x:c r="AL133" s="74" t="str">
        <x:v>1</x:v>
      </x:c>
      <x:c r="AM133" s="74" t="str">
        <x:v>1</x:v>
      </x:c>
      <x:c r="AN133" s="74" t="str">
        <x:v>0</x:v>
      </x:c>
      <x:c r="AO133" s="60" t="str">
        <x:v>2022</x:v>
      </x:c>
      <x:c r="AP133" s="76" t="str">
        <x:v>Meta tracking detected; no embedded homepage video found</x:v>
      </x:c>
      <x:c r="AQ133" s="76" t="str">
        <x:v>Meta Pixel; project/gallery proof; visible service offer; no embedded homepage video detected</x:v>
      </x:c>
      <x:c r="AR133" s="76" t="str">
        <x:v>I noticed Sievert Electrical Contractors's site has Meta tracking installed, but I couldn't find an embedded video on the homepage.</x:v>
      </x:c>
      <x:c r="AS133" s="76" t="str">
        <x:v>safety inspection problem/solution ad</x:v>
      </x:c>
      <x:c r="AT133" s="76" t="str">
        <x:v>Sievert Electrical Contractors ad concept</x:v>
      </x:c>
      <x:c r="AU133" s="76" t="str">
        <x:v>Hi Sievert Electrical Contractors — I noticed Sievert Electrical Contractors's site has Meta tracking installed, but I couldn't find an embedded video on the homepage. I mapped a private 15-second safety inspection problem/solution ad for Sievert Electrical Contractors using only public brand context—not for publishing, just to show the angle. We build three client-approved video ad concepts in seven days, then turn the winners into fresh variations. No filming day required. Worth sending the private sample?</x:v>
      </x:c>
      <x:c r="AV133" s="76" t="str">
        <x:v>Quick follow-up: the sample angle is a safety inspection problem/solution ad. If it misses the mark, no problem—I won't keep chasing. Should I send it?</x:v>
      </x:c>
      <x:c r="AW133" s="76" t="str">
        <x:v>Hi Sievert Electrical Contractors, Ryan here. I was looking at Sievert Electrical Contractors's public marketing and noticed: meta tracking detected; no embedded homepage video found. I mapped one private safety inspection problem/solution ad as an example. Did I catch you with 30 seconds?</x:v>
      </x:c>
      <x:c r="AX133" s="60" t="str">
        <x:v>https://www.facebook.com/ads/library/?active_status=active&amp;ad_type=all&amp;country=US&amp;q=Sievert%20Electrical%20Contractors&amp;search_type=keyword_unordered</x:v>
      </x:c>
      <x:c r="AY133" s="60" t="str">
        <x:v>ok:200</x:v>
      </x:c>
      <x:c r="AZ133" s="60" t="n">
        <x:v>46232.722858796296</x:v>
      </x:c>
      <x:c r="BA133" s="60" t="str">
        <x:v>Google Maps home-services export</x:v>
      </x:c>
      <x:c r="BB133" s="60" t="str">
        <x:v>https://maps.google.com/?cid=14911318595107265546&amp;g_mp=Cidnb29nbGUubWFwcy5wbGFjZXMudjEuUGxhY2VzLlNlYXJjaFRleHQQAhgEIAA | https://sievertelectrical.com</x:v>
      </x:c>
      <x:c r="BC133" s="60" t="str"/>
    </x:row>
    <x:row r="134" ht="18" customHeight="1">
      <x:c r="A134" s="70" t="str">
        <x:v>133</x:v>
      </x:c>
      <x:c r="B134" s="70" t="str">
        <x:v>B - Strong</x:v>
      </x:c>
      <x:c r="C134" s="72" t="str">
        <x:v>66</x:v>
      </x:c>
      <x:c r="D134" s="60" t="str">
        <x:v>Power Plus System, LLC</x:v>
      </x:c>
      <x:c r="E134" s="60" t="str">
        <x:v>https://ppselectrical.com</x:v>
      </x:c>
      <x:c r="F134" s="60" t="str">
        <x:v>https://www.ppselectrical.com/</x:v>
      </x:c>
      <x:c r="G134" s="60" t="str">
        <x:v>Summerville</x:v>
      </x:c>
      <x:c r="H134" s="60" t="str">
        <x:v>South Carolina</x:v>
      </x:c>
      <x:c r="I134" s="60" t="str">
        <x:v>Electrical</x:v>
      </x:c>
      <x:c r="J134" s="60" t="str">
        <x:v>Power Plus System, LLC</x:v>
      </x:c>
      <x:c r="K134" s="60" t="str"/>
      <x:c r="L134" s="60" t="str">
        <x:v>Owner / decision maker to verify</x:v>
      </x:c>
      <x:c r="M134" s="60" t="str"/>
      <x:c r="N134" s="60" t="str"/>
      <x:c r="O134" s="60" t="str">
        <x:v>(843) 821-8971</x:v>
      </x:c>
      <x:c r="P134" s="60" t="str"/>
      <x:c r="Q134" s="60" t="str"/>
      <x:c r="R134" s="60" t="str"/>
      <x:c r="S134" s="60" t="str">
        <x:v>4.9</x:v>
      </x:c>
      <x:c r="T134" s="74" t="str">
        <x:v>254</x:v>
      </x:c>
      <x:c r="U134" s="60" t="str"/>
      <x:c r="V134" s="74" t="str">
        <x:v>24</x:v>
      </x:c>
      <x:c r="W134" s="74" t="str">
        <x:v>15</x:v>
      </x:c>
      <x:c r="X134" s="74" t="str">
        <x:v>16</x:v>
      </x:c>
      <x:c r="Y134" s="74" t="str">
        <x:v>6</x:v>
      </x:c>
      <x:c r="Z134" s="74" t="str">
        <x:v>5</x:v>
      </x:c>
      <x:c r="AA134" s="74" t="str">
        <x:v>1</x:v>
      </x:c>
      <x:c r="AB134" s="74" t="str">
        <x:v>0</x:v>
      </x:c>
      <x:c r="AC134" s="74" t="str">
        <x:v>1</x:v>
      </x:c>
      <x:c r="AD134" s="74" t="str">
        <x:v>0</x:v>
      </x:c>
      <x:c r="AE134" s="74" t="str">
        <x:v>0</x:v>
      </x:c>
      <x:c r="AF134" s="74" t="str"/>
      <x:c r="AG134" s="74" t="str">
        <x:v>0</x:v>
      </x:c>
      <x:c r="AH134" s="74" t="str">
        <x:v>0</x:v>
      </x:c>
      <x:c r="AI134" s="74" t="str">
        <x:v>0</x:v>
      </x:c>
      <x:c r="AJ134" s="74" t="str">
        <x:v>0</x:v>
      </x:c>
      <x:c r="AK134" s="74" t="str">
        <x:v>1</x:v>
      </x:c>
      <x:c r="AL134" s="74" t="str">
        <x:v>0</x:v>
      </x:c>
      <x:c r="AM134" s="74" t="str">
        <x:v>1</x:v>
      </x:c>
      <x:c r="AN134" s="74" t="str">
        <x:v>0</x:v>
      </x:c>
      <x:c r="AO134" s="60" t="str">
        <x:v>2026</x:v>
      </x:c>
      <x:c r="AP134" s="76" t="str">
        <x:v>Meta tracking detected; no embedded homepage video found</x:v>
      </x:c>
      <x:c r="AQ134" s="76" t="str">
        <x:v>Meta Pixel; visible service offer; no embedded homepage video detected</x:v>
      </x:c>
      <x:c r="AR134" s="76" t="str">
        <x:v>I noticed Power Plus System, LLC's site has Meta tracking installed, but I couldn't find an embedded video on the homepage.</x:v>
      </x:c>
      <x:c r="AS134" s="76" t="str">
        <x:v>safety inspection problem/solution ad</x:v>
      </x:c>
      <x:c r="AT134" s="76" t="str">
        <x:v>Power Plus System, LLC ad concept</x:v>
      </x:c>
      <x:c r="AU134" s="76" t="str">
        <x:v>Hi Power Plus System, LLC — I noticed Power Plus System, LLC's site has Meta tracking installed, but I couldn't find an embedded video on the homepage. I mapped a private 15-second safety inspection problem/solution ad for Power Plus System, LLC using only public brand context—not for publishing, just to show the angle. We build three client-approved video ad concepts in seven days, then turn the winners into fresh variations. No filming day required. Worth sending the private sample?</x:v>
      </x:c>
      <x:c r="AV134" s="76" t="str">
        <x:v>Quick follow-up: the sample angle is a safety inspection problem/solution ad. If it misses the mark, no problem—I won't keep chasing. Should I send it?</x:v>
      </x:c>
      <x:c r="AW134" s="76" t="str">
        <x:v>Hi Power Plus System, LLC, Ryan here. I was looking at Power Plus System, LLC's public marketing and noticed: meta tracking detected; no embedded homepage video found. I mapped one private safety inspection problem/solution ad as an example. Did I catch you with 30 seconds?</x:v>
      </x:c>
      <x:c r="AX134" s="60" t="str">
        <x:v>https://www.facebook.com/ads/library/?active_status=active&amp;ad_type=all&amp;country=US&amp;q=Power%20Plus%20System%2C%20LLC&amp;search_type=keyword_unordered</x:v>
      </x:c>
      <x:c r="AY134" s="60" t="str">
        <x:v>ok:200</x:v>
      </x:c>
      <x:c r="AZ134" s="60" t="n">
        <x:v>46232.722858796296</x:v>
      </x:c>
      <x:c r="BA134" s="60" t="str">
        <x:v>Google Maps home-services export</x:v>
      </x:c>
      <x:c r="BB134" s="60" t="str">
        <x:v>https://maps.google.com/?cid=10763578529584787264&amp;g_mp=Cidnb29nbGUubWFwcy5wbGFjZXMudjEuUGxhY2VzLlNlYXJjaFRleHQQAhgEIAA | https://ppselectrical.com</x:v>
      </x:c>
      <x:c r="BC134" s="60" t="str"/>
    </x:row>
    <x:row r="135" ht="18" customHeight="1">
      <x:c r="A135" s="70" t="str">
        <x:v>134</x:v>
      </x:c>
      <x:c r="B135" s="70" t="str">
        <x:v>B - Strong</x:v>
      </x:c>
      <x:c r="C135" s="72" t="str">
        <x:v>66</x:v>
      </x:c>
      <x:c r="D135" s="60" t="str">
        <x:v>Ilderton Contractors Inc.</x:v>
      </x:c>
      <x:c r="E135" s="60" t="str">
        <x:v>https://ildertoncontracting.com</x:v>
      </x:c>
      <x:c r="F135" s="60" t="str">
        <x:v>https://www.ildertoncontracting.com/</x:v>
      </x:c>
      <x:c r="G135" s="60" t="str">
        <x:v>Sullivans Island</x:v>
      </x:c>
      <x:c r="H135" s="60" t="str">
        <x:v>South Carolina</x:v>
      </x:c>
      <x:c r="I135" s="60" t="str">
        <x:v>Remodeling</x:v>
      </x:c>
      <x:c r="J135" s="60" t="str">
        <x:v>Pat</x:v>
      </x:c>
      <x:c r="K135" s="60" t="str">
        <x:v>Ilderton</x:v>
      </x:c>
      <x:c r="L135" s="60" t="str">
        <x:v>owner</x:v>
      </x:c>
      <x:c r="M135" s="60" t="str"/>
      <x:c r="N135" s="60" t="str"/>
      <x:c r="O135" s="60" t="str">
        <x:v>+1 314 973 2502</x:v>
      </x:c>
      <x:c r="P135" s="60" t="str">
        <x:v>https://www.linkedin.com/in/pat-ilderton-88086b1b</x:v>
      </x:c>
      <x:c r="Q135" s="60" t="str">
        <x:v>2-10</x:v>
      </x:c>
      <x:c r="R135" s="60" t="str">
        <x:v>100000-499999</x:v>
      </x:c>
      <x:c r="S135" s="60" t="str"/>
      <x:c r="T135" s="74" t="str">
        <x:v>0</x:v>
      </x:c>
      <x:c r="U135" s="60" t="str"/>
      <x:c r="V135" s="74" t="str">
        <x:v>25</x:v>
      </x:c>
      <x:c r="W135" s="74" t="str">
        <x:v>15</x:v>
      </x:c>
      <x:c r="X135" s="74" t="str">
        <x:v>16</x:v>
      </x:c>
      <x:c r="Y135" s="74" t="str">
        <x:v>5</x:v>
      </x:c>
      <x:c r="Z135" s="74" t="str">
        <x:v>5</x:v>
      </x:c>
      <x:c r="AA135" s="74" t="str">
        <x:v>1</x:v>
      </x:c>
      <x:c r="AB135" s="74" t="str">
        <x:v>0</x:v>
      </x:c>
      <x:c r="AC135" s="74" t="str">
        <x:v>1</x:v>
      </x:c>
      <x:c r="AD135" s="74" t="str">
        <x:v>0</x:v>
      </x:c>
      <x:c r="AE135" s="74" t="str">
        <x:v>0</x:v>
      </x:c>
      <x:c r="AF135" s="74" t="str"/>
      <x:c r="AG135" s="74" t="str">
        <x:v>0</x:v>
      </x:c>
      <x:c r="AH135" s="74" t="str">
        <x:v>1</x:v>
      </x:c>
      <x:c r="AI135" s="74" t="str">
        <x:v>0</x:v>
      </x:c>
      <x:c r="AJ135" s="74" t="str">
        <x:v>0</x:v>
      </x:c>
      <x:c r="AK135" s="74" t="str">
        <x:v>0</x:v>
      </x:c>
      <x:c r="AL135" s="74" t="str">
        <x:v>0</x:v>
      </x:c>
      <x:c r="AM135" s="74" t="str">
        <x:v>1</x:v>
      </x:c>
      <x:c r="AN135" s="74" t="str">
        <x:v>0</x:v>
      </x:c>
      <x:c r="AO135" s="60" t="str">
        <x:v>2025</x:v>
      </x:c>
      <x:c r="AP135" s="76" t="str">
        <x:v>Meta tracking detected; no embedded homepage video found</x:v>
      </x:c>
      <x:c r="AQ135" s="76" t="str">
        <x:v>Meta Pixel; project/gallery proof; no embedded homepage video detected</x:v>
      </x:c>
      <x:c r="AR135" s="76" t="str">
        <x:v>I noticed Ilderton Contractors Inc.'s site has Meta tracking installed, but I couldn't find an embedded video on the homepage.</x:v>
      </x:c>
      <x:c r="AS135" s="76" t="str">
        <x:v>project reveal with budget-and-timeline proof</x:v>
      </x:c>
      <x:c r="AT135" s="76" t="str">
        <x:v>Ilderton Contractors Inc. ad concept</x:v>
      </x:c>
      <x:c r="AU135" s="76" t="str">
        <x:v>Hi Pat — I noticed Ilderton Contractors Inc.'s site has Meta tracking installed, but I couldn't find an embedded video on the homepage. I mapped a private 15-second project reveal with budget-and-timeline proof for Ilderton Contractors Inc. using only public brand context—not for publishing, just to show the angle. We build three client-approved video ad concepts in seven days, then turn the winners into fresh variations. No filming day required. Worth sending the private sample?</x:v>
      </x:c>
      <x:c r="AV135" s="76" t="str">
        <x:v>Quick follow-up: the sample angle is a project reveal with budget-and-timeline proof. If it misses the mark, no problem—I won't keep chasing. Should I send it?</x:v>
      </x:c>
      <x:c r="AW135" s="76" t="str">
        <x:v>Hi Pat, Ryan here. I was looking at Ilderton Contractors Inc.'s public marketing and noticed: meta tracking detected; no embedded homepage video found. I mapped one private project reveal with budget-and-timeline proof as an example. Did I catch you with 30 seconds?</x:v>
      </x:c>
      <x:c r="AX135" s="60" t="str">
        <x:v>https://www.facebook.com/ads/library/?active_status=active&amp;ad_type=all&amp;country=US&amp;q=Ilderton%20Contractors%20Inc.&amp;search_type=keyword_unordered</x:v>
      </x:c>
      <x:c r="AY135" s="60" t="str">
        <x:v>ok:200</x:v>
      </x:c>
      <x:c r="AZ135" s="60" t="n">
        <x:v>46232.722858796296</x:v>
      </x:c>
      <x:c r="BA135" s="60" t="str">
        <x:v>AI Ark SC trades export</x:v>
      </x:c>
      <x:c r="BB135" s="60" t="str">
        <x:v>https://ildertoncontracting.com | https://www.linkedin.com/company/ilderton-contractors-inc.</x:v>
      </x:c>
      <x:c r="BC135" s="60" t="str"/>
    </x:row>
    <x:row r="136" ht="18" customHeight="1">
      <x:c r="A136" s="70" t="str">
        <x:v>135</x:v>
      </x:c>
      <x:c r="B136" s="70" t="str">
        <x:v>B - Strong</x:v>
      </x:c>
      <x:c r="C136" s="72" t="str">
        <x:v>66</x:v>
      </x:c>
      <x:c r="D136" s="60" t="str">
        <x:v>GarageTek</x:v>
      </x:c>
      <x:c r="E136" s="60" t="str">
        <x:v>https://garagetek.com</x:v>
      </x:c>
      <x:c r="F136" s="60" t="str">
        <x:v>https://www.garagetek.com/</x:v>
      </x:c>
      <x:c r="G136" s="60" t="str">
        <x:v>Lexington County</x:v>
      </x:c>
      <x:c r="H136" s="60" t="str">
        <x:v>South Carolina</x:v>
      </x:c>
      <x:c r="I136" s="60" t="str">
        <x:v>Flooring</x:v>
      </x:c>
      <x:c r="J136" s="60" t="str">
        <x:v>Bill</x:v>
      </x:c>
      <x:c r="K136" s="60" t="str">
        <x:v>Frew</x:v>
      </x:c>
      <x:c r="L136" s="60" t="str">
        <x:v>owner</x:v>
      </x:c>
      <x:c r="M136" s="60" t="str"/>
      <x:c r="N136" s="60" t="str"/>
      <x:c r="O136" s="60" t="str">
        <x:v>+1 803 261 4518</x:v>
      </x:c>
      <x:c r="P136" s="60" t="str">
        <x:v>https://www.linkedin.com/in/bill-frew-80606521</x:v>
      </x:c>
      <x:c r="Q136" s="60" t="str">
        <x:v>51-200</x:v>
      </x:c>
      <x:c r="R136" s="60" t="str">
        <x:v>1000000-4999999</x:v>
      </x:c>
      <x:c r="S136" s="60" t="str"/>
      <x:c r="T136" s="74" t="str">
        <x:v>0</x:v>
      </x:c>
      <x:c r="U136" s="60" t="str"/>
      <x:c r="V136" s="74" t="str">
        <x:v>30</x:v>
      </x:c>
      <x:c r="W136" s="74" t="str">
        <x:v>15</x:v>
      </x:c>
      <x:c r="X136" s="74" t="str">
        <x:v>16</x:v>
      </x:c>
      <x:c r="Y136" s="74" t="str">
        <x:v>0</x:v>
      </x:c>
      <x:c r="Z136" s="74" t="str">
        <x:v>5</x:v>
      </x:c>
      <x:c r="AA136" s="74" t="str">
        <x:v>1</x:v>
      </x:c>
      <x:c r="AB136" s="74" t="str">
        <x:v>0</x:v>
      </x:c>
      <x:c r="AC136" s="74" t="str">
        <x:v>1</x:v>
      </x:c>
      <x:c r="AD136" s="74" t="str">
        <x:v>0</x:v>
      </x:c>
      <x:c r="AE136" s="74" t="str">
        <x:v>0</x:v>
      </x:c>
      <x:c r="AF136" s="74" t="str"/>
      <x:c r="AG136" s="74" t="str">
        <x:v>0</x:v>
      </x:c>
      <x:c r="AH136" s="74" t="str">
        <x:v>0</x:v>
      </x:c>
      <x:c r="AI136" s="74" t="str">
        <x:v>0</x:v>
      </x:c>
      <x:c r="AJ136" s="74" t="str">
        <x:v>0</x:v>
      </x:c>
      <x:c r="AK136" s="74" t="str">
        <x:v>0</x:v>
      </x:c>
      <x:c r="AL136" s="74" t="str">
        <x:v>0</x:v>
      </x:c>
      <x:c r="AM136" s="74" t="str">
        <x:v>1</x:v>
      </x:c>
      <x:c r="AN136" s="74" t="str">
        <x:v>0</x:v>
      </x:c>
      <x:c r="AO136" s="60" t="str">
        <x:v>2026</x:v>
      </x:c>
      <x:c r="AP136" s="76" t="str">
        <x:v>Meta tracking detected; no embedded homepage video found</x:v>
      </x:c>
      <x:c r="AQ136" s="76" t="str">
        <x:v>Meta Pixel; no embedded homepage video detected</x:v>
      </x:c>
      <x:c r="AR136" s="76" t="str">
        <x:v>I noticed GarageTek's site has Meta tracking installed, but I couldn't find an embedded video on the homepage.</x:v>
      </x:c>
      <x:c r="AS136" s="76" t="str">
        <x:v>room transformation before/after ad</x:v>
      </x:c>
      <x:c r="AT136" s="76" t="str">
        <x:v>GarageTek ad concept</x:v>
      </x:c>
      <x:c r="AU136" s="76" t="str">
        <x:v>Hi Bill — I noticed GarageTek's site has Meta tracking installed, but I couldn't find an embedded video on the homepage. I mapped a private 15-second room transformation before/after ad for GarageTek using only public brand context—not for publishing, just to show the angle. We build three client-approved video ad concepts in seven days, then turn the winners into fresh variations. No filming day required. Worth sending the private sample?</x:v>
      </x:c>
      <x:c r="AV136" s="76" t="str">
        <x:v>Quick follow-up: the sample angle is a room transformation before/after ad. If it misses the mark, no problem—I won't keep chasing. Should I send it?</x:v>
      </x:c>
      <x:c r="AW136" s="76" t="str">
        <x:v>Hi Bill, Ryan here. I was looking at GarageTek's public marketing and noticed: meta tracking detected; no embedded homepage video found. I mapped one private room transformation before/after ad as an example. Did I catch you with 30 seconds?</x:v>
      </x:c>
      <x:c r="AX136" s="60" t="str">
        <x:v>https://www.facebook.com/ads/library/?active_status=active&amp;ad_type=all&amp;country=US&amp;q=GarageTek&amp;search_type=keyword_unordered</x:v>
      </x:c>
      <x:c r="AY136" s="60" t="str">
        <x:v>ok:200</x:v>
      </x:c>
      <x:c r="AZ136" s="60" t="n">
        <x:v>46232.722858796296</x:v>
      </x:c>
      <x:c r="BA136" s="60" t="str">
        <x:v>AI Ark SC trades export</x:v>
      </x:c>
      <x:c r="BB136" s="60" t="str">
        <x:v>https://garagetek.com | https://www.linkedin.com/company/garagetek</x:v>
      </x:c>
      <x:c r="BC136" s="60" t="str"/>
    </x:row>
    <x:row r="137" ht="18" customHeight="1">
      <x:c r="A137" s="70" t="str">
        <x:v>136</x:v>
      </x:c>
      <x:c r="B137" s="70" t="str">
        <x:v>B - Strong</x:v>
      </x:c>
      <x:c r="C137" s="72" t="str">
        <x:v>66</x:v>
      </x:c>
      <x:c r="D137" s="60" t="str">
        <x:v>American Property Inspections</x:v>
      </x:c>
      <x:c r="E137" s="60" t="str">
        <x:v>https://americanhomeservicesfl.com</x:v>
      </x:c>
      <x:c r="F137" s="60" t="str">
        <x:v>https://americanpropertyinspectionsfl.com/</x:v>
      </x:c>
      <x:c r="G137" s="60" t="str">
        <x:v>Myrtle Beach</x:v>
      </x:c>
      <x:c r="H137" s="60" t="str">
        <x:v>South Carolina</x:v>
      </x:c>
      <x:c r="I137" s="60" t="str">
        <x:v>Roofing</x:v>
      </x:c>
      <x:c r="J137" s="60" t="str">
        <x:v>Zackery</x:v>
      </x:c>
      <x:c r="K137" s="60" t="str">
        <x:v>Michalek</x:v>
      </x:c>
      <x:c r="L137" s="60" t="str">
        <x:v>Owner</x:v>
      </x:c>
      <x:c r="M137" s="60" t="str"/>
      <x:c r="N137" s="60" t="str"/>
      <x:c r="O137" s="60" t="str">
        <x:v>+1 843 492 1115</x:v>
      </x:c>
      <x:c r="P137" s="60" t="str">
        <x:v>https://www.linkedin.com/in/zackery-michalek-6363a486</x:v>
      </x:c>
      <x:c r="Q137" s="60" t="str">
        <x:v>2-10</x:v>
      </x:c>
      <x:c r="R137" s="60" t="str">
        <x:v>500000-999999</x:v>
      </x:c>
      <x:c r="S137" s="60" t="str"/>
      <x:c r="T137" s="74" t="str">
        <x:v>0</x:v>
      </x:c>
      <x:c r="U137" s="60" t="str"/>
      <x:c r="V137" s="74" t="str">
        <x:v>30</x:v>
      </x:c>
      <x:c r="W137" s="74" t="str">
        <x:v>15</x:v>
      </x:c>
      <x:c r="X137" s="74" t="str">
        <x:v>16</x:v>
      </x:c>
      <x:c r="Y137" s="74" t="str">
        <x:v>0</x:v>
      </x:c>
      <x:c r="Z137" s="74" t="str">
        <x:v>5</x:v>
      </x:c>
      <x:c r="AA137" s="74" t="str">
        <x:v>1</x:v>
      </x:c>
      <x:c r="AB137" s="74" t="str">
        <x:v>0</x:v>
      </x:c>
      <x:c r="AC137" s="74" t="str">
        <x:v>1</x:v>
      </x:c>
      <x:c r="AD137" s="74" t="str">
        <x:v>0</x:v>
      </x:c>
      <x:c r="AE137" s="74" t="str">
        <x:v>0</x:v>
      </x:c>
      <x:c r="AF137" s="74" t="str"/>
      <x:c r="AG137" s="74" t="str">
        <x:v>0</x:v>
      </x:c>
      <x:c r="AH137" s="74" t="str">
        <x:v>0</x:v>
      </x:c>
      <x:c r="AI137" s="74" t="str">
        <x:v>0</x:v>
      </x:c>
      <x:c r="AJ137" s="74" t="str">
        <x:v>0</x:v>
      </x:c>
      <x:c r="AK137" s="74" t="str">
        <x:v>0</x:v>
      </x:c>
      <x:c r="AL137" s="74" t="str">
        <x:v>0</x:v>
      </x:c>
      <x:c r="AM137" s="74" t="str">
        <x:v>1</x:v>
      </x:c>
      <x:c r="AN137" s="74" t="str">
        <x:v>0</x:v>
      </x:c>
      <x:c r="AO137" s="60" t="str">
        <x:v>2026</x:v>
      </x:c>
      <x:c r="AP137" s="76" t="str">
        <x:v>Meta tracking detected; no embedded homepage video found</x:v>
      </x:c>
      <x:c r="AQ137" s="76" t="str">
        <x:v>Meta Pixel; no embedded homepage video detected</x:v>
      </x:c>
      <x:c r="AR137" s="76" t="str">
        <x:v>I noticed American Property Inspections's site has Meta tracking installed, but I couldn't find an embedded video on the homepage.</x:v>
      </x:c>
      <x:c r="AS137" s="76" t="str">
        <x:v>storm-to-inspection before/after ad</x:v>
      </x:c>
      <x:c r="AT137" s="76" t="str">
        <x:v>American Property Inspections ad concept</x:v>
      </x:c>
      <x:c r="AU137" s="76" t="str">
        <x:v>Hi Zackery — I noticed American Property Inspections's site has Meta tracking installed, but I couldn't find an embedded video on the homepage. I mapped a private 15-second storm-to-inspection before/after ad for American Property Inspections using only public brand context—not for publishing, just to show the angle. We build three client-approved video ad concepts in seven days, then turn the winners into fresh variations. No filming day required. Worth sending the private sample?</x:v>
      </x:c>
      <x:c r="AV137" s="76" t="str">
        <x:v>Quick follow-up: the sample angle is a storm-to-inspection before/after ad. If it misses the mark, no problem—I won't keep chasing. Should I send it?</x:v>
      </x:c>
      <x:c r="AW137" s="76" t="str">
        <x:v>Hi Zackery, Ryan here. I was looking at American Property Inspections's public marketing and noticed: meta tracking detected; no embedded homepage video found. I mapped one private storm-to-inspection before/after ad as an example. Did I catch you with 30 seconds?</x:v>
      </x:c>
      <x:c r="AX137" s="60" t="str">
        <x:v>https://www.facebook.com/ads/library/?active_status=active&amp;ad_type=all&amp;country=US&amp;q=American%20Property%20Inspections&amp;search_type=keyword_unordered</x:v>
      </x:c>
      <x:c r="AY137" s="60" t="str">
        <x:v>ok:200</x:v>
      </x:c>
      <x:c r="AZ137" s="60" t="n">
        <x:v>46232.722858796296</x:v>
      </x:c>
      <x:c r="BA137" s="60" t="str">
        <x:v>AI Ark SC trades export</x:v>
      </x:c>
      <x:c r="BB137" s="60" t="str">
        <x:v>https://americanhomeservicesfl.com | https://www.linkedin.com/company/american-home-services-home-inspection</x:v>
      </x:c>
      <x:c r="BC137" s="60" t="str"/>
    </x:row>
    <x:row r="138" ht="18" customHeight="1">
      <x:c r="A138" s="70" t="str">
        <x:v>137</x:v>
      </x:c>
      <x:c r="B138" s="70" t="str">
        <x:v>B - Strong</x:v>
      </x:c>
      <x:c r="C138" s="72" t="str">
        <x:v>66</x:v>
      </x:c>
      <x:c r="D138" s="60" t="str">
        <x:v>Atlas Heating &amp; Cooling</x:v>
      </x:c>
      <x:c r="E138" s="60" t="str">
        <x:v>https://atlasheatcool.com</x:v>
      </x:c>
      <x:c r="F138" s="60" t="str">
        <x:v>https://atlasheatcool.com</x:v>
      </x:c>
      <x:c r="G138" s="60" t="str">
        <x:v>Rock Hill</x:v>
      </x:c>
      <x:c r="H138" s="60" t="str">
        <x:v>South Carolina</x:v>
      </x:c>
      <x:c r="I138" s="60" t="str">
        <x:v>HVAC</x:v>
      </x:c>
      <x:c r="J138" s="60" t="str">
        <x:v>Atlas Heating &amp; Cooling</x:v>
      </x:c>
      <x:c r="K138" s="60" t="str"/>
      <x:c r="L138" s="60" t="str">
        <x:v>Owner / decision maker to verify</x:v>
      </x:c>
      <x:c r="M138" s="60" t="str"/>
      <x:c r="N138" s="60" t="str"/>
      <x:c r="O138" s="60" t="str">
        <x:v>(803) 839-0020</x:v>
      </x:c>
      <x:c r="P138" s="60" t="str"/>
      <x:c r="Q138" s="60" t="str"/>
      <x:c r="R138" s="60" t="str"/>
      <x:c r="S138" s="60" t="str">
        <x:v>5</x:v>
      </x:c>
      <x:c r="T138" s="74" t="str">
        <x:v>66</x:v>
      </x:c>
      <x:c r="U138" s="60" t="str"/>
      <x:c r="V138" s="74" t="str">
        <x:v>26</x:v>
      </x:c>
      <x:c r="W138" s="74" t="str">
        <x:v>13</x:v>
      </x:c>
      <x:c r="X138" s="74" t="str">
        <x:v>12</x:v>
      </x:c>
      <x:c r="Y138" s="74" t="str">
        <x:v>10</x:v>
      </x:c>
      <x:c r="Z138" s="74" t="str">
        <x:v>5</x:v>
      </x:c>
      <x:c r="AA138" s="74" t="str">
        <x:v>0</x:v>
      </x:c>
      <x:c r="AB138" s="74" t="str">
        <x:v>1</x:v>
      </x:c>
      <x:c r="AC138" s="74" t="str">
        <x:v>1</x:v>
      </x:c>
      <x:c r="AD138" s="74" t="str">
        <x:v>0</x:v>
      </x:c>
      <x:c r="AE138" s="74" t="str">
        <x:v>0</x:v>
      </x:c>
      <x:c r="AF138" s="74" t="str"/>
      <x:c r="AG138" s="74" t="str">
        <x:v>0</x:v>
      </x:c>
      <x:c r="AH138" s="74" t="str">
        <x:v>1</x:v>
      </x:c>
      <x:c r="AI138" s="74" t="str">
        <x:v>0</x:v>
      </x:c>
      <x:c r="AJ138" s="74" t="str">
        <x:v>0</x:v>
      </x:c>
      <x:c r="AK138" s="74" t="str">
        <x:v>1</x:v>
      </x:c>
      <x:c r="AL138" s="74" t="str">
        <x:v>1</x:v>
      </x:c>
      <x:c r="AM138" s="74" t="str">
        <x:v>1</x:v>
      </x:c>
      <x:c r="AN138" s="74" t="str">
        <x:v>1</x:v>
      </x:c>
      <x:c r="AO138" s="60" t="str">
        <x:v>0</x:v>
      </x:c>
      <x:c r="AP138" s="76" t="str">
        <x:v>Google Ads tag detected; no embedded homepage video found</x:v>
      </x:c>
      <x:c r="AQ138" s="76" t="str">
        <x:v>Google Ads tag; project/gallery proof; visible service offer; no embedded homepage video detected</x:v>
      </x:c>
      <x:c r="AR138" s="76" t="str">
        <x:v>I noticed Atlas Heating &amp; Cooling's site has a Google Ads tag installed, but I couldn't find an embedded video on the homepage.</x:v>
      </x:c>
      <x:c r="AS138" s="76" t="str">
        <x:v>no-cool-call to same-day comfort ad</x:v>
      </x:c>
      <x:c r="AT138" s="76" t="str">
        <x:v>Atlas Heating &amp; Cooling ad concept</x:v>
      </x:c>
      <x:c r="AU138" s="76" t="str">
        <x:v>Hi Atlas Heating &amp; Cooling — I noticed Atlas Heating &amp; Cooling's site has a Google Ads tag installed, but I couldn't find an embedded video on the homepage. I mapped a private 15-second no-cool-call to same-day comfort ad for Atlas Heating &amp; Cooling using only public brand context—not for publishing, just to show the angle. We build three client-approved video ad concepts in seven days, then turn the winners into fresh variations. No filming day required. Worth sending the private sample?</x:v>
      </x:c>
      <x:c r="AV138" s="76" t="str">
        <x:v>Quick follow-up: the sample angle is a no-cool-call to same-day comfort ad. If it misses the mark, no problem—I won't keep chasing. Should I send it?</x:v>
      </x:c>
      <x:c r="AW138" s="76" t="str">
        <x:v>Hi Atlas Heating &amp; Cooling, Ryan here. I was looking at Atlas Heating &amp; Cooling's public marketing and noticed: google ads tag detected; no embedded homepage video found. I mapped one private no-cool-call to same-day comfort ad as an example. Did I catch you with 30 seconds?</x:v>
      </x:c>
      <x:c r="AX138" s="60" t="str">
        <x:v>https://www.facebook.com/ads/library/?active_status=active&amp;ad_type=all&amp;country=US&amp;q=Atlas%20Heating%20%26%20Cooling&amp;search_type=keyword_unordered</x:v>
      </x:c>
      <x:c r="AY138" s="60" t="str">
        <x:v>ok:200</x:v>
      </x:c>
      <x:c r="AZ138" s="60" t="n">
        <x:v>46232.722858796296</x:v>
      </x:c>
      <x:c r="BA138" s="60" t="str">
        <x:v>Google Maps home-services export</x:v>
      </x:c>
      <x:c r="BB138" s="60" t="str">
        <x:v>https://atlasheatcool.com | https://maps.google.com/?cid=3533129193183750230&amp;g_mp=Cidnb29nbGUubWFwcy5wbGFjZXMudjEuUGxhY2VzLlNlYXJjaFRleHQQAhgEIAA</x:v>
      </x:c>
      <x:c r="BC138" s="60" t="str"/>
    </x:row>
    <x:row r="139" ht="18" customHeight="1">
      <x:c r="A139" s="70" t="str">
        <x:v>138</x:v>
      </x:c>
      <x:c r="B139" s="70" t="str">
        <x:v>B - Strong</x:v>
      </x:c>
      <x:c r="C139" s="72" t="str">
        <x:v>66</x:v>
      </x:c>
      <x:c r="D139" s="60" t="str">
        <x:v>Lanier Roofing and Restoration</x:v>
      </x:c>
      <x:c r="E139" s="60" t="str">
        <x:v>https://lanierroofing.com</x:v>
      </x:c>
      <x:c r="F139" s="60" t="str">
        <x:v>https://lanierroofing.com</x:v>
      </x:c>
      <x:c r="G139" s="60" t="str">
        <x:v>Greenville-spartanburg-anderson</x:v>
      </x:c>
      <x:c r="H139" s="60" t="str">
        <x:v>South Carolina Area</x:v>
      </x:c>
      <x:c r="I139" s="60" t="str">
        <x:v>Roofing</x:v>
      </x:c>
      <x:c r="J139" s="60" t="str">
        <x:v>Jerry</x:v>
      </x:c>
      <x:c r="K139" s="60" t="str">
        <x:v>Lanier</x:v>
      </x:c>
      <x:c r="L139" s="60" t="str">
        <x:v>Owner</x:v>
      </x:c>
      <x:c r="M139" s="60" t="str">
        <x:v>jerrylanier@lanierroofing.com</x:v>
      </x:c>
      <x:c r="N139" s="60" t="str">
        <x:v>Verified with BounceBan on 08 Jun 26 12:06</x:v>
      </x:c>
      <x:c r="O139" s="60" t="str">
        <x:v>+1 864 404 7875</x:v>
      </x:c>
      <x:c r="P139" s="60" t="str">
        <x:v>https://www.linkedin.com/in/jerry-lanier-1953104b</x:v>
      </x:c>
      <x:c r="Q139" s="60" t="str">
        <x:v>11-50</x:v>
      </x:c>
      <x:c r="R139" s="60" t="str">
        <x:v>100000-499999</x:v>
      </x:c>
      <x:c r="S139" s="60" t="str">
        <x:v>4.9</x:v>
      </x:c>
      <x:c r="T139" s="74" t="str">
        <x:v>267</x:v>
      </x:c>
      <x:c r="U139" s="60" t="str"/>
      <x:c r="V139" s="74" t="str">
        <x:v>30</x:v>
      </x:c>
      <x:c r="W139" s="74" t="str">
        <x:v>11</x:v>
      </x:c>
      <x:c r="X139" s="74" t="str">
        <x:v>0</x:v>
      </x:c>
      <x:c r="Y139" s="74" t="str">
        <x:v>15</x:v>
      </x:c>
      <x:c r="Z139" s="74" t="str">
        <x:v>10</x:v>
      </x:c>
      <x:c r="AA139" s="74" t="str">
        <x:v>0</x:v>
      </x:c>
      <x:c r="AB139" s="74" t="str">
        <x:v>0</x:v>
      </x:c>
      <x:c r="AC139" s="74" t="str">
        <x:v>1</x:v>
      </x:c>
      <x:c r="AD139" s="74" t="str">
        <x:v>0</x:v>
      </x:c>
      <x:c r="AE139" s="74" t="str">
        <x:v>1</x:v>
      </x:c>
      <x:c r="AF139" s="74" t="str"/>
      <x:c r="AG139" s="74" t="str">
        <x:v>1</x:v>
      </x:c>
      <x:c r="AH139" s="74" t="str">
        <x:v>1</x:v>
      </x:c>
      <x:c r="AI139" s="74" t="str">
        <x:v>1</x:v>
      </x:c>
      <x:c r="AJ139" s="74" t="str">
        <x:v>1</x:v>
      </x:c>
      <x:c r="AK139" s="74" t="str">
        <x:v>1</x:v>
      </x:c>
      <x:c r="AL139" s="74" t="str">
        <x:v>0</x:v>
      </x:c>
      <x:c r="AM139" s="74" t="str">
        <x:v>1</x:v>
      </x:c>
      <x:c r="AN139" s="74" t="str">
        <x:v>1</x:v>
      </x:c>
      <x:c r="AO139" s="60" t="str">
        <x:v>2026</x:v>
      </x:c>
      <x:c r="AP139" s="76" t="str">
        <x:v>Paid-demand technology detected; creative refresh hypothesis</x:v>
      </x:c>
      <x:c r="AQ139" s="76" t="str">
        <x:v>call tracking; project/gallery proof; testimonials; financing; visible service offer</x:v>
      </x:c>
      <x:c r="AR139" s="76" t="str">
        <x:v>I was reviewing roofing companies in Greenville-spartanburg-anderson, South Carolina Area and Lanier Roofing and Restoration looked like a strong fit for a creative test.</x:v>
      </x:c>
      <x:c r="AS139" s="76" t="str">
        <x:v>storm-to-inspection before/after ad</x:v>
      </x:c>
      <x:c r="AT139" s="76" t="str">
        <x:v>Lanier Roofing and Restoration ad concept</x:v>
      </x:c>
      <x:c r="AU139" s="76" t="str">
        <x:v>Hi Jerry — I was reviewing roofing companies in Greenville-spartanburg-anderson, South Carolina Area and Lanier Roofing and Restoration looked like a strong fit for a creative test. I mapped a private 15-second storm-to-inspection before/after ad for Lanier Roofing and Restoration using only public brand context—not for publishing, just to show the angle. We build three client-approved video ad concepts in seven days, then turn the winners into fresh variations. No filming day required. Worth sending the private sample?</x:v>
      </x:c>
      <x:c r="AV139" s="76" t="str">
        <x:v>Quick follow-up: the sample angle is a storm-to-inspection before/after ad. If it misses the mark, no problem—I won't keep chasing. Should I send it?</x:v>
      </x:c>
      <x:c r="AW139" s="76" t="str">
        <x:v>Hi Jerry, Ryan here. I was looking at Lanier Roofing and Restoration's public marketing and noticed: paid-demand technology detected; creative refresh hypothesis. I mapped one private storm-to-inspection before/after ad as an example. Did I catch you with 30 seconds?</x:v>
      </x:c>
      <x:c r="AX139" s="60" t="str">
        <x:v>https://www.facebook.com/ads/library/?active_status=active&amp;ad_type=all&amp;country=US&amp;q=Lanier%20Roofing%20and%20Restoration&amp;search_type=keyword_unordered</x:v>
      </x:c>
      <x:c r="AY139" s="60" t="str">
        <x:v>ok:200</x:v>
      </x:c>
      <x:c r="AZ139" s="60" t="n">
        <x:v>46232.722858796296</x:v>
      </x:c>
      <x:c r="BA139" s="60" t="str">
        <x:v>AI Ark SC trades export | Google Maps home-services export</x:v>
      </x:c>
      <x:c r="BB139" s="60" t="str">
        <x:v>https://lanierroofing.com | https://maps.google.com/?cid=12795304300821597488&amp;g_mp=Cidnb29nbGUubWFwcy5wbGFjZXMudjEuUGxhY2VzLlNlYXJjaFRleHQQAhgEIAA | https://www.linkedin.com/company/lanier-roofing-and-restoration</x:v>
      </x:c>
      <x:c r="BC139" s="60" t="str"/>
    </x:row>
    <x:row r="140" ht="18" customHeight="1">
      <x:c r="A140" s="70" t="str">
        <x:v>139</x:v>
      </x:c>
      <x:c r="B140" s="70" t="str">
        <x:v>B - Strong</x:v>
      </x:c>
      <x:c r="C140" s="72" t="str">
        <x:v>66</x:v>
      </x:c>
      <x:c r="D140" s="60" t="str">
        <x:v>Williford Roofing &amp; Construction</x:v>
      </x:c>
      <x:c r="E140" s="60" t="str">
        <x:v>https://willifordroofing.com</x:v>
      </x:c>
      <x:c r="F140" s="60" t="str">
        <x:v>https://www.willifordroofing.com/</x:v>
      </x:c>
      <x:c r="G140" s="60" t="str">
        <x:v>North Charleston</x:v>
      </x:c>
      <x:c r="H140" s="60" t="str">
        <x:v>South Carolina</x:v>
      </x:c>
      <x:c r="I140" s="60" t="str">
        <x:v>Roofing</x:v>
      </x:c>
      <x:c r="J140" s="60" t="str">
        <x:v>Tony</x:v>
      </x:c>
      <x:c r="K140" s="60" t="str">
        <x:v>Williford</x:v>
      </x:c>
      <x:c r="L140" s="60" t="str">
        <x:v>owner</x:v>
      </x:c>
      <x:c r="M140" s="60" t="str">
        <x:v>tony@willifordroofing.com</x:v>
      </x:c>
      <x:c r="N140" s="60" t="str">
        <x:v>Verified with BounceBan on 08 Jun 26 12:06</x:v>
      </x:c>
      <x:c r="O140" s="60" t="str">
        <x:v>+1 843 200 7317</x:v>
      </x:c>
      <x:c r="P140" s="60" t="str">
        <x:v>https://www.linkedin.com/in/tony-williford-8752023b</x:v>
      </x:c>
      <x:c r="Q140" s="60" t="str">
        <x:v>11-50</x:v>
      </x:c>
      <x:c r="R140" s="60" t="str">
        <x:v>100000-499999</x:v>
      </x:c>
      <x:c r="S140" s="60" t="str">
        <x:v>4.2</x:v>
      </x:c>
      <x:c r="T140" s="74" t="str">
        <x:v>155</x:v>
      </x:c>
      <x:c r="U140" s="60" t="str">
        <x:v>slow_response</x:v>
      </x:c>
      <x:c r="V140" s="74" t="str">
        <x:v>30</x:v>
      </x:c>
      <x:c r="W140" s="74" t="str">
        <x:v>3</x:v>
      </x:c>
      <x:c r="X140" s="74" t="str">
        <x:v>8</x:v>
      </x:c>
      <x:c r="Y140" s="74" t="str">
        <x:v>15</x:v>
      </x:c>
      <x:c r="Z140" s="74" t="str">
        <x:v>10</x:v>
      </x:c>
      <x:c r="AA140" s="74" t="str">
        <x:v>0</x:v>
      </x:c>
      <x:c r="AB140" s="74" t="str">
        <x:v>0</x:v>
      </x:c>
      <x:c r="AC140" s="74" t="str">
        <x:v>1</x:v>
      </x:c>
      <x:c r="AD140" s="74" t="str">
        <x:v>0</x:v>
      </x:c>
      <x:c r="AE140" s="74" t="str">
        <x:v>0</x:v>
      </x:c>
      <x:c r="AF140" s="74" t="str"/>
      <x:c r="AG140" s="74" t="str">
        <x:v>0</x:v>
      </x:c>
      <x:c r="AH140" s="74" t="str">
        <x:v>1</x:v>
      </x:c>
      <x:c r="AI140" s="74" t="str">
        <x:v>1</x:v>
      </x:c>
      <x:c r="AJ140" s="74" t="str">
        <x:v>1</x:v>
      </x:c>
      <x:c r="AK140" s="74" t="str">
        <x:v>1</x:v>
      </x:c>
      <x:c r="AL140" s="74" t="str">
        <x:v>1</x:v>
      </x:c>
      <x:c r="AM140" s="74" t="str">
        <x:v>1</x:v>
      </x:c>
      <x:c r="AN140" s="74" t="str">
        <x:v>0</x:v>
      </x:c>
      <x:c r="AO140" s="60" t="str">
        <x:v>2026</x:v>
      </x:c>
      <x:c r="AP140" s="76" t="str">
        <x:v>Project/gallery proof found; no embedded homepage video found</x:v>
      </x:c>
      <x:c r="AQ140" s="76" t="str">
        <x:v>project/gallery proof; testimonials; financing; visible service offer; no embedded homepage video detected</x:v>
      </x:c>
      <x:c r="AR140" s="76" t="str">
        <x:v>I found project/gallery proof on Williford Roofing &amp; Construction's site that could be repackaged into short-form ad concepts.</x:v>
      </x:c>
      <x:c r="AS140" s="76" t="str">
        <x:v>storm-to-inspection before/after ad</x:v>
      </x:c>
      <x:c r="AT140" s="76" t="str">
        <x:v>Williford Roofing &amp; Construction ad concept</x:v>
      </x:c>
      <x:c r="AU140" s="76" t="str">
        <x:v>Hi Tony — I found project/gallery proof on Williford Roofing &amp; Construction's site that could be repackaged into short-form ad concepts. I mapped a private 15-second storm-to-inspection before/after ad for Williford Roofing &amp; Construction using only public brand context—not for publishing, just to show the angle. We build three client-approved video ad concepts in seven days, then turn the winners into fresh variations. No filming day required. Worth sending the private sample?</x:v>
      </x:c>
      <x:c r="AV140" s="76" t="str">
        <x:v>Quick follow-up: the sample angle is a storm-to-inspection before/after ad. If it misses the mark, no problem—I won't keep chasing. Should I send it?</x:v>
      </x:c>
      <x:c r="AW140" s="76" t="str">
        <x:v>Hi Tony, Ryan here. I was looking at Williford Roofing &amp; Construction's public marketing and noticed: project/gallery proof found; no embedded homepage video found. I mapped one private storm-to-inspection before/after ad as an example. Did I catch you with 30 seconds?</x:v>
      </x:c>
      <x:c r="AX140" s="60" t="str">
        <x:v>https://www.facebook.com/ads/library/?active_status=active&amp;ad_type=all&amp;country=US&amp;q=Williford%20Roofing%20%26%20Construction&amp;search_type=keyword_unordered</x:v>
      </x:c>
      <x:c r="AY140" s="60" t="str">
        <x:v>ok:200</x:v>
      </x:c>
      <x:c r="AZ140" s="60" t="n">
        <x:v>46232.722858796296</x:v>
      </x:c>
      <x:c r="BA140" s="60" t="str">
        <x:v>AI Ark SC trades export | Google Maps home-services export</x:v>
      </x:c>
      <x:c r="BB140" s="60" t="str">
        <x:v>https://maps.google.com/?cid=11035768059954707805&amp;g_mp=Cidnb29nbGUubWFwcy5wbGFjZXMudjEuUGxhY2VzLlNlYXJjaFRleHQQAhgEIAA | https://willifordroofing.com | https://www.linkedin.com/company/williford-roofing-&amp;-construction</x:v>
      </x:c>
      <x:c r="BC140" s="60" t="str"/>
    </x:row>
    <x:row r="141" ht="18" customHeight="1">
      <x:c r="A141" s="70" t="str">
        <x:v>140</x:v>
      </x:c>
      <x:c r="B141" s="70" t="str">
        <x:v>B - Strong</x:v>
      </x:c>
      <x:c r="C141" s="72" t="str">
        <x:v>65</x:v>
      </x:c>
      <x:c r="D141" s="60" t="str">
        <x:v>SERVPRO of East Greenville County</x:v>
      </x:c>
      <x:c r="E141" s="60" t="str">
        <x:v>https://servproeastgreenvillecounty.com</x:v>
      </x:c>
      <x:c r="F141" s="60" t="str">
        <x:v>https://www.servpro.com/locations/sc/servpro-of-east-greenville-county</x:v>
      </x:c>
      <x:c r="G141" s="60" t="str">
        <x:v>Duncan</x:v>
      </x:c>
      <x:c r="H141" s="60" t="str">
        <x:v>South Carolina</x:v>
      </x:c>
      <x:c r="I141" s="60" t="str">
        <x:v>Restoration</x:v>
      </x:c>
      <x:c r="J141" s="60" t="str">
        <x:v>Buck</x:v>
      </x:c>
      <x:c r="K141" s="60" t="str">
        <x:v>McGarity</x:v>
      </x:c>
      <x:c r="L141" s="60" t="str">
        <x:v>Owner</x:v>
      </x:c>
      <x:c r="M141" s="60" t="str"/>
      <x:c r="N141" s="60" t="str"/>
      <x:c r="O141" s="60" t="str"/>
      <x:c r="P141" s="60" t="str">
        <x:v>https://www.linkedin.com/in/buck-mcgarity-644614b3</x:v>
      </x:c>
      <x:c r="Q141" s="60" t="str">
        <x:v>11-50</x:v>
      </x:c>
      <x:c r="R141" s="60" t="str">
        <x:v>100000-499999</x:v>
      </x:c>
      <x:c r="S141" s="60" t="str"/>
      <x:c r="T141" s="74" t="str">
        <x:v>0</x:v>
      </x:c>
      <x:c r="U141" s="60" t="str"/>
      <x:c r="V141" s="74" t="str">
        <x:v>30</x:v>
      </x:c>
      <x:c r="W141" s="74" t="str">
        <x:v>30</x:v>
      </x:c>
      <x:c r="X141" s="74" t="str">
        <x:v>0</x:v>
      </x:c>
      <x:c r="Y141" s="74" t="str">
        <x:v>3</x:v>
      </x:c>
      <x:c r="Z141" s="74" t="str">
        <x:v>2</x:v>
      </x:c>
      <x:c r="AA141" s="74" t="str">
        <x:v>1</x:v>
      </x:c>
      <x:c r="AB141" s="74" t="str">
        <x:v>1</x:v>
      </x:c>
      <x:c r="AC141" s="74" t="str">
        <x:v>1</x:v>
      </x:c>
      <x:c r="AD141" s="74" t="str">
        <x:v>0</x:v>
      </x:c>
      <x:c r="AE141" s="74" t="str">
        <x:v>1</x:v>
      </x:c>
      <x:c r="AF141" s="74" t="str"/>
      <x:c r="AG141" s="74" t="str">
        <x:v>1</x:v>
      </x:c>
      <x:c r="AH141" s="74" t="str">
        <x:v>0</x:v>
      </x:c>
      <x:c r="AI141" s="74" t="str">
        <x:v>0</x:v>
      </x:c>
      <x:c r="AJ141" s="74" t="str">
        <x:v>0</x:v>
      </x:c>
      <x:c r="AK141" s="74" t="str">
        <x:v>1</x:v>
      </x:c>
      <x:c r="AL141" s="74" t="str">
        <x:v>1</x:v>
      </x:c>
      <x:c r="AM141" s="74" t="str">
        <x:v>1</x:v>
      </x:c>
      <x:c r="AN141" s="74" t="str">
        <x:v>0</x:v>
      </x:c>
      <x:c r="AO141" s="60" t="str">
        <x:v>2026</x:v>
      </x:c>
      <x:c r="AP141" s="76" t="str">
        <x:v>Paid-demand technology detected; creative refresh hypothesis</x:v>
      </x:c>
      <x:c r="AQ141" s="76" t="str">
        <x:v>Meta Pixel; Google Ads tag; call tracking; visible service offer</x:v>
      </x:c>
      <x:c r="AR141" s="76" t="str">
        <x:v>I was reviewing restoration companies in Duncan, South Carolina and SERVPRO of East Greenville County looked like a strong fit for a creative test.</x:v>
      </x:c>
      <x:c r="AS141" s="76" t="str">
        <x:v>first-24-hours emergency-response ad</x:v>
      </x:c>
      <x:c r="AT141" s="76" t="str">
        <x:v>SERVPRO of East Greenville County ad concept</x:v>
      </x:c>
      <x:c r="AU141" s="76" t="str">
        <x:v>Hi Buck — I was reviewing restoration companies in Duncan, South Carolina and SERVPRO of East Greenville County looked like a strong fit for a creative test. I mapped a private 15-second first-24-hours emergency-response ad for SERVPRO of East Greenville County using only public brand context—not for publishing, just to show the angle. We build three client-approved video ad concepts in seven days, then turn the winners into fresh variations. No filming day required. Worth sending the private sample?</x:v>
      </x:c>
      <x:c r="AV141" s="76" t="str">
        <x:v>Quick follow-up: the sample angle is a first-24-hours emergency-response ad. If it misses the mark, no problem—I won't keep chasing. Should I send it?</x:v>
      </x:c>
      <x:c r="AW141" s="76" t="str">
        <x:v>Hi Buck, Ryan here. I was looking at SERVPRO of East Greenville County's public marketing and noticed: paid-demand technology detected; creative refresh hypothesis. I mapped one private first-24-hours emergency-response ad as an example. Did I catch you with 30 seconds?</x:v>
      </x:c>
      <x:c r="AX141" s="60" t="str">
        <x:v>https://www.facebook.com/ads/library/?active_status=active&amp;ad_type=all&amp;country=US&amp;q=SERVPRO%20of%20East%20Greenville%20County&amp;search_type=keyword_unordered</x:v>
      </x:c>
      <x:c r="AY141" s="60" t="str">
        <x:v>ok:200</x:v>
      </x:c>
      <x:c r="AZ141" s="60" t="n">
        <x:v>46232.722858796296</x:v>
      </x:c>
      <x:c r="BA141" s="60" t="str">
        <x:v>AI Ark SC trades export</x:v>
      </x:c>
      <x:c r="BB141" s="60" t="str">
        <x:v>https://servproeastgreenvillecounty.com | https://www.linkedin.com/company/servpro9774-of-east-greenville-county</x:v>
      </x:c>
      <x:c r="BC141" s="60" t="str"/>
    </x:row>
    <x:row r="142" ht="18" customHeight="1">
      <x:c r="A142" s="70" t="str">
        <x:v>141</x:v>
      </x:c>
      <x:c r="B142" s="70" t="str">
        <x:v>B - Strong</x:v>
      </x:c>
      <x:c r="C142" s="72" t="str">
        <x:v>65</x:v>
      </x:c>
      <x:c r="D142" s="60" t="str">
        <x:v>FlyLock Security Solutions</x:v>
      </x:c>
      <x:c r="E142" s="60" t="str">
        <x:v>https://flyinglocksmiths.com</x:v>
      </x:c>
      <x:c r="F142" s="60" t="str">
        <x:v>https://flylock.com/</x:v>
      </x:c>
      <x:c r="G142" s="60" t="str">
        <x:v>Greenville</x:v>
      </x:c>
      <x:c r="H142" s="60" t="str">
        <x:v>South Carolina</x:v>
      </x:c>
      <x:c r="I142" s="60" t="str">
        <x:v>Windows &amp; Doors</x:v>
      </x:c>
      <x:c r="J142" s="60" t="str">
        <x:v>Jeffrey</x:v>
      </x:c>
      <x:c r="K142" s="60" t="str">
        <x:v>Crump</x:v>
      </x:c>
      <x:c r="L142" s="60" t="str">
        <x:v>Owner</x:v>
      </x:c>
      <x:c r="M142" s="60" t="str">
        <x:v>jeffrey.crump@flyinglocksmiths.com</x:v>
      </x:c>
      <x:c r="N142" s="60" t="str">
        <x:v>Verified with BounceBan on 08 Jun 26 12:06</x:v>
      </x:c>
      <x:c r="O142" s="60" t="str"/>
      <x:c r="P142" s="60" t="str">
        <x:v>https://www.linkedin.com/in/jeffrey-crump-10a5412a9</x:v>
      </x:c>
      <x:c r="Q142" s="60" t="str">
        <x:v>51-200</x:v>
      </x:c>
      <x:c r="R142" s="60" t="str">
        <x:v>10000000-24999999</x:v>
      </x:c>
      <x:c r="S142" s="60" t="str"/>
      <x:c r="T142" s="74" t="str">
        <x:v>0</x:v>
      </x:c>
      <x:c r="U142" s="60" t="str"/>
      <x:c r="V142" s="74" t="str">
        <x:v>30</x:v>
      </x:c>
      <x:c r="W142" s="74" t="str">
        <x:v>25</x:v>
      </x:c>
      <x:c r="X142" s="74" t="str">
        <x:v>0</x:v>
      </x:c>
      <x:c r="Y142" s="74" t="str">
        <x:v>3</x:v>
      </x:c>
      <x:c r="Z142" s="74" t="str">
        <x:v>7</x:v>
      </x:c>
      <x:c r="AA142" s="74" t="str">
        <x:v>1</x:v>
      </x:c>
      <x:c r="AB142" s="74" t="str">
        <x:v>1</x:v>
      </x:c>
      <x:c r="AC142" s="74" t="str">
        <x:v>1</x:v>
      </x:c>
      <x:c r="AD142" s="74" t="str">
        <x:v>0</x:v>
      </x:c>
      <x:c r="AE142" s="74" t="str">
        <x:v>0</x:v>
      </x:c>
      <x:c r="AF142" s="74" t="str"/>
      <x:c r="AG142" s="74" t="str">
        <x:v>1</x:v>
      </x:c>
      <x:c r="AH142" s="74" t="str">
        <x:v>0</x:v>
      </x:c>
      <x:c r="AI142" s="74" t="str">
        <x:v>0</x:v>
      </x:c>
      <x:c r="AJ142" s="74" t="str">
        <x:v>0</x:v>
      </x:c>
      <x:c r="AK142" s="74" t="str">
        <x:v>1</x:v>
      </x:c>
      <x:c r="AL142" s="74" t="str">
        <x:v>1</x:v>
      </x:c>
      <x:c r="AM142" s="74" t="str">
        <x:v>1</x:v>
      </x:c>
      <x:c r="AN142" s="74" t="str">
        <x:v>1</x:v>
      </x:c>
      <x:c r="AO142" s="60" t="str">
        <x:v>2026</x:v>
      </x:c>
      <x:c r="AP142" s="76" t="str">
        <x:v>Paid-demand technology detected; creative refresh hypothesis</x:v>
      </x:c>
      <x:c r="AQ142" s="76" t="str">
        <x:v>Meta Pixel; Google Ads tag; visible service offer</x:v>
      </x:c>
      <x:c r="AR142" s="76" t="str">
        <x:v>I was reviewing windows &amp; doors companies in Greenville, South Carolina and FlyLock Security Solutions looked like a strong fit for a creative test.</x:v>
      </x:c>
      <x:c r="AS142" s="76" t="str">
        <x:v>energy-loss to installed-window transformation ad</x:v>
      </x:c>
      <x:c r="AT142" s="76" t="str">
        <x:v>FlyLock Security Solutions ad concept</x:v>
      </x:c>
      <x:c r="AU142" s="76" t="str">
        <x:v>Hi Jeffrey — I was reviewing windows &amp; doors companies in Greenville, South Carolina and FlyLock Security Solutions looked like a strong fit for a creative test. I mapped a private 15-second energy-loss to installed-window transformation ad for FlyLock Security Solutions using only public brand context—not for publishing, just to show the angle. We build three client-approved video ad concepts in seven days, then turn the winners into fresh variations. No filming day required. Worth sending the private sample?</x:v>
      </x:c>
      <x:c r="AV142" s="76" t="str">
        <x:v>Quick follow-up: the sample angle is a energy-loss to installed-window transformation ad. If it misses the mark, no problem—I won't keep chasing. Should I send it?</x:v>
      </x:c>
      <x:c r="AW142" s="76" t="str">
        <x:v>Hi Jeffrey, Ryan here. I was looking at FlyLock Security Solutions's public marketing and noticed: paid-demand technology detected; creative refresh hypothesis. I mapped one private energy-loss to installed-window transformation ad as an example. Did I catch you with 30 seconds?</x:v>
      </x:c>
      <x:c r="AX142" s="60" t="str">
        <x:v>https://www.facebook.com/ads/library/?active_status=active&amp;ad_type=all&amp;country=US&amp;q=FlyLock%20Security%20Solutions&amp;search_type=keyword_unordered</x:v>
      </x:c>
      <x:c r="AY142" s="60" t="str">
        <x:v>ok:200</x:v>
      </x:c>
      <x:c r="AZ142" s="60" t="n">
        <x:v>46232.722858796296</x:v>
      </x:c>
      <x:c r="BA142" s="60" t="str">
        <x:v>AI Ark SC trades export</x:v>
      </x:c>
      <x:c r="BB142" s="60" t="str">
        <x:v>https://flyinglocksmiths.com | https://www.linkedin.com/company/flylock-security-solutions</x:v>
      </x:c>
      <x:c r="BC142" s="60" t="str"/>
    </x:row>
    <x:row r="143" ht="18" customHeight="1">
      <x:c r="A143" s="70" t="str">
        <x:v>142</x:v>
      </x:c>
      <x:c r="B143" s="70" t="str">
        <x:v>B - Strong</x:v>
      </x:c>
      <x:c r="C143" s="72" t="str">
        <x:v>65</x:v>
      </x:c>
      <x:c r="D143" s="60" t="str">
        <x:v>Blue Eagle Rentals, Inc.</x:v>
      </x:c>
      <x:c r="E143" s="60" t="str">
        <x:v>https://blueeaglerentals.net</x:v>
      </x:c>
      <x:c r="F143" s="60" t="str">
        <x:v>http://renterg.com/empower-rental-group-greenville/</x:v>
      </x:c>
      <x:c r="G143" s="60" t="str">
        <x:v>Spartanburg</x:v>
      </x:c>
      <x:c r="H143" s="60" t="str">
        <x:v>South Carolina</x:v>
      </x:c>
      <x:c r="I143" s="60" t="str">
        <x:v>General Contractor</x:v>
      </x:c>
      <x:c r="J143" s="60" t="str">
        <x:v>Bobby</x:v>
      </x:c>
      <x:c r="K143" s="60" t="str">
        <x:v>Griffin</x:v>
      </x:c>
      <x:c r="L143" s="60" t="str">
        <x:v>Owner</x:v>
      </x:c>
      <x:c r="M143" s="60" t="str"/>
      <x:c r="N143" s="60" t="str"/>
      <x:c r="O143" s="60" t="str">
        <x:v>+1 803 771 7100, +1 205 492 9079</x:v>
      </x:c>
      <x:c r="P143" s="60" t="str">
        <x:v>https://www.linkedin.com/in/bobby-griffin-112044b2</x:v>
      </x:c>
      <x:c r="Q143" s="60" t="str">
        <x:v>11-50</x:v>
      </x:c>
      <x:c r="R143" s="60" t="str">
        <x:v>100000-499999</x:v>
      </x:c>
      <x:c r="S143" s="60" t="str"/>
      <x:c r="T143" s="74" t="str">
        <x:v>0</x:v>
      </x:c>
      <x:c r="U143" s="60" t="str"/>
      <x:c r="V143" s="74" t="str">
        <x:v>23</x:v>
      </x:c>
      <x:c r="W143" s="74" t="str">
        <x:v>25</x:v>
      </x:c>
      <x:c r="X143" s="74" t="str">
        <x:v>12</x:v>
      </x:c>
      <x:c r="Y143" s="74" t="str">
        <x:v>0</x:v>
      </x:c>
      <x:c r="Z143" s="74" t="str">
        <x:v>5</x:v>
      </x:c>
      <x:c r="AA143" s="74" t="str">
        <x:v>1</x:v>
      </x:c>
      <x:c r="AB143" s="74" t="str">
        <x:v>1</x:v>
      </x:c>
      <x:c r="AC143" s="74" t="str">
        <x:v>1</x:v>
      </x:c>
      <x:c r="AD143" s="74" t="str">
        <x:v>0</x:v>
      </x:c>
      <x:c r="AE143" s="74" t="str">
        <x:v>0</x:v>
      </x:c>
      <x:c r="AF143" s="74" t="str"/>
      <x:c r="AG143" s="74" t="str">
        <x:v>0</x:v>
      </x:c>
      <x:c r="AH143" s="74" t="str">
        <x:v>0</x:v>
      </x:c>
      <x:c r="AI143" s="74" t="str">
        <x:v>0</x:v>
      </x:c>
      <x:c r="AJ143" s="74" t="str">
        <x:v>0</x:v>
      </x:c>
      <x:c r="AK143" s="74" t="str">
        <x:v>0</x:v>
      </x:c>
      <x:c r="AL143" s="74" t="str">
        <x:v>1</x:v>
      </x:c>
      <x:c r="AM143" s="74" t="str">
        <x:v>1</x:v>
      </x:c>
      <x:c r="AN143" s="74" t="str">
        <x:v>0</x:v>
      </x:c>
      <x:c r="AO143" s="60" t="str">
        <x:v>2026</x:v>
      </x:c>
      <x:c r="AP143" s="76" t="str">
        <x:v>Meta tracking detected; no embedded homepage video found</x:v>
      </x:c>
      <x:c r="AQ143" s="76" t="str">
        <x:v>Meta Pixel; Google Ads tag; no embedded homepage video detected</x:v>
      </x:c>
      <x:c r="AR143" s="76" t="str">
        <x:v>I noticed Blue Eagle Rentals, Inc.'s site has Meta tracking installed, but I couldn't find an embedded video on the homepage.</x:v>
      </x:c>
      <x:c r="AS143" s="76" t="str">
        <x:v>project walkthrough with proof milestones</x:v>
      </x:c>
      <x:c r="AT143" s="76" t="str">
        <x:v>Blue Eagle Rentals, Inc. ad concept</x:v>
      </x:c>
      <x:c r="AU143" s="76" t="str">
        <x:v>Hi Bobby — I noticed Blue Eagle Rentals, Inc.'s site has Meta tracking installed, but I couldn't find an embedded video on the homepage. I mapped a private 15-second project walkthrough with proof milestones for Blue Eagle Rentals, Inc. using only public brand context—not for publishing, just to show the angle. We build three client-approved video ad concepts in seven days, then turn the winners into fresh variations. No filming day required. Worth sending the private sample?</x:v>
      </x:c>
      <x:c r="AV143" s="76" t="str">
        <x:v>Quick follow-up: the sample angle is a project walkthrough with proof milestones. If it misses the mark, no problem—I won't keep chasing. Should I send it?</x:v>
      </x:c>
      <x:c r="AW143" s="76" t="str">
        <x:v>Hi Bobby, Ryan here. I was looking at Blue Eagle Rentals, Inc.'s public marketing and noticed: meta tracking detected; no embedded homepage video found. I mapped one private project walkthrough with proof milestones as an example. Did I catch you with 30 seconds?</x:v>
      </x:c>
      <x:c r="AX143" s="60" t="str">
        <x:v>https://www.facebook.com/ads/library/?active_status=active&amp;ad_type=all&amp;country=US&amp;q=Blue%20Eagle%20Rentals%2C%20Inc.&amp;search_type=keyword_unordered</x:v>
      </x:c>
      <x:c r="AY143" s="60" t="str">
        <x:v>ok:200</x:v>
      </x:c>
      <x:c r="AZ143" s="60" t="n">
        <x:v>46232.722858796296</x:v>
      </x:c>
      <x:c r="BA143" s="60" t="str">
        <x:v>AI Ark SC trades export</x:v>
      </x:c>
      <x:c r="BB143" s="60" t="str">
        <x:v>https://blueeaglerentals.net | https://www.linkedin.com/company/blue-eagle-rentals-inc-</x:v>
      </x:c>
      <x:c r="BC143" s="60" t="str"/>
    </x:row>
    <x:row r="144" ht="18" customHeight="1">
      <x:c r="A144" s="70" t="str">
        <x:v>143</x:v>
      </x:c>
      <x:c r="B144" s="70" t="str">
        <x:v>B - Strong</x:v>
      </x:c>
      <x:c r="C144" s="72" t="str">
        <x:v>65</x:v>
      </x:c>
      <x:c r="D144" s="60" t="str">
        <x:v>Premium Painting</x:v>
      </x:c>
      <x:c r="E144" s="60" t="str">
        <x:v>https://premiumpainting-msp.com</x:v>
      </x:c>
      <x:c r="F144" s="60" t="str">
        <x:v>https://premiumpainting-msp.com</x:v>
      </x:c>
      <x:c r="G144" s="60" t="str">
        <x:v>Mount Pleasant</x:v>
      </x:c>
      <x:c r="H144" s="60" t="str">
        <x:v>South Carolina</x:v>
      </x:c>
      <x:c r="I144" s="60" t="str">
        <x:v>Painting</x:v>
      </x:c>
      <x:c r="J144" s="60" t="str">
        <x:v>Gordon</x:v>
      </x:c>
      <x:c r="K144" s="60" t="str">
        <x:v>Elliott</x:v>
      </x:c>
      <x:c r="L144" s="60" t="str">
        <x:v>owner</x:v>
      </x:c>
      <x:c r="M144" s="60" t="str"/>
      <x:c r="N144" s="60" t="str"/>
      <x:c r="O144" s="60" t="str"/>
      <x:c r="P144" s="60" t="str">
        <x:v>https://www.linkedin.com/in/gordon-elliott-8a230b95</x:v>
      </x:c>
      <x:c r="Q144" s="60" t="str">
        <x:v>2-10</x:v>
      </x:c>
      <x:c r="R144" s="60" t="str">
        <x:v>1000000-4999999</x:v>
      </x:c>
      <x:c r="S144" s="60" t="str"/>
      <x:c r="T144" s="74" t="str">
        <x:v>0</x:v>
      </x:c>
      <x:c r="U144" s="60" t="str"/>
      <x:c r="V144" s="74" t="str">
        <x:v>25</x:v>
      </x:c>
      <x:c r="W144" s="74" t="str">
        <x:v>21</x:v>
      </x:c>
      <x:c r="X144" s="74" t="str">
        <x:v>12</x:v>
      </x:c>
      <x:c r="Y144" s="74" t="str">
        <x:v>5</x:v>
      </x:c>
      <x:c r="Z144" s="74" t="str">
        <x:v>2</x:v>
      </x:c>
      <x:c r="AA144" s="74" t="str">
        <x:v>0</x:v>
      </x:c>
      <x:c r="AB144" s="74" t="str">
        <x:v>1</x:v>
      </x:c>
      <x:c r="AC144" s="74" t="str">
        <x:v>1</x:v>
      </x:c>
      <x:c r="AD144" s="74" t="str">
        <x:v>0</x:v>
      </x:c>
      <x:c r="AE144" s="74" t="str">
        <x:v>1</x:v>
      </x:c>
      <x:c r="AF144" s="74" t="str"/>
      <x:c r="AG144" s="74" t="str">
        <x:v>0</x:v>
      </x:c>
      <x:c r="AH144" s="74" t="str">
        <x:v>1</x:v>
      </x:c>
      <x:c r="AI144" s="74" t="str">
        <x:v>0</x:v>
      </x:c>
      <x:c r="AJ144" s="74" t="str">
        <x:v>0</x:v>
      </x:c>
      <x:c r="AK144" s="74" t="str">
        <x:v>0</x:v>
      </x:c>
      <x:c r="AL144" s="74" t="str">
        <x:v>1</x:v>
      </x:c>
      <x:c r="AM144" s="74" t="str">
        <x:v>1</x:v>
      </x:c>
      <x:c r="AN144" s="74" t="str">
        <x:v>0</x:v>
      </x:c>
      <x:c r="AO144" s="60" t="str">
        <x:v>2026</x:v>
      </x:c>
      <x:c r="AP144" s="76" t="str">
        <x:v>Google Ads tag detected; no embedded homepage video found</x:v>
      </x:c>
      <x:c r="AQ144" s="76" t="str">
        <x:v>Google Ads tag; call tracking; project/gallery proof; no embedded homepage video detected</x:v>
      </x:c>
      <x:c r="AR144" s="76" t="str">
        <x:v>I noticed Premium Painting's site has a Google Ads tag installed, but I couldn't find an embedded video on the homepage.</x:v>
      </x:c>
      <x:c r="AS144" s="76" t="str">
        <x:v>one-room transformation ad</x:v>
      </x:c>
      <x:c r="AT144" s="76" t="str">
        <x:v>Premium Painting ad concept</x:v>
      </x:c>
      <x:c r="AU144" s="76" t="str">
        <x:v>Hi Gordon — I noticed Premium Painting's site has a Google Ads tag installed, but I couldn't find an embedded video on the homepage. I mapped a private 15-second one-room transformation ad for Premium Painting using only public brand context—not for publishing, just to show the angle. We build three client-approved video ad concepts in seven days, then turn the winners into fresh variations. No filming day required. Worth sending the private sample?</x:v>
      </x:c>
      <x:c r="AV144" s="76" t="str">
        <x:v>Quick follow-up: the sample angle is a one-room transformation ad. If it misses the mark, no problem—I won't keep chasing. Should I send it?</x:v>
      </x:c>
      <x:c r="AW144" s="76" t="str">
        <x:v>Hi Gordon, Ryan here. I was looking at Premium Painting's public marketing and noticed: google ads tag detected; no embedded homepage video found. I mapped one private one-room transformation ad as an example. Did I catch you with 30 seconds?</x:v>
      </x:c>
      <x:c r="AX144" s="60" t="str">
        <x:v>https://www.facebook.com/ads/library/?active_status=active&amp;ad_type=all&amp;country=US&amp;q=Premium%20Painting&amp;search_type=keyword_unordered</x:v>
      </x:c>
      <x:c r="AY144" s="60" t="str">
        <x:v>ok:200</x:v>
      </x:c>
      <x:c r="AZ144" s="60" t="n">
        <x:v>46232.722858796296</x:v>
      </x:c>
      <x:c r="BA144" s="60" t="str">
        <x:v>AI Ark SC trades export</x:v>
      </x:c>
      <x:c r="BB144" s="60" t="str">
        <x:v>https://premiumpainting-msp.com | https://www.linkedin.com/company/premium-painting</x:v>
      </x:c>
      <x:c r="BC144" s="60" t="str"/>
    </x:row>
    <x:row r="145" ht="18" customHeight="1">
      <x:c r="A145" s="70" t="str">
        <x:v>144</x:v>
      </x:c>
      <x:c r="B145" s="70" t="str">
        <x:v>B - Strong</x:v>
      </x:c>
      <x:c r="C145" s="72" t="str">
        <x:v>65</x:v>
      </x:c>
      <x:c r="D145" s="60" t="str">
        <x:v>ProLectric</x:v>
      </x:c>
      <x:c r="E145" s="60" t="str">
        <x:v>https://prolectric.net</x:v>
      </x:c>
      <x:c r="F145" s="60" t="str">
        <x:v>https://prolectric.net</x:v>
      </x:c>
      <x:c r="G145" s="60" t="str">
        <x:v>Hilton Head</x:v>
      </x:c>
      <x:c r="H145" s="60" t="str">
        <x:v>South Carolina</x:v>
      </x:c>
      <x:c r="I145" s="60" t="str">
        <x:v>Electrical</x:v>
      </x:c>
      <x:c r="J145" s="60" t="str">
        <x:v>ProLectric</x:v>
      </x:c>
      <x:c r="K145" s="60" t="str"/>
      <x:c r="L145" s="60" t="str">
        <x:v>Owner / decision maker to verify</x:v>
      </x:c>
      <x:c r="M145" s="60" t="str"/>
      <x:c r="N145" s="60" t="str"/>
      <x:c r="O145" s="60" t="str">
        <x:v>(912) 210-1100</x:v>
      </x:c>
      <x:c r="P145" s="60" t="str"/>
      <x:c r="Q145" s="60" t="str"/>
      <x:c r="R145" s="60" t="str"/>
      <x:c r="S145" s="60" t="str">
        <x:v>4.7</x:v>
      </x:c>
      <x:c r="T145" s="74" t="str">
        <x:v>119</x:v>
      </x:c>
      <x:c r="U145" s="60" t="str">
        <x:v>scheduling</x:v>
      </x:c>
      <x:c r="V145" s="74" t="str">
        <x:v>23</x:v>
      </x:c>
      <x:c r="W145" s="74" t="str">
        <x:v>15</x:v>
      </x:c>
      <x:c r="X145" s="74" t="str">
        <x:v>14</x:v>
      </x:c>
      <x:c r="Y145" s="74" t="str">
        <x:v>8</x:v>
      </x:c>
      <x:c r="Z145" s="74" t="str">
        <x:v>5</x:v>
      </x:c>
      <x:c r="AA145" s="74" t="str">
        <x:v>1</x:v>
      </x:c>
      <x:c r="AB145" s="74" t="str">
        <x:v>0</x:v>
      </x:c>
      <x:c r="AC145" s="74" t="str">
        <x:v>1</x:v>
      </x:c>
      <x:c r="AD145" s="74" t="str">
        <x:v>0</x:v>
      </x:c>
      <x:c r="AE145" s="74" t="str">
        <x:v>0</x:v>
      </x:c>
      <x:c r="AF145" s="74" t="str"/>
      <x:c r="AG145" s="74" t="str">
        <x:v>0</x:v>
      </x:c>
      <x:c r="AH145" s="74" t="str">
        <x:v>1</x:v>
      </x:c>
      <x:c r="AI145" s="74" t="str">
        <x:v>0</x:v>
      </x:c>
      <x:c r="AJ145" s="74" t="str">
        <x:v>0</x:v>
      </x:c>
      <x:c r="AK145" s="74" t="str">
        <x:v>0</x:v>
      </x:c>
      <x:c r="AL145" s="74" t="str">
        <x:v>1</x:v>
      </x:c>
      <x:c r="AM145" s="74" t="str">
        <x:v>1</x:v>
      </x:c>
      <x:c r="AN145" s="74" t="str">
        <x:v>1</x:v>
      </x:c>
      <x:c r="AO145" s="60" t="str">
        <x:v>2026</x:v>
      </x:c>
      <x:c r="AP145" s="76" t="str">
        <x:v>Meta tracking detected; no embedded homepage video found</x:v>
      </x:c>
      <x:c r="AQ145" s="76" t="str">
        <x:v>Meta Pixel; project/gallery proof; no embedded homepage video detected</x:v>
      </x:c>
      <x:c r="AR145" s="76" t="str">
        <x:v>I noticed ProLectric's site has Meta tracking installed, but I couldn't find an embedded video on the homepage.</x:v>
      </x:c>
      <x:c r="AS145" s="76" t="str">
        <x:v>safety inspection problem/solution ad</x:v>
      </x:c>
      <x:c r="AT145" s="76" t="str">
        <x:v>ProLectric ad concept</x:v>
      </x:c>
      <x:c r="AU145" s="76" t="str">
        <x:v>Hi ProLectric — I noticed ProLectric's site has Meta tracking installed, but I couldn't find an embedded video on the homepage. I mapped a private 15-second safety inspection problem/solution ad for ProLectric using only public brand context—not for publishing, just to show the angle. We build three client-approved video ad concepts in seven days, then turn the winners into fresh variations. No filming day required. Worth sending the private sample?</x:v>
      </x:c>
      <x:c r="AV145" s="76" t="str">
        <x:v>Quick follow-up: the sample angle is a safety inspection problem/solution ad. If it misses the mark, no problem—I won't keep chasing. Should I send it?</x:v>
      </x:c>
      <x:c r="AW145" s="76" t="str">
        <x:v>Hi ProLectric, Ryan here. I was looking at ProLectric's public marketing and noticed: meta tracking detected; no embedded homepage video found. I mapped one private safety inspection problem/solution ad as an example. Did I catch you with 30 seconds?</x:v>
      </x:c>
      <x:c r="AX145" s="60" t="str">
        <x:v>https://www.facebook.com/ads/library/?active_status=active&amp;ad_type=all&amp;country=US&amp;q=ProLectric&amp;search_type=keyword_unordered</x:v>
      </x:c>
      <x:c r="AY145" s="60" t="str">
        <x:v>ok:200</x:v>
      </x:c>
      <x:c r="AZ145" s="60" t="n">
        <x:v>46232.722858796296</x:v>
      </x:c>
      <x:c r="BA145" s="60" t="str">
        <x:v>Google Maps home-services export</x:v>
      </x:c>
      <x:c r="BB145" s="60" t="str">
        <x:v>https://maps.google.com/?cid=12367826148155866253&amp;g_mp=Cidnb29nbGUubWFwcy5wbGFjZXMudjEuUGxhY2VzLlNlYXJjaFRleHQQAhgEIAA | https://prolectric.net</x:v>
      </x:c>
      <x:c r="BC145" s="60" t="str"/>
    </x:row>
    <x:row r="146" ht="18" customHeight="1">
      <x:c r="A146" s="70" t="str">
        <x:v>145</x:v>
      </x:c>
      <x:c r="B146" s="70" t="str">
        <x:v>B - Strong</x:v>
      </x:c>
      <x:c r="C146" s="72" t="str">
        <x:v>65</x:v>
      </x:c>
      <x:c r="D146" s="60" t="str">
        <x:v>Window World</x:v>
      </x:c>
      <x:c r="E146" s="60" t="str">
        <x:v>https://windowworld.com</x:v>
      </x:c>
      <x:c r="F146" s="60" t="str">
        <x:v>https://www.windowworld.com/</x:v>
      </x:c>
      <x:c r="G146" s="60" t="str">
        <x:v>Greenville</x:v>
      </x:c>
      <x:c r="H146" s="60" t="str">
        <x:v>South Carolina</x:v>
      </x:c>
      <x:c r="I146" s="60" t="str">
        <x:v>Windows &amp; Doors</x:v>
      </x:c>
      <x:c r="J146" s="60" t="str">
        <x:v>Teresa</x:v>
      </x:c>
      <x:c r="K146" s="60" t="str">
        <x:v>Williams</x:v>
      </x:c>
      <x:c r="L146" s="60" t="str">
        <x:v>Business Owner</x:v>
      </x:c>
      <x:c r="M146" s="60" t="str"/>
      <x:c r="N146" s="60" t="str"/>
      <x:c r="O146" s="60" t="str"/>
      <x:c r="P146" s="60" t="str">
        <x:v>https://www.linkedin.com/in/teresa-williams-193898372</x:v>
      </x:c>
      <x:c r="Q146" s="60" t="str">
        <x:v>1001-5000</x:v>
      </x:c>
      <x:c r="R146" s="60" t="str">
        <x:v>100000000-499999999</x:v>
      </x:c>
      <x:c r="S146" s="60" t="str"/>
      <x:c r="T146" s="74" t="str">
        <x:v>0</x:v>
      </x:c>
      <x:c r="U146" s="60" t="str"/>
      <x:c r="V146" s="74" t="str">
        <x:v>28</x:v>
      </x:c>
      <x:c r="W146" s="74" t="str">
        <x:v>15</x:v>
      </x:c>
      <x:c r="X146" s="74" t="str">
        <x:v>12</x:v>
      </x:c>
      <x:c r="Y146" s="74" t="str">
        <x:v>8</x:v>
      </x:c>
      <x:c r="Z146" s="74" t="str">
        <x:v>2</x:v>
      </x:c>
      <x:c r="AA146" s="74" t="str">
        <x:v>1</x:v>
      </x:c>
      <x:c r="AB146" s="74" t="str">
        <x:v>0</x:v>
      </x:c>
      <x:c r="AC146" s="74" t="str">
        <x:v>1</x:v>
      </x:c>
      <x:c r="AD146" s="74" t="str">
        <x:v>0</x:v>
      </x:c>
      <x:c r="AE146" s="74" t="str">
        <x:v>0</x:v>
      </x:c>
      <x:c r="AF146" s="74" t="str"/>
      <x:c r="AG146" s="74" t="str">
        <x:v>0</x:v>
      </x:c>
      <x:c r="AH146" s="74" t="str">
        <x:v>1</x:v>
      </x:c>
      <x:c r="AI146" s="74" t="str">
        <x:v>0</x:v>
      </x:c>
      <x:c r="AJ146" s="74" t="str">
        <x:v>1</x:v>
      </x:c>
      <x:c r="AK146" s="74" t="str">
        <x:v>0</x:v>
      </x:c>
      <x:c r="AL146" s="74" t="str">
        <x:v>1</x:v>
      </x:c>
      <x:c r="AM146" s="74" t="str">
        <x:v>1</x:v>
      </x:c>
      <x:c r="AN146" s="74" t="str">
        <x:v>1</x:v>
      </x:c>
      <x:c r="AO146" s="60" t="str">
        <x:v>2026</x:v>
      </x:c>
      <x:c r="AP146" s="76" t="str">
        <x:v>Meta tracking detected; no embedded homepage video found</x:v>
      </x:c>
      <x:c r="AQ146" s="76" t="str">
        <x:v>Meta Pixel; project/gallery proof; financing; no embedded homepage video detected</x:v>
      </x:c>
      <x:c r="AR146" s="76" t="str">
        <x:v>I noticed Window World's site has Meta tracking installed, but I couldn't find an embedded video on the homepage.</x:v>
      </x:c>
      <x:c r="AS146" s="76" t="str">
        <x:v>energy-loss to installed-window transformation ad</x:v>
      </x:c>
      <x:c r="AT146" s="76" t="str">
        <x:v>Window World ad concept</x:v>
      </x:c>
      <x:c r="AU146" s="76" t="str">
        <x:v>Hi Teresa — I noticed Window World's site has Meta tracking installed, but I couldn't find an embedded video on the homepage. I mapped a private 15-second energy-loss to installed-window transformation ad for Window World using only public brand context—not for publishing, just to show the angle. We build three client-approved video ad concepts in seven days, then turn the winners into fresh variations. No filming day required. Worth sending the private sample?</x:v>
      </x:c>
      <x:c r="AV146" s="76" t="str">
        <x:v>Quick follow-up: the sample angle is a energy-loss to installed-window transformation ad. If it misses the mark, no problem—I won't keep chasing. Should I send it?</x:v>
      </x:c>
      <x:c r="AW146" s="76" t="str">
        <x:v>Hi Teresa, Ryan here. I was looking at Window World's public marketing and noticed: meta tracking detected; no embedded homepage video found. I mapped one private energy-loss to installed-window transformation ad as an example. Did I catch you with 30 seconds?</x:v>
      </x:c>
      <x:c r="AX146" s="60" t="str">
        <x:v>https://www.facebook.com/ads/library/?active_status=active&amp;ad_type=all&amp;country=US&amp;q=Window%20World&amp;search_type=keyword_unordered</x:v>
      </x:c>
      <x:c r="AY146" s="60" t="str">
        <x:v>ok:200</x:v>
      </x:c>
      <x:c r="AZ146" s="60" t="n">
        <x:v>46232.722858796296</x:v>
      </x:c>
      <x:c r="BA146" s="60" t="str">
        <x:v>AI Ark SC trades export</x:v>
      </x:c>
      <x:c r="BB146" s="60" t="str">
        <x:v>https://windowworld.com | https://www.linkedin.com/company/window-world</x:v>
      </x:c>
      <x:c r="BC146" s="60" t="str"/>
    </x:row>
    <x:row r="147" ht="18" customHeight="1">
      <x:c r="A147" s="70" t="str">
        <x:v>146</x:v>
      </x:c>
      <x:c r="B147" s="70" t="str">
        <x:v>B - Strong</x:v>
      </x:c>
      <x:c r="C147" s="72" t="str">
        <x:v>65</x:v>
      </x:c>
      <x:c r="D147" s="60" t="str">
        <x:v>CLT Pros</x:v>
      </x:c>
      <x:c r="E147" s="60" t="str">
        <x:v>https://cltpros.com</x:v>
      </x:c>
      <x:c r="F147" s="60" t="str">
        <x:v>https://cltpros.com</x:v>
      </x:c>
      <x:c r="G147" s="60" t="str">
        <x:v>Lancaster</x:v>
      </x:c>
      <x:c r="H147" s="60" t="str">
        <x:v>South Carolina</x:v>
      </x:c>
      <x:c r="I147" s="60" t="str">
        <x:v>Remodeling</x:v>
      </x:c>
      <x:c r="J147" s="60" t="str">
        <x:v>Hunter</x:v>
      </x:c>
      <x:c r="K147" s="60" t="str">
        <x:v>Hanning</x:v>
      </x:c>
      <x:c r="L147" s="60" t="str">
        <x:v>Co-Owner</x:v>
      </x:c>
      <x:c r="M147" s="60" t="str"/>
      <x:c r="N147" s="60" t="str"/>
      <x:c r="O147" s="60" t="str"/>
      <x:c r="P147" s="60" t="str">
        <x:v>https://www.linkedin.com/in/hunter-hanning-0b498629b</x:v>
      </x:c>
      <x:c r="Q147" s="60" t="str">
        <x:v>2-10</x:v>
      </x:c>
      <x:c r="R147" s="60" t="str">
        <x:v>0-99999</x:v>
      </x:c>
      <x:c r="S147" s="60" t="str"/>
      <x:c r="T147" s="74" t="str">
        <x:v>0</x:v>
      </x:c>
      <x:c r="U147" s="60" t="str"/>
      <x:c r="V147" s="74" t="str">
        <x:v>25</x:v>
      </x:c>
      <x:c r="W147" s="74" t="str">
        <x:v>15</x:v>
      </x:c>
      <x:c r="X147" s="74" t="str">
        <x:v>16</x:v>
      </x:c>
      <x:c r="Y147" s="74" t="str">
        <x:v>7</x:v>
      </x:c>
      <x:c r="Z147" s="74" t="str">
        <x:v>2</x:v>
      </x:c>
      <x:c r="AA147" s="74" t="str">
        <x:v>1</x:v>
      </x:c>
      <x:c r="AB147" s="74" t="str">
        <x:v>0</x:v>
      </x:c>
      <x:c r="AC147" s="74" t="str">
        <x:v>1</x:v>
      </x:c>
      <x:c r="AD147" s="74" t="str">
        <x:v>0</x:v>
      </x:c>
      <x:c r="AE147" s="74" t="str">
        <x:v>0</x:v>
      </x:c>
      <x:c r="AF147" s="74" t="str"/>
      <x:c r="AG147" s="74" t="str">
        <x:v>0</x:v>
      </x:c>
      <x:c r="AH147" s="74" t="str">
        <x:v>0</x:v>
      </x:c>
      <x:c r="AI147" s="74" t="str">
        <x:v>1</x:v>
      </x:c>
      <x:c r="AJ147" s="74" t="str">
        <x:v>0</x:v>
      </x:c>
      <x:c r="AK147" s="74" t="str">
        <x:v>1</x:v>
      </x:c>
      <x:c r="AL147" s="74" t="str">
        <x:v>0</x:v>
      </x:c>
      <x:c r="AM147" s="74" t="str">
        <x:v>1</x:v>
      </x:c>
      <x:c r="AN147" s="74" t="str">
        <x:v>0</x:v>
      </x:c>
      <x:c r="AO147" s="60" t="str">
        <x:v>2026</x:v>
      </x:c>
      <x:c r="AP147" s="76" t="str">
        <x:v>Meta tracking detected; no embedded homepage video found</x:v>
      </x:c>
      <x:c r="AQ147" s="76" t="str">
        <x:v>Meta Pixel; testimonials; visible service offer; no embedded homepage video detected</x:v>
      </x:c>
      <x:c r="AR147" s="76" t="str">
        <x:v>I noticed CLT Pros's site has Meta tracking installed, but I couldn't find an embedded video on the homepage.</x:v>
      </x:c>
      <x:c r="AS147" s="76" t="str">
        <x:v>project reveal with budget-and-timeline proof</x:v>
      </x:c>
      <x:c r="AT147" s="76" t="str">
        <x:v>CLT Pros ad concept</x:v>
      </x:c>
      <x:c r="AU147" s="76" t="str">
        <x:v>Hi Hunter — I noticed CLT Pros's site has Meta tracking installed, but I couldn't find an embedded video on the homepage. I mapped a private 15-second project reveal with budget-and-timeline proof for CLT Pros using only public brand context—not for publishing, just to show the angle. We build three client-approved video ad concepts in seven days, then turn the winners into fresh variations. No filming day required. Worth sending the private sample?</x:v>
      </x:c>
      <x:c r="AV147" s="76" t="str">
        <x:v>Quick follow-up: the sample angle is a project reveal with budget-and-timeline proof. If it misses the mark, no problem—I won't keep chasing. Should I send it?</x:v>
      </x:c>
      <x:c r="AW147" s="76" t="str">
        <x:v>Hi Hunter, Ryan here. I was looking at CLT Pros's public marketing and noticed: meta tracking detected; no embedded homepage video found. I mapped one private project reveal with budget-and-timeline proof as an example. Did I catch you with 30 seconds?</x:v>
      </x:c>
      <x:c r="AX147" s="60" t="str">
        <x:v>https://www.facebook.com/ads/library/?active_status=active&amp;ad_type=all&amp;country=US&amp;q=CLT%20Pros&amp;search_type=keyword_unordered</x:v>
      </x:c>
      <x:c r="AY147" s="60" t="str">
        <x:v>ok:200</x:v>
      </x:c>
      <x:c r="AZ147" s="60" t="n">
        <x:v>46232.722858796296</x:v>
      </x:c>
      <x:c r="BA147" s="60" t="str">
        <x:v>AI Ark SC trades export</x:v>
      </x:c>
      <x:c r="BB147" s="60" t="str">
        <x:v>https://cltpros.com | https://www.linkedin.com/company/clt-pros</x:v>
      </x:c>
      <x:c r="BC147" s="60" t="str"/>
    </x:row>
    <x:row r="148" ht="18" customHeight="1">
      <x:c r="A148" s="70" t="str">
        <x:v>147</x:v>
      </x:c>
      <x:c r="B148" s="70" t="str">
        <x:v>B - Strong</x:v>
      </x:c>
      <x:c r="C148" s="72" t="str">
        <x:v>65</x:v>
      </x:c>
      <x:c r="D148" s="60" t="str">
        <x:v>Raybrook Homes</x:v>
      </x:c>
      <x:c r="E148" s="60" t="str">
        <x:v>https://raybrookhomes.com</x:v>
      </x:c>
      <x:c r="F148" s="60" t="str">
        <x:v>https://www.raybrookhomes.com/</x:v>
      </x:c>
      <x:c r="G148" s="60" t="str">
        <x:v>Greer</x:v>
      </x:c>
      <x:c r="H148" s="60" t="str">
        <x:v>South Carolina</x:v>
      </x:c>
      <x:c r="I148" s="60" t="str">
        <x:v>Remodeling</x:v>
      </x:c>
      <x:c r="J148" s="60" t="str">
        <x:v>Chris</x:v>
      </x:c>
      <x:c r="K148" s="60" t="str">
        <x:v>Johnson, MBA</x:v>
      </x:c>
      <x:c r="L148" s="60" t="str">
        <x:v>Owner</x:v>
      </x:c>
      <x:c r="M148" s="60" t="str">
        <x:v>chris@raybrookhomes.com</x:v>
      </x:c>
      <x:c r="N148" s="60" t="str">
        <x:v>Verified with BounceBan on 08 Jun 26 12:06</x:v>
      </x:c>
      <x:c r="O148" s="60" t="str">
        <x:v>+1 512 713 3939</x:v>
      </x:c>
      <x:c r="P148" s="60" t="str">
        <x:v>https://www.linkedin.com/in/chris-johnson-mba-366a8028</x:v>
      </x:c>
      <x:c r="Q148" s="60" t="str">
        <x:v>11-50</x:v>
      </x:c>
      <x:c r="R148" s="60" t="str">
        <x:v>100000-499999</x:v>
      </x:c>
      <x:c r="S148" s="60" t="str"/>
      <x:c r="T148" s="74" t="str">
        <x:v>0</x:v>
      </x:c>
      <x:c r="U148" s="60" t="str"/>
      <x:c r="V148" s="74" t="str">
        <x:v>28</x:v>
      </x:c>
      <x:c r="W148" s="74" t="str">
        <x:v>15</x:v>
      </x:c>
      <x:c r="X148" s="74" t="str">
        <x:v>12</x:v>
      </x:c>
      <x:c r="Y148" s="74" t="str">
        <x:v>0</x:v>
      </x:c>
      <x:c r="Z148" s="74" t="str">
        <x:v>10</x:v>
      </x:c>
      <x:c r="AA148" s="74" t="str">
        <x:v>1</x:v>
      </x:c>
      <x:c r="AB148" s="74" t="str">
        <x:v>0</x:v>
      </x:c>
      <x:c r="AC148" s="74" t="str">
        <x:v>1</x:v>
      </x:c>
      <x:c r="AD148" s="74" t="str">
        <x:v>0</x:v>
      </x:c>
      <x:c r="AE148" s="74" t="str">
        <x:v>0</x:v>
      </x:c>
      <x:c r="AF148" s="74" t="str"/>
      <x:c r="AG148" s="74" t="str">
        <x:v>0</x:v>
      </x:c>
      <x:c r="AH148" s="74" t="str">
        <x:v>0</x:v>
      </x:c>
      <x:c r="AI148" s="74" t="str">
        <x:v>0</x:v>
      </x:c>
      <x:c r="AJ148" s="74" t="str">
        <x:v>0</x:v>
      </x:c>
      <x:c r="AK148" s="74" t="str">
        <x:v>0</x:v>
      </x:c>
      <x:c r="AL148" s="74" t="str">
        <x:v>1</x:v>
      </x:c>
      <x:c r="AM148" s="74" t="str">
        <x:v>1</x:v>
      </x:c>
      <x:c r="AN148" s="74" t="str">
        <x:v>0</x:v>
      </x:c>
      <x:c r="AO148" s="60" t="str">
        <x:v>0</x:v>
      </x:c>
      <x:c r="AP148" s="76" t="str">
        <x:v>Meta tracking detected; no embedded homepage video found</x:v>
      </x:c>
      <x:c r="AQ148" s="76" t="str">
        <x:v>Meta Pixel; no embedded homepage video detected</x:v>
      </x:c>
      <x:c r="AR148" s="76" t="str">
        <x:v>I noticed Raybrook Homes's site has Meta tracking installed, but I couldn't find an embedded video on the homepage.</x:v>
      </x:c>
      <x:c r="AS148" s="76" t="str">
        <x:v>project reveal with budget-and-timeline proof</x:v>
      </x:c>
      <x:c r="AT148" s="76" t="str">
        <x:v>Raybrook Homes ad concept</x:v>
      </x:c>
      <x:c r="AU148" s="76" t="str">
        <x:v>Hi Chris — I noticed Raybrook Homes's site has Meta tracking installed, but I couldn't find an embedded video on the homepage. I mapped a private 15-second project reveal with budget-and-timeline proof for Raybrook Homes using only public brand context—not for publishing, just to show the angle. We build three client-approved video ad concepts in seven days, then turn the winners into fresh variations. No filming day required. Worth sending the private sample?</x:v>
      </x:c>
      <x:c r="AV148" s="76" t="str">
        <x:v>Quick follow-up: the sample angle is a project reveal with budget-and-timeline proof. If it misses the mark, no problem—I won't keep chasing. Should I send it?</x:v>
      </x:c>
      <x:c r="AW148" s="76" t="str">
        <x:v>Hi Chris, Ryan here. I was looking at Raybrook Homes's public marketing and noticed: meta tracking detected; no embedded homepage video found. I mapped one private project reveal with budget-and-timeline proof as an example. Did I catch you with 30 seconds?</x:v>
      </x:c>
      <x:c r="AX148" s="60" t="str">
        <x:v>https://www.facebook.com/ads/library/?active_status=active&amp;ad_type=all&amp;country=US&amp;q=Raybrook%20Homes&amp;search_type=keyword_unordered</x:v>
      </x:c>
      <x:c r="AY148" s="60" t="str">
        <x:v>ok:200</x:v>
      </x:c>
      <x:c r="AZ148" s="60" t="n">
        <x:v>46232.722858796296</x:v>
      </x:c>
      <x:c r="BA148" s="60" t="str">
        <x:v>AI Ark SC trades export</x:v>
      </x:c>
      <x:c r="BB148" s="60" t="str">
        <x:v>https://raybrookhomes.com | https://www.linkedin.com/company/raybrook-homes</x:v>
      </x:c>
      <x:c r="BC148" s="60" t="str"/>
    </x:row>
    <x:row r="149" ht="18" customHeight="1">
      <x:c r="A149" s="70" t="str">
        <x:v>148</x:v>
      </x:c>
      <x:c r="B149" s="70" t="str">
        <x:v>B - Strong</x:v>
      </x:c>
      <x:c r="C149" s="72" t="str">
        <x:v>65</x:v>
      </x:c>
      <x:c r="D149" s="60" t="str">
        <x:v>Arc Angel Electric</x:v>
      </x:c>
      <x:c r="E149" s="60" t="str">
        <x:v>https://arcangelelectric.com</x:v>
      </x:c>
      <x:c r="F149" s="60" t="str">
        <x:v>https://arcangelelectric.com</x:v>
      </x:c>
      <x:c r="G149" s="60" t="str">
        <x:v>Hilton Head</x:v>
      </x:c>
      <x:c r="H149" s="60" t="str">
        <x:v>South Carolina</x:v>
      </x:c>
      <x:c r="I149" s="60" t="str">
        <x:v>Electrical</x:v>
      </x:c>
      <x:c r="J149" s="60" t="str">
        <x:v>Arc Angel Electric</x:v>
      </x:c>
      <x:c r="K149" s="60" t="str"/>
      <x:c r="L149" s="60" t="str">
        <x:v>Owner / decision maker to verify</x:v>
      </x:c>
      <x:c r="M149" s="60" t="str"/>
      <x:c r="N149" s="60" t="str"/>
      <x:c r="O149" s="60" t="str">
        <x:v>(843) 226-7045</x:v>
      </x:c>
      <x:c r="P149" s="60" t="str"/>
      <x:c r="Q149" s="60" t="str"/>
      <x:c r="R149" s="60" t="str"/>
      <x:c r="S149" s="60" t="str">
        <x:v>4.9</x:v>
      </x:c>
      <x:c r="T149" s="74" t="str">
        <x:v>230</x:v>
      </x:c>
      <x:c r="U149" s="60" t="str"/>
      <x:c r="V149" s="74" t="str">
        <x:v>23</x:v>
      </x:c>
      <x:c r="W149" s="74" t="str">
        <x:v>13</x:v>
      </x:c>
      <x:c r="X149" s="74" t="str">
        <x:v>12</x:v>
      </x:c>
      <x:c r="Y149" s="74" t="str">
        <x:v>12</x:v>
      </x:c>
      <x:c r="Z149" s="74" t="str">
        <x:v>5</x:v>
      </x:c>
      <x:c r="AA149" s="74" t="str">
        <x:v>0</x:v>
      </x:c>
      <x:c r="AB149" s="74" t="str">
        <x:v>1</x:v>
      </x:c>
      <x:c r="AC149" s="74" t="str">
        <x:v>1</x:v>
      </x:c>
      <x:c r="AD149" s="74" t="str">
        <x:v>0</x:v>
      </x:c>
      <x:c r="AE149" s="74" t="str">
        <x:v>0</x:v>
      </x:c>
      <x:c r="AF149" s="74" t="str"/>
      <x:c r="AG149" s="74" t="str">
        <x:v>0</x:v>
      </x:c>
      <x:c r="AH149" s="74" t="str">
        <x:v>1</x:v>
      </x:c>
      <x:c r="AI149" s="74" t="str">
        <x:v>1</x:v>
      </x:c>
      <x:c r="AJ149" s="74" t="str">
        <x:v>0</x:v>
      </x:c>
      <x:c r="AK149" s="74" t="str">
        <x:v>0</x:v>
      </x:c>
      <x:c r="AL149" s="74" t="str">
        <x:v>1</x:v>
      </x:c>
      <x:c r="AM149" s="74" t="str">
        <x:v>1</x:v>
      </x:c>
      <x:c r="AN149" s="74" t="str">
        <x:v>1</x:v>
      </x:c>
      <x:c r="AO149" s="60" t="str">
        <x:v>2026</x:v>
      </x:c>
      <x:c r="AP149" s="76" t="str">
        <x:v>Google Ads tag detected; no embedded homepage video found</x:v>
      </x:c>
      <x:c r="AQ149" s="76" t="str">
        <x:v>Google Ads tag; project/gallery proof; testimonials; no embedded homepage video detected</x:v>
      </x:c>
      <x:c r="AR149" s="76" t="str">
        <x:v>I noticed Arc Angel Electric's site has a Google Ads tag installed, but I couldn't find an embedded video on the homepage.</x:v>
      </x:c>
      <x:c r="AS149" s="76" t="str">
        <x:v>safety inspection problem/solution ad</x:v>
      </x:c>
      <x:c r="AT149" s="76" t="str">
        <x:v>Arc Angel Electric ad concept</x:v>
      </x:c>
      <x:c r="AU149" s="76" t="str">
        <x:v>Hi Arc Angel Electric — I noticed Arc Angel Electric's site has a Google Ads tag installed, but I couldn't find an embedded video on the homepage. I mapped a private 15-second safety inspection problem/solution ad for Arc Angel Electric using only public brand context—not for publishing, just to show the angle. We build three client-approved video ad concepts in seven days, then turn the winners into fresh variations. No filming day required. Worth sending the private sample?</x:v>
      </x:c>
      <x:c r="AV149" s="76" t="str">
        <x:v>Quick follow-up: the sample angle is a safety inspection problem/solution ad. If it misses the mark, no problem—I won't keep chasing. Should I send it?</x:v>
      </x:c>
      <x:c r="AW149" s="76" t="str">
        <x:v>Hi Arc Angel Electric, Ryan here. I was looking at Arc Angel Electric's public marketing and noticed: google ads tag detected; no embedded homepage video found. I mapped one private safety inspection problem/solution ad as an example. Did I catch you with 30 seconds?</x:v>
      </x:c>
      <x:c r="AX149" s="60" t="str">
        <x:v>https://www.facebook.com/ads/library/?active_status=active&amp;ad_type=all&amp;country=US&amp;q=Arc%20Angel%20Electric&amp;search_type=keyword_unordered</x:v>
      </x:c>
      <x:c r="AY149" s="60" t="str">
        <x:v>ok:200</x:v>
      </x:c>
      <x:c r="AZ149" s="60" t="n">
        <x:v>46232.722858796296</x:v>
      </x:c>
      <x:c r="BA149" s="60" t="str">
        <x:v>Google Maps home-services export</x:v>
      </x:c>
      <x:c r="BB149" s="60" t="str">
        <x:v>https://arcangelelectric.com | https://maps.google.com/?cid=17604476127967201468&amp;g_mp=Cidnb29nbGUubWFwcy5wbGFjZXMudjEuUGxhY2VzLlNlYXJjaFRleHQQAhgEIAA | https://maps.google.com/?cid=3709506672490489860&amp;g_mp=Cidnb29nbGUubWFwcy5wbGFjZXMudjEuUGxhY2VzLlNlYXJjaFRleHQQAhgEIAA</x:v>
      </x:c>
      <x:c r="BC149" s="60" t="str"/>
    </x:row>
    <x:row r="150" ht="18" customHeight="1">
      <x:c r="A150" s="70" t="str">
        <x:v>149</x:v>
      </x:c>
      <x:c r="B150" s="70" t="str">
        <x:v>B - Strong</x:v>
      </x:c>
      <x:c r="C150" s="72" t="str">
        <x:v>65</x:v>
      </x:c>
      <x:c r="D150" s="60" t="str">
        <x:v>Legacy Decks</x:v>
      </x:c>
      <x:c r="E150" s="60" t="str">
        <x:v>https://legacydecks.com</x:v>
      </x:c>
      <x:c r="F150" s="60" t="str">
        <x:v>https://www.legacydecks.com/</x:v>
      </x:c>
      <x:c r="G150" s="60" t="str">
        <x:v>Greenville</x:v>
      </x:c>
      <x:c r="H150" s="60" t="str">
        <x:v>South Carolina</x:v>
      </x:c>
      <x:c r="I150" s="60" t="str">
        <x:v>Remodeling</x:v>
      </x:c>
      <x:c r="J150" s="60" t="str">
        <x:v>Chris</x:v>
      </x:c>
      <x:c r="K150" s="60" t="str">
        <x:v>Breen</x:v>
      </x:c>
      <x:c r="L150" s="60" t="str">
        <x:v>Principal Owner</x:v>
      </x:c>
      <x:c r="M150" s="60" t="str"/>
      <x:c r="N150" s="60" t="str"/>
      <x:c r="O150" s="60" t="str">
        <x:v>+1 864 313 4097</x:v>
      </x:c>
      <x:c r="P150" s="60" t="str">
        <x:v>https://www.linkedin.com/in/legacydeckchris</x:v>
      </x:c>
      <x:c r="Q150" s="60" t="str">
        <x:v>11-50</x:v>
      </x:c>
      <x:c r="R150" s="60" t="str">
        <x:v>500000-999999</x:v>
      </x:c>
      <x:c r="S150" s="60" t="str"/>
      <x:c r="T150" s="74" t="str">
        <x:v>0</x:v>
      </x:c>
      <x:c r="U150" s="60" t="str"/>
      <x:c r="V150" s="74" t="str">
        <x:v>30</x:v>
      </x:c>
      <x:c r="W150" s="74" t="str">
        <x:v>13</x:v>
      </x:c>
      <x:c r="X150" s="74" t="str">
        <x:v>12</x:v>
      </x:c>
      <x:c r="Y150" s="74" t="str">
        <x:v>5</x:v>
      </x:c>
      <x:c r="Z150" s="74" t="str">
        <x:v>5</x:v>
      </x:c>
      <x:c r="AA150" s="74" t="str">
        <x:v>0</x:v>
      </x:c>
      <x:c r="AB150" s="74" t="str">
        <x:v>1</x:v>
      </x:c>
      <x:c r="AC150" s="74" t="str">
        <x:v>1</x:v>
      </x:c>
      <x:c r="AD150" s="74" t="str">
        <x:v>0</x:v>
      </x:c>
      <x:c r="AE150" s="74" t="str">
        <x:v>0</x:v>
      </x:c>
      <x:c r="AF150" s="74" t="str"/>
      <x:c r="AG150" s="74" t="str">
        <x:v>0</x:v>
      </x:c>
      <x:c r="AH150" s="74" t="str">
        <x:v>1</x:v>
      </x:c>
      <x:c r="AI150" s="74" t="str">
        <x:v>0</x:v>
      </x:c>
      <x:c r="AJ150" s="74" t="str">
        <x:v>0</x:v>
      </x:c>
      <x:c r="AK150" s="74" t="str">
        <x:v>0</x:v>
      </x:c>
      <x:c r="AL150" s="74" t="str">
        <x:v>1</x:v>
      </x:c>
      <x:c r="AM150" s="74" t="str">
        <x:v>1</x:v>
      </x:c>
      <x:c r="AN150" s="74" t="str">
        <x:v>1</x:v>
      </x:c>
      <x:c r="AO150" s="60" t="str">
        <x:v>2026</x:v>
      </x:c>
      <x:c r="AP150" s="76" t="str">
        <x:v>Google Ads tag detected; no embedded homepage video found</x:v>
      </x:c>
      <x:c r="AQ150" s="76" t="str">
        <x:v>Google Ads tag; project/gallery proof; no embedded homepage video detected</x:v>
      </x:c>
      <x:c r="AR150" s="76" t="str">
        <x:v>I noticed Legacy Decks's site has a Google Ads tag installed, but I couldn't find an embedded video on the homepage.</x:v>
      </x:c>
      <x:c r="AS150" s="76" t="str">
        <x:v>project reveal with budget-and-timeline proof</x:v>
      </x:c>
      <x:c r="AT150" s="76" t="str">
        <x:v>Legacy Decks ad concept</x:v>
      </x:c>
      <x:c r="AU150" s="76" t="str">
        <x:v>Hi Chris — I noticed Legacy Decks's site has a Google Ads tag installed, but I couldn't find an embedded video on the homepage. I mapped a private 15-second project reveal with budget-and-timeline proof for Legacy Decks using only public brand context—not for publishing, just to show the angle. We build three client-approved video ad concepts in seven days, then turn the winners into fresh variations. No filming day required. Worth sending the private sample?</x:v>
      </x:c>
      <x:c r="AV150" s="76" t="str">
        <x:v>Quick follow-up: the sample angle is a project reveal with budget-and-timeline proof. If it misses the mark, no problem—I won't keep chasing. Should I send it?</x:v>
      </x:c>
      <x:c r="AW150" s="76" t="str">
        <x:v>Hi Chris, Ryan here. I was looking at Legacy Decks's public marketing and noticed: google ads tag detected; no embedded homepage video found. I mapped one private project reveal with budget-and-timeline proof as an example. Did I catch you with 30 seconds?</x:v>
      </x:c>
      <x:c r="AX150" s="60" t="str">
        <x:v>https://www.facebook.com/ads/library/?active_status=active&amp;ad_type=all&amp;country=US&amp;q=Legacy%20Decks&amp;search_type=keyword_unordered</x:v>
      </x:c>
      <x:c r="AY150" s="60" t="str">
        <x:v>ok:200</x:v>
      </x:c>
      <x:c r="AZ150" s="60" t="n">
        <x:v>46232.722858796296</x:v>
      </x:c>
      <x:c r="BA150" s="60" t="str">
        <x:v>AI Ark SC trades export</x:v>
      </x:c>
      <x:c r="BB150" s="60" t="str">
        <x:v>https://legacydecks.com | https://www.linkedin.com/company/legacydecks</x:v>
      </x:c>
      <x:c r="BC150" s="60" t="str"/>
    </x:row>
    <x:row r="151" ht="18" customHeight="1">
      <x:c r="A151" s="70" t="str">
        <x:v>150</x:v>
      </x:c>
      <x:c r="B151" s="70" t="str">
        <x:v>B - Strong</x:v>
      </x:c>
      <x:c r="C151" s="72" t="str">
        <x:v>65</x:v>
      </x:c>
      <x:c r="D151" s="60" t="str">
        <x:v>Coastal Shores Landscape</x:v>
      </x:c>
      <x:c r="E151" s="60" t="str">
        <x:v>https://coastalshoressc.com</x:v>
      </x:c>
      <x:c r="F151" s="60" t="str">
        <x:v>https://coastalshoressc.com</x:v>
      </x:c>
      <x:c r="G151" s="60" t="str">
        <x:v>Bluffton</x:v>
      </x:c>
      <x:c r="H151" s="60" t="str">
        <x:v>South Carolina</x:v>
      </x:c>
      <x:c r="I151" s="60" t="str">
        <x:v>Plumbing</x:v>
      </x:c>
      <x:c r="J151" s="60" t="str">
        <x:v>Jessie</x:v>
      </x:c>
      <x:c r="K151" s="60" t="str">
        <x:v>Shrieve</x:v>
      </x:c>
      <x:c r="L151" s="60" t="str">
        <x:v>Business Owner</x:v>
      </x:c>
      <x:c r="M151" s="60" t="str">
        <x:v>jessie@coastalshoressc.com</x:v>
      </x:c>
      <x:c r="N151" s="60" t="str">
        <x:v>Verified with BounceBan on 08 Jun 26 12:06</x:v>
      </x:c>
      <x:c r="O151" s="60" t="str">
        <x:v>+1 843 368 4917</x:v>
      </x:c>
      <x:c r="P151" s="60" t="str">
        <x:v>https://www.linkedin.com/in/jessie-shrieve-497440221</x:v>
      </x:c>
      <x:c r="Q151" s="60" t="str">
        <x:v>11-50</x:v>
      </x:c>
      <x:c r="R151" s="60" t="str">
        <x:v>100000-499999</x:v>
      </x:c>
      <x:c r="S151" s="60" t="str"/>
      <x:c r="T151" s="74" t="str">
        <x:v>0</x:v>
      </x:c>
      <x:c r="U151" s="60" t="str"/>
      <x:c r="V151" s="74" t="str">
        <x:v>26</x:v>
      </x:c>
      <x:c r="W151" s="74" t="str">
        <x:v>12</x:v>
      </x:c>
      <x:c r="X151" s="74" t="str">
        <x:v>12</x:v>
      </x:c>
      <x:c r="Y151" s="74" t="str">
        <x:v>5</x:v>
      </x:c>
      <x:c r="Z151" s="74" t="str">
        <x:v>10</x:v>
      </x:c>
      <x:c r="AA151" s="74" t="str">
        <x:v>1</x:v>
      </x:c>
      <x:c r="AB151" s="74" t="str">
        <x:v>0</x:v>
      </x:c>
      <x:c r="AC151" s="74" t="str">
        <x:v>0</x:v>
      </x:c>
      <x:c r="AD151" s="74" t="str">
        <x:v>0</x:v>
      </x:c>
      <x:c r="AE151" s="74" t="str">
        <x:v>0</x:v>
      </x:c>
      <x:c r="AF151" s="74" t="str"/>
      <x:c r="AG151" s="74" t="str">
        <x:v>0</x:v>
      </x:c>
      <x:c r="AH151" s="74" t="str">
        <x:v>1</x:v>
      </x:c>
      <x:c r="AI151" s="74" t="str">
        <x:v>0</x:v>
      </x:c>
      <x:c r="AJ151" s="74" t="str">
        <x:v>0</x:v>
      </x:c>
      <x:c r="AK151" s="74" t="str">
        <x:v>0</x:v>
      </x:c>
      <x:c r="AL151" s="74" t="str">
        <x:v>1</x:v>
      </x:c>
      <x:c r="AM151" s="74" t="str">
        <x:v>1</x:v>
      </x:c>
      <x:c r="AN151" s="74" t="str">
        <x:v>1</x:v>
      </x:c>
      <x:c r="AO151" s="60" t="str">
        <x:v>0</x:v>
      </x:c>
      <x:c r="AP151" s="76" t="str">
        <x:v>Meta tracking detected; no embedded homepage video found</x:v>
      </x:c>
      <x:c r="AQ151" s="76" t="str">
        <x:v>Meta Pixel; project/gallery proof; no embedded homepage video detected</x:v>
      </x:c>
      <x:c r="AR151" s="76" t="str">
        <x:v>I noticed Coastal Shores Landscape's site has Meta tracking installed, but I couldn't find an embedded video on the homepage.</x:v>
      </x:c>
      <x:c r="AS151" s="76" t="str">
        <x:v>small symptom to prevented-emergency ad</x:v>
      </x:c>
      <x:c r="AT151" s="76" t="str">
        <x:v>Coastal Shores Landscape ad concept</x:v>
      </x:c>
      <x:c r="AU151" s="76" t="str">
        <x:v>Hi Jessie — I noticed Coastal Shores Landscape's site has Meta tracking installed, but I couldn't find an embedded video on the homepage. I mapped a private 15-second small symptom to prevented-emergency ad for Coastal Shores Landscape using only public brand context—not for publishing, just to show the angle. We build three client-approved video ad concepts in seven days, then turn the winners into fresh variations. No filming day required. Worth sending the private sample?</x:v>
      </x:c>
      <x:c r="AV151" s="76" t="str">
        <x:v>Quick follow-up: the sample angle is a small symptom to prevented-emergency ad. If it misses the mark, no problem—I won't keep chasing. Should I send it?</x:v>
      </x:c>
      <x:c r="AW151" s="76" t="str">
        <x:v>Hi Jessie, Ryan here. I was looking at Coastal Shores Landscape's public marketing and noticed: meta tracking detected; no embedded homepage video found. I mapped one private small symptom to prevented-emergency ad as an example. Did I catch you with 30 seconds?</x:v>
      </x:c>
      <x:c r="AX151" s="60" t="str">
        <x:v>https://www.facebook.com/ads/library/?active_status=active&amp;ad_type=all&amp;country=US&amp;q=Coastal%20Shores%20Landscape&amp;search_type=keyword_unordered</x:v>
      </x:c>
      <x:c r="AY151" s="60" t="str">
        <x:v>ok:200</x:v>
      </x:c>
      <x:c r="AZ151" s="60" t="n">
        <x:v>46232.722858796296</x:v>
      </x:c>
      <x:c r="BA151" s="60" t="str">
        <x:v>AI Ark SC trades export</x:v>
      </x:c>
      <x:c r="BB151" s="60" t="str">
        <x:v>https://coastalshoressc.com | https://www.linkedin.com/company/coastalshoressc</x:v>
      </x:c>
      <x:c r="BC151" s="60" t="str"/>
    </x:row>
    <x:row r="152" ht="18" customHeight="1">
      <x:c r="A152" s="70" t="str">
        <x:v>151</x:v>
      </x:c>
      <x:c r="B152" s="70" t="str">
        <x:v>B - Strong</x:v>
      </x:c>
      <x:c r="C152" s="72" t="str">
        <x:v>65</x:v>
      </x:c>
      <x:c r="D152" s="60" t="str">
        <x:v>Painter Bros of Greenville</x:v>
      </x:c>
      <x:c r="E152" s="60" t="str">
        <x:v>https://painterbros.com</x:v>
      </x:c>
      <x:c r="F152" s="60" t="str">
        <x:v>https://www.painterbros.com/</x:v>
      </x:c>
      <x:c r="G152" s="60" t="str">
        <x:v>Greenville-spartanburg-anderson</x:v>
      </x:c>
      <x:c r="H152" s="60" t="str">
        <x:v>South Carolina Area</x:v>
      </x:c>
      <x:c r="I152" s="60" t="str">
        <x:v>General Contractor</x:v>
      </x:c>
      <x:c r="J152" s="60" t="str">
        <x:v>Jeff</x:v>
      </x:c>
      <x:c r="K152" s="60" t="str">
        <x:v>Chastain</x:v>
      </x:c>
      <x:c r="L152" s="60" t="str">
        <x:v>Owner</x:v>
      </x:c>
      <x:c r="M152" s="60" t="str">
        <x:v>jchastain@painterbros.com</x:v>
      </x:c>
      <x:c r="N152" s="60" t="str">
        <x:v>Verified with BounceBan on 08 Jun 26 12:06</x:v>
      </x:c>
      <x:c r="O152" s="60" t="str">
        <x:v>+1 864 385 0078</x:v>
      </x:c>
      <x:c r="P152" s="60" t="str">
        <x:v>https://www.linkedin.com/in/jeff-chastain-3599833</x:v>
      </x:c>
      <x:c r="Q152" s="60" t="str">
        <x:v>2-10</x:v>
      </x:c>
      <x:c r="R152" s="60" t="str">
        <x:v>0-99999</x:v>
      </x:c>
      <x:c r="S152" s="60" t="str"/>
      <x:c r="T152" s="74" t="str">
        <x:v>0</x:v>
      </x:c>
      <x:c r="U152" s="60" t="str"/>
      <x:c r="V152" s="74" t="str">
        <x:v>20</x:v>
      </x:c>
      <x:c r="W152" s="74" t="str">
        <x:v>11</x:v>
      </x:c>
      <x:c r="X152" s="74" t="str">
        <x:v>16</x:v>
      </x:c>
      <x:c r="Y152" s="74" t="str">
        <x:v>8</x:v>
      </x:c>
      <x:c r="Z152" s="74" t="str">
        <x:v>10</x:v>
      </x:c>
      <x:c r="AA152" s="74" t="str">
        <x:v>0</x:v>
      </x:c>
      <x:c r="AB152" s="74" t="str">
        <x:v>0</x:v>
      </x:c>
      <x:c r="AC152" s="74" t="str">
        <x:v>1</x:v>
      </x:c>
      <x:c r="AD152" s="74" t="str">
        <x:v>0</x:v>
      </x:c>
      <x:c r="AE152" s="74" t="str">
        <x:v>1</x:v>
      </x:c>
      <x:c r="AF152" s="74" t="str"/>
      <x:c r="AG152" s="74" t="str">
        <x:v>0</x:v>
      </x:c>
      <x:c r="AH152" s="74" t="str">
        <x:v>1</x:v>
      </x:c>
      <x:c r="AI152" s="74" t="str">
        <x:v>0</x:v>
      </x:c>
      <x:c r="AJ152" s="74" t="str">
        <x:v>0</x:v>
      </x:c>
      <x:c r="AK152" s="74" t="str">
        <x:v>1</x:v>
      </x:c>
      <x:c r="AL152" s="74" t="str">
        <x:v>0</x:v>
      </x:c>
      <x:c r="AM152" s="74" t="str">
        <x:v>0</x:v>
      </x:c>
      <x:c r="AN152" s="74" t="str">
        <x:v>0</x:v>
      </x:c>
      <x:c r="AO152" s="60" t="str">
        <x:v>0</x:v>
      </x:c>
      <x:c r="AP152" s="76" t="str">
        <x:v>Call-tracking stack detected; no embedded homepage video found</x:v>
      </x:c>
      <x:c r="AQ152" s="76" t="str">
        <x:v>call tracking; project/gallery proof; visible service offer; no embedded homepage video detected</x:v>
      </x:c>
      <x:c r="AR152" s="76" t="str">
        <x:v>I noticed Painter Bros of Greenville has call tracking in place, but I couldn't find an embedded video on the homepage.</x:v>
      </x:c>
      <x:c r="AS152" s="76" t="str">
        <x:v>project walkthrough with proof milestones</x:v>
      </x:c>
      <x:c r="AT152" s="76" t="str">
        <x:v>Painter Bros of Greenville ad concept</x:v>
      </x:c>
      <x:c r="AU152" s="76" t="str">
        <x:v>Hi Jeff — I noticed Painter Bros of Greenville has call tracking in place, but I couldn't find an embedded video on the homepage. I mapped a private 15-second project walkthrough with proof milestones for Painter Bros of Greenville using only public brand context—not for publishing, just to show the angle. We build three client-approved video ad concepts in seven days, then turn the winners into fresh variations. No filming day required. Worth sending the private sample?</x:v>
      </x:c>
      <x:c r="AV152" s="76" t="str">
        <x:v>Quick follow-up: the sample angle is a project walkthrough with proof milestones. If it misses the mark, no problem—I won't keep chasing. Should I send it?</x:v>
      </x:c>
      <x:c r="AW152" s="76" t="str">
        <x:v>Hi Jeff, Ryan here. I was looking at Painter Bros of Greenville's public marketing and noticed: call-tracking stack detected; no embedded homepage video found. I mapped one private project walkthrough with proof milestones as an example. Did I catch you with 30 seconds?</x:v>
      </x:c>
      <x:c r="AX152" s="60" t="str">
        <x:v>https://www.facebook.com/ads/library/?active_status=active&amp;ad_type=all&amp;country=US&amp;q=Painter%20Bros%20of%20Greenville&amp;search_type=keyword_unordered</x:v>
      </x:c>
      <x:c r="AY152" s="60" t="str">
        <x:v>ok:200</x:v>
      </x:c>
      <x:c r="AZ152" s="60" t="n">
        <x:v>46232.722858796296</x:v>
      </x:c>
      <x:c r="BA152" s="60" t="str">
        <x:v>AI Ark SC trades export</x:v>
      </x:c>
      <x:c r="BB152" s="60" t="str">
        <x:v>https://painterbros.com | https://www.linkedin.com/company/painter-bros-of-greenville</x:v>
      </x:c>
      <x:c r="BC152" s="60" t="str"/>
    </x:row>
    <x:row r="153" ht="18" customHeight="1">
      <x:c r="A153" s="70" t="str">
        <x:v>152</x:v>
      </x:c>
      <x:c r="B153" s="70" t="str">
        <x:v>B - Strong</x:v>
      </x:c>
      <x:c r="C153" s="72" t="str">
        <x:v>64</x:v>
      </x:c>
      <x:c r="D153" s="60" t="str">
        <x:v>TemperaturePro</x:v>
      </x:c>
      <x:c r="E153" s="60" t="str">
        <x:v>https://temperatureprolowcountry.com</x:v>
      </x:c>
      <x:c r="F153" s="60" t="str">
        <x:v>https://temperatureprolowcountry.com</x:v>
      </x:c>
      <x:c r="G153" s="60" t="str">
        <x:v>Hilton Head</x:v>
      </x:c>
      <x:c r="H153" s="60" t="str">
        <x:v>South Carolina</x:v>
      </x:c>
      <x:c r="I153" s="60" t="str">
        <x:v>HVAC</x:v>
      </x:c>
      <x:c r="J153" s="60" t="str">
        <x:v>TemperaturePro</x:v>
      </x:c>
      <x:c r="K153" s="60" t="str"/>
      <x:c r="L153" s="60" t="str">
        <x:v>Owner / decision maker to verify</x:v>
      </x:c>
      <x:c r="M153" s="60" t="str"/>
      <x:c r="N153" s="60" t="str"/>
      <x:c r="O153" s="60" t="str">
        <x:v>(843) 273-6235</x:v>
      </x:c>
      <x:c r="P153" s="60" t="str"/>
      <x:c r="Q153" s="60" t="str"/>
      <x:c r="R153" s="60" t="str"/>
      <x:c r="S153" s="60" t="str">
        <x:v>5</x:v>
      </x:c>
      <x:c r="T153" s="74" t="str">
        <x:v>109</x:v>
      </x:c>
      <x:c r="U153" s="60" t="str"/>
      <x:c r="V153" s="74" t="str">
        <x:v>28</x:v>
      </x:c>
      <x:c r="W153" s="74" t="str">
        <x:v>16</x:v>
      </x:c>
      <x:c r="X153" s="74" t="str">
        <x:v>0</x:v>
      </x:c>
      <x:c r="Y153" s="74" t="str">
        <x:v>15</x:v>
      </x:c>
      <x:c r="Z153" s="74" t="str">
        <x:v>5</x:v>
      </x:c>
      <x:c r="AA153" s="74" t="str">
        <x:v>0</x:v>
      </x:c>
      <x:c r="AB153" s="74" t="str">
        <x:v>1</x:v>
      </x:c>
      <x:c r="AC153" s="74" t="str">
        <x:v>1</x:v>
      </x:c>
      <x:c r="AD153" s="74" t="str">
        <x:v>0</x:v>
      </x:c>
      <x:c r="AE153" s="74" t="str">
        <x:v>0</x:v>
      </x:c>
      <x:c r="AF153" s="74" t="str">
        <x:v>servicetitan</x:v>
      </x:c>
      <x:c r="AG153" s="74" t="str">
        <x:v>1</x:v>
      </x:c>
      <x:c r="AH153" s="74" t="str">
        <x:v>1</x:v>
      </x:c>
      <x:c r="AI153" s="74" t="str">
        <x:v>1</x:v>
      </x:c>
      <x:c r="AJ153" s="74" t="str">
        <x:v>0</x:v>
      </x:c>
      <x:c r="AK153" s="74" t="str">
        <x:v>1</x:v>
      </x:c>
      <x:c r="AL153" s="74" t="str">
        <x:v>1</x:v>
      </x:c>
      <x:c r="AM153" s="74" t="str">
        <x:v>1</x:v>
      </x:c>
      <x:c r="AN153" s="74" t="str">
        <x:v>1</x:v>
      </x:c>
      <x:c r="AO153" s="60" t="str">
        <x:v>2025</x:v>
      </x:c>
      <x:c r="AP153" s="76" t="str">
        <x:v>Paid-demand technology detected; creative refresh hypothesis</x:v>
      </x:c>
      <x:c r="AQ153" s="76" t="str">
        <x:v>Google Ads tag; project/gallery proof; testimonials; visible service offer</x:v>
      </x:c>
      <x:c r="AR153" s="76" t="str">
        <x:v>I was reviewing hvac companies in Hilton Head, South Carolina and TemperaturePro looked like a strong fit for a creative test.</x:v>
      </x:c>
      <x:c r="AS153" s="76" t="str">
        <x:v>no-cool-call to same-day comfort ad</x:v>
      </x:c>
      <x:c r="AT153" s="76" t="str">
        <x:v>TemperaturePro ad concept</x:v>
      </x:c>
      <x:c r="AU153" s="76" t="str">
        <x:v>Hi TemperaturePro — I was reviewing hvac companies in Hilton Head, South Carolina and TemperaturePro looked like a strong fit for a creative test. I mapped a private 15-second no-cool-call to same-day comfort ad for TemperaturePro using only public brand context—not for publishing, just to show the angle. We build three client-approved video ad concepts in seven days, then turn the winners into fresh variations. No filming day required. Worth sending the private sample?</x:v>
      </x:c>
      <x:c r="AV153" s="76" t="str">
        <x:v>Quick follow-up: the sample angle is a no-cool-call to same-day comfort ad. If it misses the mark, no problem—I won't keep chasing. Should I send it?</x:v>
      </x:c>
      <x:c r="AW153" s="76" t="str">
        <x:v>Hi TemperaturePro, Ryan here. I was looking at TemperaturePro's public marketing and noticed: paid-demand technology detected; creative refresh hypothesis. I mapped one private no-cool-call to same-day comfort ad as an example. Did I catch you with 30 seconds?</x:v>
      </x:c>
      <x:c r="AX153" s="60" t="str">
        <x:v>https://www.facebook.com/ads/library/?active_status=active&amp;ad_type=all&amp;country=US&amp;q=TemperaturePro&amp;search_type=keyword_unordered</x:v>
      </x:c>
      <x:c r="AY153" s="60" t="str">
        <x:v>ok:200</x:v>
      </x:c>
      <x:c r="AZ153" s="60" t="n">
        <x:v>46232.722858796296</x:v>
      </x:c>
      <x:c r="BA153" s="60" t="str">
        <x:v>Google Maps home-services export</x:v>
      </x:c>
      <x:c r="BB153" s="60" t="str">
        <x:v>https://maps.google.com/?cid=16401126036489900476&amp;g_mp=Cidnb29nbGUubWFwcy5wbGFjZXMudjEuUGxhY2VzLlNlYXJjaFRleHQQAhgEIAA | https://maps.google.com/?cid=2403859335127535768&amp;g_mp=Cidnb29nbGUubWFwcy5wbGFjZXMudjEuUGxhY2VzLlNlYXJjaFRleHQQAhgEIAA | https://temperatureprolowcountry.com</x:v>
      </x:c>
      <x:c r="BC153" s="60" t="str"/>
    </x:row>
    <x:row r="154" ht="18" customHeight="1">
      <x:c r="A154" s="70" t="str">
        <x:v>153</x:v>
      </x:c>
      <x:c r="B154" s="70" t="str">
        <x:v>B - Strong</x:v>
      </x:c>
      <x:c r="C154" s="72" t="str">
        <x:v>64</x:v>
      </x:c>
      <x:c r="D154" s="60" t="str">
        <x:v>Quinn Roofing &amp; Construction</x:v>
      </x:c>
      <x:c r="E154" s="60" t="str">
        <x:v>https://quinnroofingandconstruction.com</x:v>
      </x:c>
      <x:c r="F154" s="60" t="str">
        <x:v>https://www.quinnroofingandconstruction.com/</x:v>
      </x:c>
      <x:c r="G154" s="60" t="str">
        <x:v>Hilton Head</x:v>
      </x:c>
      <x:c r="H154" s="60" t="str">
        <x:v>South Carolina</x:v>
      </x:c>
      <x:c r="I154" s="60" t="str">
        <x:v>Roofing</x:v>
      </x:c>
      <x:c r="J154" s="60" t="str">
        <x:v>Quinn Roofing &amp; Construction</x:v>
      </x:c>
      <x:c r="K154" s="60" t="str"/>
      <x:c r="L154" s="60" t="str">
        <x:v>Owner / decision maker to verify</x:v>
      </x:c>
      <x:c r="M154" s="60" t="str"/>
      <x:c r="N154" s="60" t="str"/>
      <x:c r="O154" s="60" t="str">
        <x:v>(843) 415-6698</x:v>
      </x:c>
      <x:c r="P154" s="60" t="str"/>
      <x:c r="Q154" s="60" t="str"/>
      <x:c r="R154" s="60" t="str"/>
      <x:c r="S154" s="60" t="str">
        <x:v>5</x:v>
      </x:c>
      <x:c r="T154" s="74" t="str">
        <x:v>64</x:v>
      </x:c>
      <x:c r="U154" s="60" t="str"/>
      <x:c r="V154" s="74" t="str">
        <x:v>27</x:v>
      </x:c>
      <x:c r="W154" s="74" t="str">
        <x:v>15</x:v>
      </x:c>
      <x:c r="X154" s="74" t="str">
        <x:v>4</x:v>
      </x:c>
      <x:c r="Y154" s="74" t="str">
        <x:v>13</x:v>
      </x:c>
      <x:c r="Z154" s="74" t="str">
        <x:v>5</x:v>
      </x:c>
      <x:c r="AA154" s="74" t="str">
        <x:v>1</x:v>
      </x:c>
      <x:c r="AB154" s="74" t="str">
        <x:v>0</x:v>
      </x:c>
      <x:c r="AC154" s="74" t="str">
        <x:v>1</x:v>
      </x:c>
      <x:c r="AD154" s="74" t="str">
        <x:v>0</x:v>
      </x:c>
      <x:c r="AE154" s="74" t="str">
        <x:v>0</x:v>
      </x:c>
      <x:c r="AF154" s="74" t="str"/>
      <x:c r="AG154" s="74" t="str">
        <x:v>1</x:v>
      </x:c>
      <x:c r="AH154" s="74" t="str">
        <x:v>1</x:v>
      </x:c>
      <x:c r="AI154" s="74" t="str">
        <x:v>0</x:v>
      </x:c>
      <x:c r="AJ154" s="74" t="str">
        <x:v>1</x:v>
      </x:c>
      <x:c r="AK154" s="74" t="str">
        <x:v>1</x:v>
      </x:c>
      <x:c r="AL154" s="74" t="str">
        <x:v>0</x:v>
      </x:c>
      <x:c r="AM154" s="74" t="str">
        <x:v>1</x:v>
      </x:c>
      <x:c r="AN154" s="74" t="str">
        <x:v>0</x:v>
      </x:c>
      <x:c r="AO154" s="60" t="str">
        <x:v>2026</x:v>
      </x:c>
      <x:c r="AP154" s="76" t="str">
        <x:v>Paid-demand technology detected; creative refresh hypothesis</x:v>
      </x:c>
      <x:c r="AQ154" s="76" t="str">
        <x:v>Meta Pixel; project/gallery proof; financing; visible service offer</x:v>
      </x:c>
      <x:c r="AR154" s="76" t="str">
        <x:v>I was reviewing roofing companies in Hilton Head, South Carolina and Quinn Roofing &amp; Construction looked like a strong fit for a creative test.</x:v>
      </x:c>
      <x:c r="AS154" s="76" t="str">
        <x:v>storm-to-inspection before/after ad</x:v>
      </x:c>
      <x:c r="AT154" s="76" t="str">
        <x:v>Quinn Roofing &amp; Construction ad concept</x:v>
      </x:c>
      <x:c r="AU154" s="76" t="str">
        <x:v>Hi Quinn Roofing &amp; Construction — I was reviewing roofing companies in Hilton Head, South Carolina and Quinn Roofing &amp; Construction looked like a strong fit for a creative test. I mapped a private 15-second storm-to-inspection before/after ad for Quinn Roofing &amp; Construction using only public brand context—not for publishing, just to show the angle. We build three client-approved video ad concepts in seven days, then turn the winners into fresh variations. No filming day required. Worth sending the private sample?</x:v>
      </x:c>
      <x:c r="AV154" s="76" t="str">
        <x:v>Quick follow-up: the sample angle is a storm-to-inspection before/after ad. If it misses the mark, no problem—I won't keep chasing. Should I send it?</x:v>
      </x:c>
      <x:c r="AW154" s="76" t="str">
        <x:v>Hi Quinn Roofing &amp; Construction, Ryan here. I was looking at Quinn Roofing &amp; Construction's public marketing and noticed: paid-demand technology detected; creative refresh hypothesis. I mapped one private storm-to-inspection before/after ad as an example. Did I catch you with 30 seconds?</x:v>
      </x:c>
      <x:c r="AX154" s="60" t="str">
        <x:v>https://www.facebook.com/ads/library/?active_status=active&amp;ad_type=all&amp;country=US&amp;q=Quinn%20Roofing%20%26%20Construction&amp;search_type=keyword_unordered</x:v>
      </x:c>
      <x:c r="AY154" s="60" t="str">
        <x:v>ok:200</x:v>
      </x:c>
      <x:c r="AZ154" s="60" t="n">
        <x:v>46232.722858796296</x:v>
      </x:c>
      <x:c r="BA154" s="60" t="str">
        <x:v>Google Maps home-services export</x:v>
      </x:c>
      <x:c r="BB154" s="60" t="str">
        <x:v>https://maps.google.com/?cid=3997600577464007509&amp;g_mp=Cidnb29nbGUubWFwcy5wbGFjZXMudjEuUGxhY2VzLlNlYXJjaFRleHQQAhgEIAA | https://quinnroofingandconstruction.com</x:v>
      </x:c>
      <x:c r="BC154" s="60" t="str"/>
    </x:row>
    <x:row r="155" ht="18" customHeight="1">
      <x:c r="A155" s="70" t="str">
        <x:v>154</x:v>
      </x:c>
      <x:c r="B155" s="70" t="str">
        <x:v>B - Strong</x:v>
      </x:c>
      <x:c r="C155" s="72" t="str">
        <x:v>64</x:v>
      </x:c>
      <x:c r="D155" s="60" t="str">
        <x:v>United Contracting and Roofing</x:v>
      </x:c>
      <x:c r="E155" s="60" t="str">
        <x:v>https://roofingunited.com</x:v>
      </x:c>
      <x:c r="F155" s="60" t="str">
        <x:v>https://roofingunited.com</x:v>
      </x:c>
      <x:c r="G155" s="60" t="str">
        <x:v>Greenville</x:v>
      </x:c>
      <x:c r="H155" s="60" t="str">
        <x:v>South Carolina</x:v>
      </x:c>
      <x:c r="I155" s="60" t="str">
        <x:v>Roofing</x:v>
      </x:c>
      <x:c r="J155" s="60" t="str">
        <x:v>United Contracting and Roofing</x:v>
      </x:c>
      <x:c r="K155" s="60" t="str"/>
      <x:c r="L155" s="60" t="str">
        <x:v>Owner / decision maker to verify</x:v>
      </x:c>
      <x:c r="M155" s="60" t="str"/>
      <x:c r="N155" s="60" t="str"/>
      <x:c r="O155" s="60" t="str">
        <x:v>(864) 743-6150</x:v>
      </x:c>
      <x:c r="P155" s="60" t="str"/>
      <x:c r="Q155" s="60" t="str"/>
      <x:c r="R155" s="60" t="str"/>
      <x:c r="S155" s="60" t="str">
        <x:v>5</x:v>
      </x:c>
      <x:c r="T155" s="74" t="str">
        <x:v>68</x:v>
      </x:c>
      <x:c r="U155" s="60" t="str"/>
      <x:c r="V155" s="74" t="str">
        <x:v>27</x:v>
      </x:c>
      <x:c r="W155" s="74" t="str">
        <x:v>15</x:v>
      </x:c>
      <x:c r="X155" s="74" t="str">
        <x:v>12</x:v>
      </x:c>
      <x:c r="Y155" s="74" t="str">
        <x:v>5</x:v>
      </x:c>
      <x:c r="Z155" s="74" t="str">
        <x:v>5</x:v>
      </x:c>
      <x:c r="AA155" s="74" t="str">
        <x:v>1</x:v>
      </x:c>
      <x:c r="AB155" s="74" t="str">
        <x:v>0</x:v>
      </x:c>
      <x:c r="AC155" s="74" t="str">
        <x:v>1</x:v>
      </x:c>
      <x:c r="AD155" s="74" t="str">
        <x:v>0</x:v>
      </x:c>
      <x:c r="AE155" s="74" t="str">
        <x:v>0</x:v>
      </x:c>
      <x:c r="AF155" s="74" t="str"/>
      <x:c r="AG155" s="74" t="str">
        <x:v>0</x:v>
      </x:c>
      <x:c r="AH155" s="74" t="str">
        <x:v>0</x:v>
      </x:c>
      <x:c r="AI155" s="74" t="str">
        <x:v>0</x:v>
      </x:c>
      <x:c r="AJ155" s="74" t="str">
        <x:v>0</x:v>
      </x:c>
      <x:c r="AK155" s="74" t="str">
        <x:v>1</x:v>
      </x:c>
      <x:c r="AL155" s="74" t="str">
        <x:v>0</x:v>
      </x:c>
      <x:c r="AM155" s="74" t="str">
        <x:v>1</x:v>
      </x:c>
      <x:c r="AN155" s="74" t="str">
        <x:v>1</x:v>
      </x:c>
      <x:c r="AO155" s="60" t="str">
        <x:v>0</x:v>
      </x:c>
      <x:c r="AP155" s="76" t="str">
        <x:v>Meta tracking detected; no embedded homepage video found</x:v>
      </x:c>
      <x:c r="AQ155" s="76" t="str">
        <x:v>Meta Pixel; visible service offer; no embedded homepage video detected</x:v>
      </x:c>
      <x:c r="AR155" s="76" t="str">
        <x:v>I noticed United Contracting and Roofing's site has Meta tracking installed, but I couldn't find an embedded video on the homepage.</x:v>
      </x:c>
      <x:c r="AS155" s="76" t="str">
        <x:v>storm-to-inspection before/after ad</x:v>
      </x:c>
      <x:c r="AT155" s="76" t="str">
        <x:v>United Contracting and Roofing ad concept</x:v>
      </x:c>
      <x:c r="AU155" s="76" t="str">
        <x:v>Hi United Contracting and Roofing — I noticed United Contracting and Roofing's site has Meta tracking installed, but I couldn't find an embedded video on the homepage. I mapped a private 15-second storm-to-inspection before/after ad for United Contracting and Roofing using only public brand context—not for publishing, just to show the angle. We build three client-approved video ad concepts in seven days, then turn the winners into fresh variations. No filming day required. Worth sending the private sample?</x:v>
      </x:c>
      <x:c r="AV155" s="76" t="str">
        <x:v>Quick follow-up: the sample angle is a storm-to-inspection before/after ad. If it misses the mark, no problem—I won't keep chasing. Should I send it?</x:v>
      </x:c>
      <x:c r="AW155" s="76" t="str">
        <x:v>Hi United Contracting and Roofing, Ryan here. I was looking at United Contracting and Roofing's public marketing and noticed: meta tracking detected; no embedded homepage video found. I mapped one private storm-to-inspection before/after ad as an example. Did I catch you with 30 seconds?</x:v>
      </x:c>
      <x:c r="AX155" s="60" t="str">
        <x:v>https://www.facebook.com/ads/library/?active_status=active&amp;ad_type=all&amp;country=US&amp;q=United%20Contracting%20and%20Roofing&amp;search_type=keyword_unordered</x:v>
      </x:c>
      <x:c r="AY155" s="60" t="str">
        <x:v>ok:200</x:v>
      </x:c>
      <x:c r="AZ155" s="60" t="n">
        <x:v>46232.722858796296</x:v>
      </x:c>
      <x:c r="BA155" s="60" t="str">
        <x:v>Google Maps home-services export</x:v>
      </x:c>
      <x:c r="BB155" s="60" t="str">
        <x:v>https://maps.google.com/?cid=17305516283371361308&amp;g_mp=Cidnb29nbGUubWFwcy5wbGFjZXMudjEuUGxhY2VzLlNlYXJjaFRleHQQAhgEIAA | https://roofingunited.com</x:v>
      </x:c>
      <x:c r="BC155" s="60" t="str"/>
    </x:row>
    <x:row r="156" ht="18" customHeight="1">
      <x:c r="A156" s="70" t="str">
        <x:v>155</x:v>
      </x:c>
      <x:c r="B156" s="70" t="str">
        <x:v>B - Strong</x:v>
      </x:c>
      <x:c r="C156" s="72" t="str">
        <x:v>64</x:v>
      </x:c>
      <x:c r="D156" s="60" t="str">
        <x:v>Action Exteriors Greenville</x:v>
      </x:c>
      <x:c r="E156" s="60" t="str">
        <x:v>https://actionexteriors.com</x:v>
      </x:c>
      <x:c r="F156" s="60" t="str">
        <x:v>https://actionexteriors.com</x:v>
      </x:c>
      <x:c r="G156" s="60" t="str">
        <x:v>Greenville</x:v>
      </x:c>
      <x:c r="H156" s="60" t="str">
        <x:v>South Carolina</x:v>
      </x:c>
      <x:c r="I156" s="60" t="str">
        <x:v>Roofing</x:v>
      </x:c>
      <x:c r="J156" s="60" t="str">
        <x:v>Action Exteriors Greenville</x:v>
      </x:c>
      <x:c r="K156" s="60" t="str"/>
      <x:c r="L156" s="60" t="str">
        <x:v>Owner / decision maker to verify</x:v>
      </x:c>
      <x:c r="M156" s="60" t="str"/>
      <x:c r="N156" s="60" t="str"/>
      <x:c r="O156" s="60" t="str">
        <x:v>(864) 432-1935</x:v>
      </x:c>
      <x:c r="P156" s="60" t="str"/>
      <x:c r="Q156" s="60" t="str"/>
      <x:c r="R156" s="60" t="str"/>
      <x:c r="S156" s="60" t="str">
        <x:v>5</x:v>
      </x:c>
      <x:c r="T156" s="74" t="str">
        <x:v>94</x:v>
      </x:c>
      <x:c r="U156" s="60" t="str"/>
      <x:c r="V156" s="74" t="str">
        <x:v>27</x:v>
      </x:c>
      <x:c r="W156" s="74" t="str">
        <x:v>15</x:v>
      </x:c>
      <x:c r="X156" s="74" t="str">
        <x:v>12</x:v>
      </x:c>
      <x:c r="Y156" s="74" t="str">
        <x:v>5</x:v>
      </x:c>
      <x:c r="Z156" s="74" t="str">
        <x:v>5</x:v>
      </x:c>
      <x:c r="AA156" s="74" t="str">
        <x:v>1</x:v>
      </x:c>
      <x:c r="AB156" s="74" t="str">
        <x:v>0</x:v>
      </x:c>
      <x:c r="AC156" s="74" t="str">
        <x:v>1</x:v>
      </x:c>
      <x:c r="AD156" s="74" t="str">
        <x:v>0</x:v>
      </x:c>
      <x:c r="AE156" s="74" t="str">
        <x:v>0</x:v>
      </x:c>
      <x:c r="AF156" s="74" t="str"/>
      <x:c r="AG156" s="74" t="str">
        <x:v>0</x:v>
      </x:c>
      <x:c r="AH156" s="74" t="str">
        <x:v>0</x:v>
      </x:c>
      <x:c r="AI156" s="74" t="str">
        <x:v>0</x:v>
      </x:c>
      <x:c r="AJ156" s="74" t="str">
        <x:v>0</x:v>
      </x:c>
      <x:c r="AK156" s="74" t="str">
        <x:v>1</x:v>
      </x:c>
      <x:c r="AL156" s="74" t="str">
        <x:v>1</x:v>
      </x:c>
      <x:c r="AM156" s="74" t="str">
        <x:v>1</x:v>
      </x:c>
      <x:c r="AN156" s="74" t="str">
        <x:v>1</x:v>
      </x:c>
      <x:c r="AO156" s="60" t="str">
        <x:v>2026</x:v>
      </x:c>
      <x:c r="AP156" s="76" t="str">
        <x:v>Meta tracking detected; no embedded homepage video found</x:v>
      </x:c>
      <x:c r="AQ156" s="76" t="str">
        <x:v>Meta Pixel; visible service offer; no embedded homepage video detected</x:v>
      </x:c>
      <x:c r="AR156" s="76" t="str">
        <x:v>I noticed Action Exteriors Greenville's site has Meta tracking installed, but I couldn't find an embedded video on the homepage.</x:v>
      </x:c>
      <x:c r="AS156" s="76" t="str">
        <x:v>storm-to-inspection before/after ad</x:v>
      </x:c>
      <x:c r="AT156" s="76" t="str">
        <x:v>Action Exteriors Greenville ad concept</x:v>
      </x:c>
      <x:c r="AU156" s="76" t="str">
        <x:v>Hi Action Exteriors Greenville — I noticed Action Exteriors Greenville's site has Meta tracking installed, but I couldn't find an embedded video on the homepage. I mapped a private 15-second storm-to-inspection before/after ad for Action Exteriors Greenville using only public brand context—not for publishing, just to show the angle. We build three client-approved video ad concepts in seven days, then turn the winners into fresh variations. No filming day required. Worth sending the private sample?</x:v>
      </x:c>
      <x:c r="AV156" s="76" t="str">
        <x:v>Quick follow-up: the sample angle is a storm-to-inspection before/after ad. If it misses the mark, no problem—I won't keep chasing. Should I send it?</x:v>
      </x:c>
      <x:c r="AW156" s="76" t="str">
        <x:v>Hi Action Exteriors Greenville, Ryan here. I was looking at Action Exteriors Greenville's public marketing and noticed: meta tracking detected; no embedded homepage video found. I mapped one private storm-to-inspection before/after ad as an example. Did I catch you with 30 seconds?</x:v>
      </x:c>
      <x:c r="AX156" s="60" t="str">
        <x:v>https://www.facebook.com/ads/library/?active_status=active&amp;ad_type=all&amp;country=US&amp;q=Action%20Exteriors%20Greenville&amp;search_type=keyword_unordered</x:v>
      </x:c>
      <x:c r="AY156" s="60" t="str">
        <x:v>ok:200</x:v>
      </x:c>
      <x:c r="AZ156" s="60" t="n">
        <x:v>46232.722858796296</x:v>
      </x:c>
      <x:c r="BA156" s="60" t="str">
        <x:v>Google Maps home-services export</x:v>
      </x:c>
      <x:c r="BB156" s="60" t="str">
        <x:v>https://actionexteriors.com | https://maps.google.com/?cid=4926289137010023053&amp;g_mp=Cidnb29nbGUubWFwcy5wbGFjZXMudjEuUGxhY2VzLlNlYXJjaFRleHQQAhgEIAA</x:v>
      </x:c>
      <x:c r="BC156" s="60" t="str"/>
    </x:row>
    <x:row r="157" ht="18" customHeight="1">
      <x:c r="A157" s="70" t="str">
        <x:v>156</x:v>
      </x:c>
      <x:c r="B157" s="70" t="str">
        <x:v>B - Strong</x:v>
      </x:c>
      <x:c r="C157" s="72" t="str">
        <x:v>64</x:v>
      </x:c>
      <x:c r="D157" s="60" t="str">
        <x:v>McCall's Supply, Inc. - Beaufort, SC</x:v>
      </x:c>
      <x:c r="E157" s="60" t="str">
        <x:v>https://mccallsinc.com</x:v>
      </x:c>
      <x:c r="F157" s="60" t="str">
        <x:v>https://mccallssupply.com/</x:v>
      </x:c>
      <x:c r="G157" s="60" t="str">
        <x:v>Beaufort</x:v>
      </x:c>
      <x:c r="H157" s="60" t="str">
        <x:v>South Carolina</x:v>
      </x:c>
      <x:c r="I157" s="60" t="str">
        <x:v>Plumbing</x:v>
      </x:c>
      <x:c r="J157" s="60" t="str">
        <x:v>McCall's Supply, Inc. - Beaufort, SC</x:v>
      </x:c>
      <x:c r="K157" s="60" t="str"/>
      <x:c r="L157" s="60" t="str">
        <x:v>Owner / decision maker to verify</x:v>
      </x:c>
      <x:c r="M157" s="60" t="str"/>
      <x:c r="N157" s="60" t="str"/>
      <x:c r="O157" s="60" t="str">
        <x:v>(843) 524-5368</x:v>
      </x:c>
      <x:c r="P157" s="60" t="str"/>
      <x:c r="Q157" s="60" t="str"/>
      <x:c r="R157" s="60" t="str"/>
      <x:c r="S157" s="60" t="str">
        <x:v>4.8</x:v>
      </x:c>
      <x:c r="T157" s="74" t="str">
        <x:v>37</x:v>
      </x:c>
      <x:c r="U157" s="60" t="str"/>
      <x:c r="V157" s="74" t="str">
        <x:v>26</x:v>
      </x:c>
      <x:c r="W157" s="74" t="str">
        <x:v>15</x:v>
      </x:c>
      <x:c r="X157" s="74" t="str">
        <x:v>16</x:v>
      </x:c>
      <x:c r="Y157" s="74" t="str">
        <x:v>2</x:v>
      </x:c>
      <x:c r="Z157" s="74" t="str">
        <x:v>5</x:v>
      </x:c>
      <x:c r="AA157" s="74" t="str">
        <x:v>1</x:v>
      </x:c>
      <x:c r="AB157" s="74" t="str">
        <x:v>0</x:v>
      </x:c>
      <x:c r="AC157" s="74" t="str">
        <x:v>1</x:v>
      </x:c>
      <x:c r="AD157" s="74" t="str">
        <x:v>0</x:v>
      </x:c>
      <x:c r="AE157" s="74" t="str">
        <x:v>0</x:v>
      </x:c>
      <x:c r="AF157" s="74" t="str"/>
      <x:c r="AG157" s="74" t="str">
        <x:v>0</x:v>
      </x:c>
      <x:c r="AH157" s="74" t="str">
        <x:v>0</x:v>
      </x:c>
      <x:c r="AI157" s="74" t="str">
        <x:v>0</x:v>
      </x:c>
      <x:c r="AJ157" s="74" t="str">
        <x:v>0</x:v>
      </x:c>
      <x:c r="AK157" s="74" t="str">
        <x:v>0</x:v>
      </x:c>
      <x:c r="AL157" s="74" t="str">
        <x:v>0</x:v>
      </x:c>
      <x:c r="AM157" s="74" t="str">
        <x:v>1</x:v>
      </x:c>
      <x:c r="AN157" s="74" t="str">
        <x:v>0</x:v>
      </x:c>
      <x:c r="AO157" s="60" t="str">
        <x:v>0</x:v>
      </x:c>
      <x:c r="AP157" s="76" t="str">
        <x:v>Meta tracking detected; no embedded homepage video found</x:v>
      </x:c>
      <x:c r="AQ157" s="76" t="str">
        <x:v>Meta Pixel; no embedded homepage video detected</x:v>
      </x:c>
      <x:c r="AR157" s="76" t="str">
        <x:v>I noticed McCall's Supply, Inc. - Beaufort, SC's site has Meta tracking installed, but I couldn't find an embedded video on the homepage.</x:v>
      </x:c>
      <x:c r="AS157" s="76" t="str">
        <x:v>small symptom to prevented-emergency ad</x:v>
      </x:c>
      <x:c r="AT157" s="76" t="str">
        <x:v>McCall's Supply, Inc. - Beaufort, SC ad concept</x:v>
      </x:c>
      <x:c r="AU157" s="76" t="str">
        <x:v>Hi McCall's Supply, Inc. - Beaufort, SC — I noticed McCall's Supply, Inc. - Beaufort, SC's site has Meta tracking installed, but I couldn't find an embedded video on the homepage. I mapped a private 15-second small symptom to prevented-emergency ad for McCall's Supply, Inc. - Beaufort, SC using only public brand context—not for publishing, just to show the angle. We build three client-approved video ad concepts in seven days, then turn the winners into fresh variations. No filming day required. Worth sending the private sample?</x:v>
      </x:c>
      <x:c r="AV157" s="76" t="str">
        <x:v>Quick follow-up: the sample angle is a small symptom to prevented-emergency ad. If it misses the mark, no problem—I won't keep chasing. Should I send it?</x:v>
      </x:c>
      <x:c r="AW157" s="76" t="str">
        <x:v>Hi McCall's Supply, Inc. - Beaufort, SC, Ryan here. I was looking at McCall's Supply, Inc. - Beaufort, SC's public marketing and noticed: meta tracking detected; no embedded homepage video found. I mapped one private small symptom to prevented-emergency ad as an example. Did I catch you with 30 seconds?</x:v>
      </x:c>
      <x:c r="AX157" s="60" t="str">
        <x:v>https://www.facebook.com/ads/library/?active_status=active&amp;ad_type=all&amp;country=US&amp;q=McCall%27s%20Supply%2C%20Inc.%20-%20Beaufort%2C%20SC&amp;search_type=keyword_unordered</x:v>
      </x:c>
      <x:c r="AY157" s="60" t="str">
        <x:v>ok:200</x:v>
      </x:c>
      <x:c r="AZ157" s="60" t="n">
        <x:v>46232.722858796296</x:v>
      </x:c>
      <x:c r="BA157" s="60" t="str">
        <x:v>Google Maps home-services export</x:v>
      </x:c>
      <x:c r="BB157" s="60" t="str">
        <x:v>https://maps.google.com/?cid=14722733080235904042&amp;g_mp=Cidnb29nbGUubWFwcy5wbGFjZXMudjEuUGxhY2VzLlNlYXJjaFRleHQQAhgEIAA | https://maps.google.com/?cid=6419598374798632123&amp;g_mp=Cidnb29nbGUubWFwcy5wbGFjZXMudjEuUGxhY2VzLlNlYXJjaFRleHQQAhgEIAA | https://maps.google.com/?cid=6443045977489138597&amp;g_mp=Cidnb29nbGUubWFwcy5wbGFjZXMudjEuUGxhY2VzLlNlYXJjaFRleHQQAhgEIAA | https://mccallsinc.com</x:v>
      </x:c>
      <x:c r="BC157" s="60" t="str"/>
    </x:row>
    <x:row r="158" ht="18" customHeight="1">
      <x:c r="A158" s="70" t="str">
        <x:v>157</x:v>
      </x:c>
      <x:c r="B158" s="70" t="str">
        <x:v>B - Strong</x:v>
      </x:c>
      <x:c r="C158" s="72" t="str">
        <x:v>64</x:v>
      </x:c>
      <x:c r="D158" s="60" t="str">
        <x:v>Carolina Erosion and Sediment Control LLC</x:v>
      </x:c>
      <x:c r="E158" s="60" t="str">
        <x:v>https://cescllc.com</x:v>
      </x:c>
      <x:c r="F158" s="60" t="str">
        <x:v>https://cescllc.com</x:v>
      </x:c>
      <x:c r="G158" s="60" t="str">
        <x:v>Lexington County</x:v>
      </x:c>
      <x:c r="H158" s="60" t="str">
        <x:v>South Carolina</x:v>
      </x:c>
      <x:c r="I158" s="60" t="str">
        <x:v>Plumbing</x:v>
      </x:c>
      <x:c r="J158" s="60" t="str">
        <x:v>Chad</x:v>
      </x:c>
      <x:c r="K158" s="60" t="str">
        <x:v>Richey</x:v>
      </x:c>
      <x:c r="L158" s="60" t="str">
        <x:v>Business Owner</x:v>
      </x:c>
      <x:c r="M158" s="60" t="str">
        <x:v>chad@cescllc.com</x:v>
      </x:c>
      <x:c r="N158" s="60" t="str">
        <x:v>Verified with BounceBan on 08 Jun 26 12:06</x:v>
      </x:c>
      <x:c r="O158" s="60" t="str">
        <x:v>+1 803 513 6871</x:v>
      </x:c>
      <x:c r="P158" s="60" t="str">
        <x:v>https://www.linkedin.com/in/chad-richey-745a56102</x:v>
      </x:c>
      <x:c r="Q158" s="60" t="str">
        <x:v>2-10</x:v>
      </x:c>
      <x:c r="R158" s="60" t="str">
        <x:v>100000-499999</x:v>
      </x:c>
      <x:c r="S158" s="60" t="str"/>
      <x:c r="T158" s="74" t="str">
        <x:v>0</x:v>
      </x:c>
      <x:c r="U158" s="60" t="str"/>
      <x:c r="V158" s="74" t="str">
        <x:v>23</x:v>
      </x:c>
      <x:c r="W158" s="74" t="str">
        <x:v>15</x:v>
      </x:c>
      <x:c r="X158" s="74" t="str">
        <x:v>16</x:v>
      </x:c>
      <x:c r="Y158" s="74" t="str">
        <x:v>0</x:v>
      </x:c>
      <x:c r="Z158" s="74" t="str">
        <x:v>10</x:v>
      </x:c>
      <x:c r="AA158" s="74" t="str">
        <x:v>1</x:v>
      </x:c>
      <x:c r="AB158" s="74" t="str">
        <x:v>0</x:v>
      </x:c>
      <x:c r="AC158" s="74" t="str">
        <x:v>1</x:v>
      </x:c>
      <x:c r="AD158" s="74" t="str">
        <x:v>0</x:v>
      </x:c>
      <x:c r="AE158" s="74" t="str">
        <x:v>0</x:v>
      </x:c>
      <x:c r="AF158" s="74" t="str"/>
      <x:c r="AG158" s="74" t="str">
        <x:v>0</x:v>
      </x:c>
      <x:c r="AH158" s="74" t="str">
        <x:v>0</x:v>
      </x:c>
      <x:c r="AI158" s="74" t="str">
        <x:v>0</x:v>
      </x:c>
      <x:c r="AJ158" s="74" t="str">
        <x:v>0</x:v>
      </x:c>
      <x:c r="AK158" s="74" t="str">
        <x:v>0</x:v>
      </x:c>
      <x:c r="AL158" s="74" t="str">
        <x:v>0</x:v>
      </x:c>
      <x:c r="AM158" s="74" t="str">
        <x:v>1</x:v>
      </x:c>
      <x:c r="AN158" s="74" t="str">
        <x:v>0</x:v>
      </x:c>
      <x:c r="AO158" s="60" t="str">
        <x:v>2026</x:v>
      </x:c>
      <x:c r="AP158" s="76" t="str">
        <x:v>Meta tracking detected; no embedded homepage video found</x:v>
      </x:c>
      <x:c r="AQ158" s="76" t="str">
        <x:v>Meta Pixel; no embedded homepage video detected</x:v>
      </x:c>
      <x:c r="AR158" s="76" t="str">
        <x:v>I noticed Carolina Erosion and Sediment Control LLC's site has Meta tracking installed, but I couldn't find an embedded video on the homepage.</x:v>
      </x:c>
      <x:c r="AS158" s="76" t="str">
        <x:v>small symptom to prevented-emergency ad</x:v>
      </x:c>
      <x:c r="AT158" s="76" t="str">
        <x:v>Carolina Erosion and Sediment Control LLC ad concept</x:v>
      </x:c>
      <x:c r="AU158" s="76" t="str">
        <x:v>Hi Chad — I noticed Carolina Erosion and Sediment Control LLC's site has Meta tracking installed, but I couldn't find an embedded video on the homepage. I mapped a private 15-second small symptom to prevented-emergency ad for Carolina Erosion and Sediment Control LLC using only public brand context—not for publishing, just to show the angle. We build three client-approved video ad concepts in seven days, then turn the winners into fresh variations. No filming day required. Worth sending the private sample?</x:v>
      </x:c>
      <x:c r="AV158" s="76" t="str">
        <x:v>Quick follow-up: the sample angle is a small symptom to prevented-emergency ad. If it misses the mark, no problem—I won't keep chasing. Should I send it?</x:v>
      </x:c>
      <x:c r="AW158" s="76" t="str">
        <x:v>Hi Chad, Ryan here. I was looking at Carolina Erosion and Sediment Control LLC's public marketing and noticed: meta tracking detected; no embedded homepage video found. I mapped one private small symptom to prevented-emergency ad as an example. Did I catch you with 30 seconds?</x:v>
      </x:c>
      <x:c r="AX158" s="60" t="str">
        <x:v>https://www.facebook.com/ads/library/?active_status=active&amp;ad_type=all&amp;country=US&amp;q=Carolina%20Erosion%20and%20Sediment%20Control%20LLC&amp;search_type=keyword_unordered</x:v>
      </x:c>
      <x:c r="AY158" s="60" t="str">
        <x:v>ok:200</x:v>
      </x:c>
      <x:c r="AZ158" s="60" t="n">
        <x:v>46232.722858796296</x:v>
      </x:c>
      <x:c r="BA158" s="60" t="str">
        <x:v>AI Ark SC trades export</x:v>
      </x:c>
      <x:c r="BB158" s="60" t="str">
        <x:v>https://cescllc.com | https://www.linkedin.com/company/carolina-erosion-and-sediment-control-llc</x:v>
      </x:c>
      <x:c r="BC158" s="60" t="str"/>
    </x:row>
    <x:row r="159" ht="18" customHeight="1">
      <x:c r="A159" s="70" t="str">
        <x:v>158</x:v>
      </x:c>
      <x:c r="B159" s="70" t="str">
        <x:v>B - Strong</x:v>
      </x:c>
      <x:c r="C159" s="72" t="str">
        <x:v>64</x:v>
      </x:c>
      <x:c r="D159" s="60" t="str">
        <x:v>AES CONTRACTING | Electrical Services</x:v>
      </x:c>
      <x:c r="E159" s="60" t="str">
        <x:v>https://aescontractingllc.com</x:v>
      </x:c>
      <x:c r="F159" s="60" t="str">
        <x:v>https://sites.google.com/view/aescontracting/home</x:v>
      </x:c>
      <x:c r="G159" s="60" t="str">
        <x:v>Greenville-spartanburg-anderson</x:v>
      </x:c>
      <x:c r="H159" s="60" t="str">
        <x:v>South Carolina Area</x:v>
      </x:c>
      <x:c r="I159" s="60" t="str">
        <x:v>Electrical</x:v>
      </x:c>
      <x:c r="J159" s="60" t="str">
        <x:v>aaron</x:v>
      </x:c>
      <x:c r="K159" s="60" t="str">
        <x:v>shealy</x:v>
      </x:c>
      <x:c r="L159" s="60" t="str">
        <x:v>Owner</x:v>
      </x:c>
      <x:c r="M159" s="60" t="str">
        <x:v>aaron@aescontractingllc.com</x:v>
      </x:c>
      <x:c r="N159" s="60" t="str">
        <x:v>Verified with BounceBan on 08 Jun 26 12:06</x:v>
      </x:c>
      <x:c r="O159" s="60" t="str">
        <x:v>+1 864 285 8733</x:v>
      </x:c>
      <x:c r="P159" s="60" t="str">
        <x:v>https://www.linkedin.com/in/aaron-shealy</x:v>
      </x:c>
      <x:c r="Q159" s="60" t="str">
        <x:v>2-10</x:v>
      </x:c>
      <x:c r="R159" s="60" t="str">
        <x:v>0-99999</x:v>
      </x:c>
      <x:c r="S159" s="60" t="str"/>
      <x:c r="T159" s="74" t="str">
        <x:v>0</x:v>
      </x:c>
      <x:c r="U159" s="60" t="str"/>
      <x:c r="V159" s="74" t="str">
        <x:v>22</x:v>
      </x:c>
      <x:c r="W159" s="74" t="str">
        <x:v>13</x:v>
      </x:c>
      <x:c r="X159" s="74" t="str">
        <x:v>16</x:v>
      </x:c>
      <x:c r="Y159" s="74" t="str">
        <x:v>3</x:v>
      </x:c>
      <x:c r="Z159" s="74" t="str">
        <x:v>10</x:v>
      </x:c>
      <x:c r="AA159" s="74" t="str">
        <x:v>0</x:v>
      </x:c>
      <x:c r="AB159" s="74" t="str">
        <x:v>1</x:v>
      </x:c>
      <x:c r="AC159" s="74" t="str">
        <x:v>1</x:v>
      </x:c>
      <x:c r="AD159" s="74" t="str">
        <x:v>0</x:v>
      </x:c>
      <x:c r="AE159" s="74" t="str">
        <x:v>0</x:v>
      </x:c>
      <x:c r="AF159" s="74" t="str"/>
      <x:c r="AG159" s="74" t="str">
        <x:v>0</x:v>
      </x:c>
      <x:c r="AH159" s="74" t="str">
        <x:v>0</x:v>
      </x:c>
      <x:c r="AI159" s="74" t="str">
        <x:v>0</x:v>
      </x:c>
      <x:c r="AJ159" s="74" t="str">
        <x:v>0</x:v>
      </x:c>
      <x:c r="AK159" s="74" t="str">
        <x:v>1</x:v>
      </x:c>
      <x:c r="AL159" s="74" t="str">
        <x:v>0</x:v>
      </x:c>
      <x:c r="AM159" s="74" t="str">
        <x:v>0</x:v>
      </x:c>
      <x:c r="AN159" s="74" t="str">
        <x:v>0</x:v>
      </x:c>
      <x:c r="AO159" s="60" t="str">
        <x:v>0</x:v>
      </x:c>
      <x:c r="AP159" s="76" t="str">
        <x:v>Google Ads tag detected; no embedded homepage video found</x:v>
      </x:c>
      <x:c r="AQ159" s="76" t="str">
        <x:v>Google Ads tag; visible service offer; no embedded homepage video detected</x:v>
      </x:c>
      <x:c r="AR159" s="76" t="str">
        <x:v>I noticed AES CONTRACTING | Electrical Services's site has a Google Ads tag installed, but I couldn't find an embedded video on the homepage.</x:v>
      </x:c>
      <x:c r="AS159" s="76" t="str">
        <x:v>safety inspection problem/solution ad</x:v>
      </x:c>
      <x:c r="AT159" s="76" t="str">
        <x:v>AES CONTRACTING | Electrical Services ad concept</x:v>
      </x:c>
      <x:c r="AU159" s="76" t="str">
        <x:v>Hi aaron — I noticed AES CONTRACTING | Electrical Services's site has a Google Ads tag installed, but I couldn't find an embedded video on the homepage. I mapped a private 15-second safety inspection problem/solution ad for AES CONTRACTING | Electrical Services using only public brand context—not for publishing, just to show the angle. We build three client-approved video ad concepts in seven days, then turn the winners into fresh variations. No filming day required. Worth sending the private sample?</x:v>
      </x:c>
      <x:c r="AV159" s="76" t="str">
        <x:v>Quick follow-up: the sample angle is a safety inspection problem/solution ad. If it misses the mark, no problem—I won't keep chasing. Should I send it?</x:v>
      </x:c>
      <x:c r="AW159" s="76" t="str">
        <x:v>Hi aaron, Ryan here. I was looking at AES CONTRACTING | Electrical Services's public marketing and noticed: google ads tag detected; no embedded homepage video found. I mapped one private safety inspection problem/solution ad as an example. Did I catch you with 30 seconds?</x:v>
      </x:c>
      <x:c r="AX159" s="60" t="str">
        <x:v>https://www.facebook.com/ads/library/?active_status=active&amp;ad_type=all&amp;country=US&amp;q=AES%20CONTRACTING%20%7C%20Electrical%20Services&amp;search_type=keyword_unordered</x:v>
      </x:c>
      <x:c r="AY159" s="60" t="str">
        <x:v>ok:200</x:v>
      </x:c>
      <x:c r="AZ159" s="60" t="n">
        <x:v>46232.722858796296</x:v>
      </x:c>
      <x:c r="BA159" s="60" t="str">
        <x:v>AI Ark SC trades export</x:v>
      </x:c>
      <x:c r="BB159" s="60" t="str">
        <x:v>https://aescontractingllc.com | https://www.linkedin.com/company/aes-contracting</x:v>
      </x:c>
      <x:c r="BC159" s="60" t="str"/>
    </x:row>
    <x:row r="160" ht="18" customHeight="1">
      <x:c r="A160" s="70" t="str">
        <x:v>159</x:v>
      </x:c>
      <x:c r="B160" s="70" t="str">
        <x:v>B - Strong</x:v>
      </x:c>
      <x:c r="C160" s="72" t="str">
        <x:v>64</x:v>
      </x:c>
      <x:c r="D160" s="60" t="str">
        <x:v>Ethical Plumbing</x:v>
      </x:c>
      <x:c r="E160" s="60" t="str">
        <x:v>https://ethicalplumbing.com</x:v>
      </x:c>
      <x:c r="F160" s="60" t="str">
        <x:v>https://ethicalplumbing.com</x:v>
      </x:c>
      <x:c r="G160" s="60" t="str">
        <x:v>Greenville</x:v>
      </x:c>
      <x:c r="H160" s="60" t="str">
        <x:v>South Carolina</x:v>
      </x:c>
      <x:c r="I160" s="60" t="str">
        <x:v>Plumbing</x:v>
      </x:c>
      <x:c r="J160" s="60" t="str">
        <x:v>Ethical Plumbing</x:v>
      </x:c>
      <x:c r="K160" s="60" t="str"/>
      <x:c r="L160" s="60" t="str">
        <x:v>Owner / decision maker to verify</x:v>
      </x:c>
      <x:c r="M160" s="60" t="str"/>
      <x:c r="N160" s="60" t="str"/>
      <x:c r="O160" s="60" t="str">
        <x:v>(864) 528-6342</x:v>
      </x:c>
      <x:c r="P160" s="60" t="str"/>
      <x:c r="Q160" s="60" t="str"/>
      <x:c r="R160" s="60" t="str"/>
      <x:c r="S160" s="60" t="str">
        <x:v>4.7</x:v>
      </x:c>
      <x:c r="T160" s="74" t="str">
        <x:v>55</x:v>
      </x:c>
      <x:c r="U160" s="60" t="str"/>
      <x:c r="V160" s="74" t="str">
        <x:v>22</x:v>
      </x:c>
      <x:c r="W160" s="74" t="str">
        <x:v>11</x:v>
      </x:c>
      <x:c r="X160" s="74" t="str">
        <x:v>12</x:v>
      </x:c>
      <x:c r="Y160" s="74" t="str">
        <x:v>14</x:v>
      </x:c>
      <x:c r="Z160" s="74" t="str">
        <x:v>5</x:v>
      </x:c>
      <x:c r="AA160" s="74" t="str">
        <x:v>0</x:v>
      </x:c>
      <x:c r="AB160" s="74" t="str">
        <x:v>0</x:v>
      </x:c>
      <x:c r="AC160" s="74" t="str">
        <x:v>1</x:v>
      </x:c>
      <x:c r="AD160" s="74" t="str">
        <x:v>0</x:v>
      </x:c>
      <x:c r="AE160" s="74" t="str">
        <x:v>1</x:v>
      </x:c>
      <x:c r="AF160" s="74" t="str"/>
      <x:c r="AG160" s="74" t="str">
        <x:v>0</x:v>
      </x:c>
      <x:c r="AH160" s="74" t="str">
        <x:v>1</x:v>
      </x:c>
      <x:c r="AI160" s="74" t="str">
        <x:v>1</x:v>
      </x:c>
      <x:c r="AJ160" s="74" t="str">
        <x:v>0</x:v>
      </x:c>
      <x:c r="AK160" s="74" t="str">
        <x:v>1</x:v>
      </x:c>
      <x:c r="AL160" s="74" t="str">
        <x:v>1</x:v>
      </x:c>
      <x:c r="AM160" s="74" t="str">
        <x:v>1</x:v>
      </x:c>
      <x:c r="AN160" s="74" t="str">
        <x:v>1</x:v>
      </x:c>
      <x:c r="AO160" s="60" t="str">
        <x:v>0</x:v>
      </x:c>
      <x:c r="AP160" s="76" t="str">
        <x:v>Call-tracking stack detected; no embedded homepage video found</x:v>
      </x:c>
      <x:c r="AQ160" s="76" t="str">
        <x:v>call tracking; project/gallery proof; testimonials; visible service offer; no embedded homepage video detected</x:v>
      </x:c>
      <x:c r="AR160" s="76" t="str">
        <x:v>I noticed Ethical Plumbing has call tracking in place, but I couldn't find an embedded video on the homepage.</x:v>
      </x:c>
      <x:c r="AS160" s="76" t="str">
        <x:v>small symptom to prevented-emergency ad</x:v>
      </x:c>
      <x:c r="AT160" s="76" t="str">
        <x:v>Ethical Plumbing ad concept</x:v>
      </x:c>
      <x:c r="AU160" s="76" t="str">
        <x:v>Hi Ethical Plumbing — I noticed Ethical Plumbing has call tracking in place, but I couldn't find an embedded video on the homepage. I mapped a private 15-second small symptom to prevented-emergency ad for Ethical Plumbing using only public brand context—not for publishing, just to show the angle. We build three client-approved video ad concepts in seven days, then turn the winners into fresh variations. No filming day required. Worth sending the private sample?</x:v>
      </x:c>
      <x:c r="AV160" s="76" t="str">
        <x:v>Quick follow-up: the sample angle is a small symptom to prevented-emergency ad. If it misses the mark, no problem—I won't keep chasing. Should I send it?</x:v>
      </x:c>
      <x:c r="AW160" s="76" t="str">
        <x:v>Hi Ethical Plumbing, Ryan here. I was looking at Ethical Plumbing's public marketing and noticed: call-tracking stack detected; no embedded homepage video found. I mapped one private small symptom to prevented-emergency ad as an example. Did I catch you with 30 seconds?</x:v>
      </x:c>
      <x:c r="AX160" s="60" t="str">
        <x:v>https://www.facebook.com/ads/library/?active_status=active&amp;ad_type=all&amp;country=US&amp;q=Ethical%20Plumbing&amp;search_type=keyword_unordered</x:v>
      </x:c>
      <x:c r="AY160" s="60" t="str">
        <x:v>ok:200</x:v>
      </x:c>
      <x:c r="AZ160" s="60" t="n">
        <x:v>46232.722858796296</x:v>
      </x:c>
      <x:c r="BA160" s="60" t="str">
        <x:v>Google Maps home-services export</x:v>
      </x:c>
      <x:c r="BB160" s="60" t="str">
        <x:v>https://ethicalplumbing.com | https://maps.google.com/?cid=10502202989695022890&amp;g_mp=Cidnb29nbGUubWFwcy5wbGFjZXMudjEuUGxhY2VzLlNlYXJjaFRleHQQAhgEIAA | https://maps.google.com/?cid=13091462387355666173&amp;g_mp=Cidnb29nbGUubWFwcy5wbGFjZXMudjEuUGxhY2VzLlNlYXJjaFRleHQQAhgEIAA</x:v>
      </x:c>
      <x:c r="BC160" s="60" t="str"/>
    </x:row>
    <x:row r="161" ht="18" customHeight="1">
      <x:c r="A161" s="70" t="str">
        <x:v>160</x:v>
      </x:c>
      <x:c r="B161" s="70" t="str">
        <x:v>B - Strong</x:v>
      </x:c>
      <x:c r="C161" s="72" t="str">
        <x:v>63</x:v>
      </x:c>
      <x:c r="D161" s="60" t="str">
        <x:v>LIME Painting of Greenville</x:v>
      </x:c>
      <x:c r="E161" s="60" t="str">
        <x:v>https://limepainting.com</x:v>
      </x:c>
      <x:c r="F161" s="60" t="str">
        <x:v>https://limepainting.com</x:v>
      </x:c>
      <x:c r="G161" s="60" t="str">
        <x:v>Easley</x:v>
      </x:c>
      <x:c r="H161" s="60" t="str">
        <x:v>South Carolina</x:v>
      </x:c>
      <x:c r="I161" s="60" t="str">
        <x:v>Remodeling</x:v>
      </x:c>
      <x:c r="J161" s="60" t="str">
        <x:v>Kevin</x:v>
      </x:c>
      <x:c r="K161" s="60" t="str">
        <x:v>Bishop</x:v>
      </x:c>
      <x:c r="L161" s="60" t="str">
        <x:v>Business Owner</x:v>
      </x:c>
      <x:c r="M161" s="60" t="str">
        <x:v>kbishop@limepainting.com</x:v>
      </x:c>
      <x:c r="N161" s="60" t="str">
        <x:v>Verified with BounceBan on 08 Jun 26 12:06</x:v>
      </x:c>
      <x:c r="O161" s="60" t="str"/>
      <x:c r="P161" s="60" t="str">
        <x:v>https://www.linkedin.com/in/kevin-daniel-bishop</x:v>
      </x:c>
      <x:c r="Q161" s="60" t="str">
        <x:v>0-1</x:v>
      </x:c>
      <x:c r="R161" s="60" t="str">
        <x:v>0-99999</x:v>
      </x:c>
      <x:c r="S161" s="60" t="str"/>
      <x:c r="T161" s="74" t="str">
        <x:v>0</x:v>
      </x:c>
      <x:c r="U161" s="60" t="str"/>
      <x:c r="V161" s="74" t="str">
        <x:v>22</x:v>
      </x:c>
      <x:c r="W161" s="74" t="str">
        <x:v>25</x:v>
      </x:c>
      <x:c r="X161" s="74" t="str">
        <x:v>0</x:v>
      </x:c>
      <x:c r="Y161" s="74" t="str">
        <x:v>9</x:v>
      </x:c>
      <x:c r="Z161" s="74" t="str">
        <x:v>7</x:v>
      </x:c>
      <x:c r="AA161" s="74" t="str">
        <x:v>1</x:v>
      </x:c>
      <x:c r="AB161" s="74" t="str">
        <x:v>1</x:v>
      </x:c>
      <x:c r="AC161" s="74" t="str">
        <x:v>1</x:v>
      </x:c>
      <x:c r="AD161" s="74" t="str">
        <x:v>0</x:v>
      </x:c>
      <x:c r="AE161" s="74" t="str">
        <x:v>0</x:v>
      </x:c>
      <x:c r="AF161" s="74" t="str"/>
      <x:c r="AG161" s="74" t="str">
        <x:v>1</x:v>
      </x:c>
      <x:c r="AH161" s="74" t="str">
        <x:v>1</x:v>
      </x:c>
      <x:c r="AI161" s="74" t="str">
        <x:v>1</x:v>
      </x:c>
      <x:c r="AJ161" s="74" t="str">
        <x:v>0</x:v>
      </x:c>
      <x:c r="AK161" s="74" t="str">
        <x:v>0</x:v>
      </x:c>
      <x:c r="AL161" s="74" t="str">
        <x:v>1</x:v>
      </x:c>
      <x:c r="AM161" s="74" t="str">
        <x:v>1</x:v>
      </x:c>
      <x:c r="AN161" s="74" t="str">
        <x:v>1</x:v>
      </x:c>
      <x:c r="AO161" s="60" t="str">
        <x:v>2026</x:v>
      </x:c>
      <x:c r="AP161" s="76" t="str">
        <x:v>Paid-demand technology detected; creative refresh hypothesis</x:v>
      </x:c>
      <x:c r="AQ161" s="76" t="str">
        <x:v>Meta Pixel; Google Ads tag; project/gallery proof; testimonials</x:v>
      </x:c>
      <x:c r="AR161" s="76" t="str">
        <x:v>I was reviewing remodeling companies in Easley, South Carolina and LIME Painting of Greenville looked like a strong fit for a creative test.</x:v>
      </x:c>
      <x:c r="AS161" s="76" t="str">
        <x:v>project reveal with budget-and-timeline proof</x:v>
      </x:c>
      <x:c r="AT161" s="76" t="str">
        <x:v>LIME Painting of Greenville ad concept</x:v>
      </x:c>
      <x:c r="AU161" s="76" t="str">
        <x:v>Hi Kevin — I was reviewing remodeling companies in Easley, South Carolina and LIME Painting of Greenville looked like a strong fit for a creative test. I mapped a private 15-second project reveal with budget-and-timeline proof for LIME Painting of Greenville using only public brand context—not for publishing, just to show the angle. We build three client-approved video ad concepts in seven days, then turn the winners into fresh variations. No filming day required. Worth sending the private sample?</x:v>
      </x:c>
      <x:c r="AV161" s="76" t="str">
        <x:v>Quick follow-up: the sample angle is a project reveal with budget-and-timeline proof. If it misses the mark, no problem—I won't keep chasing. Should I send it?</x:v>
      </x:c>
      <x:c r="AW161" s="76" t="str">
        <x:v>Hi Kevin, Ryan here. I was looking at LIME Painting of Greenville's public marketing and noticed: paid-demand technology detected; creative refresh hypothesis. I mapped one private project reveal with budget-and-timeline proof as an example. Did I catch you with 30 seconds?</x:v>
      </x:c>
      <x:c r="AX161" s="60" t="str">
        <x:v>https://www.facebook.com/ads/library/?active_status=active&amp;ad_type=all&amp;country=US&amp;q=LIME%20Painting%20of%20Greenville&amp;search_type=keyword_unordered</x:v>
      </x:c>
      <x:c r="AY161" s="60" t="str">
        <x:v>ok:200</x:v>
      </x:c>
      <x:c r="AZ161" s="60" t="n">
        <x:v>46232.722858796296</x:v>
      </x:c>
      <x:c r="BA161" s="60" t="str">
        <x:v>AI Ark SC trades export</x:v>
      </x:c>
      <x:c r="BB161" s="60" t="str">
        <x:v>https://limepainting.com | https://www.linkedin.com/company/lime-painting-of-greenville</x:v>
      </x:c>
      <x:c r="BC161" s="60" t="str"/>
    </x:row>
    <x:row r="162" ht="18" customHeight="1">
      <x:c r="A162" s="70" t="str">
        <x:v>161</x:v>
      </x:c>
      <x:c r="B162" s="70" t="str">
        <x:v>B - Strong</x:v>
      </x:c>
      <x:c r="C162" s="72" t="str">
        <x:v>63</x:v>
      </x:c>
      <x:c r="D162" s="60" t="str">
        <x:v>Acute Heating &amp; Cooling</x:v>
      </x:c>
      <x:c r="E162" s="60" t="str">
        <x:v>https://acutehvac.com</x:v>
      </x:c>
      <x:c r="F162" s="60" t="str">
        <x:v>https://www.acutehvac.com/</x:v>
      </x:c>
      <x:c r="G162" s="60" t="str">
        <x:v>Summerville</x:v>
      </x:c>
      <x:c r="H162" s="60" t="str">
        <x:v>South Carolina</x:v>
      </x:c>
      <x:c r="I162" s="60" t="str">
        <x:v>HVAC</x:v>
      </x:c>
      <x:c r="J162" s="60" t="str">
        <x:v>Acute Heating &amp; Cooling</x:v>
      </x:c>
      <x:c r="K162" s="60" t="str"/>
      <x:c r="L162" s="60" t="str">
        <x:v>Owner / decision maker to verify</x:v>
      </x:c>
      <x:c r="M162" s="60" t="str"/>
      <x:c r="N162" s="60" t="str"/>
      <x:c r="O162" s="60" t="str">
        <x:v>(843) 825-9187</x:v>
      </x:c>
      <x:c r="P162" s="60" t="str"/>
      <x:c r="Q162" s="60" t="str"/>
      <x:c r="R162" s="60" t="str"/>
      <x:c r="S162" s="60" t="str">
        <x:v>4.9</x:v>
      </x:c>
      <x:c r="T162" s="74" t="str">
        <x:v>361</x:v>
      </x:c>
      <x:c r="U162" s="60" t="str"/>
      <x:c r="V162" s="74" t="str">
        <x:v>29</x:v>
      </x:c>
      <x:c r="W162" s="74" t="str">
        <x:v>18</x:v>
      </x:c>
      <x:c r="X162" s="74" t="str">
        <x:v>0</x:v>
      </x:c>
      <x:c r="Y162" s="74" t="str">
        <x:v>11</x:v>
      </x:c>
      <x:c r="Z162" s="74" t="str">
        <x:v>5</x:v>
      </x:c>
      <x:c r="AA162" s="74" t="str">
        <x:v>1</x:v>
      </x:c>
      <x:c r="AB162" s="74" t="str">
        <x:v>0</x:v>
      </x:c>
      <x:c r="AC162" s="74" t="str">
        <x:v>1</x:v>
      </x:c>
      <x:c r="AD162" s="74" t="str">
        <x:v>0</x:v>
      </x:c>
      <x:c r="AE162" s="74" t="str">
        <x:v>0</x:v>
      </x:c>
      <x:c r="AF162" s="74" t="str">
        <x:v>servicetitan</x:v>
      </x:c>
      <x:c r="AG162" s="74" t="str">
        <x:v>1</x:v>
      </x:c>
      <x:c r="AH162" s="74" t="str">
        <x:v>1</x:v>
      </x:c>
      <x:c r="AI162" s="74" t="str">
        <x:v>0</x:v>
      </x:c>
      <x:c r="AJ162" s="74" t="str">
        <x:v>0</x:v>
      </x:c>
      <x:c r="AK162" s="74" t="str">
        <x:v>1</x:v>
      </x:c>
      <x:c r="AL162" s="74" t="str">
        <x:v>1</x:v>
      </x:c>
      <x:c r="AM162" s="74" t="str">
        <x:v>1</x:v>
      </x:c>
      <x:c r="AN162" s="74" t="str">
        <x:v>1</x:v>
      </x:c>
      <x:c r="AO162" s="60" t="str">
        <x:v>2026</x:v>
      </x:c>
      <x:c r="AP162" s="76" t="str">
        <x:v>Paid-demand technology detected; creative refresh hypothesis</x:v>
      </x:c>
      <x:c r="AQ162" s="76" t="str">
        <x:v>Meta Pixel; project/gallery proof; visible service offer</x:v>
      </x:c>
      <x:c r="AR162" s="76" t="str">
        <x:v>I was reviewing hvac companies in Summerville, South Carolina and Acute Heating &amp; Cooling looked like a strong fit for a creative test.</x:v>
      </x:c>
      <x:c r="AS162" s="76" t="str">
        <x:v>no-cool-call to same-day comfort ad</x:v>
      </x:c>
      <x:c r="AT162" s="76" t="str">
        <x:v>Acute Heating &amp; Cooling ad concept</x:v>
      </x:c>
      <x:c r="AU162" s="76" t="str">
        <x:v>Hi Acute Heating &amp; Cooling — I was reviewing hvac companies in Summerville, South Carolina and Acute Heating &amp; Cooling looked like a strong fit for a creative test. I mapped a private 15-second no-cool-call to same-day comfort ad for Acute Heating &amp; Cooling using only public brand context—not for publishing, just to show the angle. We build three client-approved video ad concepts in seven days, then turn the winners into fresh variations. No filming day required. Worth sending the private sample?</x:v>
      </x:c>
      <x:c r="AV162" s="76" t="str">
        <x:v>Quick follow-up: the sample angle is a no-cool-call to same-day comfort ad. If it misses the mark, no problem—I won't keep chasing. Should I send it?</x:v>
      </x:c>
      <x:c r="AW162" s="76" t="str">
        <x:v>Hi Acute Heating &amp; Cooling, Ryan here. I was looking at Acute Heating &amp; Cooling's public marketing and noticed: paid-demand technology detected; creative refresh hypothesis. I mapped one private no-cool-call to same-day comfort ad as an example. Did I catch you with 30 seconds?</x:v>
      </x:c>
      <x:c r="AX162" s="60" t="str">
        <x:v>https://www.facebook.com/ads/library/?active_status=active&amp;ad_type=all&amp;country=US&amp;q=Acute%20Heating%20%26%20Cooling&amp;search_type=keyword_unordered</x:v>
      </x:c>
      <x:c r="AY162" s="60" t="str">
        <x:v>ok:200</x:v>
      </x:c>
      <x:c r="AZ162" s="60" t="n">
        <x:v>46232.722858796296</x:v>
      </x:c>
      <x:c r="BA162" s="60" t="str">
        <x:v>Google Maps home-services export</x:v>
      </x:c>
      <x:c r="BB162" s="60" t="str">
        <x:v>https://acutehvac.com | https://maps.google.com/?cid=17068513845652496738&amp;g_mp=Cidnb29nbGUubWFwcy5wbGFjZXMudjEuUGxhY2VzLlNlYXJjaFRleHQQAhgEIAA</x:v>
      </x:c>
      <x:c r="BC162" s="60" t="str"/>
    </x:row>
    <x:row r="163" ht="18" customHeight="1">
      <x:c r="A163" s="70" t="str">
        <x:v>162</x:v>
      </x:c>
      <x:c r="B163" s="70" t="str">
        <x:v>B - Strong</x:v>
      </x:c>
      <x:c r="C163" s="72" t="str">
        <x:v>63</x:v>
      </x:c>
      <x:c r="D163" s="60" t="str">
        <x:v>Dave's Air Conditioning Plumbing &amp; Electrical</x:v>
      </x:c>
      <x:c r="E163" s="60" t="str">
        <x:v>https://davesupstateservices.com</x:v>
      </x:c>
      <x:c r="F163" s="60" t="str">
        <x:v>https://www.davesupstateservices.com/</x:v>
      </x:c>
      <x:c r="G163" s="60" t="str">
        <x:v>Spartanburg</x:v>
      </x:c>
      <x:c r="H163" s="60" t="str">
        <x:v>South Carolina</x:v>
      </x:c>
      <x:c r="I163" s="60" t="str">
        <x:v>HVAC</x:v>
      </x:c>
      <x:c r="J163" s="60" t="str">
        <x:v>Dave's Air Conditioning Plumbing &amp; Electrical</x:v>
      </x:c>
      <x:c r="K163" s="60" t="str"/>
      <x:c r="L163" s="60" t="str">
        <x:v>Owner / decision maker to verify</x:v>
      </x:c>
      <x:c r="M163" s="60" t="str"/>
      <x:c r="N163" s="60" t="str"/>
      <x:c r="O163" s="60" t="str">
        <x:v>(864) 384-5349</x:v>
      </x:c>
      <x:c r="P163" s="60" t="str"/>
      <x:c r="Q163" s="60" t="str"/>
      <x:c r="R163" s="60" t="str"/>
      <x:c r="S163" s="60" t="str">
        <x:v>4.9</x:v>
      </x:c>
      <x:c r="T163" s="74" t="str">
        <x:v>214</x:v>
      </x:c>
      <x:c r="U163" s="60" t="str"/>
      <x:c r="V163" s="74" t="str">
        <x:v>28</x:v>
      </x:c>
      <x:c r="W163" s="74" t="str">
        <x:v>16</x:v>
      </x:c>
      <x:c r="X163" s="74" t="str">
        <x:v>0</x:v>
      </x:c>
      <x:c r="Y163" s="74" t="str">
        <x:v>14</x:v>
      </x:c>
      <x:c r="Z163" s="74" t="str">
        <x:v>5</x:v>
      </x:c>
      <x:c r="AA163" s="74" t="str">
        <x:v>0</x:v>
      </x:c>
      <x:c r="AB163" s="74" t="str">
        <x:v>1</x:v>
      </x:c>
      <x:c r="AC163" s="74" t="str">
        <x:v>1</x:v>
      </x:c>
      <x:c r="AD163" s="74" t="str">
        <x:v>0</x:v>
      </x:c>
      <x:c r="AE163" s="74" t="str">
        <x:v>0</x:v>
      </x:c>
      <x:c r="AF163" s="74" t="str">
        <x:v>housecallpro</x:v>
      </x:c>
      <x:c r="AG163" s="74" t="str">
        <x:v>1</x:v>
      </x:c>
      <x:c r="AH163" s="74" t="str">
        <x:v>1</x:v>
      </x:c>
      <x:c r="AI163" s="74" t="str">
        <x:v>0</x:v>
      </x:c>
      <x:c r="AJ163" s="74" t="str">
        <x:v>1</x:v>
      </x:c>
      <x:c r="AK163" s="74" t="str">
        <x:v>1</x:v>
      </x:c>
      <x:c r="AL163" s="74" t="str">
        <x:v>1</x:v>
      </x:c>
      <x:c r="AM163" s="74" t="str">
        <x:v>1</x:v>
      </x:c>
      <x:c r="AN163" s="74" t="str">
        <x:v>1</x:v>
      </x:c>
      <x:c r="AO163" s="60" t="str">
        <x:v>2026</x:v>
      </x:c>
      <x:c r="AP163" s="76" t="str">
        <x:v>Paid-demand technology detected; creative refresh hypothesis</x:v>
      </x:c>
      <x:c r="AQ163" s="76" t="str">
        <x:v>Google Ads tag; project/gallery proof; financing; visible service offer</x:v>
      </x:c>
      <x:c r="AR163" s="76" t="str">
        <x:v>I was reviewing hvac companies in Spartanburg, South Carolina and Dave's Air Conditioning Plumbing &amp; Electrical looked like a strong fit for a creative test.</x:v>
      </x:c>
      <x:c r="AS163" s="76" t="str">
        <x:v>no-cool-call to same-day comfort ad</x:v>
      </x:c>
      <x:c r="AT163" s="76" t="str">
        <x:v>Dave's Air Conditioning Plumbing &amp; Electrical ad concept</x:v>
      </x:c>
      <x:c r="AU163" s="76" t="str">
        <x:v>Hi Dave's Air Conditioning Plumbing &amp; Electrical — I was reviewing hvac companies in Spartanburg, South Carolina and Dave's Air Conditioning Plumbing &amp; Electrical looked like a strong fit for a creative test. I mapped a private 15-second no-cool-call to same-day comfort ad for Dave's Air Conditioning Plumbing &amp; Electrical using only public brand context—not for publishing, just to show the angle. We build three client-approved video ad concepts in seven days, then turn the winners into fresh variations. No filming day required. Worth sending the private sample?</x:v>
      </x:c>
      <x:c r="AV163" s="76" t="str">
        <x:v>Quick follow-up: the sample angle is a no-cool-call to same-day comfort ad. If it misses the mark, no problem—I won't keep chasing. Should I send it?</x:v>
      </x:c>
      <x:c r="AW163" s="76" t="str">
        <x:v>Hi Dave's Air Conditioning Plumbing &amp; Electrical, Ryan here. I was looking at Dave's Air Conditioning Plumbing &amp; Electrical's public marketing and noticed: paid-demand technology detected; creative refresh hypothesis. I mapped one private no-cool-call to same-day comfort ad as an example. Did I catch you with 30 seconds?</x:v>
      </x:c>
      <x:c r="AX163" s="60" t="str">
        <x:v>https://www.facebook.com/ads/library/?active_status=active&amp;ad_type=all&amp;country=US&amp;q=Dave%27s%20Air%20Conditioning%20Plumbing%20%26%20Electrical&amp;search_type=keyword_unordered</x:v>
      </x:c>
      <x:c r="AY163" s="60" t="str">
        <x:v>ok:200</x:v>
      </x:c>
      <x:c r="AZ163" s="60" t="n">
        <x:v>46232.722858796296</x:v>
      </x:c>
      <x:c r="BA163" s="60" t="str">
        <x:v>Google Maps home-services export</x:v>
      </x:c>
      <x:c r="BB163" s="60" t="str">
        <x:v>https://davesupstateservices.com | https://maps.google.com/?cid=16955607429779725431&amp;g_mp=Cidnb29nbGUubWFwcy5wbGFjZXMudjEuUGxhY2VzLlNlYXJjaFRleHQQAhgEIAA</x:v>
      </x:c>
      <x:c r="BC163" s="60" t="str"/>
    </x:row>
    <x:row r="164" ht="18" customHeight="1">
      <x:c r="A164" s="70" t="str">
        <x:v>163</x:v>
      </x:c>
      <x:c r="B164" s="70" t="str">
        <x:v>B - Strong</x:v>
      </x:c>
      <x:c r="C164" s="72" t="str">
        <x:v>63</x:v>
      </x:c>
      <x:c r="D164" s="60" t="str">
        <x:v>Overwatch Electric</x:v>
      </x:c>
      <x:c r="E164" s="60" t="str">
        <x:v>https://overwatchelectric.com</x:v>
      </x:c>
      <x:c r="F164" s="60" t="str">
        <x:v>https://overwatchelectric.com</x:v>
      </x:c>
      <x:c r="G164" s="60" t="str">
        <x:v>Columbia</x:v>
      </x:c>
      <x:c r="H164" s="60" t="str">
        <x:v>South Carolina</x:v>
      </x:c>
      <x:c r="I164" s="60" t="str">
        <x:v>Electrical</x:v>
      </x:c>
      <x:c r="J164" s="60" t="str">
        <x:v>Overwatch Electric</x:v>
      </x:c>
      <x:c r="K164" s="60" t="str"/>
      <x:c r="L164" s="60" t="str">
        <x:v>Owner / decision maker to verify</x:v>
      </x:c>
      <x:c r="M164" s="60" t="str"/>
      <x:c r="N164" s="60" t="str"/>
      <x:c r="O164" s="60" t="str">
        <x:v>(803) 784-8386</x:v>
      </x:c>
      <x:c r="P164" s="60" t="str"/>
      <x:c r="Q164" s="60" t="str"/>
      <x:c r="R164" s="60" t="str"/>
      <x:c r="S164" s="60" t="str">
        <x:v>5</x:v>
      </x:c>
      <x:c r="T164" s="74" t="str">
        <x:v>91</x:v>
      </x:c>
      <x:c r="U164" s="60" t="str"/>
      <x:c r="V164" s="74" t="str">
        <x:v>21</x:v>
      </x:c>
      <x:c r="W164" s="74" t="str">
        <x:v>16</x:v>
      </x:c>
      <x:c r="X164" s="74" t="str">
        <x:v>16</x:v>
      </x:c>
      <x:c r="Y164" s="74" t="str">
        <x:v>5</x:v>
      </x:c>
      <x:c r="Z164" s="74" t="str">
        <x:v>5</x:v>
      </x:c>
      <x:c r="AA164" s="74" t="str">
        <x:v>0</x:v>
      </x:c>
      <x:c r="AB164" s="74" t="str">
        <x:v>1</x:v>
      </x:c>
      <x:c r="AC164" s="74" t="str">
        <x:v>1</x:v>
      </x:c>
      <x:c r="AD164" s="74" t="str">
        <x:v>0</x:v>
      </x:c>
      <x:c r="AE164" s="74" t="str">
        <x:v>0</x:v>
      </x:c>
      <x:c r="AF164" s="74" t="str">
        <x:v>housecallpro</x:v>
      </x:c>
      <x:c r="AG164" s="74" t="str">
        <x:v>0</x:v>
      </x:c>
      <x:c r="AH164" s="74" t="str">
        <x:v>0</x:v>
      </x:c>
      <x:c r="AI164" s="74" t="str">
        <x:v>0</x:v>
      </x:c>
      <x:c r="AJ164" s="74" t="str">
        <x:v>0</x:v>
      </x:c>
      <x:c r="AK164" s="74" t="str">
        <x:v>1</x:v>
      </x:c>
      <x:c r="AL164" s="74" t="str">
        <x:v>0</x:v>
      </x:c>
      <x:c r="AM164" s="74" t="str">
        <x:v>0</x:v>
      </x:c>
      <x:c r="AN164" s="74" t="str">
        <x:v>0</x:v>
      </x:c>
      <x:c r="AO164" s="60" t="str">
        <x:v>2026</x:v>
      </x:c>
      <x:c r="AP164" s="76" t="str">
        <x:v>Google Ads tag detected; no embedded homepage video found</x:v>
      </x:c>
      <x:c r="AQ164" s="76" t="str">
        <x:v>Google Ads tag; visible service offer; no embedded homepage video detected</x:v>
      </x:c>
      <x:c r="AR164" s="76" t="str">
        <x:v>I noticed Overwatch Electric's site has a Google Ads tag installed, but I couldn't find an embedded video on the homepage.</x:v>
      </x:c>
      <x:c r="AS164" s="76" t="str">
        <x:v>safety inspection problem/solution ad</x:v>
      </x:c>
      <x:c r="AT164" s="76" t="str">
        <x:v>Overwatch Electric ad concept</x:v>
      </x:c>
      <x:c r="AU164" s="76" t="str">
        <x:v>Hi Overwatch Electric — I noticed Overwatch Electric's site has a Google Ads tag installed, but I couldn't find an embedded video on the homepage. I mapped a private 15-second safety inspection problem/solution ad for Overwatch Electric using only public brand context—not for publishing, just to show the angle. We build three client-approved video ad concepts in seven days, then turn the winners into fresh variations. No filming day required. Worth sending the private sample?</x:v>
      </x:c>
      <x:c r="AV164" s="76" t="str">
        <x:v>Quick follow-up: the sample angle is a safety inspection problem/solution ad. If it misses the mark, no problem—I won't keep chasing. Should I send it?</x:v>
      </x:c>
      <x:c r="AW164" s="76" t="str">
        <x:v>Hi Overwatch Electric, Ryan here. I was looking at Overwatch Electric's public marketing and noticed: google ads tag detected; no embedded homepage video found. I mapped one private safety inspection problem/solution ad as an example. Did I catch you with 30 seconds?</x:v>
      </x:c>
      <x:c r="AX164" s="60" t="str">
        <x:v>https://www.facebook.com/ads/library/?active_status=active&amp;ad_type=all&amp;country=US&amp;q=Overwatch%20Electric&amp;search_type=keyword_unordered</x:v>
      </x:c>
      <x:c r="AY164" s="60" t="str">
        <x:v>ok:200</x:v>
      </x:c>
      <x:c r="AZ164" s="60" t="n">
        <x:v>46232.722858796296</x:v>
      </x:c>
      <x:c r="BA164" s="60" t="str">
        <x:v>Google Maps home-services export</x:v>
      </x:c>
      <x:c r="BB164" s="60" t="str">
        <x:v>https://maps.google.com/?cid=5800108758087452485&amp;g_mp=Cidnb29nbGUubWFwcy5wbGFjZXMudjEuUGxhY2VzLlNlYXJjaFRleHQQAhgEIAA | https://overwatchelectric.com</x:v>
      </x:c>
      <x:c r="BC164" s="60" t="str"/>
    </x:row>
    <x:row r="165" ht="18" customHeight="1">
      <x:c r="A165" s="70" t="str">
        <x:v>164</x:v>
      </x:c>
      <x:c r="B165" s="70" t="str">
        <x:v>B - Strong</x:v>
      </x:c>
      <x:c r="C165" s="72" t="str">
        <x:v>63</x:v>
      </x:c>
      <x:c r="D165" s="60" t="str">
        <x:v>Fraser Roofing</x:v>
      </x:c>
      <x:c r="E165" s="60" t="str">
        <x:v>https://fraserroofingllc.com</x:v>
      </x:c>
      <x:c r="F165" s="60" t="str">
        <x:v>https://www.fraserroofingllc.com/</x:v>
      </x:c>
      <x:c r="G165" s="60" t="str">
        <x:v>Simpsonville</x:v>
      </x:c>
      <x:c r="H165" s="60" t="str">
        <x:v>South Carolina</x:v>
      </x:c>
      <x:c r="I165" s="60" t="str">
        <x:v>Roofing</x:v>
      </x:c>
      <x:c r="J165" s="60" t="str">
        <x:v>Sara</x:v>
      </x:c>
      <x:c r="K165" s="60" t="str">
        <x:v>Fraser</x:v>
      </x:c>
      <x:c r="L165" s="60" t="str">
        <x:v>Owner</x:v>
      </x:c>
      <x:c r="M165" s="60" t="str">
        <x:v>sara@fraserroofingllc.com</x:v>
      </x:c>
      <x:c r="N165" s="60" t="str">
        <x:v>Verified with BounceBan on 08 Jun 26 12:06</x:v>
      </x:c>
      <x:c r="O165" s="60" t="str">
        <x:v>+1 912 681 7663</x:v>
      </x:c>
      <x:c r="P165" s="60" t="str">
        <x:v>https://www.linkedin.com/in/sara-fraser-76b6b5333</x:v>
      </x:c>
      <x:c r="Q165" s="60" t="str">
        <x:v>51-200</x:v>
      </x:c>
      <x:c r="R165" s="60" t="str">
        <x:v>500000-999999</x:v>
      </x:c>
      <x:c r="S165" s="60" t="str"/>
      <x:c r="T165" s="74" t="str">
        <x:v>0</x:v>
      </x:c>
      <x:c r="U165" s="60" t="str"/>
      <x:c r="V165" s="74" t="str">
        <x:v>30</x:v>
      </x:c>
      <x:c r="W165" s="74" t="str">
        <x:v>15</x:v>
      </x:c>
      <x:c r="X165" s="74" t="str">
        <x:v>0</x:v>
      </x:c>
      <x:c r="Y165" s="74" t="str">
        <x:v>8</x:v>
      </x:c>
      <x:c r="Z165" s="74" t="str">
        <x:v>10</x:v>
      </x:c>
      <x:c r="AA165" s="74" t="str">
        <x:v>1</x:v>
      </x:c>
      <x:c r="AB165" s="74" t="str">
        <x:v>0</x:v>
      </x:c>
      <x:c r="AC165" s="74" t="str">
        <x:v>1</x:v>
      </x:c>
      <x:c r="AD165" s="74" t="str">
        <x:v>0</x:v>
      </x:c>
      <x:c r="AE165" s="74" t="str">
        <x:v>0</x:v>
      </x:c>
      <x:c r="AF165" s="74" t="str"/>
      <x:c r="AG165" s="74" t="str">
        <x:v>1</x:v>
      </x:c>
      <x:c r="AH165" s="74" t="str">
        <x:v>1</x:v>
      </x:c>
      <x:c r="AI165" s="74" t="str">
        <x:v>0</x:v>
      </x:c>
      <x:c r="AJ165" s="74" t="str">
        <x:v>0</x:v>
      </x:c>
      <x:c r="AK165" s="74" t="str">
        <x:v>1</x:v>
      </x:c>
      <x:c r="AL165" s="74" t="str">
        <x:v>1</x:v>
      </x:c>
      <x:c r="AM165" s="74" t="str">
        <x:v>1</x:v>
      </x:c>
      <x:c r="AN165" s="74" t="str">
        <x:v>1</x:v>
      </x:c>
      <x:c r="AO165" s="60" t="str">
        <x:v>2026</x:v>
      </x:c>
      <x:c r="AP165" s="76" t="str">
        <x:v>Paid-demand technology detected; creative refresh hypothesis</x:v>
      </x:c>
      <x:c r="AQ165" s="76" t="str">
        <x:v>Meta Pixel; project/gallery proof; visible service offer</x:v>
      </x:c>
      <x:c r="AR165" s="76" t="str">
        <x:v>I was reviewing roofing companies in Simpsonville, South Carolina and Fraser Roofing looked like a strong fit for a creative test.</x:v>
      </x:c>
      <x:c r="AS165" s="76" t="str">
        <x:v>storm-to-inspection before/after ad</x:v>
      </x:c>
      <x:c r="AT165" s="76" t="str">
        <x:v>Fraser Roofing ad concept</x:v>
      </x:c>
      <x:c r="AU165" s="76" t="str">
        <x:v>Hi Sara — I was reviewing roofing companies in Simpsonville, South Carolina and Fraser Roofing looked like a strong fit for a creative test. I mapped a private 15-second storm-to-inspection before/after ad for Fraser Roofing using only public brand context—not for publishing, just to show the angle. We build three client-approved video ad concepts in seven days, then turn the winners into fresh variations. No filming day required. Worth sending the private sample?</x:v>
      </x:c>
      <x:c r="AV165" s="76" t="str">
        <x:v>Quick follow-up: the sample angle is a storm-to-inspection before/after ad. If it misses the mark, no problem—I won't keep chasing. Should I send it?</x:v>
      </x:c>
      <x:c r="AW165" s="76" t="str">
        <x:v>Hi Sara, Ryan here. I was looking at Fraser Roofing's public marketing and noticed: paid-demand technology detected; creative refresh hypothesis. I mapped one private storm-to-inspection before/after ad as an example. Did I catch you with 30 seconds?</x:v>
      </x:c>
      <x:c r="AX165" s="60" t="str">
        <x:v>https://www.facebook.com/ads/library/?active_status=active&amp;ad_type=all&amp;country=US&amp;q=Fraser%20Roofing&amp;search_type=keyword_unordered</x:v>
      </x:c>
      <x:c r="AY165" s="60" t="str">
        <x:v>ok:200</x:v>
      </x:c>
      <x:c r="AZ165" s="60" t="n">
        <x:v>46232.722858796296</x:v>
      </x:c>
      <x:c r="BA165" s="60" t="str">
        <x:v>AI Ark SC trades export</x:v>
      </x:c>
      <x:c r="BB165" s="60" t="str">
        <x:v>https://fraserroofingllc.com | https://www.linkedin.com/company/fraser-roofing</x:v>
      </x:c>
      <x:c r="BC165" s="60" t="str"/>
    </x:row>
    <x:row r="166" ht="18" customHeight="1">
      <x:c r="A166" s="70" t="str">
        <x:v>165</x:v>
      </x:c>
      <x:c r="B166" s="70" t="str">
        <x:v>B - Strong</x:v>
      </x:c>
      <x:c r="C166" s="72" t="str">
        <x:v>63</x:v>
      </x:c>
      <x:c r="D166" s="60" t="str">
        <x:v>Renovation Sells</x:v>
      </x:c>
      <x:c r="E166" s="60" t="str">
        <x:v>https://renovationsells.com</x:v>
      </x:c>
      <x:c r="F166" s="60" t="str">
        <x:v>https://n365xcj82b.onrocket.site/</x:v>
      </x:c>
      <x:c r="G166" s="60" t="str">
        <x:v>Greenville</x:v>
      </x:c>
      <x:c r="H166" s="60" t="str">
        <x:v>South Carolina</x:v>
      </x:c>
      <x:c r="I166" s="60" t="str">
        <x:v>Remodeling</x:v>
      </x:c>
      <x:c r="J166" s="60" t="str">
        <x:v>Amy</x:v>
      </x:c>
      <x:c r="K166" s="60" t="str">
        <x:v>Stier</x:v>
      </x:c>
      <x:c r="L166" s="60" t="str">
        <x:v>Owner</x:v>
      </x:c>
      <x:c r="M166" s="60" t="str">
        <x:v>astier@renovationsells.com</x:v>
      </x:c>
      <x:c r="N166" s="60" t="str">
        <x:v>Verified with BounceBan on 07 Jun 26 01:29</x:v>
      </x:c>
      <x:c r="O166" s="60" t="str"/>
      <x:c r="P166" s="60" t="str">
        <x:v>https://www.linkedin.com/in/amy-stier-1a190b252</x:v>
      </x:c>
      <x:c r="Q166" s="60" t="str">
        <x:v>11-50</x:v>
      </x:c>
      <x:c r="R166" s="60" t="str">
        <x:v>1000000-4999999</x:v>
      </x:c>
      <x:c r="S166" s="60" t="str"/>
      <x:c r="T166" s="74" t="str">
        <x:v>0</x:v>
      </x:c>
      <x:c r="U166" s="60" t="str"/>
      <x:c r="V166" s="74" t="str">
        <x:v>30</x:v>
      </x:c>
      <x:c r="W166" s="74" t="str">
        <x:v>15</x:v>
      </x:c>
      <x:c r="X166" s="74" t="str">
        <x:v>3</x:v>
      </x:c>
      <x:c r="Y166" s="74" t="str">
        <x:v>8</x:v>
      </x:c>
      <x:c r="Z166" s="74" t="str">
        <x:v>7</x:v>
      </x:c>
      <x:c r="AA166" s="74" t="str">
        <x:v>1</x:v>
      </x:c>
      <x:c r="AB166" s="74" t="str">
        <x:v>0</x:v>
      </x:c>
      <x:c r="AC166" s="74" t="str">
        <x:v>1</x:v>
      </x:c>
      <x:c r="AD166" s="74" t="str">
        <x:v>0</x:v>
      </x:c>
      <x:c r="AE166" s="74" t="str">
        <x:v>0</x:v>
      </x:c>
      <x:c r="AF166" s="74" t="str"/>
      <x:c r="AG166" s="74" t="str">
        <x:v>1</x:v>
      </x:c>
      <x:c r="AH166" s="74" t="str">
        <x:v>1</x:v>
      </x:c>
      <x:c r="AI166" s="74" t="str">
        <x:v>0</x:v>
      </x:c>
      <x:c r="AJ166" s="74" t="str">
        <x:v>1</x:v>
      </x:c>
      <x:c r="AK166" s="74" t="str">
        <x:v>0</x:v>
      </x:c>
      <x:c r="AL166" s="74" t="str">
        <x:v>1</x:v>
      </x:c>
      <x:c r="AM166" s="74" t="str">
        <x:v>1</x:v>
      </x:c>
      <x:c r="AN166" s="74" t="str">
        <x:v>1</x:v>
      </x:c>
      <x:c r="AO166" s="60" t="str">
        <x:v>2023</x:v>
      </x:c>
      <x:c r="AP166" s="76" t="str">
        <x:v>Paid-demand technology detected; creative refresh hypothesis</x:v>
      </x:c>
      <x:c r="AQ166" s="76" t="str">
        <x:v>Meta Pixel; project/gallery proof; financing</x:v>
      </x:c>
      <x:c r="AR166" s="76" t="str">
        <x:v>I was reviewing remodeling companies in Greenville, South Carolina and Renovation Sells looked like a strong fit for a creative test.</x:v>
      </x:c>
      <x:c r="AS166" s="76" t="str">
        <x:v>project reveal with budget-and-timeline proof</x:v>
      </x:c>
      <x:c r="AT166" s="76" t="str">
        <x:v>Renovation Sells ad concept</x:v>
      </x:c>
      <x:c r="AU166" s="76" t="str">
        <x:v>Hi Amy — I was reviewing remodeling companies in Greenville, South Carolina and Renovation Sells looked like a strong fit for a creative test. I mapped a private 15-second project reveal with budget-and-timeline proof for Renovation Sells using only public brand context—not for publishing, just to show the angle. We build three client-approved video ad concepts in seven days, then turn the winners into fresh variations. No filming day required. Worth sending the private sample?</x:v>
      </x:c>
      <x:c r="AV166" s="76" t="str">
        <x:v>Quick follow-up: the sample angle is a project reveal with budget-and-timeline proof. If it misses the mark, no problem—I won't keep chasing. Should I send it?</x:v>
      </x:c>
      <x:c r="AW166" s="76" t="str">
        <x:v>Hi Amy, Ryan here. I was looking at Renovation Sells's public marketing and noticed: paid-demand technology detected; creative refresh hypothesis. I mapped one private project reveal with budget-and-timeline proof as an example. Did I catch you with 30 seconds?</x:v>
      </x:c>
      <x:c r="AX166" s="60" t="str">
        <x:v>https://www.facebook.com/ads/library/?active_status=active&amp;ad_type=all&amp;country=US&amp;q=Renovation%20Sells&amp;search_type=keyword_unordered</x:v>
      </x:c>
      <x:c r="AY166" s="60" t="str">
        <x:v>ok:200</x:v>
      </x:c>
      <x:c r="AZ166" s="60" t="n">
        <x:v>46232.722858796296</x:v>
      </x:c>
      <x:c r="BA166" s="60" t="str">
        <x:v>AI Ark SC trades export</x:v>
      </x:c>
      <x:c r="BB166" s="60" t="str">
        <x:v>https://renovationsells.com | https://www.linkedin.com/company/renovationsells</x:v>
      </x:c>
      <x:c r="BC166" s="60" t="str"/>
    </x:row>
    <x:row r="167" ht="18" customHeight="1">
      <x:c r="A167" s="70" t="str">
        <x:v>166</x:v>
      </x:c>
      <x:c r="B167" s="70" t="str">
        <x:v>B - Strong</x:v>
      </x:c>
      <x:c r="C167" s="72" t="str">
        <x:v>63</x:v>
      </x:c>
      <x:c r="D167" s="60" t="str">
        <x:v>Pk Flooring</x:v>
      </x:c>
      <x:c r="E167" s="60" t="str">
        <x:v>https://pkflooring.net</x:v>
      </x:c>
      <x:c r="F167" s="60" t="str">
        <x:v>https://pkflooring.net</x:v>
      </x:c>
      <x:c r="G167" s="60" t="str">
        <x:v>Greater Myrtle Beach Area</x:v>
      </x:c>
      <x:c r="H167" s="60" t="str"/>
      <x:c r="I167" s="60" t="str">
        <x:v>Flooring</x:v>
      </x:c>
      <x:c r="J167" s="60" t="str">
        <x:v>Karen</x:v>
      </x:c>
      <x:c r="K167" s="60" t="str">
        <x:v>Chuton</x:v>
      </x:c>
      <x:c r="L167" s="60" t="str">
        <x:v>Small Business Owner</x:v>
      </x:c>
      <x:c r="M167" s="60" t="str"/>
      <x:c r="N167" s="60" t="str"/>
      <x:c r="O167" s="60" t="str"/>
      <x:c r="P167" s="60" t="str">
        <x:v>https://www.linkedin.com/in/karen-chuton-748890173</x:v>
      </x:c>
      <x:c r="Q167" s="60" t="str">
        <x:v>11-50</x:v>
      </x:c>
      <x:c r="R167" s="60" t="str">
        <x:v>100000-499999</x:v>
      </x:c>
      <x:c r="S167" s="60" t="str"/>
      <x:c r="T167" s="74" t="str">
        <x:v>0</x:v>
      </x:c>
      <x:c r="U167" s="60" t="str"/>
      <x:c r="V167" s="74" t="str">
        <x:v>26</x:v>
      </x:c>
      <x:c r="W167" s="74" t="str">
        <x:v>15</x:v>
      </x:c>
      <x:c r="X167" s="74" t="str">
        <x:v>12</x:v>
      </x:c>
      <x:c r="Y167" s="74" t="str">
        <x:v>8</x:v>
      </x:c>
      <x:c r="Z167" s="74" t="str">
        <x:v>2</x:v>
      </x:c>
      <x:c r="AA167" s="74" t="str">
        <x:v>1</x:v>
      </x:c>
      <x:c r="AB167" s="74" t="str">
        <x:v>0</x:v>
      </x:c>
      <x:c r="AC167" s="74" t="str">
        <x:v>1</x:v>
      </x:c>
      <x:c r="AD167" s="74" t="str">
        <x:v>0</x:v>
      </x:c>
      <x:c r="AE167" s="74" t="str">
        <x:v>0</x:v>
      </x:c>
      <x:c r="AF167" s="74" t="str"/>
      <x:c r="AG167" s="74" t="str">
        <x:v>0</x:v>
      </x:c>
      <x:c r="AH167" s="74" t="str">
        <x:v>1</x:v>
      </x:c>
      <x:c r="AI167" s="74" t="str">
        <x:v>0</x:v>
      </x:c>
      <x:c r="AJ167" s="74" t="str">
        <x:v>0</x:v>
      </x:c>
      <x:c r="AK167" s="74" t="str">
        <x:v>1</x:v>
      </x:c>
      <x:c r="AL167" s="74" t="str">
        <x:v>1</x:v>
      </x:c>
      <x:c r="AM167" s="74" t="str">
        <x:v>1</x:v>
      </x:c>
      <x:c r="AN167" s="74" t="str">
        <x:v>0</x:v>
      </x:c>
      <x:c r="AO167" s="60" t="str">
        <x:v>2026</x:v>
      </x:c>
      <x:c r="AP167" s="76" t="str">
        <x:v>Meta tracking detected; no embedded homepage video found</x:v>
      </x:c>
      <x:c r="AQ167" s="76" t="str">
        <x:v>Meta Pixel; project/gallery proof; visible service offer; no embedded homepage video detected</x:v>
      </x:c>
      <x:c r="AR167" s="76" t="str">
        <x:v>I noticed Pk Flooring's site has Meta tracking installed, but I couldn't find an embedded video on the homepage.</x:v>
      </x:c>
      <x:c r="AS167" s="76" t="str">
        <x:v>room transformation before/after ad</x:v>
      </x:c>
      <x:c r="AT167" s="76" t="str">
        <x:v>Pk Flooring ad concept</x:v>
      </x:c>
      <x:c r="AU167" s="76" t="str">
        <x:v>Hi Karen — I noticed Pk Flooring's site has Meta tracking installed, but I couldn't find an embedded video on the homepage. I mapped a private 15-second room transformation before/after ad for Pk Flooring using only public brand context—not for publishing, just to show the angle. We build three client-approved video ad concepts in seven days, then turn the winners into fresh variations. No filming day required. Worth sending the private sample?</x:v>
      </x:c>
      <x:c r="AV167" s="76" t="str">
        <x:v>Quick follow-up: the sample angle is a room transformation before/after ad. If it misses the mark, no problem—I won't keep chasing. Should I send it?</x:v>
      </x:c>
      <x:c r="AW167" s="76" t="str">
        <x:v>Hi Karen, Ryan here. I was looking at Pk Flooring's public marketing and noticed: meta tracking detected; no embedded homepage video found. I mapped one private room transformation before/after ad as an example. Did I catch you with 30 seconds?</x:v>
      </x:c>
      <x:c r="AX167" s="60" t="str">
        <x:v>https://www.facebook.com/ads/library/?active_status=active&amp;ad_type=all&amp;country=US&amp;q=Pk%20Flooring&amp;search_type=keyword_unordered</x:v>
      </x:c>
      <x:c r="AY167" s="60" t="str">
        <x:v>ok:200</x:v>
      </x:c>
      <x:c r="AZ167" s="60" t="n">
        <x:v>46232.722858796296</x:v>
      </x:c>
      <x:c r="BA167" s="60" t="str">
        <x:v>AI Ark SC trades export</x:v>
      </x:c>
      <x:c r="BB167" s="60" t="str">
        <x:v>https://pkflooring.net | https://www.linkedin.com/company/pk-flooring</x:v>
      </x:c>
      <x:c r="BC167" s="60" t="str"/>
    </x:row>
    <x:row r="168" ht="18" customHeight="1">
      <x:c r="A168" s="70" t="str">
        <x:v>167</x:v>
      </x:c>
      <x:c r="B168" s="70" t="str">
        <x:v>B - Strong</x:v>
      </x:c>
      <x:c r="C168" s="72" t="str">
        <x:v>63</x:v>
      </x:c>
      <x:c r="D168" s="60" t="str">
        <x:v>Pender Brothers Inc</x:v>
      </x:c>
      <x:c r="E168" s="60" t="str">
        <x:v>https://penderbros.com</x:v>
      </x:c>
      <x:c r="F168" s="60" t="str">
        <x:v>https://penderbros.com</x:v>
      </x:c>
      <x:c r="G168" s="60" t="str">
        <x:v>Beaufort</x:v>
      </x:c>
      <x:c r="H168" s="60" t="str">
        <x:v>South Carolina</x:v>
      </x:c>
      <x:c r="I168" s="60" t="str">
        <x:v>Plumbing</x:v>
      </x:c>
      <x:c r="J168" s="60" t="str">
        <x:v>Pender Brothers Inc</x:v>
      </x:c>
      <x:c r="K168" s="60" t="str"/>
      <x:c r="L168" s="60" t="str">
        <x:v>Owner / decision maker to verify</x:v>
      </x:c>
      <x:c r="M168" s="60" t="str"/>
      <x:c r="N168" s="60" t="str"/>
      <x:c r="O168" s="60" t="str">
        <x:v>(843) 525-1703</x:v>
      </x:c>
      <x:c r="P168" s="60" t="str"/>
      <x:c r="Q168" s="60" t="str"/>
      <x:c r="R168" s="60" t="str"/>
      <x:c r="S168" s="60" t="str">
        <x:v>4.8</x:v>
      </x:c>
      <x:c r="T168" s="74" t="str">
        <x:v>97</x:v>
      </x:c>
      <x:c r="U168" s="60" t="str"/>
      <x:c r="V168" s="74" t="str">
        <x:v>22</x:v>
      </x:c>
      <x:c r="W168" s="74" t="str">
        <x:v>15</x:v>
      </x:c>
      <x:c r="X168" s="74" t="str">
        <x:v>16</x:v>
      </x:c>
      <x:c r="Y168" s="74" t="str">
        <x:v>5</x:v>
      </x:c>
      <x:c r="Z168" s="74" t="str">
        <x:v>5</x:v>
      </x:c>
      <x:c r="AA168" s="74" t="str">
        <x:v>1</x:v>
      </x:c>
      <x:c r="AB168" s="74" t="str">
        <x:v>0</x:v>
      </x:c>
      <x:c r="AC168" s="74" t="str">
        <x:v>1</x:v>
      </x:c>
      <x:c r="AD168" s="74" t="str">
        <x:v>0</x:v>
      </x:c>
      <x:c r="AE168" s="74" t="str">
        <x:v>0</x:v>
      </x:c>
      <x:c r="AF168" s="74" t="str"/>
      <x:c r="AG168" s="74" t="str">
        <x:v>0</x:v>
      </x:c>
      <x:c r="AH168" s="74" t="str">
        <x:v>0</x:v>
      </x:c>
      <x:c r="AI168" s="74" t="str">
        <x:v>0</x:v>
      </x:c>
      <x:c r="AJ168" s="74" t="str">
        <x:v>1</x:v>
      </x:c>
      <x:c r="AK168" s="74" t="str">
        <x:v>0</x:v>
      </x:c>
      <x:c r="AL168" s="74" t="str">
        <x:v>0</x:v>
      </x:c>
      <x:c r="AM168" s="74" t="str">
        <x:v>1</x:v>
      </x:c>
      <x:c r="AN168" s="74" t="str">
        <x:v>0</x:v>
      </x:c>
      <x:c r="AO168" s="60" t="str">
        <x:v>0</x:v>
      </x:c>
      <x:c r="AP168" s="76" t="str">
        <x:v>Meta tracking detected; no embedded homepage video found</x:v>
      </x:c>
      <x:c r="AQ168" s="76" t="str">
        <x:v>Meta Pixel; financing; no embedded homepage video detected</x:v>
      </x:c>
      <x:c r="AR168" s="76" t="str">
        <x:v>I noticed Pender Brothers Inc's site has Meta tracking installed, but I couldn't find an embedded video on the homepage.</x:v>
      </x:c>
      <x:c r="AS168" s="76" t="str">
        <x:v>small symptom to prevented-emergency ad</x:v>
      </x:c>
      <x:c r="AT168" s="76" t="str">
        <x:v>Pender Brothers Inc ad concept</x:v>
      </x:c>
      <x:c r="AU168" s="76" t="str">
        <x:v>Hi Pender Brothers Inc — I noticed Pender Brothers Inc's site has Meta tracking installed, but I couldn't find an embedded video on the homepage. I mapped a private 15-second small symptom to prevented-emergency ad for Pender Brothers Inc using only public brand context—not for publishing, just to show the angle. We build three client-approved video ad concepts in seven days, then turn the winners into fresh variations. No filming day required. Worth sending the private sample?</x:v>
      </x:c>
      <x:c r="AV168" s="76" t="str">
        <x:v>Quick follow-up: the sample angle is a small symptom to prevented-emergency ad. If it misses the mark, no problem—I won't keep chasing. Should I send it?</x:v>
      </x:c>
      <x:c r="AW168" s="76" t="str">
        <x:v>Hi Pender Brothers Inc, Ryan here. I was looking at Pender Brothers Inc's public marketing and noticed: meta tracking detected; no embedded homepage video found. I mapped one private small symptom to prevented-emergency ad as an example. Did I catch you with 30 seconds?</x:v>
      </x:c>
      <x:c r="AX168" s="60" t="str">
        <x:v>https://www.facebook.com/ads/library/?active_status=active&amp;ad_type=all&amp;country=US&amp;q=Pender%20Brothers%20Inc&amp;search_type=keyword_unordered</x:v>
      </x:c>
      <x:c r="AY168" s="60" t="str">
        <x:v>ok:200</x:v>
      </x:c>
      <x:c r="AZ168" s="60" t="n">
        <x:v>46232.722858796296</x:v>
      </x:c>
      <x:c r="BA168" s="60" t="str">
        <x:v>Google Maps home-services export</x:v>
      </x:c>
      <x:c r="BB168" s="60" t="str">
        <x:v>https://maps.google.com/?cid=1310565248740782188&amp;g_mp=Cidnb29nbGUubWFwcy5wbGFjZXMudjEuUGxhY2VzLlNlYXJjaFRleHQQAhgEIAA | https://penderbros.com</x:v>
      </x:c>
      <x:c r="BC168" s="60" t="str"/>
    </x:row>
    <x:row r="169" ht="18" customHeight="1">
      <x:c r="A169" s="70" t="str">
        <x:v>168</x:v>
      </x:c>
      <x:c r="B169" s="70" t="str">
        <x:v>B - Strong</x:v>
      </x:c>
      <x:c r="C169" s="72" t="str">
        <x:v>63</x:v>
      </x:c>
      <x:c r="D169" s="60" t="str">
        <x:v>Hopestar Roofing</x:v>
      </x:c>
      <x:c r="E169" s="60" t="str">
        <x:v>https://hopestarroofing.com</x:v>
      </x:c>
      <x:c r="F169" s="60" t="str">
        <x:v>https://hopestarroofing.com</x:v>
      </x:c>
      <x:c r="G169" s="60" t="str">
        <x:v>Summerville</x:v>
      </x:c>
      <x:c r="H169" s="60" t="str">
        <x:v>South Carolina</x:v>
      </x:c>
      <x:c r="I169" s="60" t="str">
        <x:v>Roofing</x:v>
      </x:c>
      <x:c r="J169" s="60" t="str">
        <x:v>Hopestar Roofing</x:v>
      </x:c>
      <x:c r="K169" s="60" t="str"/>
      <x:c r="L169" s="60" t="str">
        <x:v>Owner / decision maker to verify</x:v>
      </x:c>
      <x:c r="M169" s="60" t="str"/>
      <x:c r="N169" s="60" t="str"/>
      <x:c r="O169" s="60" t="str">
        <x:v>(843) 999-8239</x:v>
      </x:c>
      <x:c r="P169" s="60" t="str"/>
      <x:c r="Q169" s="60" t="str"/>
      <x:c r="R169" s="60" t="str"/>
      <x:c r="S169" s="60" t="str">
        <x:v>5</x:v>
      </x:c>
      <x:c r="T169" s="74" t="str">
        <x:v>50</x:v>
      </x:c>
      <x:c r="U169" s="60" t="str"/>
      <x:c r="V169" s="74" t="str">
        <x:v>27</x:v>
      </x:c>
      <x:c r="W169" s="74" t="str">
        <x:v>13</x:v>
      </x:c>
      <x:c r="X169" s="74" t="str">
        <x:v>4</x:v>
      </x:c>
      <x:c r="Y169" s="74" t="str">
        <x:v>14</x:v>
      </x:c>
      <x:c r="Z169" s="74" t="str">
        <x:v>5</x:v>
      </x:c>
      <x:c r="AA169" s="74" t="str">
        <x:v>0</x:v>
      </x:c>
      <x:c r="AB169" s="74" t="str">
        <x:v>1</x:v>
      </x:c>
      <x:c r="AC169" s="74" t="str">
        <x:v>1</x:v>
      </x:c>
      <x:c r="AD169" s="74" t="str">
        <x:v>0</x:v>
      </x:c>
      <x:c r="AE169" s="74" t="str">
        <x:v>0</x:v>
      </x:c>
      <x:c r="AF169" s="74" t="str"/>
      <x:c r="AG169" s="74" t="str">
        <x:v>1</x:v>
      </x:c>
      <x:c r="AH169" s="74" t="str">
        <x:v>1</x:v>
      </x:c>
      <x:c r="AI169" s="74" t="str">
        <x:v>1</x:v>
      </x:c>
      <x:c r="AJ169" s="74" t="str">
        <x:v>0</x:v>
      </x:c>
      <x:c r="AK169" s="74" t="str">
        <x:v>1</x:v>
      </x:c>
      <x:c r="AL169" s="74" t="str">
        <x:v>0</x:v>
      </x:c>
      <x:c r="AM169" s="74" t="str">
        <x:v>1</x:v>
      </x:c>
      <x:c r="AN169" s="74" t="str">
        <x:v>0</x:v>
      </x:c>
      <x:c r="AO169" s="60" t="str">
        <x:v>2026</x:v>
      </x:c>
      <x:c r="AP169" s="76" t="str">
        <x:v>Paid-demand technology detected; creative refresh hypothesis</x:v>
      </x:c>
      <x:c r="AQ169" s="76" t="str">
        <x:v>Google Ads tag; project/gallery proof; testimonials; visible service offer</x:v>
      </x:c>
      <x:c r="AR169" s="76" t="str">
        <x:v>I was reviewing roofing companies in Summerville, South Carolina and Hopestar Roofing looked like a strong fit for a creative test.</x:v>
      </x:c>
      <x:c r="AS169" s="76" t="str">
        <x:v>storm-to-inspection before/after ad</x:v>
      </x:c>
      <x:c r="AT169" s="76" t="str">
        <x:v>Hopestar Roofing ad concept</x:v>
      </x:c>
      <x:c r="AU169" s="76" t="str">
        <x:v>Hi Hopestar Roofing — I was reviewing roofing companies in Summerville, South Carolina and Hopestar Roofing looked like a strong fit for a creative test. I mapped a private 15-second storm-to-inspection before/after ad for Hopestar Roofing using only public brand context—not for publishing, just to show the angle. We build three client-approved video ad concepts in seven days, then turn the winners into fresh variations. No filming day required. Worth sending the private sample?</x:v>
      </x:c>
      <x:c r="AV169" s="76" t="str">
        <x:v>Quick follow-up: the sample angle is a storm-to-inspection before/after ad. If it misses the mark, no problem—I won't keep chasing. Should I send it?</x:v>
      </x:c>
      <x:c r="AW169" s="76" t="str">
        <x:v>Hi Hopestar Roofing, Ryan here. I was looking at Hopestar Roofing's public marketing and noticed: paid-demand technology detected; creative refresh hypothesis. I mapped one private storm-to-inspection before/after ad as an example. Did I catch you with 30 seconds?</x:v>
      </x:c>
      <x:c r="AX169" s="60" t="str">
        <x:v>https://www.facebook.com/ads/library/?active_status=active&amp;ad_type=all&amp;country=US&amp;q=Hopestar%20Roofing&amp;search_type=keyword_unordered</x:v>
      </x:c>
      <x:c r="AY169" s="60" t="str">
        <x:v>ok:200</x:v>
      </x:c>
      <x:c r="AZ169" s="60" t="n">
        <x:v>46232.722858796296</x:v>
      </x:c>
      <x:c r="BA169" s="60" t="str">
        <x:v>Google Maps home-services export</x:v>
      </x:c>
      <x:c r="BB169" s="60" t="str">
        <x:v>https://hopestarroofing.com | https://maps.google.com/?cid=11904200139881129343&amp;g_mp=Cidnb29nbGUubWFwcy5wbGFjZXMudjEuUGxhY2VzLlNlYXJjaFRleHQQAhgEIAA</x:v>
      </x:c>
      <x:c r="BC169" s="60" t="str"/>
    </x:row>
    <x:row r="170" ht="18" customHeight="1">
      <x:c r="A170" s="70" t="str">
        <x:v>169</x:v>
      </x:c>
      <x:c r="B170" s="70" t="str">
        <x:v>B - Strong</x:v>
      </x:c>
      <x:c r="C170" s="72" t="str">
        <x:v>63</x:v>
      </x:c>
      <x:c r="D170" s="60" t="str">
        <x:v>PDI Kitchen, Bath &amp; Lighting (previously WA Bragg &amp; Co.)</x:v>
      </x:c>
      <x:c r="E170" s="60" t="str">
        <x:v>https://relyonpdi.com</x:v>
      </x:c>
      <x:c r="F170" s="60" t="str">
        <x:v>https://www.relyonpdi.com/</x:v>
      </x:c>
      <x:c r="G170" s="60" t="str">
        <x:v>Aiken</x:v>
      </x:c>
      <x:c r="H170" s="60" t="str">
        <x:v>South Carolina</x:v>
      </x:c>
      <x:c r="I170" s="60" t="str">
        <x:v>Remodeling</x:v>
      </x:c>
      <x:c r="J170" s="60" t="str">
        <x:v>PDI Kitchen, Bath &amp; Lighting (previously WA Bragg &amp; Co.)</x:v>
      </x:c>
      <x:c r="K170" s="60" t="str"/>
      <x:c r="L170" s="60" t="str">
        <x:v>Owner / decision maker to verify</x:v>
      </x:c>
      <x:c r="M170" s="60" t="str"/>
      <x:c r="N170" s="60" t="str"/>
      <x:c r="O170" s="60" t="str">
        <x:v>(803) 642-6000</x:v>
      </x:c>
      <x:c r="P170" s="60" t="str"/>
      <x:c r="Q170" s="60" t="str"/>
      <x:c r="R170" s="60" t="str"/>
      <x:c r="S170" s="60" t="str">
        <x:v>4.6</x:v>
      </x:c>
      <x:c r="T170" s="74" t="str">
        <x:v>40</x:v>
      </x:c>
      <x:c r="U170" s="60" t="str">
        <x:v>communication</x:v>
      </x:c>
      <x:c r="V170" s="74" t="str">
        <x:v>24</x:v>
      </x:c>
      <x:c r="W170" s="74" t="str">
        <x:v>13</x:v>
      </x:c>
      <x:c r="X170" s="74" t="str">
        <x:v>14</x:v>
      </x:c>
      <x:c r="Y170" s="74" t="str">
        <x:v>7</x:v>
      </x:c>
      <x:c r="Z170" s="74" t="str">
        <x:v>5</x:v>
      </x:c>
      <x:c r="AA170" s="74" t="str">
        <x:v>0</x:v>
      </x:c>
      <x:c r="AB170" s="74" t="str">
        <x:v>1</x:v>
      </x:c>
      <x:c r="AC170" s="74" t="str">
        <x:v>1</x:v>
      </x:c>
      <x:c r="AD170" s="74" t="str">
        <x:v>0</x:v>
      </x:c>
      <x:c r="AE170" s="74" t="str">
        <x:v>0</x:v>
      </x:c>
      <x:c r="AF170" s="74" t="str"/>
      <x:c r="AG170" s="74" t="str">
        <x:v>0</x:v>
      </x:c>
      <x:c r="AH170" s="74" t="str">
        <x:v>1</x:v>
      </x:c>
      <x:c r="AI170" s="74" t="str">
        <x:v>0</x:v>
      </x:c>
      <x:c r="AJ170" s="74" t="str">
        <x:v>0</x:v>
      </x:c>
      <x:c r="AK170" s="74" t="str">
        <x:v>0</x:v>
      </x:c>
      <x:c r="AL170" s="74" t="str">
        <x:v>1</x:v>
      </x:c>
      <x:c r="AM170" s="74" t="str">
        <x:v>1</x:v>
      </x:c>
      <x:c r="AN170" s="74" t="str">
        <x:v>0</x:v>
      </x:c>
      <x:c r="AO170" s="60" t="str">
        <x:v>2026</x:v>
      </x:c>
      <x:c r="AP170" s="76" t="str">
        <x:v>Google Ads tag detected; no embedded homepage video found</x:v>
      </x:c>
      <x:c r="AQ170" s="76" t="str">
        <x:v>Google Ads tag; project/gallery proof; no embedded homepage video detected</x:v>
      </x:c>
      <x:c r="AR170" s="76" t="str">
        <x:v>I noticed PDI Kitchen, Bath &amp; Lighting (previously WA Bragg &amp; Co.)'s site has a Google Ads tag installed, but I couldn't find an embedded video on the homepage.</x:v>
      </x:c>
      <x:c r="AS170" s="76" t="str">
        <x:v>project reveal with budget-and-timeline proof</x:v>
      </x:c>
      <x:c r="AT170" s="76" t="str">
        <x:v>PDI Kitchen, Bath &amp; Lighting (previously WA Bragg &amp; Co.) ad concept</x:v>
      </x:c>
      <x:c r="AU170" s="76" t="str">
        <x:v>Hi PDI Kitchen, Bath &amp; Lighting (previously WA Bragg &amp; Co.) — I noticed PDI Kitchen, Bath &amp; Lighting (previously WA Bragg &amp; Co.)'s site has a Google Ads tag installed, but I couldn't find an embedded video on the homepage. I mapped a private 15-second project reveal with budget-and-timeline proof for PDI Kitchen, Bath &amp; Lighting (previously WA Bragg &amp; Co.) using only public brand context—not for publishing, just to show the angle. We build three client-approved video ad concepts in seven days, then turn the winners into fresh variations. No filming day required. Worth sending the private sample?</x:v>
      </x:c>
      <x:c r="AV170" s="76" t="str">
        <x:v>Quick follow-up: the sample angle is a project reveal with budget-and-timeline proof. If it misses the mark, no problem—I won't keep chasing. Should I send it?</x:v>
      </x:c>
      <x:c r="AW170" s="76" t="str">
        <x:v>Hi PDI Kitchen, Bath &amp; Lighting (previously WA Bragg &amp; Co.), Ryan here. I was looking at PDI Kitchen, Bath &amp; Lighting (previously WA Bragg &amp; Co.)'s public marketing and noticed: google ads tag detected; no embedded homepage video found. I mapped one private project reveal with budget-and-timeline proof as an example. Did I catch you with 30 seconds?</x:v>
      </x:c>
      <x:c r="AX170" s="60" t="str">
        <x:v>https://www.facebook.com/ads/library/?active_status=active&amp;ad_type=all&amp;country=US&amp;q=PDI%20Kitchen%2C%20Bath%20%26%20Lighting%20%28previously%20WA%20Bragg%20%26%20Co.%29&amp;search_type=keyword_unordered</x:v>
      </x:c>
      <x:c r="AY170" s="60" t="str">
        <x:v>ok:200</x:v>
      </x:c>
      <x:c r="AZ170" s="60" t="n">
        <x:v>46232.722858796296</x:v>
      </x:c>
      <x:c r="BA170" s="60" t="str">
        <x:v>Google Maps home-services export</x:v>
      </x:c>
      <x:c r="BB170" s="60" t="str">
        <x:v>https://maps.google.com/?cid=5266581983719086646&amp;g_mp=Cidnb29nbGUubWFwcy5wbGFjZXMudjEuUGxhY2VzLlNlYXJjaFRleHQQAhgEIAA | https://relyonpdi.com</x:v>
      </x:c>
      <x:c r="BC170" s="60" t="str"/>
    </x:row>
    <x:row r="171" ht="18" customHeight="1">
      <x:c r="A171" s="70" t="str">
        <x:v>170</x:v>
      </x:c>
      <x:c r="B171" s="70" t="str">
        <x:v>B - Strong</x:v>
      </x:c>
      <x:c r="C171" s="72" t="str">
        <x:v>63</x:v>
      </x:c>
      <x:c r="D171" s="60" t="str">
        <x:v>Dowling Construction, Inc.</x:v>
      </x:c>
      <x:c r="E171" s="60" t="str">
        <x:v>https://dowlingconst.com</x:v>
      </x:c>
      <x:c r="F171" s="60" t="str">
        <x:v>https://www.dowlingconst.com/</x:v>
      </x:c>
      <x:c r="G171" s="60" t="str">
        <x:v>North Charleston</x:v>
      </x:c>
      <x:c r="H171" s="60" t="str">
        <x:v>South Carolina</x:v>
      </x:c>
      <x:c r="I171" s="60" t="str">
        <x:v>General Contractor</x:v>
      </x:c>
      <x:c r="J171" s="60" t="str">
        <x:v>Octavious</x:v>
      </x:c>
      <x:c r="K171" s="60" t="str">
        <x:v>Dowling</x:v>
      </x:c>
      <x:c r="L171" s="60" t="str">
        <x:v>Owner</x:v>
      </x:c>
      <x:c r="M171" s="60" t="str"/>
      <x:c r="N171" s="60" t="str"/>
      <x:c r="O171" s="60" t="str">
        <x:v>+1 843 513 7869</x:v>
      </x:c>
      <x:c r="P171" s="60" t="str">
        <x:v>https://www.linkedin.com/in/octavious-dowling-a51a83109</x:v>
      </x:c>
      <x:c r="Q171" s="60" t="str">
        <x:v>11-50</x:v>
      </x:c>
      <x:c r="R171" s="60" t="str">
        <x:v>500000-999999</x:v>
      </x:c>
      <x:c r="S171" s="60" t="str"/>
      <x:c r="T171" s="74" t="str">
        <x:v>0</x:v>
      </x:c>
      <x:c r="U171" s="60" t="str"/>
      <x:c r="V171" s="74" t="str">
        <x:v>25</x:v>
      </x:c>
      <x:c r="W171" s="74" t="str">
        <x:v>12</x:v>
      </x:c>
      <x:c r="X171" s="74" t="str">
        <x:v>12</x:v>
      </x:c>
      <x:c r="Y171" s="74" t="str">
        <x:v>9</x:v>
      </x:c>
      <x:c r="Z171" s="74" t="str">
        <x:v>5</x:v>
      </x:c>
      <x:c r="AA171" s="74" t="str">
        <x:v>1</x:v>
      </x:c>
      <x:c r="AB171" s="74" t="str">
        <x:v>0</x:v>
      </x:c>
      <x:c r="AC171" s="74" t="str">
        <x:v>0</x:v>
      </x:c>
      <x:c r="AD171" s="74" t="str">
        <x:v>0</x:v>
      </x:c>
      <x:c r="AE171" s="74" t="str">
        <x:v>0</x:v>
      </x:c>
      <x:c r="AF171" s="74" t="str"/>
      <x:c r="AG171" s="74" t="str">
        <x:v>0</x:v>
      </x:c>
      <x:c r="AH171" s="74" t="str">
        <x:v>1</x:v>
      </x:c>
      <x:c r="AI171" s="74" t="str">
        <x:v>1</x:v>
      </x:c>
      <x:c r="AJ171" s="74" t="str">
        <x:v>0</x:v>
      </x:c>
      <x:c r="AK171" s="74" t="str">
        <x:v>0</x:v>
      </x:c>
      <x:c r="AL171" s="74" t="str">
        <x:v>1</x:v>
      </x:c>
      <x:c r="AM171" s="74" t="str">
        <x:v>1</x:v>
      </x:c>
      <x:c r="AN171" s="74" t="str">
        <x:v>1</x:v>
      </x:c>
      <x:c r="AO171" s="60" t="str">
        <x:v>0</x:v>
      </x:c>
      <x:c r="AP171" s="76" t="str">
        <x:v>Meta tracking detected; no embedded homepage video found</x:v>
      </x:c>
      <x:c r="AQ171" s="76" t="str">
        <x:v>Meta Pixel; project/gallery proof; testimonials; no embedded homepage video detected</x:v>
      </x:c>
      <x:c r="AR171" s="76" t="str">
        <x:v>I noticed Dowling Construction, Inc.'s site has Meta tracking installed, but I couldn't find an embedded video on the homepage.</x:v>
      </x:c>
      <x:c r="AS171" s="76" t="str">
        <x:v>project walkthrough with proof milestones</x:v>
      </x:c>
      <x:c r="AT171" s="76" t="str">
        <x:v>Dowling Construction, Inc. ad concept</x:v>
      </x:c>
      <x:c r="AU171" s="76" t="str">
        <x:v>Hi Octavious — I noticed Dowling Construction, Inc.'s site has Meta tracking installed, but I couldn't find an embedded video on the homepage. I mapped a private 15-second project walkthrough with proof milestones for Dowling Construction, Inc. using only public brand context—not for publishing, just to show the angle. We build three client-approved video ad concepts in seven days, then turn the winners into fresh variations. No filming day required. Worth sending the private sample?</x:v>
      </x:c>
      <x:c r="AV171" s="76" t="str">
        <x:v>Quick follow-up: the sample angle is a project walkthrough with proof milestones. If it misses the mark, no problem—I won't keep chasing. Should I send it?</x:v>
      </x:c>
      <x:c r="AW171" s="76" t="str">
        <x:v>Hi Octavious, Ryan here. I was looking at Dowling Construction, Inc.'s public marketing and noticed: meta tracking detected; no embedded homepage video found. I mapped one private project walkthrough with proof milestones as an example. Did I catch you with 30 seconds?</x:v>
      </x:c>
      <x:c r="AX171" s="60" t="str">
        <x:v>https://www.facebook.com/ads/library/?active_status=active&amp;ad_type=all&amp;country=US&amp;q=Dowling%20Construction%2C%20Inc.&amp;search_type=keyword_unordered</x:v>
      </x:c>
      <x:c r="AY171" s="60" t="str">
        <x:v>ok:200</x:v>
      </x:c>
      <x:c r="AZ171" s="60" t="n">
        <x:v>46232.722858796296</x:v>
      </x:c>
      <x:c r="BA171" s="60" t="str">
        <x:v>AI Ark SC trades export</x:v>
      </x:c>
      <x:c r="BB171" s="60" t="str">
        <x:v>https://dowlingconst.com | https://www.linkedin.com/company/dowling-construction-inc-</x:v>
      </x:c>
      <x:c r="BC171" s="60" t="str"/>
    </x:row>
    <x:row r="172" ht="18" customHeight="1">
      <x:c r="A172" s="70" t="str">
        <x:v>171</x:v>
      </x:c>
      <x:c r="B172" s="70" t="str">
        <x:v>B - Strong</x:v>
      </x:c>
      <x:c r="C172" s="72" t="str">
        <x:v>63</x:v>
      </x:c>
      <x:c r="D172" s="60" t="str">
        <x:v>Budget Services</x:v>
      </x:c>
      <x:c r="E172" s="60" t="str">
        <x:v>https://budgetservicesfl.com</x:v>
      </x:c>
      <x:c r="F172" s="60" t="str">
        <x:v>https://www.budgetservicesfl.com/</x:v>
      </x:c>
      <x:c r="G172" s="60" t="str">
        <x:v>Spartanburg</x:v>
      </x:c>
      <x:c r="H172" s="60" t="str">
        <x:v>South Carolina</x:v>
      </x:c>
      <x:c r="I172" s="60" t="str">
        <x:v>Pest Control</x:v>
      </x:c>
      <x:c r="J172" s="60" t="str">
        <x:v>Roe</x:v>
      </x:c>
      <x:c r="K172" s="60" t="str">
        <x:v>Robinson</x:v>
      </x:c>
      <x:c r="L172" s="60" t="str">
        <x:v>Business Owner</x:v>
      </x:c>
      <x:c r="M172" s="60" t="str"/>
      <x:c r="N172" s="60" t="str"/>
      <x:c r="O172" s="60" t="str">
        <x:v>+1 407 892 8811</x:v>
      </x:c>
      <x:c r="P172" s="60" t="str">
        <x:v>https://www.linkedin.com/in/roe-robinson-960a34113</x:v>
      </x:c>
      <x:c r="Q172" s="60" t="str">
        <x:v>11-50</x:v>
      </x:c>
      <x:c r="R172" s="60" t="str">
        <x:v>500000-999999</x:v>
      </x:c>
      <x:c r="S172" s="60" t="str"/>
      <x:c r="T172" s="74" t="str">
        <x:v>0</x:v>
      </x:c>
      <x:c r="U172" s="60" t="str"/>
      <x:c r="V172" s="74" t="str">
        <x:v>26</x:v>
      </x:c>
      <x:c r="W172" s="74" t="str">
        <x:v>12</x:v>
      </x:c>
      <x:c r="X172" s="74" t="str">
        <x:v>16</x:v>
      </x:c>
      <x:c r="Y172" s="74" t="str">
        <x:v>4</x:v>
      </x:c>
      <x:c r="Z172" s="74" t="str">
        <x:v>5</x:v>
      </x:c>
      <x:c r="AA172" s="74" t="str">
        <x:v>1</x:v>
      </x:c>
      <x:c r="AB172" s="74" t="str">
        <x:v>0</x:v>
      </x:c>
      <x:c r="AC172" s="74" t="str">
        <x:v>0</x:v>
      </x:c>
      <x:c r="AD172" s="74" t="str">
        <x:v>0</x:v>
      </x:c>
      <x:c r="AE172" s="74" t="str">
        <x:v>0</x:v>
      </x:c>
      <x:c r="AF172" s="74" t="str"/>
      <x:c r="AG172" s="74" t="str">
        <x:v>0</x:v>
      </x:c>
      <x:c r="AH172" s="74" t="str">
        <x:v>0</x:v>
      </x:c>
      <x:c r="AI172" s="74" t="str">
        <x:v>1</x:v>
      </x:c>
      <x:c r="AJ172" s="74" t="str">
        <x:v>0</x:v>
      </x:c>
      <x:c r="AK172" s="74" t="str">
        <x:v>0</x:v>
      </x:c>
      <x:c r="AL172" s="74" t="str">
        <x:v>0</x:v>
      </x:c>
      <x:c r="AM172" s="74" t="str">
        <x:v>1</x:v>
      </x:c>
      <x:c r="AN172" s="74" t="str">
        <x:v>0</x:v>
      </x:c>
      <x:c r="AO172" s="60" t="str">
        <x:v>0</x:v>
      </x:c>
      <x:c r="AP172" s="76" t="str">
        <x:v>Meta tracking detected; no embedded homepage video found</x:v>
      </x:c>
      <x:c r="AQ172" s="76" t="str">
        <x:v>Meta Pixel; testimonials; no embedded homepage video detected</x:v>
      </x:c>
      <x:c r="AR172" s="76" t="str">
        <x:v>I noticed Budget Services's site has Meta tracking installed, but I couldn't find an embedded video on the homepage.</x:v>
      </x:c>
      <x:c r="AS172" s="76" t="str">
        <x:v>seasonal prevention problem/solution ad</x:v>
      </x:c>
      <x:c r="AT172" s="76" t="str">
        <x:v>Budget Services ad concept</x:v>
      </x:c>
      <x:c r="AU172" s="76" t="str">
        <x:v>Hi Roe — I noticed Budget Services's site has Meta tracking installed, but I couldn't find an embedded video on the homepage. I mapped a private 15-second seasonal prevention problem/solution ad for Budget Services using only public brand context—not for publishing, just to show the angle. We build three client-approved video ad concepts in seven days, then turn the winners into fresh variations. No filming day required. Worth sending the private sample?</x:v>
      </x:c>
      <x:c r="AV172" s="76" t="str">
        <x:v>Quick follow-up: the sample angle is a seasonal prevention problem/solution ad. If it misses the mark, no problem—I won't keep chasing. Should I send it?</x:v>
      </x:c>
      <x:c r="AW172" s="76" t="str">
        <x:v>Hi Roe, Ryan here. I was looking at Budget Services's public marketing and noticed: meta tracking detected; no embedded homepage video found. I mapped one private seasonal prevention problem/solution ad as an example. Did I catch you with 30 seconds?</x:v>
      </x:c>
      <x:c r="AX172" s="60" t="str">
        <x:v>https://www.facebook.com/ads/library/?active_status=active&amp;ad_type=all&amp;country=US&amp;q=Budget%20Services&amp;search_type=keyword_unordered</x:v>
      </x:c>
      <x:c r="AY172" s="60" t="str">
        <x:v>ok:200</x:v>
      </x:c>
      <x:c r="AZ172" s="60" t="n">
        <x:v>46232.722858796296</x:v>
      </x:c>
      <x:c r="BA172" s="60" t="str">
        <x:v>AI Ark SC trades export</x:v>
      </x:c>
      <x:c r="BB172" s="60" t="str">
        <x:v>https://budgetservicesfl.com | https://www.linkedin.com/company/budget-services</x:v>
      </x:c>
      <x:c r="BC172" s="60" t="str"/>
    </x:row>
    <x:row r="173" ht="18" customHeight="1">
      <x:c r="A173" s="70" t="str">
        <x:v>172</x:v>
      </x:c>
      <x:c r="B173" s="70" t="str">
        <x:v>B - Strong</x:v>
      </x:c>
      <x:c r="C173" s="72" t="str">
        <x:v>63</x:v>
      </x:c>
      <x:c r="D173" s="60" t="str">
        <x:v>Trico Exteriors, LLC</x:v>
      </x:c>
      <x:c r="E173" s="60" t="str">
        <x:v>https://tricoexteriors.com</x:v>
      </x:c>
      <x:c r="F173" s="60" t="str">
        <x:v>https://www.tricoexteriors.com/</x:v>
      </x:c>
      <x:c r="G173" s="60" t="str">
        <x:v>Goose Creek</x:v>
      </x:c>
      <x:c r="H173" s="60" t="str">
        <x:v>South Carolina</x:v>
      </x:c>
      <x:c r="I173" s="60" t="str">
        <x:v>Roofing</x:v>
      </x:c>
      <x:c r="J173" s="60" t="str">
        <x:v>Trico Exteriors, LLC</x:v>
      </x:c>
      <x:c r="K173" s="60" t="str"/>
      <x:c r="L173" s="60" t="str">
        <x:v>Owner / decision maker to verify</x:v>
      </x:c>
      <x:c r="M173" s="60" t="str"/>
      <x:c r="N173" s="60" t="str"/>
      <x:c r="O173" s="60" t="str">
        <x:v>(843) 572-2175</x:v>
      </x:c>
      <x:c r="P173" s="60" t="str"/>
      <x:c r="Q173" s="60" t="str"/>
      <x:c r="R173" s="60" t="str"/>
      <x:c r="S173" s="60" t="str">
        <x:v>4.5</x:v>
      </x:c>
      <x:c r="T173" s="74" t="str">
        <x:v>174</x:v>
      </x:c>
      <x:c r="U173" s="60" t="str"/>
      <x:c r="V173" s="74" t="str">
        <x:v>29</x:v>
      </x:c>
      <x:c r="W173" s="74" t="str">
        <x:v>11</x:v>
      </x:c>
      <x:c r="X173" s="74" t="str">
        <x:v>12</x:v>
      </x:c>
      <x:c r="Y173" s="74" t="str">
        <x:v>6</x:v>
      </x:c>
      <x:c r="Z173" s="74" t="str">
        <x:v>5</x:v>
      </x:c>
      <x:c r="AA173" s="74" t="str">
        <x:v>0</x:v>
      </x:c>
      <x:c r="AB173" s="74" t="str">
        <x:v>0</x:v>
      </x:c>
      <x:c r="AC173" s="74" t="str">
        <x:v>1</x:v>
      </x:c>
      <x:c r="AD173" s="74" t="str">
        <x:v>0</x:v>
      </x:c>
      <x:c r="AE173" s="74" t="str">
        <x:v>1</x:v>
      </x:c>
      <x:c r="AF173" s="74" t="str"/>
      <x:c r="AG173" s="74" t="str">
        <x:v>0</x:v>
      </x:c>
      <x:c r="AH173" s="74" t="str">
        <x:v>0</x:v>
      </x:c>
      <x:c r="AI173" s="74" t="str">
        <x:v>0</x:v>
      </x:c>
      <x:c r="AJ173" s="74" t="str">
        <x:v>1</x:v>
      </x:c>
      <x:c r="AK173" s="74" t="str">
        <x:v>0</x:v>
      </x:c>
      <x:c r="AL173" s="74" t="str">
        <x:v>1</x:v>
      </x:c>
      <x:c r="AM173" s="74" t="str">
        <x:v>1</x:v>
      </x:c>
      <x:c r="AN173" s="74" t="str">
        <x:v>1</x:v>
      </x:c>
      <x:c r="AO173" s="60" t="str">
        <x:v>0</x:v>
      </x:c>
      <x:c r="AP173" s="76" t="str">
        <x:v>Call-tracking stack detected; no embedded homepage video found</x:v>
      </x:c>
      <x:c r="AQ173" s="76" t="str">
        <x:v>call tracking; financing; no embedded homepage video detected</x:v>
      </x:c>
      <x:c r="AR173" s="76" t="str">
        <x:v>I noticed Trico Exteriors, LLC has call tracking in place, but I couldn't find an embedded video on the homepage.</x:v>
      </x:c>
      <x:c r="AS173" s="76" t="str">
        <x:v>storm-to-inspection before/after ad</x:v>
      </x:c>
      <x:c r="AT173" s="76" t="str">
        <x:v>Trico Exteriors, LLC ad concept</x:v>
      </x:c>
      <x:c r="AU173" s="76" t="str">
        <x:v>Hi Trico Exteriors, LLC — I noticed Trico Exteriors, LLC has call tracking in place, but I couldn't find an embedded video on the homepage. I mapped a private 15-second storm-to-inspection before/after ad for Trico Exteriors, LLC using only public brand context—not for publishing, just to show the angle. We build three client-approved video ad concepts in seven days, then turn the winners into fresh variations. No filming day required. Worth sending the private sample?</x:v>
      </x:c>
      <x:c r="AV173" s="76" t="str">
        <x:v>Quick follow-up: the sample angle is a storm-to-inspection before/after ad. If it misses the mark, no problem—I won't keep chasing. Should I send it?</x:v>
      </x:c>
      <x:c r="AW173" s="76" t="str">
        <x:v>Hi Trico Exteriors, LLC, Ryan here. I was looking at Trico Exteriors, LLC's public marketing and noticed: call-tracking stack detected; no embedded homepage video found. I mapped one private storm-to-inspection before/after ad as an example. Did I catch you with 30 seconds?</x:v>
      </x:c>
      <x:c r="AX173" s="60" t="str">
        <x:v>https://www.facebook.com/ads/library/?active_status=active&amp;ad_type=all&amp;country=US&amp;q=Trico%20Exteriors%2C%20LLC&amp;search_type=keyword_unordered</x:v>
      </x:c>
      <x:c r="AY173" s="60" t="str">
        <x:v>ok:200</x:v>
      </x:c>
      <x:c r="AZ173" s="60" t="n">
        <x:v>46232.722858796296</x:v>
      </x:c>
      <x:c r="BA173" s="60" t="str">
        <x:v>Google Maps home-services export</x:v>
      </x:c>
      <x:c r="BB173" s="60" t="str">
        <x:v>https://maps.google.com/?cid=3610819903046549284&amp;g_mp=Cidnb29nbGUubWFwcy5wbGFjZXMudjEuUGxhY2VzLlNlYXJjaFRleHQQAhgEIAA | https://tricoexteriors.com</x:v>
      </x:c>
      <x:c r="BC173" s="60" t="str"/>
    </x:row>
    <x:row r="174" ht="18" customHeight="1">
      <x:c r="A174" s="70" t="str">
        <x:v>173</x:v>
      </x:c>
      <x:c r="B174" s="70" t="str">
        <x:v>B - Strong</x:v>
      </x:c>
      <x:c r="C174" s="72" t="str">
        <x:v>63</x:v>
      </x:c>
      <x:c r="D174" s="60" t="str">
        <x:v>Peace Of Mind Plumbing</x:v>
      </x:c>
      <x:c r="E174" s="60" t="str">
        <x:v>https://mountpleasantplumbing.com</x:v>
      </x:c>
      <x:c r="F174" s="60" t="str">
        <x:v>https://peaceofmindplumbingsc.com/</x:v>
      </x:c>
      <x:c r="G174" s="60" t="str">
        <x:v>Mount Pleasant</x:v>
      </x:c>
      <x:c r="H174" s="60" t="str">
        <x:v>South Carolina</x:v>
      </x:c>
      <x:c r="I174" s="60" t="str">
        <x:v>Plumbing</x:v>
      </x:c>
      <x:c r="J174" s="60" t="str">
        <x:v>Peace Of Mind Plumbing</x:v>
      </x:c>
      <x:c r="K174" s="60" t="str"/>
      <x:c r="L174" s="60" t="str">
        <x:v>Owner / decision maker to verify</x:v>
      </x:c>
      <x:c r="M174" s="60" t="str"/>
      <x:c r="N174" s="60" t="str"/>
      <x:c r="O174" s="60" t="str">
        <x:v>(617) 483-5350</x:v>
      </x:c>
      <x:c r="P174" s="60" t="str"/>
      <x:c r="Q174" s="60" t="str"/>
      <x:c r="R174" s="60" t="str"/>
      <x:c r="S174" s="60" t="str">
        <x:v>5</x:v>
      </x:c>
      <x:c r="T174" s="74" t="str">
        <x:v>278</x:v>
      </x:c>
      <x:c r="U174" s="60" t="str"/>
      <x:c r="V174" s="74" t="str">
        <x:v>25</x:v>
      </x:c>
      <x:c r="W174" s="74" t="str">
        <x:v>11</x:v>
      </x:c>
      <x:c r="X174" s="74" t="str">
        <x:v>16</x:v>
      </x:c>
      <x:c r="Y174" s="74" t="str">
        <x:v>6</x:v>
      </x:c>
      <x:c r="Z174" s="74" t="str">
        <x:v>5</x:v>
      </x:c>
      <x:c r="AA174" s="74" t="str">
        <x:v>0</x:v>
      </x:c>
      <x:c r="AB174" s="74" t="str">
        <x:v>0</x:v>
      </x:c>
      <x:c r="AC174" s="74" t="str">
        <x:v>1</x:v>
      </x:c>
      <x:c r="AD174" s="74" t="str">
        <x:v>0</x:v>
      </x:c>
      <x:c r="AE174" s="74" t="str">
        <x:v>1</x:v>
      </x:c>
      <x:c r="AF174" s="74" t="str"/>
      <x:c r="AG174" s="74" t="str">
        <x:v>0</x:v>
      </x:c>
      <x:c r="AH174" s="74" t="str">
        <x:v>0</x:v>
      </x:c>
      <x:c r="AI174" s="74" t="str">
        <x:v>0</x:v>
      </x:c>
      <x:c r="AJ174" s="74" t="str">
        <x:v>0</x:v>
      </x:c>
      <x:c r="AK174" s="74" t="str">
        <x:v>1</x:v>
      </x:c>
      <x:c r="AL174" s="74" t="str">
        <x:v>0</x:v>
      </x:c>
      <x:c r="AM174" s="74" t="str">
        <x:v>1</x:v>
      </x:c>
      <x:c r="AN174" s="74" t="str">
        <x:v>0</x:v>
      </x:c>
      <x:c r="AO174" s="60" t="str">
        <x:v>2026</x:v>
      </x:c>
      <x:c r="AP174" s="76" t="str">
        <x:v>Call-tracking stack detected; no embedded homepage video found</x:v>
      </x:c>
      <x:c r="AQ174" s="76" t="str">
        <x:v>call tracking; visible service offer; no embedded homepage video detected</x:v>
      </x:c>
      <x:c r="AR174" s="76" t="str">
        <x:v>I noticed Peace Of Mind Plumbing has call tracking in place, but I couldn't find an embedded video on the homepage.</x:v>
      </x:c>
      <x:c r="AS174" s="76" t="str">
        <x:v>small symptom to prevented-emergency ad</x:v>
      </x:c>
      <x:c r="AT174" s="76" t="str">
        <x:v>Peace Of Mind Plumbing ad concept</x:v>
      </x:c>
      <x:c r="AU174" s="76" t="str">
        <x:v>Hi Peace Of Mind Plumbing — I noticed Peace Of Mind Plumbing has call tracking in place, but I couldn't find an embedded video on the homepage. I mapped a private 15-second small symptom to prevented-emergency ad for Peace Of Mind Plumbing using only public brand context—not for publishing, just to show the angle. We build three client-approved video ad concepts in seven days, then turn the winners into fresh variations. No filming day required. Worth sending the private sample?</x:v>
      </x:c>
      <x:c r="AV174" s="76" t="str">
        <x:v>Quick follow-up: the sample angle is a small symptom to prevented-emergency ad. If it misses the mark, no problem—I won't keep chasing. Should I send it?</x:v>
      </x:c>
      <x:c r="AW174" s="76" t="str">
        <x:v>Hi Peace Of Mind Plumbing, Ryan here. I was looking at Peace Of Mind Plumbing's public marketing and noticed: call-tracking stack detected; no embedded homepage video found. I mapped one private small symptom to prevented-emergency ad as an example. Did I catch you with 30 seconds?</x:v>
      </x:c>
      <x:c r="AX174" s="60" t="str">
        <x:v>https://www.facebook.com/ads/library/?active_status=active&amp;ad_type=all&amp;country=US&amp;q=Peace%20Of%20Mind%20Plumbing&amp;search_type=keyword_unordered</x:v>
      </x:c>
      <x:c r="AY174" s="60" t="str">
        <x:v>ok:200</x:v>
      </x:c>
      <x:c r="AZ174" s="60" t="n">
        <x:v>46232.722858796296</x:v>
      </x:c>
      <x:c r="BA174" s="60" t="str">
        <x:v>Google Maps home-services export</x:v>
      </x:c>
      <x:c r="BB174" s="60" t="str">
        <x:v>https://maps.google.com/?cid=13333374373688264617&amp;g_mp=Cidnb29nbGUubWFwcy5wbGFjZXMudjEuUGxhY2VzLlNlYXJjaFRleHQQAhgEIAA | https://mountpleasantplumbing.com</x:v>
      </x:c>
      <x:c r="BC174" s="60" t="str"/>
    </x:row>
    <x:row r="175" ht="18" customHeight="1">
      <x:c r="A175" s="70" t="str">
        <x:v>174</x:v>
      </x:c>
      <x:c r="B175" s="70" t="str">
        <x:v>B - Strong</x:v>
      </x:c>
      <x:c r="C175" s="72" t="str">
        <x:v>63</x:v>
      </x:c>
      <x:c r="D175" s="60" t="str">
        <x:v>Ashley River Wired</x:v>
      </x:c>
      <x:c r="E175" s="60" t="str">
        <x:v>https://arwired.com</x:v>
      </x:c>
      <x:c r="F175" s="60" t="str">
        <x:v>https://www.arwired.com/</x:v>
      </x:c>
      <x:c r="G175" s="60" t="str">
        <x:v>Charleston</x:v>
      </x:c>
      <x:c r="H175" s="60" t="str">
        <x:v>South Carolina</x:v>
      </x:c>
      <x:c r="I175" s="60" t="str">
        <x:v>Electrical</x:v>
      </x:c>
      <x:c r="J175" s="60" t="str">
        <x:v>Ashley River Wired</x:v>
      </x:c>
      <x:c r="K175" s="60" t="str"/>
      <x:c r="L175" s="60" t="str">
        <x:v>Owner / decision maker to verify</x:v>
      </x:c>
      <x:c r="M175" s="60" t="str"/>
      <x:c r="N175" s="60" t="str"/>
      <x:c r="O175" s="60" t="str">
        <x:v>(843) 287-9545</x:v>
      </x:c>
      <x:c r="P175" s="60" t="str"/>
      <x:c r="Q175" s="60" t="str"/>
      <x:c r="R175" s="60" t="str"/>
      <x:c r="S175" s="60" t="str">
        <x:v>5</x:v>
      </x:c>
      <x:c r="T175" s="74" t="str">
        <x:v>133</x:v>
      </x:c>
      <x:c r="U175" s="60" t="str"/>
      <x:c r="V175" s="74" t="str">
        <x:v>23</x:v>
      </x:c>
      <x:c r="W175" s="74" t="str">
        <x:v>8</x:v>
      </x:c>
      <x:c r="X175" s="74" t="str">
        <x:v>16</x:v>
      </x:c>
      <x:c r="Y175" s="74" t="str">
        <x:v>11</x:v>
      </x:c>
      <x:c r="Z175" s="74" t="str">
        <x:v>5</x:v>
      </x:c>
      <x:c r="AA175" s="74" t="str">
        <x:v>0</x:v>
      </x:c>
      <x:c r="AB175" s="74" t="str">
        <x:v>0</x:v>
      </x:c>
      <x:c r="AC175" s="74" t="str">
        <x:v>0</x:v>
      </x:c>
      <x:c r="AD175" s="74" t="str">
        <x:v>0</x:v>
      </x:c>
      <x:c r="AE175" s="74" t="str">
        <x:v>1</x:v>
      </x:c>
      <x:c r="AF175" s="74" t="str"/>
      <x:c r="AG175" s="74" t="str">
        <x:v>0</x:v>
      </x:c>
      <x:c r="AH175" s="74" t="str">
        <x:v>1</x:v>
      </x:c>
      <x:c r="AI175" s="74" t="str">
        <x:v>0</x:v>
      </x:c>
      <x:c r="AJ175" s="74" t="str">
        <x:v>0</x:v>
      </x:c>
      <x:c r="AK175" s="74" t="str">
        <x:v>1</x:v>
      </x:c>
      <x:c r="AL175" s="74" t="str">
        <x:v>0</x:v>
      </x:c>
      <x:c r="AM175" s="74" t="str">
        <x:v>1</x:v>
      </x:c>
      <x:c r="AN175" s="74" t="str">
        <x:v>0</x:v>
      </x:c>
      <x:c r="AO175" s="60" t="str">
        <x:v>2026</x:v>
      </x:c>
      <x:c r="AP175" s="76" t="str">
        <x:v>Call-tracking stack detected; no embedded homepage video found</x:v>
      </x:c>
      <x:c r="AQ175" s="76" t="str">
        <x:v>call tracking; project/gallery proof; visible service offer; no embedded homepage video detected</x:v>
      </x:c>
      <x:c r="AR175" s="76" t="str">
        <x:v>I noticed Ashley River Wired has call tracking in place, but I couldn't find an embedded video on the homepage.</x:v>
      </x:c>
      <x:c r="AS175" s="76" t="str">
        <x:v>safety inspection problem/solution ad</x:v>
      </x:c>
      <x:c r="AT175" s="76" t="str">
        <x:v>Ashley River Wired ad concept</x:v>
      </x:c>
      <x:c r="AU175" s="76" t="str">
        <x:v>Hi Ashley River Wired — I noticed Ashley River Wired has call tracking in place, but I couldn't find an embedded video on the homepage. I mapped a private 15-second safety inspection problem/solution ad for Ashley River Wired using only public brand context—not for publishing, just to show the angle. We build three client-approved video ad concepts in seven days, then turn the winners into fresh variations. No filming day required. Worth sending the private sample?</x:v>
      </x:c>
      <x:c r="AV175" s="76" t="str">
        <x:v>Quick follow-up: the sample angle is a safety inspection problem/solution ad. If it misses the mark, no problem—I won't keep chasing. Should I send it?</x:v>
      </x:c>
      <x:c r="AW175" s="76" t="str">
        <x:v>Hi Ashley River Wired, Ryan here. I was looking at Ashley River Wired's public marketing and noticed: call-tracking stack detected; no embedded homepage video found. I mapped one private safety inspection problem/solution ad as an example. Did I catch you with 30 seconds?</x:v>
      </x:c>
      <x:c r="AX175" s="60" t="str">
        <x:v>https://www.facebook.com/ads/library/?active_status=active&amp;ad_type=all&amp;country=US&amp;q=Ashley%20River%20Wired&amp;search_type=keyword_unordered</x:v>
      </x:c>
      <x:c r="AY175" s="60" t="str">
        <x:v>ok:200</x:v>
      </x:c>
      <x:c r="AZ175" s="60" t="n">
        <x:v>46232.722858796296</x:v>
      </x:c>
      <x:c r="BA175" s="60" t="str">
        <x:v>Google Maps home-services export</x:v>
      </x:c>
      <x:c r="BB175" s="60" t="str">
        <x:v>https://arwired.com | https://maps.google.com/?cid=10715538334311568803&amp;g_mp=Cidnb29nbGUubWFwcy5wbGFjZXMudjEuUGxhY2VzLlNlYXJjaFRleHQQAhgEIAA</x:v>
      </x:c>
      <x:c r="BC175" s="60" t="str"/>
    </x:row>
    <x:row r="176" ht="18" customHeight="1">
      <x:c r="A176" s="70" t="str">
        <x:v>175</x:v>
      </x:c>
      <x:c r="B176" s="70" t="str">
        <x:v>B - Strong</x:v>
      </x:c>
      <x:c r="C176" s="72" t="str">
        <x:v>63</x:v>
      </x:c>
      <x:c r="D176" s="60" t="str">
        <x:v>Pace's Comfort Cooling</x:v>
      </x:c>
      <x:c r="E176" s="60" t="str">
        <x:v>https://pacescomfortcooling.com</x:v>
      </x:c>
      <x:c r="F176" s="60" t="str">
        <x:v>https://pacescomfortcooling.com</x:v>
      </x:c>
      <x:c r="G176" s="60" t="str">
        <x:v>Summerville</x:v>
      </x:c>
      <x:c r="H176" s="60" t="str">
        <x:v>South Carolina</x:v>
      </x:c>
      <x:c r="I176" s="60" t="str">
        <x:v>HVAC</x:v>
      </x:c>
      <x:c r="J176" s="60" t="str">
        <x:v>Pace's Comfort Cooling</x:v>
      </x:c>
      <x:c r="K176" s="60" t="str"/>
      <x:c r="L176" s="60" t="str">
        <x:v>Owner / decision maker to verify</x:v>
      </x:c>
      <x:c r="M176" s="60" t="str"/>
      <x:c r="N176" s="60" t="str"/>
      <x:c r="O176" s="60" t="str">
        <x:v>(843) 270-9136</x:v>
      </x:c>
      <x:c r="P176" s="60" t="str"/>
      <x:c r="Q176" s="60" t="str"/>
      <x:c r="R176" s="60" t="str"/>
      <x:c r="S176" s="60" t="str">
        <x:v>5</x:v>
      </x:c>
      <x:c r="T176" s="74" t="str">
        <x:v>173</x:v>
      </x:c>
      <x:c r="U176" s="60" t="str"/>
      <x:c r="V176" s="74" t="str">
        <x:v>28</x:v>
      </x:c>
      <x:c r="W176" s="74" t="str">
        <x:v>6</x:v>
      </x:c>
      <x:c r="X176" s="74" t="str">
        <x:v>10</x:v>
      </x:c>
      <x:c r="Y176" s="74" t="str">
        <x:v>14</x:v>
      </x:c>
      <x:c r="Z176" s="74" t="str">
        <x:v>5</x:v>
      </x:c>
      <x:c r="AA176" s="74" t="str">
        <x:v>0</x:v>
      </x:c>
      <x:c r="AB176" s="74" t="str">
        <x:v>0</x:v>
      </x:c>
      <x:c r="AC176" s="74" t="str">
        <x:v>1</x:v>
      </x:c>
      <x:c r="AD176" s="74" t="str">
        <x:v>0</x:v>
      </x:c>
      <x:c r="AE176" s="74" t="str">
        <x:v>0</x:v>
      </x:c>
      <x:c r="AF176" s="74" t="str">
        <x:v>housecallpro</x:v>
      </x:c>
      <x:c r="AG176" s="74" t="str">
        <x:v>0</x:v>
      </x:c>
      <x:c r="AH176" s="74" t="str">
        <x:v>1</x:v>
      </x:c>
      <x:c r="AI176" s="74" t="str">
        <x:v>0</x:v>
      </x:c>
      <x:c r="AJ176" s="74" t="str">
        <x:v>1</x:v>
      </x:c>
      <x:c r="AK176" s="74" t="str">
        <x:v>1</x:v>
      </x:c>
      <x:c r="AL176" s="74" t="str">
        <x:v>0</x:v>
      </x:c>
      <x:c r="AM176" s="74" t="str">
        <x:v>0</x:v>
      </x:c>
      <x:c r="AN176" s="74" t="str">
        <x:v>0</x:v>
      </x:c>
      <x:c r="AO176" s="60" t="str">
        <x:v>0</x:v>
      </x:c>
      <x:c r="AP176" s="76" t="str">
        <x:v>Project/gallery proof found; no embedded homepage video found</x:v>
      </x:c>
      <x:c r="AQ176" s="76" t="str">
        <x:v>project/gallery proof; financing; visible service offer; no embedded homepage video detected</x:v>
      </x:c>
      <x:c r="AR176" s="76" t="str">
        <x:v>I found project/gallery proof on Pace's Comfort Cooling's site that could be repackaged into short-form ad concepts.</x:v>
      </x:c>
      <x:c r="AS176" s="76" t="str">
        <x:v>no-cool-call to same-day comfort ad</x:v>
      </x:c>
      <x:c r="AT176" s="76" t="str">
        <x:v>Pace's Comfort Cooling ad concept</x:v>
      </x:c>
      <x:c r="AU176" s="76" t="str">
        <x:v>Hi Pace's Comfort Cooling — I found project/gallery proof on Pace's Comfort Cooling's site that could be repackaged into short-form ad concepts. I mapped a private 15-second no-cool-call to same-day comfort ad for Pace's Comfort Cooling using only public brand context—not for publishing, just to show the angle. We build three client-approved video ad concepts in seven days, then turn the winners into fresh variations. No filming day required. Worth sending the private sample?</x:v>
      </x:c>
      <x:c r="AV176" s="76" t="str">
        <x:v>Quick follow-up: the sample angle is a no-cool-call to same-day comfort ad. If it misses the mark, no problem—I won't keep chasing. Should I send it?</x:v>
      </x:c>
      <x:c r="AW176" s="76" t="str">
        <x:v>Hi Pace's Comfort Cooling, Ryan here. I was looking at Pace's Comfort Cooling's public marketing and noticed: project/gallery proof found; no embedded homepage video found. I mapped one private no-cool-call to same-day comfort ad as an example. Did I catch you with 30 seconds?</x:v>
      </x:c>
      <x:c r="AX176" s="60" t="str">
        <x:v>https://www.facebook.com/ads/library/?active_status=active&amp;ad_type=all&amp;country=US&amp;q=Pace%27s%20Comfort%20Cooling&amp;search_type=keyword_unordered</x:v>
      </x:c>
      <x:c r="AY176" s="60" t="str">
        <x:v>ok:200</x:v>
      </x:c>
      <x:c r="AZ176" s="60" t="n">
        <x:v>46232.722858796296</x:v>
      </x:c>
      <x:c r="BA176" s="60" t="str">
        <x:v>Google Maps home-services export</x:v>
      </x:c>
      <x:c r="BB176" s="60" t="str">
        <x:v>https://maps.google.com/?cid=18405301925480903576&amp;g_mp=Cidnb29nbGUubWFwcy5wbGFjZXMudjEuUGxhY2VzLlNlYXJjaFRleHQQAhgEIAA | https://pacescomfortcooling.com</x:v>
      </x:c>
      <x:c r="BC176" s="60" t="str"/>
    </x:row>
    <x:row r="177" ht="18" customHeight="1">
      <x:c r="A177" s="70" t="str">
        <x:v>176</x:v>
      </x:c>
      <x:c r="B177" s="70" t="str">
        <x:v>B - Strong</x:v>
      </x:c>
      <x:c r="C177" s="72" t="str">
        <x:v>63</x:v>
      </x:c>
      <x:c r="D177" s="60" t="str">
        <x:v>Clean Verde Exterior Pros</x:v>
      </x:c>
      <x:c r="E177" s="60" t="str">
        <x:v>https://cleanverde.com</x:v>
      </x:c>
      <x:c r="F177" s="60" t="str">
        <x:v>https://cleanverde.com</x:v>
      </x:c>
      <x:c r="G177" s="60" t="str">
        <x:v>Greenville</x:v>
      </x:c>
      <x:c r="H177" s="60" t="str">
        <x:v>South Carolina</x:v>
      </x:c>
      <x:c r="I177" s="60" t="str">
        <x:v>Roofing</x:v>
      </x:c>
      <x:c r="J177" s="60" t="str">
        <x:v>Ed</x:v>
      </x:c>
      <x:c r="K177" s="60" t="str">
        <x:v>Gomez</x:v>
      </x:c>
      <x:c r="L177" s="60" t="str">
        <x:v>Business Owner</x:v>
      </x:c>
      <x:c r="M177" s="60" t="str">
        <x:v>ed@cleanverde.com</x:v>
      </x:c>
      <x:c r="N177" s="60" t="str">
        <x:v>Verified with BounceBan on 08 Jun 26 12:06</x:v>
      </x:c>
      <x:c r="O177" s="60" t="str">
        <x:v>+1 864 735 3135</x:v>
      </x:c>
      <x:c r="P177" s="60" t="str">
        <x:v>https://www.linkedin.com/in/ed-gomez-a95161125</x:v>
      </x:c>
      <x:c r="Q177" s="60" t="str">
        <x:v>2-10</x:v>
      </x:c>
      <x:c r="R177" s="60" t="str">
        <x:v>100000-499999</x:v>
      </x:c>
      <x:c r="S177" s="60" t="str"/>
      <x:c r="T177" s="74" t="str">
        <x:v>0</x:v>
      </x:c>
      <x:c r="U177" s="60" t="str"/>
      <x:c r="V177" s="74" t="str">
        <x:v>28</x:v>
      </x:c>
      <x:c r="W177" s="74" t="str">
        <x:v>3</x:v>
      </x:c>
      <x:c r="X177" s="74" t="str">
        <x:v>10</x:v>
      </x:c>
      <x:c r="Y177" s="74" t="str">
        <x:v>12</x:v>
      </x:c>
      <x:c r="Z177" s="74" t="str">
        <x:v>10</x:v>
      </x:c>
      <x:c r="AA177" s="74" t="str">
        <x:v>0</x:v>
      </x:c>
      <x:c r="AB177" s="74" t="str">
        <x:v>0</x:v>
      </x:c>
      <x:c r="AC177" s="74" t="str">
        <x:v>1</x:v>
      </x:c>
      <x:c r="AD177" s="74" t="str">
        <x:v>0</x:v>
      </x:c>
      <x:c r="AE177" s="74" t="str">
        <x:v>0</x:v>
      </x:c>
      <x:c r="AF177" s="74" t="str"/>
      <x:c r="AG177" s="74" t="str">
        <x:v>0</x:v>
      </x:c>
      <x:c r="AH177" s="74" t="str">
        <x:v>1</x:v>
      </x:c>
      <x:c r="AI177" s="74" t="str">
        <x:v>1</x:v>
      </x:c>
      <x:c r="AJ177" s="74" t="str">
        <x:v>0</x:v>
      </x:c>
      <x:c r="AK177" s="74" t="str">
        <x:v>1</x:v>
      </x:c>
      <x:c r="AL177" s="74" t="str">
        <x:v>0</x:v>
      </x:c>
      <x:c r="AM177" s="74" t="str">
        <x:v>1</x:v>
      </x:c>
      <x:c r="AN177" s="74" t="str">
        <x:v>0</x:v>
      </x:c>
      <x:c r="AO177" s="60" t="str">
        <x:v>2026</x:v>
      </x:c>
      <x:c r="AP177" s="76" t="str">
        <x:v>Project/gallery proof found; no embedded homepage video found</x:v>
      </x:c>
      <x:c r="AQ177" s="76" t="str">
        <x:v>project/gallery proof; testimonials; visible service offer; no embedded homepage video detected</x:v>
      </x:c>
      <x:c r="AR177" s="76" t="str">
        <x:v>I found project/gallery proof on Clean Verde Exterior Pros's site that could be repackaged into short-form ad concepts.</x:v>
      </x:c>
      <x:c r="AS177" s="76" t="str">
        <x:v>storm-to-inspection before/after ad</x:v>
      </x:c>
      <x:c r="AT177" s="76" t="str">
        <x:v>Clean Verde Exterior Pros ad concept</x:v>
      </x:c>
      <x:c r="AU177" s="76" t="str">
        <x:v>Hi Ed — I found project/gallery proof on Clean Verde Exterior Pros's site that could be repackaged into short-form ad concepts. I mapped a private 15-second storm-to-inspection before/after ad for Clean Verde Exterior Pros using only public brand context—not for publishing, just to show the angle. We build three client-approved video ad concepts in seven days, then turn the winners into fresh variations. No filming day required. Worth sending the private sample?</x:v>
      </x:c>
      <x:c r="AV177" s="76" t="str">
        <x:v>Quick follow-up: the sample angle is a storm-to-inspection before/after ad. If it misses the mark, no problem—I won't keep chasing. Should I send it?</x:v>
      </x:c>
      <x:c r="AW177" s="76" t="str">
        <x:v>Hi Ed, Ryan here. I was looking at Clean Verde Exterior Pros's public marketing and noticed: project/gallery proof found; no embedded homepage video found. I mapped one private storm-to-inspection before/after ad as an example. Did I catch you with 30 seconds?</x:v>
      </x:c>
      <x:c r="AX177" s="60" t="str">
        <x:v>https://www.facebook.com/ads/library/?active_status=active&amp;ad_type=all&amp;country=US&amp;q=Clean%20Verde%20Exterior%20Pros&amp;search_type=keyword_unordered</x:v>
      </x:c>
      <x:c r="AY177" s="60" t="str">
        <x:v>ok:200</x:v>
      </x:c>
      <x:c r="AZ177" s="60" t="n">
        <x:v>46232.722858796296</x:v>
      </x:c>
      <x:c r="BA177" s="60" t="str">
        <x:v>AI Ark SC trades export</x:v>
      </x:c>
      <x:c r="BB177" s="60" t="str">
        <x:v>https://cleanverde.com | https://www.linkedin.com/company/clean-verde-exterior-pros</x:v>
      </x:c>
      <x:c r="BC177" s="60" t="str"/>
    </x:row>
    <x:row r="178" ht="18" customHeight="1">
      <x:c r="A178" s="70" t="str">
        <x:v>177</x:v>
      </x:c>
      <x:c r="B178" s="70" t="str">
        <x:v>B - Strong</x:v>
      </x:c>
      <x:c r="C178" s="72" t="str">
        <x:v>63</x:v>
      </x:c>
      <x:c r="D178" s="60" t="str">
        <x:v>We Coat Commercial Roofing</x:v>
      </x:c>
      <x:c r="E178" s="60" t="str">
        <x:v>https://webuildclt.com</x:v>
      </x:c>
      <x:c r="F178" s="60" t="str">
        <x:v>https://webuildclt.com</x:v>
      </x:c>
      <x:c r="G178" s="60" t="str">
        <x:v>Fort Mill</x:v>
      </x:c>
      <x:c r="H178" s="60" t="str">
        <x:v>South Carolina</x:v>
      </x:c>
      <x:c r="I178" s="60" t="str">
        <x:v>Roofing</x:v>
      </x:c>
      <x:c r="J178" s="60" t="str">
        <x:v>Joseph</x:v>
      </x:c>
      <x:c r="K178" s="60" t="str">
        <x:v>Sherlock</x:v>
      </x:c>
      <x:c r="L178" s="60" t="str">
        <x:v>Co-Owner</x:v>
      </x:c>
      <x:c r="M178" s="60" t="str">
        <x:v>sherlock@webuildclt.com</x:v>
      </x:c>
      <x:c r="N178" s="60" t="str">
        <x:v>Verified with BounceBan on 08 Jun 26 12:07</x:v>
      </x:c>
      <x:c r="O178" s="60" t="str">
        <x:v>+1 484 678 0322</x:v>
      </x:c>
      <x:c r="P178" s="60" t="str">
        <x:v>https://www.linkedin.com/in/joseph-sherlock-a43a4653</x:v>
      </x:c>
      <x:c r="Q178" s="60" t="str">
        <x:v>2-10</x:v>
      </x:c>
      <x:c r="R178" s="60" t="str">
        <x:v>100000-499999</x:v>
      </x:c>
      <x:c r="S178" s="60" t="str"/>
      <x:c r="T178" s="74" t="str">
        <x:v>0</x:v>
      </x:c>
      <x:c r="U178" s="60" t="str"/>
      <x:c r="V178" s="74" t="str">
        <x:v>28</x:v>
      </x:c>
      <x:c r="W178" s="74" t="str">
        <x:v>0</x:v>
      </x:c>
      <x:c r="X178" s="74" t="str">
        <x:v>10</x:v>
      </x:c>
      <x:c r="Y178" s="74" t="str">
        <x:v>15</x:v>
      </x:c>
      <x:c r="Z178" s="74" t="str">
        <x:v>10</x:v>
      </x:c>
      <x:c r="AA178" s="74" t="str">
        <x:v>0</x:v>
      </x:c>
      <x:c r="AB178" s="74" t="str">
        <x:v>0</x:v>
      </x:c>
      <x:c r="AC178" s="74" t="str">
        <x:v>0</x:v>
      </x:c>
      <x:c r="AD178" s="74" t="str">
        <x:v>0</x:v>
      </x:c>
      <x:c r="AE178" s="74" t="str">
        <x:v>0</x:v>
      </x:c>
      <x:c r="AF178" s="74" t="str"/>
      <x:c r="AG178" s="74" t="str">
        <x:v>0</x:v>
      </x:c>
      <x:c r="AH178" s="74" t="str">
        <x:v>1</x:v>
      </x:c>
      <x:c r="AI178" s="74" t="str">
        <x:v>1</x:v>
      </x:c>
      <x:c r="AJ178" s="74" t="str">
        <x:v>1</x:v>
      </x:c>
      <x:c r="AK178" s="74" t="str">
        <x:v>1</x:v>
      </x:c>
      <x:c r="AL178" s="74" t="str">
        <x:v>0</x:v>
      </x:c>
      <x:c r="AM178" s="74" t="str">
        <x:v>1</x:v>
      </x:c>
      <x:c r="AN178" s="74" t="str">
        <x:v>0</x:v>
      </x:c>
      <x:c r="AO178" s="60" t="str">
        <x:v>2026</x:v>
      </x:c>
      <x:c r="AP178" s="76" t="str">
        <x:v>Project/gallery proof found; no embedded homepage video found</x:v>
      </x:c>
      <x:c r="AQ178" s="76" t="str">
        <x:v>project/gallery proof; testimonials; financing; visible service offer; no embedded homepage video detected</x:v>
      </x:c>
      <x:c r="AR178" s="76" t="str">
        <x:v>I found project/gallery proof on We Coat Commercial Roofing's site that could be repackaged into short-form ad concepts.</x:v>
      </x:c>
      <x:c r="AS178" s="76" t="str">
        <x:v>storm-to-inspection before/after ad</x:v>
      </x:c>
      <x:c r="AT178" s="76" t="str">
        <x:v>We Coat Commercial Roofing ad concept</x:v>
      </x:c>
      <x:c r="AU178" s="76" t="str">
        <x:v>Hi Joseph — I found project/gallery proof on We Coat Commercial Roofing's site that could be repackaged into short-form ad concepts. I mapped a private 15-second storm-to-inspection before/after ad for We Coat Commercial Roofing using only public brand context—not for publishing, just to show the angle. We build three client-approved video ad concepts in seven days, then turn the winners into fresh variations. No filming day required. Worth sending the private sample?</x:v>
      </x:c>
      <x:c r="AV178" s="76" t="str">
        <x:v>Quick follow-up: the sample angle is a storm-to-inspection before/after ad. If it misses the mark, no problem—I won't keep chasing. Should I send it?</x:v>
      </x:c>
      <x:c r="AW178" s="76" t="str">
        <x:v>Hi Joseph, Ryan here. I was looking at We Coat Commercial Roofing's public marketing and noticed: project/gallery proof found; no embedded homepage video found. I mapped one private storm-to-inspection before/after ad as an example. Did I catch you with 30 seconds?</x:v>
      </x:c>
      <x:c r="AX178" s="60" t="str">
        <x:v>https://www.facebook.com/ads/library/?active_status=active&amp;ad_type=all&amp;country=US&amp;q=We%20Coat%20Commercial%20Roofing&amp;search_type=keyword_unordered</x:v>
      </x:c>
      <x:c r="AY178" s="60" t="str">
        <x:v>ok:200</x:v>
      </x:c>
      <x:c r="AZ178" s="60" t="n">
        <x:v>46232.722858796296</x:v>
      </x:c>
      <x:c r="BA178" s="60" t="str">
        <x:v>AI Ark SC trades export</x:v>
      </x:c>
      <x:c r="BB178" s="60" t="str">
        <x:v>https://webuildclt.com | https://www.linkedin.com/company/we-coat-commercial-roofing</x:v>
      </x:c>
      <x:c r="BC178" s="60" t="str"/>
    </x:row>
    <x:row r="179" ht="18" customHeight="1">
      <x:c r="A179" s="70" t="str">
        <x:v>178</x:v>
      </x:c>
      <x:c r="B179" s="70" t="str">
        <x:v>B - Strong</x:v>
      </x:c>
      <x:c r="C179" s="72" t="str">
        <x:v>62</x:v>
      </x:c>
      <x:c r="D179" s="60" t="str">
        <x:v>Thornton Land Surveying</x:v>
      </x:c>
      <x:c r="E179" s="60" t="str">
        <x:v>https://thorntonls.com</x:v>
      </x:c>
      <x:c r="F179" s="60" t="str">
        <x:v>https://www.thorntonls.com/</x:v>
      </x:c>
      <x:c r="G179" s="60" t="str">
        <x:v>Gaffney</x:v>
      </x:c>
      <x:c r="H179" s="60" t="str">
        <x:v>South Carolina</x:v>
      </x:c>
      <x:c r="I179" s="60" t="str">
        <x:v>General Contractor</x:v>
      </x:c>
      <x:c r="J179" s="60" t="str">
        <x:v>Kevin</x:v>
      </x:c>
      <x:c r="K179" s="60" t="str">
        <x:v>Thornton</x:v>
      </x:c>
      <x:c r="L179" s="60" t="str">
        <x:v>owner</x:v>
      </x:c>
      <x:c r="M179" s="60" t="str"/>
      <x:c r="N179" s="60" t="str"/>
      <x:c r="O179" s="60" t="str">
        <x:v>+1 864 488 3078</x:v>
      </x:c>
      <x:c r="P179" s="60" t="str">
        <x:v>https://www.linkedin.com/in/kevin-thornton-24134130</x:v>
      </x:c>
      <x:c r="Q179" s="60" t="str">
        <x:v>2-10</x:v>
      </x:c>
      <x:c r="R179" s="60" t="str">
        <x:v>100000-499999</x:v>
      </x:c>
      <x:c r="S179" s="60" t="str"/>
      <x:c r="T179" s="74" t="str">
        <x:v>0</x:v>
      </x:c>
      <x:c r="U179" s="60" t="str"/>
      <x:c r="V179" s="74" t="str">
        <x:v>20</x:v>
      </x:c>
      <x:c r="W179" s="74" t="str">
        <x:v>21</x:v>
      </x:c>
      <x:c r="X179" s="74" t="str">
        <x:v>16</x:v>
      </x:c>
      <x:c r="Y179" s="74" t="str">
        <x:v>0</x:v>
      </x:c>
      <x:c r="Z179" s="74" t="str">
        <x:v>5</x:v>
      </x:c>
      <x:c r="AA179" s="74" t="str">
        <x:v>0</x:v>
      </x:c>
      <x:c r="AB179" s="74" t="str">
        <x:v>1</x:v>
      </x:c>
      <x:c r="AC179" s="74" t="str">
        <x:v>1</x:v>
      </x:c>
      <x:c r="AD179" s="74" t="str">
        <x:v>0</x:v>
      </x:c>
      <x:c r="AE179" s="74" t="str">
        <x:v>1</x:v>
      </x:c>
      <x:c r="AF179" s="74" t="str"/>
      <x:c r="AG179" s="74" t="str">
        <x:v>0</x:v>
      </x:c>
      <x:c r="AH179" s="74" t="str">
        <x:v>0</x:v>
      </x:c>
      <x:c r="AI179" s="74" t="str">
        <x:v>0</x:v>
      </x:c>
      <x:c r="AJ179" s="74" t="str">
        <x:v>0</x:v>
      </x:c>
      <x:c r="AK179" s="74" t="str">
        <x:v>0</x:v>
      </x:c>
      <x:c r="AL179" s="74" t="str">
        <x:v>0</x:v>
      </x:c>
      <x:c r="AM179" s="74" t="str">
        <x:v>1</x:v>
      </x:c>
      <x:c r="AN179" s="74" t="str">
        <x:v>0</x:v>
      </x:c>
      <x:c r="AO179" s="60" t="str">
        <x:v>2026</x:v>
      </x:c>
      <x:c r="AP179" s="76" t="str">
        <x:v>Google Ads tag detected; no embedded homepage video found</x:v>
      </x:c>
      <x:c r="AQ179" s="76" t="str">
        <x:v>Google Ads tag; call tracking; no embedded homepage video detected</x:v>
      </x:c>
      <x:c r="AR179" s="76" t="str">
        <x:v>I noticed Thornton Land Surveying's site has a Google Ads tag installed, but I couldn't find an embedded video on the homepage.</x:v>
      </x:c>
      <x:c r="AS179" s="76" t="str">
        <x:v>project walkthrough with proof milestones</x:v>
      </x:c>
      <x:c r="AT179" s="76" t="str">
        <x:v>Thornton Land Surveying ad concept</x:v>
      </x:c>
      <x:c r="AU179" s="76" t="str">
        <x:v>Hi Kevin — I noticed Thornton Land Surveying's site has a Google Ads tag installed, but I couldn't find an embedded video on the homepage. I mapped a private 15-second project walkthrough with proof milestones for Thornton Land Surveying using only public brand context—not for publishing, just to show the angle. We build three client-approved video ad concepts in seven days, then turn the winners into fresh variations. No filming day required. Worth sending the private sample?</x:v>
      </x:c>
      <x:c r="AV179" s="76" t="str">
        <x:v>Quick follow-up: the sample angle is a project walkthrough with proof milestones. If it misses the mark, no problem—I won't keep chasing. Should I send it?</x:v>
      </x:c>
      <x:c r="AW179" s="76" t="str">
        <x:v>Hi Kevin, Ryan here. I was looking at Thornton Land Surveying's public marketing and noticed: google ads tag detected; no embedded homepage video found. I mapped one private project walkthrough with proof milestones as an example. Did I catch you with 30 seconds?</x:v>
      </x:c>
      <x:c r="AX179" s="60" t="str">
        <x:v>https://www.facebook.com/ads/library/?active_status=active&amp;ad_type=all&amp;country=US&amp;q=Thornton%20Land%20Surveying&amp;search_type=keyword_unordered</x:v>
      </x:c>
      <x:c r="AY179" s="60" t="str">
        <x:v>ok:200</x:v>
      </x:c>
      <x:c r="AZ179" s="60" t="n">
        <x:v>46232.722858796296</x:v>
      </x:c>
      <x:c r="BA179" s="60" t="str">
        <x:v>AI Ark SC trades export</x:v>
      </x:c>
      <x:c r="BB179" s="60" t="str">
        <x:v>https://thorntonls.com | https://www.linkedin.com/company/thornton-land-surveying</x:v>
      </x:c>
      <x:c r="BC179" s="60" t="str"/>
    </x:row>
    <x:row r="180" ht="18" customHeight="1">
      <x:c r="A180" s="70" t="str">
        <x:v>179</x:v>
      </x:c>
      <x:c r="B180" s="70" t="str">
        <x:v>B - Strong</x:v>
      </x:c>
      <x:c r="C180" s="72" t="str">
        <x:v>62</x:v>
      </x:c>
      <x:c r="D180" s="60" t="str">
        <x:v>Five Star Plumbing Heating Cooling</x:v>
      </x:c>
      <x:c r="E180" s="60" t="str">
        <x:v>https://fivestartoday.com</x:v>
      </x:c>
      <x:c r="F180" s="60" t="str">
        <x:v>https://www.fivestartoday.com/</x:v>
      </x:c>
      <x:c r="G180" s="60" t="str">
        <x:v>Spartanburg</x:v>
      </x:c>
      <x:c r="H180" s="60" t="str">
        <x:v>South Carolina</x:v>
      </x:c>
      <x:c r="I180" s="60" t="str">
        <x:v>HVAC</x:v>
      </x:c>
      <x:c r="J180" s="60" t="str">
        <x:v>Five Star Plumbing Heating Cooling</x:v>
      </x:c>
      <x:c r="K180" s="60" t="str"/>
      <x:c r="L180" s="60" t="str">
        <x:v>Owner / decision maker to verify</x:v>
      </x:c>
      <x:c r="M180" s="60" t="str"/>
      <x:c r="N180" s="60" t="str"/>
      <x:c r="O180" s="60" t="str">
        <x:v>(864) 306-4898</x:v>
      </x:c>
      <x:c r="P180" s="60" t="str"/>
      <x:c r="Q180" s="60" t="str"/>
      <x:c r="R180" s="60" t="str"/>
      <x:c r="S180" s="60" t="str">
        <x:v>4.7</x:v>
      </x:c>
      <x:c r="T180" s="74" t="str">
        <x:v>217</x:v>
      </x:c>
      <x:c r="U180" s="60" t="str">
        <x:v>scheduling, slow_response</x:v>
      </x:c>
      <x:c r="V180" s="74" t="str">
        <x:v>28</x:v>
      </x:c>
      <x:c r="W180" s="74" t="str">
        <x:v>18</x:v>
      </x:c>
      <x:c r="X180" s="74" t="str">
        <x:v>2</x:v>
      </x:c>
      <x:c r="Y180" s="74" t="str">
        <x:v>9</x:v>
      </x:c>
      <x:c r="Z180" s="74" t="str">
        <x:v>5</x:v>
      </x:c>
      <x:c r="AA180" s="74" t="str">
        <x:v>1</x:v>
      </x:c>
      <x:c r="AB180" s="74" t="str">
        <x:v>0</x:v>
      </x:c>
      <x:c r="AC180" s="74" t="str">
        <x:v>1</x:v>
      </x:c>
      <x:c r="AD180" s="74" t="str">
        <x:v>0</x:v>
      </x:c>
      <x:c r="AE180" s="74" t="str">
        <x:v>0</x:v>
      </x:c>
      <x:c r="AF180" s="74" t="str">
        <x:v>servicetitan</x:v>
      </x:c>
      <x:c r="AG180" s="74" t="str">
        <x:v>1</x:v>
      </x:c>
      <x:c r="AH180" s="74" t="str">
        <x:v>0</x:v>
      </x:c>
      <x:c r="AI180" s="74" t="str">
        <x:v>0</x:v>
      </x:c>
      <x:c r="AJ180" s="74" t="str">
        <x:v>1</x:v>
      </x:c>
      <x:c r="AK180" s="74" t="str">
        <x:v>1</x:v>
      </x:c>
      <x:c r="AL180" s="74" t="str">
        <x:v>1</x:v>
      </x:c>
      <x:c r="AM180" s="74" t="str">
        <x:v>1</x:v>
      </x:c>
      <x:c r="AN180" s="74" t="str">
        <x:v>1</x:v>
      </x:c>
      <x:c r="AO180" s="60" t="str">
        <x:v>2026</x:v>
      </x:c>
      <x:c r="AP180" s="76" t="str">
        <x:v>Paid-demand technology detected; creative refresh hypothesis</x:v>
      </x:c>
      <x:c r="AQ180" s="76" t="str">
        <x:v>Meta Pixel; financing; visible service offer</x:v>
      </x:c>
      <x:c r="AR180" s="76" t="str">
        <x:v>I was reviewing hvac companies in Spartanburg, South Carolina and Five Star Plumbing Heating Cooling looked like a strong fit for a creative test.</x:v>
      </x:c>
      <x:c r="AS180" s="76" t="str">
        <x:v>no-cool-call to same-day comfort ad</x:v>
      </x:c>
      <x:c r="AT180" s="76" t="str">
        <x:v>Five Star Plumbing Heating Cooling ad concept</x:v>
      </x:c>
      <x:c r="AU180" s="76" t="str">
        <x:v>Hi Five Star Plumbing Heating Cooling — I was reviewing hvac companies in Spartanburg, South Carolina and Five Star Plumbing Heating Cooling looked like a strong fit for a creative test. I mapped a private 15-second no-cool-call to same-day comfort ad for Five Star Plumbing Heating Cooling using only public brand context—not for publishing, just to show the angle. We build three client-approved video ad concepts in seven days, then turn the winners into fresh variations. No filming day required. Worth sending the private sample?</x:v>
      </x:c>
      <x:c r="AV180" s="76" t="str">
        <x:v>Quick follow-up: the sample angle is a no-cool-call to same-day comfort ad. If it misses the mark, no problem—I won't keep chasing. Should I send it?</x:v>
      </x:c>
      <x:c r="AW180" s="76" t="str">
        <x:v>Hi Five Star Plumbing Heating Cooling, Ryan here. I was looking at Five Star Plumbing Heating Cooling's public marketing and noticed: paid-demand technology detected; creative refresh hypothesis. I mapped one private no-cool-call to same-day comfort ad as an example. Did I catch you with 30 seconds?</x:v>
      </x:c>
      <x:c r="AX180" s="60" t="str">
        <x:v>https://www.facebook.com/ads/library/?active_status=active&amp;ad_type=all&amp;country=US&amp;q=Five%20Star%20Plumbing%20Heating%20Cooling&amp;search_type=keyword_unordered</x:v>
      </x:c>
      <x:c r="AY180" s="60" t="str">
        <x:v>ok:200</x:v>
      </x:c>
      <x:c r="AZ180" s="60" t="n">
        <x:v>46232.722858796296</x:v>
      </x:c>
      <x:c r="BA180" s="60" t="str">
        <x:v>Google Maps home-services export</x:v>
      </x:c>
      <x:c r="BB180" s="60" t="str">
        <x:v>https://fivestartoday.com | https://maps.google.com/?cid=11520373104996336584&amp;g_mp=Cidnb29nbGUubWFwcy5wbGFjZXMudjEuUGxhY2VzLlNlYXJjaFRleHQQAhgEIAA</x:v>
      </x:c>
      <x:c r="BC180" s="60" t="str"/>
    </x:row>
    <x:row r="181" ht="18" customHeight="1">
      <x:c r="A181" s="70" t="str">
        <x:v>180</x:v>
      </x:c>
      <x:c r="B181" s="70" t="str">
        <x:v>B - Strong</x:v>
      </x:c>
      <x:c r="C181" s="72" t="str">
        <x:v>62</x:v>
      </x:c>
      <x:c r="D181" s="60" t="str">
        <x:v>Full Spectrum Plumbing Services</x:v>
      </x:c>
      <x:c r="E181" s="60" t="str">
        <x:v>https://fullspectrumplumbingllc.com</x:v>
      </x:c>
      <x:c r="F181" s="60" t="str">
        <x:v>https://fullspectrumplumbingllc.com</x:v>
      </x:c>
      <x:c r="G181" s="60" t="str">
        <x:v>Rock Hill</x:v>
      </x:c>
      <x:c r="H181" s="60" t="str">
        <x:v>South Carolina</x:v>
      </x:c>
      <x:c r="I181" s="60" t="str">
        <x:v>Plumbing</x:v>
      </x:c>
      <x:c r="J181" s="60" t="str">
        <x:v>Full Spectrum Plumbing Services</x:v>
      </x:c>
      <x:c r="K181" s="60" t="str"/>
      <x:c r="L181" s="60" t="str">
        <x:v>Owner / decision maker to verify</x:v>
      </x:c>
      <x:c r="M181" s="60" t="str"/>
      <x:c r="N181" s="60" t="str"/>
      <x:c r="O181" s="60" t="str">
        <x:v>(980) 550-5035</x:v>
      </x:c>
      <x:c r="P181" s="60" t="str"/>
      <x:c r="Q181" s="60" t="str"/>
      <x:c r="R181" s="60" t="str"/>
      <x:c r="S181" s="60" t="str">
        <x:v>5</x:v>
      </x:c>
      <x:c r="T181" s="74" t="str">
        <x:v>26</x:v>
      </x:c>
      <x:c r="U181" s="60" t="str"/>
      <x:c r="V181" s="74" t="str">
        <x:v>20</x:v>
      </x:c>
      <x:c r="W181" s="74" t="str">
        <x:v>18</x:v>
      </x:c>
      <x:c r="X181" s="74" t="str">
        <x:v>12</x:v>
      </x:c>
      <x:c r="Y181" s="74" t="str">
        <x:v>7</x:v>
      </x:c>
      <x:c r="Z181" s="74" t="str">
        <x:v>5</x:v>
      </x:c>
      <x:c r="AA181" s="74" t="str">
        <x:v>1</x:v>
      </x:c>
      <x:c r="AB181" s="74" t="str">
        <x:v>0</x:v>
      </x:c>
      <x:c r="AC181" s="74" t="str">
        <x:v>1</x:v>
      </x:c>
      <x:c r="AD181" s="74" t="str">
        <x:v>0</x:v>
      </x:c>
      <x:c r="AE181" s="74" t="str">
        <x:v>0</x:v>
      </x:c>
      <x:c r="AF181" s="74" t="str">
        <x:v>servicetitan</x:v>
      </x:c>
      <x:c r="AG181" s="74" t="str">
        <x:v>0</x:v>
      </x:c>
      <x:c r="AH181" s="74" t="str">
        <x:v>0</x:v>
      </x:c>
      <x:c r="AI181" s="74" t="str">
        <x:v>1</x:v>
      </x:c>
      <x:c r="AJ181" s="74" t="str">
        <x:v>0</x:v>
      </x:c>
      <x:c r="AK181" s="74" t="str">
        <x:v>1</x:v>
      </x:c>
      <x:c r="AL181" s="74" t="str">
        <x:v>1</x:v>
      </x:c>
      <x:c r="AM181" s="74" t="str">
        <x:v>1</x:v>
      </x:c>
      <x:c r="AN181" s="74" t="str">
        <x:v>0</x:v>
      </x:c>
      <x:c r="AO181" s="60" t="str">
        <x:v>2026</x:v>
      </x:c>
      <x:c r="AP181" s="76" t="str">
        <x:v>Meta tracking detected; no embedded homepage video found</x:v>
      </x:c>
      <x:c r="AQ181" s="76" t="str">
        <x:v>Meta Pixel; testimonials; visible service offer; no embedded homepage video detected</x:v>
      </x:c>
      <x:c r="AR181" s="76" t="str">
        <x:v>I noticed Full Spectrum Plumbing Services's site has Meta tracking installed, but I couldn't find an embedded video on the homepage.</x:v>
      </x:c>
      <x:c r="AS181" s="76" t="str">
        <x:v>small symptom to prevented-emergency ad</x:v>
      </x:c>
      <x:c r="AT181" s="76" t="str">
        <x:v>Full Spectrum Plumbing Services ad concept</x:v>
      </x:c>
      <x:c r="AU181" s="76" t="str">
        <x:v>Hi Full Spectrum Plumbing Services — I noticed Full Spectrum Plumbing Services's site has Meta tracking installed, but I couldn't find an embedded video on the homepage. I mapped a private 15-second small symptom to prevented-emergency ad for Full Spectrum Plumbing Services using only public brand context—not for publishing, just to show the angle. We build three client-approved video ad concepts in seven days, then turn the winners into fresh variations. No filming day required. Worth sending the private sample?</x:v>
      </x:c>
      <x:c r="AV181" s="76" t="str">
        <x:v>Quick follow-up: the sample angle is a small symptom to prevented-emergency ad. If it misses the mark, no problem—I won't keep chasing. Should I send it?</x:v>
      </x:c>
      <x:c r="AW181" s="76" t="str">
        <x:v>Hi Full Spectrum Plumbing Services, Ryan here. I was looking at Full Spectrum Plumbing Services's public marketing and noticed: meta tracking detected; no embedded homepage video found. I mapped one private small symptom to prevented-emergency ad as an example. Did I catch you with 30 seconds?</x:v>
      </x:c>
      <x:c r="AX181" s="60" t="str">
        <x:v>https://www.facebook.com/ads/library/?active_status=active&amp;ad_type=all&amp;country=US&amp;q=Full%20Spectrum%20Plumbing%20Services&amp;search_type=keyword_unordered</x:v>
      </x:c>
      <x:c r="AY181" s="60" t="str">
        <x:v>ok:200</x:v>
      </x:c>
      <x:c r="AZ181" s="60" t="n">
        <x:v>46232.722858796296</x:v>
      </x:c>
      <x:c r="BA181" s="60" t="str">
        <x:v>Google Maps home-services export</x:v>
      </x:c>
      <x:c r="BB181" s="60" t="str">
        <x:v>https://fullspectrumplumbingllc.com | https://maps.google.com/?cid=6726791505150873746&amp;g_mp=Cidnb29nbGUubWFwcy5wbGFjZXMudjEuUGxhY2VzLlNlYXJjaFRleHQQAhgEIAA</x:v>
      </x:c>
      <x:c r="BC181" s="60" t="str"/>
    </x:row>
    <x:row r="182" ht="18" customHeight="1">
      <x:c r="A182" s="70" t="str">
        <x:v>181</x:v>
      </x:c>
      <x:c r="B182" s="70" t="str">
        <x:v>B - Strong</x:v>
      </x:c>
      <x:c r="C182" s="72" t="str">
        <x:v>62</x:v>
      </x:c>
      <x:c r="D182" s="60" t="str">
        <x:v>Rooter-Man</x:v>
      </x:c>
      <x:c r="E182" s="60" t="str">
        <x:v>https://rooterman.com</x:v>
      </x:c>
      <x:c r="F182" s="60" t="str">
        <x:v>https://www.rooterman.com/</x:v>
      </x:c>
      <x:c r="G182" s="60" t="str">
        <x:v>Charleston</x:v>
      </x:c>
      <x:c r="H182" s="60" t="str">
        <x:v>South Carolina</x:v>
      </x:c>
      <x:c r="I182" s="60" t="str">
        <x:v>Plumbing</x:v>
      </x:c>
      <x:c r="J182" s="60" t="str">
        <x:v>Celeste</x:v>
      </x:c>
      <x:c r="K182" s="60" t="str">
        <x:v>Huggins</x:v>
      </x:c>
      <x:c r="L182" s="60" t="str">
        <x:v>co-owner</x:v>
      </x:c>
      <x:c r="M182" s="60" t="str"/>
      <x:c r="N182" s="60" t="str"/>
      <x:c r="O182" s="60" t="str">
        <x:v>+1 843 455 9370</x:v>
      </x:c>
      <x:c r="P182" s="60" t="str">
        <x:v>https://www.linkedin.com/in/celeste-huggins-4a507217</x:v>
      </x:c>
      <x:c r="Q182" s="60" t="str">
        <x:v>501-1000</x:v>
      </x:c>
      <x:c r="R182" s="60" t="str">
        <x:v>1000000-4999999</x:v>
      </x:c>
      <x:c r="S182" s="60" t="str"/>
      <x:c r="T182" s="74" t="str">
        <x:v>0</x:v>
      </x:c>
      <x:c r="U182" s="60" t="str"/>
      <x:c r="V182" s="74" t="str">
        <x:v>24</x:v>
      </x:c>
      <x:c r="W182" s="74" t="str">
        <x:v>18</x:v>
      </x:c>
      <x:c r="X182" s="74" t="str">
        <x:v>12</x:v>
      </x:c>
      <x:c r="Y182" s="74" t="str">
        <x:v>3</x:v>
      </x:c>
      <x:c r="Z182" s="74" t="str">
        <x:v>5</x:v>
      </x:c>
      <x:c r="AA182" s="74" t="str">
        <x:v>1</x:v>
      </x:c>
      <x:c r="AB182" s="74" t="str">
        <x:v>0</x:v>
      </x:c>
      <x:c r="AC182" s="74" t="str">
        <x:v>1</x:v>
      </x:c>
      <x:c r="AD182" s="74" t="str">
        <x:v>0</x:v>
      </x:c>
      <x:c r="AE182" s="74" t="str">
        <x:v>0</x:v>
      </x:c>
      <x:c r="AF182" s="74" t="str">
        <x:v>servicetitan</x:v>
      </x:c>
      <x:c r="AG182" s="74" t="str">
        <x:v>0</x:v>
      </x:c>
      <x:c r="AH182" s="74" t="str">
        <x:v>0</x:v>
      </x:c>
      <x:c r="AI182" s="74" t="str">
        <x:v>0</x:v>
      </x:c>
      <x:c r="AJ182" s="74" t="str">
        <x:v>0</x:v>
      </x:c>
      <x:c r="AK182" s="74" t="str">
        <x:v>1</x:v>
      </x:c>
      <x:c r="AL182" s="74" t="str">
        <x:v>1</x:v>
      </x:c>
      <x:c r="AM182" s="74" t="str">
        <x:v>1</x:v>
      </x:c>
      <x:c r="AN182" s="74" t="str">
        <x:v>1</x:v>
      </x:c>
      <x:c r="AO182" s="60" t="str">
        <x:v>2026</x:v>
      </x:c>
      <x:c r="AP182" s="76" t="str">
        <x:v>Meta tracking detected; no embedded homepage video found</x:v>
      </x:c>
      <x:c r="AQ182" s="76" t="str">
        <x:v>Meta Pixel; visible service offer; no embedded homepage video detected</x:v>
      </x:c>
      <x:c r="AR182" s="76" t="str">
        <x:v>I noticed Rooter-Man's site has Meta tracking installed, but I couldn't find an embedded video on the homepage.</x:v>
      </x:c>
      <x:c r="AS182" s="76" t="str">
        <x:v>small symptom to prevented-emergency ad</x:v>
      </x:c>
      <x:c r="AT182" s="76" t="str">
        <x:v>Rooter-Man ad concept</x:v>
      </x:c>
      <x:c r="AU182" s="76" t="str">
        <x:v>Hi Celeste — I noticed Rooter-Man's site has Meta tracking installed, but I couldn't find an embedded video on the homepage. I mapped a private 15-second small symptom to prevented-emergency ad for Rooter-Man using only public brand context—not for publishing, just to show the angle. We build three client-approved video ad concepts in seven days, then turn the winners into fresh variations. No filming day required. Worth sending the private sample?</x:v>
      </x:c>
      <x:c r="AV182" s="76" t="str">
        <x:v>Quick follow-up: the sample angle is a small symptom to prevented-emergency ad. If it misses the mark, no problem—I won't keep chasing. Should I send it?</x:v>
      </x:c>
      <x:c r="AW182" s="76" t="str">
        <x:v>Hi Celeste, Ryan here. I was looking at Rooter-Man's public marketing and noticed: meta tracking detected; no embedded homepage video found. I mapped one private small symptom to prevented-emergency ad as an example. Did I catch you with 30 seconds?</x:v>
      </x:c>
      <x:c r="AX182" s="60" t="str">
        <x:v>https://www.facebook.com/ads/library/?active_status=active&amp;ad_type=all&amp;country=US&amp;q=Rooter-Man&amp;search_type=keyword_unordered</x:v>
      </x:c>
      <x:c r="AY182" s="60" t="str">
        <x:v>ok:200</x:v>
      </x:c>
      <x:c r="AZ182" s="60" t="n">
        <x:v>46232.722858796296</x:v>
      </x:c>
      <x:c r="BA182" s="60" t="str">
        <x:v>AI Ark SC trades export</x:v>
      </x:c>
      <x:c r="BB182" s="60" t="str">
        <x:v>https://rooterman.com | https://www.linkedin.com/company/rooter-man</x:v>
      </x:c>
      <x:c r="BC182" s="60" t="str"/>
    </x:row>
    <x:row r="183" ht="18" customHeight="1">
      <x:c r="A183" s="70" t="str">
        <x:v>182</x:v>
      </x:c>
      <x:c r="B183" s="70" t="str">
        <x:v>B - Strong</x:v>
      </x:c>
      <x:c r="C183" s="72" t="str">
        <x:v>62</x:v>
      </x:c>
      <x:c r="D183" s="60" t="str">
        <x:v>Calluna Cleaning</x:v>
      </x:c>
      <x:c r="E183" s="60" t="str">
        <x:v>https://callunacleaning.com</x:v>
      </x:c>
      <x:c r="F183" s="60" t="str">
        <x:v>https://callunacleaning.com</x:v>
      </x:c>
      <x:c r="G183" s="60" t="str">
        <x:v>Anderson</x:v>
      </x:c>
      <x:c r="H183" s="60" t="str">
        <x:v>South Carolina</x:v>
      </x:c>
      <x:c r="I183" s="60" t="str">
        <x:v>General Contractor</x:v>
      </x:c>
      <x:c r="J183" s="60" t="str">
        <x:v>Heather</x:v>
      </x:c>
      <x:c r="K183" s="60" t="str">
        <x:v>Siders</x:v>
      </x:c>
      <x:c r="L183" s="60" t="str">
        <x:v>Owner</x:v>
      </x:c>
      <x:c r="M183" s="60" t="str">
        <x:v>heather@callunacleaning.com</x:v>
      </x:c>
      <x:c r="N183" s="60" t="str">
        <x:v>Verified with BounceBan on 08 Jun 26 12:06</x:v>
      </x:c>
      <x:c r="O183" s="60" t="str"/>
      <x:c r="P183" s="60" t="str">
        <x:v>https://www.linkedin.com/in/heather-siders-179308306</x:v>
      </x:c>
      <x:c r="Q183" s="60" t="str">
        <x:v>11-50</x:v>
      </x:c>
      <x:c r="R183" s="60" t="str">
        <x:v>0-99999</x:v>
      </x:c>
      <x:c r="S183" s="60" t="str"/>
      <x:c r="T183" s="74" t="str">
        <x:v>0</x:v>
      </x:c>
      <x:c r="U183" s="60" t="str"/>
      <x:c r="V183" s="74" t="str">
        <x:v>23</x:v>
      </x:c>
      <x:c r="W183" s="74" t="str">
        <x:v>15</x:v>
      </x:c>
      <x:c r="X183" s="74" t="str">
        <x:v>12</x:v>
      </x:c>
      <x:c r="Y183" s="74" t="str">
        <x:v>5</x:v>
      </x:c>
      <x:c r="Z183" s="74" t="str">
        <x:v>7</x:v>
      </x:c>
      <x:c r="AA183" s="74" t="str">
        <x:v>1</x:v>
      </x:c>
      <x:c r="AB183" s="74" t="str">
        <x:v>0</x:v>
      </x:c>
      <x:c r="AC183" s="74" t="str">
        <x:v>1</x:v>
      </x:c>
      <x:c r="AD183" s="74" t="str">
        <x:v>0</x:v>
      </x:c>
      <x:c r="AE183" s="74" t="str">
        <x:v>0</x:v>
      </x:c>
      <x:c r="AF183" s="74" t="str"/>
      <x:c r="AG183" s="74" t="str">
        <x:v>0</x:v>
      </x:c>
      <x:c r="AH183" s="74" t="str">
        <x:v>1</x:v>
      </x:c>
      <x:c r="AI183" s="74" t="str">
        <x:v>0</x:v>
      </x:c>
      <x:c r="AJ183" s="74" t="str">
        <x:v>0</x:v>
      </x:c>
      <x:c r="AK183" s="74" t="str">
        <x:v>0</x:v>
      </x:c>
      <x:c r="AL183" s="74" t="str">
        <x:v>1</x:v>
      </x:c>
      <x:c r="AM183" s="74" t="str">
        <x:v>1</x:v>
      </x:c>
      <x:c r="AN183" s="74" t="str">
        <x:v>0</x:v>
      </x:c>
      <x:c r="AO183" s="60" t="str">
        <x:v>0</x:v>
      </x:c>
      <x:c r="AP183" s="76" t="str">
        <x:v>Meta tracking detected; no embedded homepage video found</x:v>
      </x:c>
      <x:c r="AQ183" s="76" t="str">
        <x:v>Meta Pixel; project/gallery proof; no embedded homepage video detected</x:v>
      </x:c>
      <x:c r="AR183" s="76" t="str">
        <x:v>I noticed Calluna Cleaning's site has Meta tracking installed, but I couldn't find an embedded video on the homepage.</x:v>
      </x:c>
      <x:c r="AS183" s="76" t="str">
        <x:v>project walkthrough with proof milestones</x:v>
      </x:c>
      <x:c r="AT183" s="76" t="str">
        <x:v>Calluna Cleaning ad concept</x:v>
      </x:c>
      <x:c r="AU183" s="76" t="str">
        <x:v>Hi Heather — I noticed Calluna Cleaning's site has Meta tracking installed, but I couldn't find an embedded video on the homepage. I mapped a private 15-second project walkthrough with proof milestones for Calluna Cleaning using only public brand context—not for publishing, just to show the angle. We build three client-approved video ad concepts in seven days, then turn the winners into fresh variations. No filming day required. Worth sending the private sample?</x:v>
      </x:c>
      <x:c r="AV183" s="76" t="str">
        <x:v>Quick follow-up: the sample angle is a project walkthrough with proof milestones. If it misses the mark, no problem—I won't keep chasing. Should I send it?</x:v>
      </x:c>
      <x:c r="AW183" s="76" t="str">
        <x:v>Hi Heather, Ryan here. I was looking at Calluna Cleaning's public marketing and noticed: meta tracking detected; no embedded homepage video found. I mapped one private project walkthrough with proof milestones as an example. Did I catch you with 30 seconds?</x:v>
      </x:c>
      <x:c r="AX183" s="60" t="str">
        <x:v>https://www.facebook.com/ads/library/?active_status=active&amp;ad_type=all&amp;country=US&amp;q=Calluna%20Cleaning&amp;search_type=keyword_unordered</x:v>
      </x:c>
      <x:c r="AY183" s="60" t="str">
        <x:v>ok:200</x:v>
      </x:c>
      <x:c r="AZ183" s="60" t="n">
        <x:v>46232.722858796296</x:v>
      </x:c>
      <x:c r="BA183" s="60" t="str">
        <x:v>AI Ark SC trades export</x:v>
      </x:c>
      <x:c r="BB183" s="60" t="str">
        <x:v>https://callunacleaning.com | https://www.linkedin.com/company/calluna-cleaning</x:v>
      </x:c>
      <x:c r="BC183" s="60" t="str"/>
    </x:row>
    <x:row r="184" ht="18" customHeight="1">
      <x:c r="A184" s="70" t="str">
        <x:v>183</x:v>
      </x:c>
      <x:c r="B184" s="70" t="str">
        <x:v>B - Strong</x:v>
      </x:c>
      <x:c r="C184" s="72" t="str">
        <x:v>62</x:v>
      </x:c>
      <x:c r="D184" s="60" t="str">
        <x:v>Blue Haven Pools &amp; Spas | Offices Coast to Coast</x:v>
      </x:c>
      <x:c r="E184" s="60" t="str">
        <x:v>https://bluehaven.com</x:v>
      </x:c>
      <x:c r="F184" s="60" t="str">
        <x:v>https://www.bluehaven.com/</x:v>
      </x:c>
      <x:c r="G184" s="60" t="str">
        <x:v>North Charleston</x:v>
      </x:c>
      <x:c r="H184" s="60" t="str">
        <x:v>South Carolina</x:v>
      </x:c>
      <x:c r="I184" s="60" t="str">
        <x:v>Remodeling</x:v>
      </x:c>
      <x:c r="J184" s="60" t="str">
        <x:v>Dave</x:v>
      </x:c>
      <x:c r="K184" s="60" t="str">
        <x:v>Peppin</x:v>
      </x:c>
      <x:c r="L184" s="60" t="str">
        <x:v>Owner</x:v>
      </x:c>
      <x:c r="M184" s="60" t="str">
        <x:v>dpeppin@bluehaven.com</x:v>
      </x:c>
      <x:c r="N184" s="60" t="str">
        <x:v>Verified with BounceBan on 07 Jun 26 16:20</x:v>
      </x:c>
      <x:c r="O184" s="60" t="str">
        <x:v>+1 843 296 6052, +1 843 200 5286</x:v>
      </x:c>
      <x:c r="P184" s="60" t="str">
        <x:v>https://www.linkedin.com/in/dave-peppin-19365761</x:v>
      </x:c>
      <x:c r="Q184" s="60" t="str">
        <x:v>201-500</x:v>
      </x:c>
      <x:c r="R184" s="60" t="str">
        <x:v>10000000-24999999</x:v>
      </x:c>
      <x:c r="S184" s="60" t="str"/>
      <x:c r="T184" s="74" t="str">
        <x:v>0</x:v>
      </x:c>
      <x:c r="U184" s="60" t="str"/>
      <x:c r="V184" s="74" t="str">
        <x:v>30</x:v>
      </x:c>
      <x:c r="W184" s="74" t="str">
        <x:v>15</x:v>
      </x:c>
      <x:c r="X184" s="74" t="str">
        <x:v>4</x:v>
      </x:c>
      <x:c r="Y184" s="74" t="str">
        <x:v>3</x:v>
      </x:c>
      <x:c r="Z184" s="74" t="str">
        <x:v>10</x:v>
      </x:c>
      <x:c r="AA184" s="74" t="str">
        <x:v>1</x:v>
      </x:c>
      <x:c r="AB184" s="74" t="str">
        <x:v>0</x:v>
      </x:c>
      <x:c r="AC184" s="74" t="str">
        <x:v>1</x:v>
      </x:c>
      <x:c r="AD184" s="74" t="str">
        <x:v>0</x:v>
      </x:c>
      <x:c r="AE184" s="74" t="str">
        <x:v>0</x:v>
      </x:c>
      <x:c r="AF184" s="74" t="str"/>
      <x:c r="AG184" s="74" t="str">
        <x:v>1</x:v>
      </x:c>
      <x:c r="AH184" s="74" t="str">
        <x:v>0</x:v>
      </x:c>
      <x:c r="AI184" s="74" t="str">
        <x:v>0</x:v>
      </x:c>
      <x:c r="AJ184" s="74" t="str">
        <x:v>0</x:v>
      </x:c>
      <x:c r="AK184" s="74" t="str">
        <x:v>1</x:v>
      </x:c>
      <x:c r="AL184" s="74" t="str">
        <x:v>0</x:v>
      </x:c>
      <x:c r="AM184" s="74" t="str">
        <x:v>1</x:v>
      </x:c>
      <x:c r="AN184" s="74" t="str">
        <x:v>0</x:v>
      </x:c>
      <x:c r="AO184" s="60" t="str">
        <x:v>0</x:v>
      </x:c>
      <x:c r="AP184" s="76" t="str">
        <x:v>Paid-demand technology detected; creative refresh hypothesis</x:v>
      </x:c>
      <x:c r="AQ184" s="76" t="str">
        <x:v>Meta Pixel; visible service offer</x:v>
      </x:c>
      <x:c r="AR184" s="76" t="str">
        <x:v>I was reviewing remodeling companies in North Charleston, South Carolina and Blue Haven Pools &amp; Spas | Offices Coast to Coast looked like a strong fit for a creative test.</x:v>
      </x:c>
      <x:c r="AS184" s="76" t="str">
        <x:v>project reveal with budget-and-timeline proof</x:v>
      </x:c>
      <x:c r="AT184" s="76" t="str">
        <x:v>Blue Haven Pools &amp; Spas | Offices Coast to Coast ad concept</x:v>
      </x:c>
      <x:c r="AU184" s="76" t="str">
        <x:v>Hi Dave — I was reviewing remodeling companies in North Charleston, South Carolina and Blue Haven Pools &amp; Spas | Offices Coast to Coast looked like a strong fit for a creative test. I mapped a private 15-second project reveal with budget-and-timeline proof for Blue Haven Pools &amp; Spas | Offices Coast to Coast using only public brand context—not for publishing, just to show the angle. We build three client-approved video ad concepts in seven days, then turn the winners into fresh variations. No filming day required. Worth sending the private sample?</x:v>
      </x:c>
      <x:c r="AV184" s="76" t="str">
        <x:v>Quick follow-up: the sample angle is a project reveal with budget-and-timeline proof. If it misses the mark, no problem—I won't keep chasing. Should I send it?</x:v>
      </x:c>
      <x:c r="AW184" s="76" t="str">
        <x:v>Hi Dave, Ryan here. I was looking at Blue Haven Pools &amp; Spas | Offices Coast to Coast's public marketing and noticed: paid-demand technology detected; creative refresh hypothesis. I mapped one private project reveal with budget-and-timeline proof as an example. Did I catch you with 30 seconds?</x:v>
      </x:c>
      <x:c r="AX184" s="60" t="str">
        <x:v>https://www.facebook.com/ads/library/?active_status=active&amp;ad_type=all&amp;country=US&amp;q=Blue%20Haven%20Pools%20%26%20Spas%20%7C%20Offices%20Coast%20to%20Coast&amp;search_type=keyword_unordered</x:v>
      </x:c>
      <x:c r="AY184" s="60" t="str">
        <x:v>ok:200</x:v>
      </x:c>
      <x:c r="AZ184" s="60" t="n">
        <x:v>46232.722858796296</x:v>
      </x:c>
      <x:c r="BA184" s="60" t="str">
        <x:v>AI Ark SC trades export</x:v>
      </x:c>
      <x:c r="BB184" s="60" t="str">
        <x:v>https://bluehaven.com | https://www.linkedin.com/company/blue-haven-pools-&amp;-spas</x:v>
      </x:c>
      <x:c r="BC184" s="60" t="str"/>
    </x:row>
    <x:row r="185" ht="18" customHeight="1">
      <x:c r="A185" s="70" t="str">
        <x:v>184</x:v>
      </x:c>
      <x:c r="B185" s="70" t="str">
        <x:v>B - Strong</x:v>
      </x:c>
      <x:c r="C185" s="72" t="str">
        <x:v>62</x:v>
      </x:c>
      <x:c r="D185" s="60" t="str">
        <x:v>Skylift Garage Doors</x:v>
      </x:c>
      <x:c r="E185" s="60" t="str">
        <x:v>https://skyliftgaragedoors.com</x:v>
      </x:c>
      <x:c r="F185" s="60" t="str">
        <x:v>https://skyliftgaragedoors.com</x:v>
      </x:c>
      <x:c r="G185" s="60" t="str">
        <x:v>Myrtle Beach</x:v>
      </x:c>
      <x:c r="H185" s="60" t="str">
        <x:v>South Carolina</x:v>
      </x:c>
      <x:c r="I185" s="60" t="str">
        <x:v>Garage Doors</x:v>
      </x:c>
      <x:c r="J185" s="60" t="str">
        <x:v>Skylift Garage Doors</x:v>
      </x:c>
      <x:c r="K185" s="60" t="str"/>
      <x:c r="L185" s="60" t="str">
        <x:v>Owner / decision maker to verify</x:v>
      </x:c>
      <x:c r="M185" s="60" t="str"/>
      <x:c r="N185" s="60" t="str"/>
      <x:c r="O185" s="60" t="str">
        <x:v>(843) 438-5699</x:v>
      </x:c>
      <x:c r="P185" s="60" t="str"/>
      <x:c r="Q185" s="60" t="str"/>
      <x:c r="R185" s="60" t="str"/>
      <x:c r="S185" s="60" t="str">
        <x:v>4.9</x:v>
      </x:c>
      <x:c r="T185" s="74" t="str">
        <x:v>346</x:v>
      </x:c>
      <x:c r="U185" s="60" t="str"/>
      <x:c r="V185" s="74" t="str">
        <x:v>25</x:v>
      </x:c>
      <x:c r="W185" s="74" t="str">
        <x:v>14</x:v>
      </x:c>
      <x:c r="X185" s="74" t="str">
        <x:v>12</x:v>
      </x:c>
      <x:c r="Y185" s="74" t="str">
        <x:v>6</x:v>
      </x:c>
      <x:c r="Z185" s="74" t="str">
        <x:v>5</x:v>
      </x:c>
      <x:c r="AA185" s="74" t="str">
        <x:v>0</x:v>
      </x:c>
      <x:c r="AB185" s="74" t="str">
        <x:v>0</x:v>
      </x:c>
      <x:c r="AC185" s="74" t="str">
        <x:v>1</x:v>
      </x:c>
      <x:c r="AD185" s="74" t="str">
        <x:v>0</x:v>
      </x:c>
      <x:c r="AE185" s="74" t="str">
        <x:v>1</x:v>
      </x:c>
      <x:c r="AF185" s="74" t="str">
        <x:v>servicetitan</x:v>
      </x:c>
      <x:c r="AG185" s="74" t="str">
        <x:v>0</x:v>
      </x:c>
      <x:c r="AH185" s="74" t="str">
        <x:v>0</x:v>
      </x:c>
      <x:c r="AI185" s="74" t="str">
        <x:v>0</x:v>
      </x:c>
      <x:c r="AJ185" s="74" t="str">
        <x:v>0</x:v>
      </x:c>
      <x:c r="AK185" s="74" t="str">
        <x:v>1</x:v>
      </x:c>
      <x:c r="AL185" s="74" t="str">
        <x:v>1</x:v>
      </x:c>
      <x:c r="AM185" s="74" t="str">
        <x:v>1</x:v>
      </x:c>
      <x:c r="AN185" s="74" t="str">
        <x:v>0</x:v>
      </x:c>
      <x:c r="AO185" s="60" t="str">
        <x:v>2026</x:v>
      </x:c>
      <x:c r="AP185" s="76" t="str">
        <x:v>Call-tracking stack detected; no embedded homepage video found</x:v>
      </x:c>
      <x:c r="AQ185" s="76" t="str">
        <x:v>call tracking; visible service offer; no embedded homepage video detected</x:v>
      </x:c>
      <x:c r="AR185" s="76" t="str">
        <x:v>I noticed Skylift Garage Doors has call tracking in place, but I couldn't find an embedded video on the homepage.</x:v>
      </x:c>
      <x:c r="AS185" s="76" t="str">
        <x:v>curb-appeal transformation ad</x:v>
      </x:c>
      <x:c r="AT185" s="76" t="str">
        <x:v>Skylift Garage Doors ad concept</x:v>
      </x:c>
      <x:c r="AU185" s="76" t="str">
        <x:v>Hi Skylift Garage Doors — I noticed Skylift Garage Doors has call tracking in place, but I couldn't find an embedded video on the homepage. I mapped a private 15-second curb-appeal transformation ad for Skylift Garage Doors using only public brand context—not for publishing, just to show the angle. We build three client-approved video ad concepts in seven days, then turn the winners into fresh variations. No filming day required. Worth sending the private sample?</x:v>
      </x:c>
      <x:c r="AV185" s="76" t="str">
        <x:v>Quick follow-up: the sample angle is a curb-appeal transformation ad. If it misses the mark, no problem—I won't keep chasing. Should I send it?</x:v>
      </x:c>
      <x:c r="AW185" s="76" t="str">
        <x:v>Hi Skylift Garage Doors, Ryan here. I was looking at Skylift Garage Doors's public marketing and noticed: call-tracking stack detected; no embedded homepage video found. I mapped one private curb-appeal transformation ad as an example. Did I catch you with 30 seconds?</x:v>
      </x:c>
      <x:c r="AX185" s="60" t="str">
        <x:v>https://www.facebook.com/ads/library/?active_status=active&amp;ad_type=all&amp;country=US&amp;q=Skylift%20Garage%20Doors&amp;search_type=keyword_unordered</x:v>
      </x:c>
      <x:c r="AY185" s="60" t="str">
        <x:v>ok:200</x:v>
      </x:c>
      <x:c r="AZ185" s="60" t="n">
        <x:v>46232.722858796296</x:v>
      </x:c>
      <x:c r="BA185" s="60" t="str">
        <x:v>Google Maps home-services export</x:v>
      </x:c>
      <x:c r="BB185" s="60" t="str">
        <x:v>https://maps.google.com/?cid=1270386759850916453&amp;g_mp=Cidnb29nbGUubWFwcy5wbGFjZXMudjEuUGxhY2VzLlNlYXJjaFRleHQQAhgEIAA | https://skyliftgaragedoors.com</x:v>
      </x:c>
      <x:c r="BC185" s="60" t="str"/>
    </x:row>
    <x:row r="186" ht="18" customHeight="1">
      <x:c r="A186" s="70" t="str">
        <x:v>185</x:v>
      </x:c>
      <x:c r="B186" s="70" t="str">
        <x:v>B - Strong</x:v>
      </x:c>
      <x:c r="C186" s="72" t="str">
        <x:v>62</x:v>
      </x:c>
      <x:c r="D186" s="60" t="str">
        <x:v>Charleston Custom Shutters</x:v>
      </x:c>
      <x:c r="E186" s="60" t="str">
        <x:v>https://charlestoncustomshutters.com</x:v>
      </x:c>
      <x:c r="F186" s="60" t="str">
        <x:v>https://charlestoncustomshutters.com</x:v>
      </x:c>
      <x:c r="G186" s="60" t="str">
        <x:v>Charleston</x:v>
      </x:c>
      <x:c r="H186" s="60" t="str">
        <x:v>South Carolina</x:v>
      </x:c>
      <x:c r="I186" s="60" t="str">
        <x:v>Windows &amp; Doors</x:v>
      </x:c>
      <x:c r="J186" s="60" t="str">
        <x:v>Todd</x:v>
      </x:c>
      <x:c r="K186" s="60" t="str">
        <x:v>Potter</x:v>
      </x:c>
      <x:c r="L186" s="60" t="str">
        <x:v>Owner</x:v>
      </x:c>
      <x:c r="M186" s="60" t="str">
        <x:v>todd@charlestoncustomshutters.com</x:v>
      </x:c>
      <x:c r="N186" s="60" t="str">
        <x:v>Verified with BounceBan on 08 Jun 26 12:06</x:v>
      </x:c>
      <x:c r="O186" s="60" t="str">
        <x:v>+1 703 615 3543, +1 703 497 0144</x:v>
      </x:c>
      <x:c r="P186" s="60" t="str">
        <x:v>https://www.linkedin.com/in/toddbpotter</x:v>
      </x:c>
      <x:c r="Q186" s="60" t="str">
        <x:v>2-10</x:v>
      </x:c>
      <x:c r="R186" s="60" t="str">
        <x:v>100000-499999</x:v>
      </x:c>
      <x:c r="S186" s="60" t="str"/>
      <x:c r="T186" s="74" t="str">
        <x:v>0</x:v>
      </x:c>
      <x:c r="U186" s="60" t="str"/>
      <x:c r="V186" s="74" t="str">
        <x:v>26</x:v>
      </x:c>
      <x:c r="W186" s="74" t="str">
        <x:v>13</x:v>
      </x:c>
      <x:c r="X186" s="74" t="str">
        <x:v>4</x:v>
      </x:c>
      <x:c r="Y186" s="74" t="str">
        <x:v>9</x:v>
      </x:c>
      <x:c r="Z186" s="74" t="str">
        <x:v>10</x:v>
      </x:c>
      <x:c r="AA186" s="74" t="str">
        <x:v>0</x:v>
      </x:c>
      <x:c r="AB186" s="74" t="str">
        <x:v>1</x:v>
      </x:c>
      <x:c r="AC186" s="74" t="str">
        <x:v>1</x:v>
      </x:c>
      <x:c r="AD186" s="74" t="str">
        <x:v>0</x:v>
      </x:c>
      <x:c r="AE186" s="74" t="str">
        <x:v>0</x:v>
      </x:c>
      <x:c r="AF186" s="74" t="str"/>
      <x:c r="AG186" s="74" t="str">
        <x:v>1</x:v>
      </x:c>
      <x:c r="AH186" s="74" t="str">
        <x:v>1</x:v>
      </x:c>
      <x:c r="AI186" s="74" t="str">
        <x:v>1</x:v>
      </x:c>
      <x:c r="AJ186" s="74" t="str">
        <x:v>0</x:v>
      </x:c>
      <x:c r="AK186" s="74" t="str">
        <x:v>0</x:v>
      </x:c>
      <x:c r="AL186" s="74" t="str">
        <x:v>0</x:v>
      </x:c>
      <x:c r="AM186" s="74" t="str">
        <x:v>0</x:v>
      </x:c>
      <x:c r="AN186" s="74" t="str">
        <x:v>0</x:v>
      </x:c>
      <x:c r="AO186" s="60" t="str">
        <x:v>0</x:v>
      </x:c>
      <x:c r="AP186" s="76" t="str">
        <x:v>Paid-demand technology detected; creative refresh hypothesis</x:v>
      </x:c>
      <x:c r="AQ186" s="76" t="str">
        <x:v>Google Ads tag; project/gallery proof; testimonials</x:v>
      </x:c>
      <x:c r="AR186" s="76" t="str">
        <x:v>I was reviewing windows &amp; doors companies in Charleston, South Carolina and Charleston Custom Shutters looked like a strong fit for a creative test.</x:v>
      </x:c>
      <x:c r="AS186" s="76" t="str">
        <x:v>energy-loss to installed-window transformation ad</x:v>
      </x:c>
      <x:c r="AT186" s="76" t="str">
        <x:v>Charleston Custom Shutters ad concept</x:v>
      </x:c>
      <x:c r="AU186" s="76" t="str">
        <x:v>Hi Todd — I was reviewing windows &amp; doors companies in Charleston, South Carolina and Charleston Custom Shutters looked like a strong fit for a creative test. I mapped a private 15-second energy-loss to installed-window transformation ad for Charleston Custom Shutters using only public brand context—not for publishing, just to show the angle. We build three client-approved video ad concepts in seven days, then turn the winners into fresh variations. No filming day required. Worth sending the private sample?</x:v>
      </x:c>
      <x:c r="AV186" s="76" t="str">
        <x:v>Quick follow-up: the sample angle is a energy-loss to installed-window transformation ad. If it misses the mark, no problem—I won't keep chasing. Should I send it?</x:v>
      </x:c>
      <x:c r="AW186" s="76" t="str">
        <x:v>Hi Todd, Ryan here. I was looking at Charleston Custom Shutters's public marketing and noticed: paid-demand technology detected; creative refresh hypothesis. I mapped one private energy-loss to installed-window transformation ad as an example. Did I catch you with 30 seconds?</x:v>
      </x:c>
      <x:c r="AX186" s="60" t="str">
        <x:v>https://www.facebook.com/ads/library/?active_status=active&amp;ad_type=all&amp;country=US&amp;q=Charleston%20Custom%20Shutters&amp;search_type=keyword_unordered</x:v>
      </x:c>
      <x:c r="AY186" s="60" t="str">
        <x:v>ok:200</x:v>
      </x:c>
      <x:c r="AZ186" s="60" t="n">
        <x:v>46232.722858796296</x:v>
      </x:c>
      <x:c r="BA186" s="60" t="str">
        <x:v>AI Ark SC trades export</x:v>
      </x:c>
      <x:c r="BB186" s="60" t="str">
        <x:v>https://charlestoncustomshutters.com | https://www.linkedin.com/company/charleston-custom-shutters</x:v>
      </x:c>
      <x:c r="BC186" s="60" t="str"/>
    </x:row>
    <x:row r="187" ht="18" customHeight="1">
      <x:c r="A187" s="70" t="str">
        <x:v>186</x:v>
      </x:c>
      <x:c r="B187" s="70" t="str">
        <x:v>B - Strong</x:v>
      </x:c>
      <x:c r="C187" s="72" t="str">
        <x:v>62</x:v>
      </x:c>
      <x:c r="D187" s="60" t="str">
        <x:v>H2O PROS Plumbing</x:v>
      </x:c>
      <x:c r="E187" s="60" t="str">
        <x:v>https://yourh2opros.com</x:v>
      </x:c>
      <x:c r="F187" s="60" t="str">
        <x:v>https://yourh20pros.com/</x:v>
      </x:c>
      <x:c r="G187" s="60" t="str">
        <x:v>Myrtle Beach</x:v>
      </x:c>
      <x:c r="H187" s="60" t="str">
        <x:v>South Carolina</x:v>
      </x:c>
      <x:c r="I187" s="60" t="str">
        <x:v>Plumbing</x:v>
      </x:c>
      <x:c r="J187" s="60" t="str">
        <x:v>H2O PROS Plumbing</x:v>
      </x:c>
      <x:c r="K187" s="60" t="str"/>
      <x:c r="L187" s="60" t="str">
        <x:v>Owner / decision maker to verify</x:v>
      </x:c>
      <x:c r="M187" s="60" t="str"/>
      <x:c r="N187" s="60" t="str"/>
      <x:c r="O187" s="60" t="str">
        <x:v>(843) 997-2975</x:v>
      </x:c>
      <x:c r="P187" s="60" t="str"/>
      <x:c r="Q187" s="60" t="str"/>
      <x:c r="R187" s="60" t="str"/>
      <x:c r="S187" s="60" t="str">
        <x:v>5</x:v>
      </x:c>
      <x:c r="T187" s="74" t="str">
        <x:v>487</x:v>
      </x:c>
      <x:c r="U187" s="60" t="str"/>
      <x:c r="V187" s="74" t="str">
        <x:v>25</x:v>
      </x:c>
      <x:c r="W187" s="74" t="str">
        <x:v>13</x:v>
      </x:c>
      <x:c r="X187" s="74" t="str">
        <x:v>12</x:v>
      </x:c>
      <x:c r="Y187" s="74" t="str">
        <x:v>7</x:v>
      </x:c>
      <x:c r="Z187" s="74" t="str">
        <x:v>5</x:v>
      </x:c>
      <x:c r="AA187" s="74" t="str">
        <x:v>0</x:v>
      </x:c>
      <x:c r="AB187" s="74" t="str">
        <x:v>1</x:v>
      </x:c>
      <x:c r="AC187" s="74" t="str">
        <x:v>1</x:v>
      </x:c>
      <x:c r="AD187" s="74" t="str">
        <x:v>0</x:v>
      </x:c>
      <x:c r="AE187" s="74" t="str">
        <x:v>0</x:v>
      </x:c>
      <x:c r="AF187" s="74" t="str"/>
      <x:c r="AG187" s="74" t="str">
        <x:v>0</x:v>
      </x:c>
      <x:c r="AH187" s="74" t="str">
        <x:v>0</x:v>
      </x:c>
      <x:c r="AI187" s="74" t="str">
        <x:v>1</x:v>
      </x:c>
      <x:c r="AJ187" s="74" t="str">
        <x:v>0</x:v>
      </x:c>
      <x:c r="AK187" s="74" t="str">
        <x:v>0</x:v>
      </x:c>
      <x:c r="AL187" s="74" t="str">
        <x:v>1</x:v>
      </x:c>
      <x:c r="AM187" s="74" t="str">
        <x:v>1</x:v>
      </x:c>
      <x:c r="AN187" s="74" t="str">
        <x:v>0</x:v>
      </x:c>
      <x:c r="AO187" s="60" t="str">
        <x:v>0</x:v>
      </x:c>
      <x:c r="AP187" s="76" t="str">
        <x:v>Google Ads tag detected; no embedded homepage video found</x:v>
      </x:c>
      <x:c r="AQ187" s="76" t="str">
        <x:v>Google Ads tag; testimonials; no embedded homepage video detected</x:v>
      </x:c>
      <x:c r="AR187" s="76" t="str">
        <x:v>I noticed H2O PROS Plumbing's site has a Google Ads tag installed, but I couldn't find an embedded video on the homepage.</x:v>
      </x:c>
      <x:c r="AS187" s="76" t="str">
        <x:v>small symptom to prevented-emergency ad</x:v>
      </x:c>
      <x:c r="AT187" s="76" t="str">
        <x:v>H2O PROS Plumbing ad concept</x:v>
      </x:c>
      <x:c r="AU187" s="76" t="str">
        <x:v>Hi H2O PROS Plumbing — I noticed H2O PROS Plumbing's site has a Google Ads tag installed, but I couldn't find an embedded video on the homepage. I mapped a private 15-second small symptom to prevented-emergency ad for H2O PROS Plumbing using only public brand context—not for publishing, just to show the angle. We build three client-approved video ad concepts in seven days, then turn the winners into fresh variations. No filming day required. Worth sending the private sample?</x:v>
      </x:c>
      <x:c r="AV187" s="76" t="str">
        <x:v>Quick follow-up: the sample angle is a small symptom to prevented-emergency ad. If it misses the mark, no problem—I won't keep chasing. Should I send it?</x:v>
      </x:c>
      <x:c r="AW187" s="76" t="str">
        <x:v>Hi H2O PROS Plumbing, Ryan here. I was looking at H2O PROS Plumbing's public marketing and noticed: google ads tag detected; no embedded homepage video found. I mapped one private small symptom to prevented-emergency ad as an example. Did I catch you with 30 seconds?</x:v>
      </x:c>
      <x:c r="AX187" s="60" t="str">
        <x:v>https://www.facebook.com/ads/library/?active_status=active&amp;ad_type=all&amp;country=US&amp;q=H2O%20PROS%20Plumbing&amp;search_type=keyword_unordered</x:v>
      </x:c>
      <x:c r="AY187" s="60" t="str">
        <x:v>ok:200</x:v>
      </x:c>
      <x:c r="AZ187" s="60" t="n">
        <x:v>46232.722858796296</x:v>
      </x:c>
      <x:c r="BA187" s="60" t="str">
        <x:v>Google Maps home-services export</x:v>
      </x:c>
      <x:c r="BB187" s="60" t="str">
        <x:v>https://maps.google.com/?cid=13391696385518886868&amp;g_mp=Cidnb29nbGUubWFwcy5wbGFjZXMudjEuUGxhY2VzLlNlYXJjaFRleHQQAhgEIAA | https://yourh2opros.com</x:v>
      </x:c>
      <x:c r="BC187" s="60" t="str"/>
    </x:row>
    <x:row r="188" ht="18" customHeight="1">
      <x:c r="A188" s="70" t="str">
        <x:v>187</x:v>
      </x:c>
      <x:c r="B188" s="70" t="str">
        <x:v>B - Strong</x:v>
      </x:c>
      <x:c r="C188" s="72" t="str">
        <x:v>62</x:v>
      </x:c>
      <x:c r="D188" s="60" t="str">
        <x:v>LM Construction Co, LLC</x:v>
      </x:c>
      <x:c r="E188" s="60" t="str">
        <x:v>https://lmconstructionco.com</x:v>
      </x:c>
      <x:c r="F188" s="60" t="str">
        <x:v>https://www.lmconstructionco.com/</x:v>
      </x:c>
      <x:c r="G188" s="60" t="str">
        <x:v>Charleston</x:v>
      </x:c>
      <x:c r="H188" s="60" t="str">
        <x:v>South Carolina</x:v>
      </x:c>
      <x:c r="I188" s="60" t="str">
        <x:v>General Contractor</x:v>
      </x:c>
      <x:c r="J188" s="60" t="str">
        <x:v>leonardo</x:v>
      </x:c>
      <x:c r="K188" s="60" t="str">
        <x:v>melo</x:v>
      </x:c>
      <x:c r="L188" s="60" t="str">
        <x:v>owner</x:v>
      </x:c>
      <x:c r="M188" s="60" t="str"/>
      <x:c r="N188" s="60" t="str"/>
      <x:c r="O188" s="60" t="str">
        <x:v>+1 702 262 6032</x:v>
      </x:c>
      <x:c r="P188" s="60" t="str">
        <x:v>https://www.linkedin.com/in/leonardo-melo-913549b7</x:v>
      </x:c>
      <x:c r="Q188" s="60" t="str">
        <x:v>11-50</x:v>
      </x:c>
      <x:c r="R188" s="60" t="str">
        <x:v>1000000-4999999</x:v>
      </x:c>
      <x:c r="S188" s="60" t="str"/>
      <x:c r="T188" s="74" t="str">
        <x:v>0</x:v>
      </x:c>
      <x:c r="U188" s="60" t="str"/>
      <x:c r="V188" s="74" t="str">
        <x:v>27</x:v>
      </x:c>
      <x:c r="W188" s="74" t="str">
        <x:v>13</x:v>
      </x:c>
      <x:c r="X188" s="74" t="str">
        <x:v>12</x:v>
      </x:c>
      <x:c r="Y188" s="74" t="str">
        <x:v>5</x:v>
      </x:c>
      <x:c r="Z188" s="74" t="str">
        <x:v>5</x:v>
      </x:c>
      <x:c r="AA188" s="74" t="str">
        <x:v>0</x:v>
      </x:c>
      <x:c r="AB188" s="74" t="str">
        <x:v>1</x:v>
      </x:c>
      <x:c r="AC188" s="74" t="str">
        <x:v>1</x:v>
      </x:c>
      <x:c r="AD188" s="74" t="str">
        <x:v>0</x:v>
      </x:c>
      <x:c r="AE188" s="74" t="str">
        <x:v>0</x:v>
      </x:c>
      <x:c r="AF188" s="74" t="str"/>
      <x:c r="AG188" s="74" t="str">
        <x:v>0</x:v>
      </x:c>
      <x:c r="AH188" s="74" t="str">
        <x:v>1</x:v>
      </x:c>
      <x:c r="AI188" s="74" t="str">
        <x:v>0</x:v>
      </x:c>
      <x:c r="AJ188" s="74" t="str">
        <x:v>0</x:v>
      </x:c>
      <x:c r="AK188" s="74" t="str">
        <x:v>0</x:v>
      </x:c>
      <x:c r="AL188" s="74" t="str">
        <x:v>1</x:v>
      </x:c>
      <x:c r="AM188" s="74" t="str">
        <x:v>1</x:v>
      </x:c>
      <x:c r="AN188" s="74" t="str">
        <x:v>0</x:v>
      </x:c>
      <x:c r="AO188" s="60" t="str">
        <x:v>2026</x:v>
      </x:c>
      <x:c r="AP188" s="76" t="str">
        <x:v>Google Ads tag detected; no embedded homepage video found</x:v>
      </x:c>
      <x:c r="AQ188" s="76" t="str">
        <x:v>Google Ads tag; project/gallery proof; no embedded homepage video detected</x:v>
      </x:c>
      <x:c r="AR188" s="76" t="str">
        <x:v>I noticed LM Construction Co, LLC's site has a Google Ads tag installed, but I couldn't find an embedded video on the homepage.</x:v>
      </x:c>
      <x:c r="AS188" s="76" t="str">
        <x:v>project walkthrough with proof milestones</x:v>
      </x:c>
      <x:c r="AT188" s="76" t="str">
        <x:v>LM Construction Co, LLC ad concept</x:v>
      </x:c>
      <x:c r="AU188" s="76" t="str">
        <x:v>Hi leonardo — I noticed LM Construction Co, LLC's site has a Google Ads tag installed, but I couldn't find an embedded video on the homepage. I mapped a private 15-second project walkthrough with proof milestones for LM Construction Co, LLC using only public brand context—not for publishing, just to show the angle. We build three client-approved video ad concepts in seven days, then turn the winners into fresh variations. No filming day required. Worth sending the private sample?</x:v>
      </x:c>
      <x:c r="AV188" s="76" t="str">
        <x:v>Quick follow-up: the sample angle is a project walkthrough with proof milestones. If it misses the mark, no problem—I won't keep chasing. Should I send it?</x:v>
      </x:c>
      <x:c r="AW188" s="76" t="str">
        <x:v>Hi leonardo, Ryan here. I was looking at LM Construction Co, LLC's public marketing and noticed: google ads tag detected; no embedded homepage video found. I mapped one private project walkthrough with proof milestones as an example. Did I catch you with 30 seconds?</x:v>
      </x:c>
      <x:c r="AX188" s="60" t="str">
        <x:v>https://www.facebook.com/ads/library/?active_status=active&amp;ad_type=all&amp;country=US&amp;q=LM%20Construction%20Co%2C%20LLC&amp;search_type=keyword_unordered</x:v>
      </x:c>
      <x:c r="AY188" s="60" t="str">
        <x:v>ok:200</x:v>
      </x:c>
      <x:c r="AZ188" s="60" t="n">
        <x:v>46232.722858796296</x:v>
      </x:c>
      <x:c r="BA188" s="60" t="str">
        <x:v>AI Ark SC trades export</x:v>
      </x:c>
      <x:c r="BB188" s="60" t="str">
        <x:v>https://lmconstructionco.com | https://www.linkedin.com/company/lm-construction-co-llc</x:v>
      </x:c>
      <x:c r="BC188" s="60" t="str"/>
    </x:row>
    <x:row r="189" ht="18" customHeight="1">
      <x:c r="A189" s="70" t="str">
        <x:v>188</x:v>
      </x:c>
      <x:c r="B189" s="70" t="str">
        <x:v>B - Strong</x:v>
      </x:c>
      <x:c r="C189" s="72" t="str">
        <x:v>62</x:v>
      </x:c>
      <x:c r="D189" s="60" t="str">
        <x:v>Carolina Relining Solutions</x:v>
      </x:c>
      <x:c r="E189" s="60" t="str">
        <x:v>https://crscharleston.com</x:v>
      </x:c>
      <x:c r="F189" s="60" t="str">
        <x:v>https://crscharleston.com</x:v>
      </x:c>
      <x:c r="G189" s="60" t="str">
        <x:v>Charleston County</x:v>
      </x:c>
      <x:c r="H189" s="60" t="str">
        <x:v>South Carolina</x:v>
      </x:c>
      <x:c r="I189" s="60" t="str">
        <x:v>Plumbing</x:v>
      </x:c>
      <x:c r="J189" s="60" t="str">
        <x:v>Warren</x:v>
      </x:c>
      <x:c r="K189" s="60" t="str">
        <x:v>DeHaven</x:v>
      </x:c>
      <x:c r="L189" s="60" t="str">
        <x:v>Owner</x:v>
      </x:c>
      <x:c r="M189" s="60" t="str">
        <x:v>warren@crscharleston.com</x:v>
      </x:c>
      <x:c r="N189" s="60" t="str">
        <x:v>Verified with BounceBan on 08 Jun 26 12:06</x:v>
      </x:c>
      <x:c r="O189" s="60" t="str">
        <x:v>+1 913 689 3952</x:v>
      </x:c>
      <x:c r="P189" s="60" t="str">
        <x:v>https://www.linkedin.com/in/warren-dehaven-55a54293</x:v>
      </x:c>
      <x:c r="Q189" s="60" t="str">
        <x:v>2-10</x:v>
      </x:c>
      <x:c r="R189" s="60" t="str">
        <x:v>0-99999</x:v>
      </x:c>
      <x:c r="S189" s="60" t="str"/>
      <x:c r="T189" s="74" t="str">
        <x:v>0</x:v>
      </x:c>
      <x:c r="U189" s="60" t="str"/>
      <x:c r="V189" s="74" t="str">
        <x:v>23</x:v>
      </x:c>
      <x:c r="W189" s="74" t="str">
        <x:v>13</x:v>
      </x:c>
      <x:c r="X189" s="74" t="str">
        <x:v>12</x:v>
      </x:c>
      <x:c r="Y189" s="74" t="str">
        <x:v>4</x:v>
      </x:c>
      <x:c r="Z189" s="74" t="str">
        <x:v>10</x:v>
      </x:c>
      <x:c r="AA189" s="74" t="str">
        <x:v>0</x:v>
      </x:c>
      <x:c r="AB189" s="74" t="str">
        <x:v>1</x:v>
      </x:c>
      <x:c r="AC189" s="74" t="str">
        <x:v>1</x:v>
      </x:c>
      <x:c r="AD189" s="74" t="str">
        <x:v>0</x:v>
      </x:c>
      <x:c r="AE189" s="74" t="str">
        <x:v>0</x:v>
      </x:c>
      <x:c r="AF189" s="74" t="str"/>
      <x:c r="AG189" s="74" t="str">
        <x:v>0</x:v>
      </x:c>
      <x:c r="AH189" s="74" t="str">
        <x:v>0</x:v>
      </x:c>
      <x:c r="AI189" s="74" t="str">
        <x:v>1</x:v>
      </x:c>
      <x:c r="AJ189" s="74" t="str">
        <x:v>0</x:v>
      </x:c>
      <x:c r="AK189" s="74" t="str">
        <x:v>0</x:v>
      </x:c>
      <x:c r="AL189" s="74" t="str">
        <x:v>1</x:v>
      </x:c>
      <x:c r="AM189" s="74" t="str">
        <x:v>1</x:v>
      </x:c>
      <x:c r="AN189" s="74" t="str">
        <x:v>0</x:v>
      </x:c>
      <x:c r="AO189" s="60" t="str">
        <x:v>2025</x:v>
      </x:c>
      <x:c r="AP189" s="76" t="str">
        <x:v>Google Ads tag detected; no embedded homepage video found</x:v>
      </x:c>
      <x:c r="AQ189" s="76" t="str">
        <x:v>Google Ads tag; testimonials; no embedded homepage video detected</x:v>
      </x:c>
      <x:c r="AR189" s="76" t="str">
        <x:v>I noticed Carolina Relining Solutions's site has a Google Ads tag installed, but I couldn't find an embedded video on the homepage.</x:v>
      </x:c>
      <x:c r="AS189" s="76" t="str">
        <x:v>small symptom to prevented-emergency ad</x:v>
      </x:c>
      <x:c r="AT189" s="76" t="str">
        <x:v>Carolina Relining Solutions ad concept</x:v>
      </x:c>
      <x:c r="AU189" s="76" t="str">
        <x:v>Hi Warren — I noticed Carolina Relining Solutions's site has a Google Ads tag installed, but I couldn't find an embedded video on the homepage. I mapped a private 15-second small symptom to prevented-emergency ad for Carolina Relining Solutions using only public brand context—not for publishing, just to show the angle. We build three client-approved video ad concepts in seven days, then turn the winners into fresh variations. No filming day required. Worth sending the private sample?</x:v>
      </x:c>
      <x:c r="AV189" s="76" t="str">
        <x:v>Quick follow-up: the sample angle is a small symptom to prevented-emergency ad. If it misses the mark, no problem—I won't keep chasing. Should I send it?</x:v>
      </x:c>
      <x:c r="AW189" s="76" t="str">
        <x:v>Hi Warren, Ryan here. I was looking at Carolina Relining Solutions's public marketing and noticed: google ads tag detected; no embedded homepage video found. I mapped one private small symptom to prevented-emergency ad as an example. Did I catch you with 30 seconds?</x:v>
      </x:c>
      <x:c r="AX189" s="60" t="str">
        <x:v>https://www.facebook.com/ads/library/?active_status=active&amp;ad_type=all&amp;country=US&amp;q=Carolina%20Relining%20Solutions&amp;search_type=keyword_unordered</x:v>
      </x:c>
      <x:c r="AY189" s="60" t="str">
        <x:v>ok:200</x:v>
      </x:c>
      <x:c r="AZ189" s="60" t="n">
        <x:v>46232.722858796296</x:v>
      </x:c>
      <x:c r="BA189" s="60" t="str">
        <x:v>AI Ark SC trades export</x:v>
      </x:c>
      <x:c r="BB189" s="60" t="str">
        <x:v>https://crscharleston.com | https://www.linkedin.com/company/carolina-relining-solutions</x:v>
      </x:c>
      <x:c r="BC189" s="60" t="str"/>
    </x:row>
    <x:row r="190" ht="18" customHeight="1">
      <x:c r="A190" s="70" t="str">
        <x:v>189</x:v>
      </x:c>
      <x:c r="B190" s="70" t="str">
        <x:v>B - Strong</x:v>
      </x:c>
      <x:c r="C190" s="72" t="str">
        <x:v>62</x:v>
      </x:c>
      <x:c r="D190" s="60" t="str">
        <x:v>Tidey Up Charleston</x:v>
      </x:c>
      <x:c r="E190" s="60" t="str">
        <x:v>https://tideyupcharleston.com</x:v>
      </x:c>
      <x:c r="F190" s="60" t="str">
        <x:v>https://tideyupcharleston.com</x:v>
      </x:c>
      <x:c r="G190" s="60" t="str">
        <x:v>Charleston</x:v>
      </x:c>
      <x:c r="H190" s="60" t="str">
        <x:v>South Carolina Metropolitan Area</x:v>
      </x:c>
      <x:c r="I190" s="60" t="str">
        <x:v>General Contractor</x:v>
      </x:c>
      <x:c r="J190" s="60" t="str">
        <x:v>Stephen</x:v>
      </x:c>
      <x:c r="K190" s="60" t="str">
        <x:v>Graves</x:v>
      </x:c>
      <x:c r="L190" s="60" t="str">
        <x:v>Owner/President</x:v>
      </x:c>
      <x:c r="M190" s="60" t="str">
        <x:v>stephen@tideyupcharleston.com</x:v>
      </x:c>
      <x:c r="N190" s="60" t="str">
        <x:v>Verified with BounceBan on 08 Jun 26 12:06</x:v>
      </x:c>
      <x:c r="O190" s="60" t="str">
        <x:v>+1 843 437 8934, +1 770 547 2401</x:v>
      </x:c>
      <x:c r="P190" s="60" t="str">
        <x:v>https://www.linkedin.com/in/stephen-graves-b44b6b57</x:v>
      </x:c>
      <x:c r="Q190" s="60" t="str">
        <x:v>11-50</x:v>
      </x:c>
      <x:c r="R190" s="60" t="str">
        <x:v>0-99999</x:v>
      </x:c>
      <x:c r="S190" s="60" t="str"/>
      <x:c r="T190" s="74" t="str">
        <x:v>0</x:v>
      </x:c>
      <x:c r="U190" s="60" t="str"/>
      <x:c r="V190" s="74" t="str">
        <x:v>23</x:v>
      </x:c>
      <x:c r="W190" s="74" t="str">
        <x:v>13</x:v>
      </x:c>
      <x:c r="X190" s="74" t="str">
        <x:v>16</x:v>
      </x:c>
      <x:c r="Y190" s="74" t="str">
        <x:v>0</x:v>
      </x:c>
      <x:c r="Z190" s="74" t="str">
        <x:v>10</x:v>
      </x:c>
      <x:c r="AA190" s="74" t="str">
        <x:v>0</x:v>
      </x:c>
      <x:c r="AB190" s="74" t="str">
        <x:v>1</x:v>
      </x:c>
      <x:c r="AC190" s="74" t="str">
        <x:v>1</x:v>
      </x:c>
      <x:c r="AD190" s="74" t="str">
        <x:v>0</x:v>
      </x:c>
      <x:c r="AE190" s="74" t="str">
        <x:v>0</x:v>
      </x:c>
      <x:c r="AF190" s="74" t="str"/>
      <x:c r="AG190" s="74" t="str">
        <x:v>0</x:v>
      </x:c>
      <x:c r="AH190" s="74" t="str">
        <x:v>0</x:v>
      </x:c>
      <x:c r="AI190" s="74" t="str">
        <x:v>0</x:v>
      </x:c>
      <x:c r="AJ190" s="74" t="str">
        <x:v>0</x:v>
      </x:c>
      <x:c r="AK190" s="74" t="str">
        <x:v>0</x:v>
      </x:c>
      <x:c r="AL190" s="74" t="str">
        <x:v>0</x:v>
      </x:c>
      <x:c r="AM190" s="74" t="str">
        <x:v>0</x:v>
      </x:c>
      <x:c r="AN190" s="74" t="str">
        <x:v>0</x:v>
      </x:c>
      <x:c r="AO190" s="60" t="str">
        <x:v>2026</x:v>
      </x:c>
      <x:c r="AP190" s="76" t="str">
        <x:v>Google Ads tag detected; no embedded homepage video found</x:v>
      </x:c>
      <x:c r="AQ190" s="76" t="str">
        <x:v>Google Ads tag; no embedded homepage video detected</x:v>
      </x:c>
      <x:c r="AR190" s="76" t="str">
        <x:v>I noticed Tidey Up Charleston's site has a Google Ads tag installed, but I couldn't find an embedded video on the homepage.</x:v>
      </x:c>
      <x:c r="AS190" s="76" t="str">
        <x:v>project walkthrough with proof milestones</x:v>
      </x:c>
      <x:c r="AT190" s="76" t="str">
        <x:v>Tidey Up Charleston ad concept</x:v>
      </x:c>
      <x:c r="AU190" s="76" t="str">
        <x:v>Hi Stephen — I noticed Tidey Up Charleston's site has a Google Ads tag installed, but I couldn't find an embedded video on the homepage. I mapped a private 15-second project walkthrough with proof milestones for Tidey Up Charleston using only public brand context—not for publishing, just to show the angle. We build three client-approved video ad concepts in seven days, then turn the winners into fresh variations. No filming day required. Worth sending the private sample?</x:v>
      </x:c>
      <x:c r="AV190" s="76" t="str">
        <x:v>Quick follow-up: the sample angle is a project walkthrough with proof milestones. If it misses the mark, no problem—I won't keep chasing. Should I send it?</x:v>
      </x:c>
      <x:c r="AW190" s="76" t="str">
        <x:v>Hi Stephen, Ryan here. I was looking at Tidey Up Charleston's public marketing and noticed: google ads tag detected; no embedded homepage video found. I mapped one private project walkthrough with proof milestones as an example. Did I catch you with 30 seconds?</x:v>
      </x:c>
      <x:c r="AX190" s="60" t="str">
        <x:v>https://www.facebook.com/ads/library/?active_status=active&amp;ad_type=all&amp;country=US&amp;q=Tidey%20Up%20Charleston&amp;search_type=keyword_unordered</x:v>
      </x:c>
      <x:c r="AY190" s="60" t="str">
        <x:v>ok:200</x:v>
      </x:c>
      <x:c r="AZ190" s="60" t="n">
        <x:v>46232.722858796296</x:v>
      </x:c>
      <x:c r="BA190" s="60" t="str">
        <x:v>AI Ark SC trades export</x:v>
      </x:c>
      <x:c r="BB190" s="60" t="str">
        <x:v>https://tideyupcharleston.com | https://www.linkedin.com/company/tidey-up-charleston-llc</x:v>
      </x:c>
      <x:c r="BC190" s="60" t="str"/>
    </x:row>
    <x:row r="191" ht="18" customHeight="1">
      <x:c r="A191" s="70" t="str">
        <x:v>190</x:v>
      </x:c>
      <x:c r="B191" s="70" t="str">
        <x:v>B - Strong</x:v>
      </x:c>
      <x:c r="C191" s="72" t="str">
        <x:v>62</x:v>
      </x:c>
      <x:c r="D191" s="60" t="str">
        <x:v>Prince Roofing &amp; Construction</x:v>
      </x:c>
      <x:c r="E191" s="60" t="str">
        <x:v>https://princeroofingandconstruction.com</x:v>
      </x:c>
      <x:c r="F191" s="60" t="str">
        <x:v>https://www.princeroofingandconstruction.com/</x:v>
      </x:c>
      <x:c r="G191" s="60" t="str">
        <x:v>Summerville</x:v>
      </x:c>
      <x:c r="H191" s="60" t="str">
        <x:v>South Carolina</x:v>
      </x:c>
      <x:c r="I191" s="60" t="str">
        <x:v>Roofing</x:v>
      </x:c>
      <x:c r="J191" s="60" t="str">
        <x:v>Prince Roofing &amp; Construction</x:v>
      </x:c>
      <x:c r="K191" s="60" t="str"/>
      <x:c r="L191" s="60" t="str">
        <x:v>Owner / decision maker to verify</x:v>
      </x:c>
      <x:c r="M191" s="60" t="str"/>
      <x:c r="N191" s="60" t="str"/>
      <x:c r="O191" s="60" t="str">
        <x:v>(843) 771-0430</x:v>
      </x:c>
      <x:c r="P191" s="60" t="str"/>
      <x:c r="Q191" s="60" t="str"/>
      <x:c r="R191" s="60" t="str"/>
      <x:c r="S191" s="60" t="str">
        <x:v>4.8</x:v>
      </x:c>
      <x:c r="T191" s="74" t="str">
        <x:v>78</x:v>
      </x:c>
      <x:c r="U191" s="60" t="str"/>
      <x:c r="V191" s="74" t="str">
        <x:v>27</x:v>
      </x:c>
      <x:c r="W191" s="74" t="str">
        <x:v>8</x:v>
      </x:c>
      <x:c r="X191" s="74" t="str">
        <x:v>12</x:v>
      </x:c>
      <x:c r="Y191" s="74" t="str">
        <x:v>10</x:v>
      </x:c>
      <x:c r="Z191" s="74" t="str">
        <x:v>5</x:v>
      </x:c>
      <x:c r="AA191" s="74" t="str">
        <x:v>0</x:v>
      </x:c>
      <x:c r="AB191" s="74" t="str">
        <x:v>0</x:v>
      </x:c>
      <x:c r="AC191" s="74" t="str">
        <x:v>0</x:v>
      </x:c>
      <x:c r="AD191" s="74" t="str">
        <x:v>0</x:v>
      </x:c>
      <x:c r="AE191" s="74" t="str">
        <x:v>1</x:v>
      </x:c>
      <x:c r="AF191" s="74" t="str"/>
      <x:c r="AG191" s="74" t="str">
        <x:v>0</x:v>
      </x:c>
      <x:c r="AH191" s="74" t="str">
        <x:v>1</x:v>
      </x:c>
      <x:c r="AI191" s="74" t="str">
        <x:v>0</x:v>
      </x:c>
      <x:c r="AJ191" s="74" t="str">
        <x:v>0</x:v>
      </x:c>
      <x:c r="AK191" s="74" t="str">
        <x:v>1</x:v>
      </x:c>
      <x:c r="AL191" s="74" t="str">
        <x:v>1</x:v>
      </x:c>
      <x:c r="AM191" s="74" t="str">
        <x:v>1</x:v>
      </x:c>
      <x:c r="AN191" s="74" t="str">
        <x:v>0</x:v>
      </x:c>
      <x:c r="AO191" s="60" t="str">
        <x:v>2025</x:v>
      </x:c>
      <x:c r="AP191" s="76" t="str">
        <x:v>Call-tracking stack detected; no embedded homepage video found</x:v>
      </x:c>
      <x:c r="AQ191" s="76" t="str">
        <x:v>call tracking; project/gallery proof; visible service offer; no embedded homepage video detected</x:v>
      </x:c>
      <x:c r="AR191" s="76" t="str">
        <x:v>I noticed Prince Roofing &amp; Construction has call tracking in place, but I couldn't find an embedded video on the homepage.</x:v>
      </x:c>
      <x:c r="AS191" s="76" t="str">
        <x:v>storm-to-inspection before/after ad</x:v>
      </x:c>
      <x:c r="AT191" s="76" t="str">
        <x:v>Prince Roofing &amp; Construction ad concept</x:v>
      </x:c>
      <x:c r="AU191" s="76" t="str">
        <x:v>Hi Prince Roofing &amp; Construction — I noticed Prince Roofing &amp; Construction has call tracking in place, but I couldn't find an embedded video on the homepage. I mapped a private 15-second storm-to-inspection before/after ad for Prince Roofing &amp; Construction using only public brand context—not for publishing, just to show the angle. We build three client-approved video ad concepts in seven days, then turn the winners into fresh variations. No filming day required. Worth sending the private sample?</x:v>
      </x:c>
      <x:c r="AV191" s="76" t="str">
        <x:v>Quick follow-up: the sample angle is a storm-to-inspection before/after ad. If it misses the mark, no problem—I won't keep chasing. Should I send it?</x:v>
      </x:c>
      <x:c r="AW191" s="76" t="str">
        <x:v>Hi Prince Roofing &amp; Construction, Ryan here. I was looking at Prince Roofing &amp; Construction's public marketing and noticed: call-tracking stack detected; no embedded homepage video found. I mapped one private storm-to-inspection before/after ad as an example. Did I catch you with 30 seconds?</x:v>
      </x:c>
      <x:c r="AX191" s="60" t="str">
        <x:v>https://www.facebook.com/ads/library/?active_status=active&amp;ad_type=all&amp;country=US&amp;q=Prince%20Roofing%20%26%20Construction&amp;search_type=keyword_unordered</x:v>
      </x:c>
      <x:c r="AY191" s="60" t="str">
        <x:v>ok:200</x:v>
      </x:c>
      <x:c r="AZ191" s="60" t="n">
        <x:v>46232.722858796296</x:v>
      </x:c>
      <x:c r="BA191" s="60" t="str">
        <x:v>Google Maps home-services export</x:v>
      </x:c>
      <x:c r="BB191" s="60" t="str">
        <x:v>https://maps.google.com/?cid=14206791011294832870&amp;g_mp=Cidnb29nbGUubWFwcy5wbGFjZXMudjEuUGxhY2VzLlNlYXJjaFRleHQQAhgEIAA | https://princeroofingandconstruction.com</x:v>
      </x:c>
      <x:c r="BC191" s="60" t="str"/>
    </x:row>
    <x:row r="192" ht="18" customHeight="1">
      <x:c r="A192" s="70" t="str">
        <x:v>191</x:v>
      </x:c>
      <x:c r="B192" s="70" t="str">
        <x:v>B - Strong</x:v>
      </x:c>
      <x:c r="C192" s="72" t="str">
        <x:v>62</x:v>
      </x:c>
      <x:c r="D192" s="60" t="str">
        <x:v>Blythewood Heating &amp; Air</x:v>
      </x:c>
      <x:c r="E192" s="60" t="str">
        <x:v>https://blythewoodhvac.net</x:v>
      </x:c>
      <x:c r="F192" s="60" t="str">
        <x:v>https://blythewoodhvac.net</x:v>
      </x:c>
      <x:c r="G192" s="60" t="str">
        <x:v>Columbia</x:v>
      </x:c>
      <x:c r="H192" s="60" t="str">
        <x:v>South Carolina</x:v>
      </x:c>
      <x:c r="I192" s="60" t="str">
        <x:v>HVAC</x:v>
      </x:c>
      <x:c r="J192" s="60" t="str">
        <x:v>Blythewood Heating &amp; Air</x:v>
      </x:c>
      <x:c r="K192" s="60" t="str"/>
      <x:c r="L192" s="60" t="str">
        <x:v>Owner / decision maker to verify</x:v>
      </x:c>
      <x:c r="M192" s="60" t="str"/>
      <x:c r="N192" s="60" t="str"/>
      <x:c r="O192" s="60" t="str">
        <x:v>(803) 786-4978</x:v>
      </x:c>
      <x:c r="P192" s="60" t="str"/>
      <x:c r="Q192" s="60" t="str"/>
      <x:c r="R192" s="60" t="str"/>
      <x:c r="S192" s="60" t="str">
        <x:v>4.9</x:v>
      </x:c>
      <x:c r="T192" s="74" t="str">
        <x:v>290</x:v>
      </x:c>
      <x:c r="U192" s="60" t="str"/>
      <x:c r="V192" s="74" t="str">
        <x:v>29</x:v>
      </x:c>
      <x:c r="W192" s="74" t="str">
        <x:v>6</x:v>
      </x:c>
      <x:c r="X192" s="74" t="str">
        <x:v>10</x:v>
      </x:c>
      <x:c r="Y192" s="74" t="str">
        <x:v>12</x:v>
      </x:c>
      <x:c r="Z192" s="74" t="str">
        <x:v>5</x:v>
      </x:c>
      <x:c r="AA192" s="74" t="str">
        <x:v>0</x:v>
      </x:c>
      <x:c r="AB192" s="74" t="str">
        <x:v>0</x:v>
      </x:c>
      <x:c r="AC192" s="74" t="str">
        <x:v>1</x:v>
      </x:c>
      <x:c r="AD192" s="74" t="str">
        <x:v>0</x:v>
      </x:c>
      <x:c r="AE192" s="74" t="str">
        <x:v>0</x:v>
      </x:c>
      <x:c r="AF192" s="74" t="str">
        <x:v>podium</x:v>
      </x:c>
      <x:c r="AG192" s="74" t="str">
        <x:v>0</x:v>
      </x:c>
      <x:c r="AH192" s="74" t="str">
        <x:v>1</x:v>
      </x:c>
      <x:c r="AI192" s="74" t="str">
        <x:v>1</x:v>
      </x:c>
      <x:c r="AJ192" s="74" t="str">
        <x:v>0</x:v>
      </x:c>
      <x:c r="AK192" s="74" t="str">
        <x:v>0</x:v>
      </x:c>
      <x:c r="AL192" s="74" t="str">
        <x:v>0</x:v>
      </x:c>
      <x:c r="AM192" s="74" t="str">
        <x:v>1</x:v>
      </x:c>
      <x:c r="AN192" s="74" t="str">
        <x:v>0</x:v>
      </x:c>
      <x:c r="AO192" s="60" t="str">
        <x:v>2026</x:v>
      </x:c>
      <x:c r="AP192" s="76" t="str">
        <x:v>Project/gallery proof found; no embedded homepage video found</x:v>
      </x:c>
      <x:c r="AQ192" s="76" t="str">
        <x:v>project/gallery proof; testimonials; no embedded homepage video detected</x:v>
      </x:c>
      <x:c r="AR192" s="76" t="str">
        <x:v>I found project/gallery proof on Blythewood Heating &amp; Air's site that could be repackaged into short-form ad concepts.</x:v>
      </x:c>
      <x:c r="AS192" s="76" t="str">
        <x:v>no-cool-call to same-day comfort ad</x:v>
      </x:c>
      <x:c r="AT192" s="76" t="str">
        <x:v>Blythewood Heating &amp; Air ad concept</x:v>
      </x:c>
      <x:c r="AU192" s="76" t="str">
        <x:v>Hi Blythewood Heating &amp; Air — I found project/gallery proof on Blythewood Heating &amp; Air's site that could be repackaged into short-form ad concepts. I mapped a private 15-second no-cool-call to same-day comfort ad for Blythewood Heating &amp; Air using only public brand context—not for publishing, just to show the angle. We build three client-approved video ad concepts in seven days, then turn the winners into fresh variations. No filming day required. Worth sending the private sample?</x:v>
      </x:c>
      <x:c r="AV192" s="76" t="str">
        <x:v>Quick follow-up: the sample angle is a no-cool-call to same-day comfort ad. If it misses the mark, no problem—I won't keep chasing. Should I send it?</x:v>
      </x:c>
      <x:c r="AW192" s="76" t="str">
        <x:v>Hi Blythewood Heating &amp; Air, Ryan here. I was looking at Blythewood Heating &amp; Air's public marketing and noticed: project/gallery proof found; no embedded homepage video found. I mapped one private no-cool-call to same-day comfort ad as an example. Did I catch you with 30 seconds?</x:v>
      </x:c>
      <x:c r="AX192" s="60" t="str">
        <x:v>https://www.facebook.com/ads/library/?active_status=active&amp;ad_type=all&amp;country=US&amp;q=Blythewood%20Heating%20%26%20Air&amp;search_type=keyword_unordered</x:v>
      </x:c>
      <x:c r="AY192" s="60" t="str">
        <x:v>ok:200</x:v>
      </x:c>
      <x:c r="AZ192" s="60" t="n">
        <x:v>46232.722858796296</x:v>
      </x:c>
      <x:c r="BA192" s="60" t="str">
        <x:v>Google Maps home-services export</x:v>
      </x:c>
      <x:c r="BB192" s="60" t="str">
        <x:v>https://blythewoodhvac.net | https://maps.google.com/?cid=17778968816258425123&amp;g_mp=Cidnb29nbGUubWFwcy5wbGFjZXMudjEuUGxhY2VzLlNlYXJjaFRleHQQAhgEIAA</x:v>
      </x:c>
      <x:c r="BC192" s="60" t="str"/>
    </x:row>
    <x:row r="193" ht="18" customHeight="1">
      <x:c r="A193" s="70" t="str">
        <x:v>192</x:v>
      </x:c>
      <x:c r="B193" s="70" t="str">
        <x:v>B - Strong</x:v>
      </x:c>
      <x:c r="C193" s="72" t="str">
        <x:v>62</x:v>
      </x:c>
      <x:c r="D193" s="60" t="str">
        <x:v>Subsurface Construction Company, LLC</x:v>
      </x:c>
      <x:c r="E193" s="60" t="str">
        <x:v>https://subsurfaceconstruction.com</x:v>
      </x:c>
      <x:c r="F193" s="60" t="str">
        <x:v>https://www.subsurfaceconstruction.com/</x:v>
      </x:c>
      <x:c r="G193" s="60" t="str">
        <x:v>Greenville-spartanburg-anderson</x:v>
      </x:c>
      <x:c r="H193" s="60" t="str">
        <x:v>South Carolina Area</x:v>
      </x:c>
      <x:c r="I193" s="60" t="str">
        <x:v>Foundation &amp; Waterproofing</x:v>
      </x:c>
      <x:c r="J193" s="60" t="str">
        <x:v>Adam</x:v>
      </x:c>
      <x:c r="K193" s="60" t="str">
        <x:v>Miller</x:v>
      </x:c>
      <x:c r="L193" s="60" t="str">
        <x:v>Superintendent/Owner</x:v>
      </x:c>
      <x:c r="M193" s="60" t="str">
        <x:v>adam@subsurfaceconstruction.com</x:v>
      </x:c>
      <x:c r="N193" s="60" t="str">
        <x:v>Verified with BounceBan on 08 Jun 26 12:06</x:v>
      </x:c>
      <x:c r="O193" s="60" t="str">
        <x:v>+1 919 857 4609</x:v>
      </x:c>
      <x:c r="P193" s="60" t="str">
        <x:v>https://www.linkedin.com/in/adam-miller-2a227b98</x:v>
      </x:c>
      <x:c r="Q193" s="60" t="str">
        <x:v>11-50</x:v>
      </x:c>
      <x:c r="R193" s="60" t="str">
        <x:v>1000000-4999999</x:v>
      </x:c>
      <x:c r="S193" s="60" t="str"/>
      <x:c r="T193" s="74" t="str">
        <x:v>0</x:v>
      </x:c>
      <x:c r="U193" s="60" t="str"/>
      <x:c r="V193" s="74" t="str">
        <x:v>30</x:v>
      </x:c>
      <x:c r="W193" s="74" t="str">
        <x:v>3</x:v>
      </x:c>
      <x:c r="X193" s="74" t="str">
        <x:v>10</x:v>
      </x:c>
      <x:c r="Y193" s="74" t="str">
        <x:v>9</x:v>
      </x:c>
      <x:c r="Z193" s="74" t="str">
        <x:v>10</x:v>
      </x:c>
      <x:c r="AA193" s="74" t="str">
        <x:v>0</x:v>
      </x:c>
      <x:c r="AB193" s="74" t="str">
        <x:v>0</x:v>
      </x:c>
      <x:c r="AC193" s="74" t="str">
        <x:v>1</x:v>
      </x:c>
      <x:c r="AD193" s="74" t="str">
        <x:v>0</x:v>
      </x:c>
      <x:c r="AE193" s="74" t="str">
        <x:v>0</x:v>
      </x:c>
      <x:c r="AF193" s="74" t="str"/>
      <x:c r="AG193" s="74" t="str">
        <x:v>0</x:v>
      </x:c>
      <x:c r="AH193" s="74" t="str">
        <x:v>1</x:v>
      </x:c>
      <x:c r="AI193" s="74" t="str">
        <x:v>1</x:v>
      </x:c>
      <x:c r="AJ193" s="74" t="str">
        <x:v>0</x:v>
      </x:c>
      <x:c r="AK193" s="74" t="str">
        <x:v>0</x:v>
      </x:c>
      <x:c r="AL193" s="74" t="str">
        <x:v>0</x:v>
      </x:c>
      <x:c r="AM193" s="74" t="str">
        <x:v>1</x:v>
      </x:c>
      <x:c r="AN193" s="74" t="str">
        <x:v>0</x:v>
      </x:c>
      <x:c r="AO193" s="60" t="str">
        <x:v>0</x:v>
      </x:c>
      <x:c r="AP193" s="76" t="str">
        <x:v>Project/gallery proof found; no embedded homepage video found</x:v>
      </x:c>
      <x:c r="AQ193" s="76" t="str">
        <x:v>project/gallery proof; testimonials; no embedded homepage video detected</x:v>
      </x:c>
      <x:c r="AR193" s="76" t="str">
        <x:v>I found project/gallery proof on Subsurface Construction Company, LLC's site that could be repackaged into short-form ad concepts.</x:v>
      </x:c>
      <x:c r="AS193" s="76" t="str">
        <x:v>visible-warning-signs inspection ad</x:v>
      </x:c>
      <x:c r="AT193" s="76" t="str">
        <x:v>Subsurface Construction Company, LLC ad concept</x:v>
      </x:c>
      <x:c r="AU193" s="76" t="str">
        <x:v>Hi Adam — I found project/gallery proof on Subsurface Construction Company, LLC's site that could be repackaged into short-form ad concepts. I mapped a private 15-second visible-warning-signs inspection ad for Subsurface Construction Company, LLC using only public brand context—not for publishing, just to show the angle. We build three client-approved video ad concepts in seven days, then turn the winners into fresh variations. No filming day required. Worth sending the private sample?</x:v>
      </x:c>
      <x:c r="AV193" s="76" t="str">
        <x:v>Quick follow-up: the sample angle is a visible-warning-signs inspection ad. If it misses the mark, no problem—I won't keep chasing. Should I send it?</x:v>
      </x:c>
      <x:c r="AW193" s="76" t="str">
        <x:v>Hi Adam, Ryan here. I was looking at Subsurface Construction Company, LLC's public marketing and noticed: project/gallery proof found; no embedded homepage video found. I mapped one private visible-warning-signs inspection ad as an example. Did I catch you with 30 seconds?</x:v>
      </x:c>
      <x:c r="AX193" s="60" t="str">
        <x:v>https://www.facebook.com/ads/library/?active_status=active&amp;ad_type=all&amp;country=US&amp;q=Subsurface%20Construction%20Company%2C%20LLC&amp;search_type=keyword_unordered</x:v>
      </x:c>
      <x:c r="AY193" s="60" t="str">
        <x:v>ok:200</x:v>
      </x:c>
      <x:c r="AZ193" s="60" t="n">
        <x:v>46232.722858796296</x:v>
      </x:c>
      <x:c r="BA193" s="60" t="str">
        <x:v>AI Ark SC trades export</x:v>
      </x:c>
      <x:c r="BB193" s="60" t="str">
        <x:v>https://subsurfaceconstruction.com | https://www.linkedin.com/company/subsurface-construction-company-llc</x:v>
      </x:c>
      <x:c r="BC193" s="60" t="str"/>
    </x:row>
    <x:row r="194" ht="18" customHeight="1">
      <x:c r="A194" s="70" t="str">
        <x:v>193</x:v>
      </x:c>
      <x:c r="B194" s="70" t="str">
        <x:v>B - Strong</x:v>
      </x:c>
      <x:c r="C194" s="72" t="str">
        <x:v>62</x:v>
      </x:c>
      <x:c r="D194" s="60" t="str">
        <x:v>Ridge Roof Restoration</x:v>
      </x:c>
      <x:c r="E194" s="60" t="str">
        <x:v>https://ridgeroof.com</x:v>
      </x:c>
      <x:c r="F194" s="60" t="str">
        <x:v>https://www.ridgeroof.com/</x:v>
      </x:c>
      <x:c r="G194" s="60" t="str">
        <x:v>Greenville</x:v>
      </x:c>
      <x:c r="H194" s="60" t="str">
        <x:v>South Carolina</x:v>
      </x:c>
      <x:c r="I194" s="60" t="str">
        <x:v>Roofing</x:v>
      </x:c>
      <x:c r="J194" s="60" t="str">
        <x:v>Samuel</x:v>
      </x:c>
      <x:c r="K194" s="60" t="str">
        <x:v>Cartee</x:v>
      </x:c>
      <x:c r="L194" s="60" t="str">
        <x:v>Owner/Operator</x:v>
      </x:c>
      <x:c r="M194" s="60" t="str">
        <x:v>samuel@ridgeroof.com</x:v>
      </x:c>
      <x:c r="N194" s="60" t="str">
        <x:v>Verified with BounceBan on 08 Jun 26 12:06</x:v>
      </x:c>
      <x:c r="O194" s="60" t="str">
        <x:v>+1 864 201 0397</x:v>
      </x:c>
      <x:c r="P194" s="60" t="str">
        <x:v>https://www.linkedin.com/in/samuel-cartee-a50791107</x:v>
      </x:c>
      <x:c r="Q194" s="60" t="str">
        <x:v>2-10</x:v>
      </x:c>
      <x:c r="R194" s="60" t="str">
        <x:v>0-99999</x:v>
      </x:c>
      <x:c r="S194" s="60" t="str">
        <x:v>4.9</x:v>
      </x:c>
      <x:c r="T194" s="74" t="str">
        <x:v>70</x:v>
      </x:c>
      <x:c r="U194" s="60" t="str">
        <x:v>communication</x:v>
      </x:c>
      <x:c r="V194" s="74" t="str">
        <x:v>30</x:v>
      </x:c>
      <x:c r="W194" s="74" t="str">
        <x:v>0</x:v>
      </x:c>
      <x:c r="X194" s="74" t="str">
        <x:v>11</x:v>
      </x:c>
      <x:c r="Y194" s="74" t="str">
        <x:v>11</x:v>
      </x:c>
      <x:c r="Z194" s="74" t="str">
        <x:v>10</x:v>
      </x:c>
      <x:c r="AA194" s="74" t="str">
        <x:v>0</x:v>
      </x:c>
      <x:c r="AB194" s="74" t="str">
        <x:v>0</x:v>
      </x:c>
      <x:c r="AC194" s="74" t="str">
        <x:v>0</x:v>
      </x:c>
      <x:c r="AD194" s="74" t="str">
        <x:v>0</x:v>
      </x:c>
      <x:c r="AE194" s="74" t="str">
        <x:v>0</x:v>
      </x:c>
      <x:c r="AF194" s="74" t="str"/>
      <x:c r="AG194" s="74" t="str">
        <x:v>0</x:v>
      </x:c>
      <x:c r="AH194" s="74" t="str">
        <x:v>1</x:v>
      </x:c>
      <x:c r="AI194" s="74" t="str">
        <x:v>1</x:v>
      </x:c>
      <x:c r="AJ194" s="74" t="str">
        <x:v>0</x:v>
      </x:c>
      <x:c r="AK194" s="74" t="str">
        <x:v>0</x:v>
      </x:c>
      <x:c r="AL194" s="74" t="str">
        <x:v>1</x:v>
      </x:c>
      <x:c r="AM194" s="74" t="str">
        <x:v>1</x:v>
      </x:c>
      <x:c r="AN194" s="74" t="str">
        <x:v>0</x:v>
      </x:c>
      <x:c r="AO194" s="60" t="str">
        <x:v>2023</x:v>
      </x:c>
      <x:c r="AP194" s="76" t="str">
        <x:v>Project/gallery proof found; no embedded homepage video found</x:v>
      </x:c>
      <x:c r="AQ194" s="76" t="str">
        <x:v>project/gallery proof; testimonials; no embedded homepage video detected</x:v>
      </x:c>
      <x:c r="AR194" s="76" t="str">
        <x:v>I found project/gallery proof on Ridge Roof Restoration's site that could be repackaged into short-form ad concepts.</x:v>
      </x:c>
      <x:c r="AS194" s="76" t="str">
        <x:v>storm-to-inspection before/after ad</x:v>
      </x:c>
      <x:c r="AT194" s="76" t="str">
        <x:v>Ridge Roof Restoration ad concept</x:v>
      </x:c>
      <x:c r="AU194" s="76" t="str">
        <x:v>Hi Samuel — I found project/gallery proof on Ridge Roof Restoration's site that could be repackaged into short-form ad concepts. I mapped a private 15-second storm-to-inspection before/after ad for Ridge Roof Restoration using only public brand context—not for publishing, just to show the angle. We build three client-approved video ad concepts in seven days, then turn the winners into fresh variations. No filming day required. Worth sending the private sample?</x:v>
      </x:c>
      <x:c r="AV194" s="76" t="str">
        <x:v>Quick follow-up: the sample angle is a storm-to-inspection before/after ad. If it misses the mark, no problem—I won't keep chasing. Should I send it?</x:v>
      </x:c>
      <x:c r="AW194" s="76" t="str">
        <x:v>Hi Samuel, Ryan here. I was looking at Ridge Roof Restoration's public marketing and noticed: project/gallery proof found; no embedded homepage video found. I mapped one private storm-to-inspection before/after ad as an example. Did I catch you with 30 seconds?</x:v>
      </x:c>
      <x:c r="AX194" s="60" t="str">
        <x:v>https://www.facebook.com/ads/library/?active_status=active&amp;ad_type=all&amp;country=US&amp;q=Ridge%20Roof%20Restoration&amp;search_type=keyword_unordered</x:v>
      </x:c>
      <x:c r="AY194" s="60" t="str">
        <x:v>ok:200</x:v>
      </x:c>
      <x:c r="AZ194" s="60" t="n">
        <x:v>46232.722858796296</x:v>
      </x:c>
      <x:c r="BA194" s="60" t="str">
        <x:v>AI Ark SC trades export | Google Maps home-services export</x:v>
      </x:c>
      <x:c r="BB194" s="60" t="str">
        <x:v>https://maps.google.com/?cid=8890449646240918562&amp;g_mp=Cidnb29nbGUubWFwcy5wbGFjZXMudjEuUGxhY2VzLlNlYXJjaFRleHQQAhgEIAA | https://ridgeroof.com | https://www.linkedin.com/company/ridgeroof-restoration</x:v>
      </x:c>
      <x:c r="BC194" s="60" t="str"/>
    </x:row>
    <x:row r="195" ht="18" customHeight="1">
      <x:c r="A195" s="70" t="str">
        <x:v>194</x:v>
      </x:c>
      <x:c r="B195" s="70" t="str">
        <x:v>B - Strong</x:v>
      </x:c>
      <x:c r="C195" s="72" t="str">
        <x:v>61</x:v>
      </x:c>
      <x:c r="D195" s="60" t="str">
        <x:v>SERVPRO of Greater Northern Charleston &amp; Dorchester County</x:v>
      </x:c>
      <x:c r="E195" s="60" t="str">
        <x:v>https://servprogreaternortherncharleston.com</x:v>
      </x:c>
      <x:c r="F195" s="60" t="str">
        <x:v>https://www.servpro.com/locations/sc/servpro-of-greater-northern-charleston</x:v>
      </x:c>
      <x:c r="G195" s="60" t="str">
        <x:v>North Charleston</x:v>
      </x:c>
      <x:c r="H195" s="60" t="str">
        <x:v>South Carolina</x:v>
      </x:c>
      <x:c r="I195" s="60" t="str">
        <x:v>Roofing</x:v>
      </x:c>
      <x:c r="J195" s="60" t="str">
        <x:v>Elizabeth</x:v>
      </x:c>
      <x:c r="K195" s="60" t="str">
        <x:v>Ferm</x:v>
      </x:c>
      <x:c r="L195" s="60" t="str">
        <x:v>Owner</x:v>
      </x:c>
      <x:c r="M195" s="60" t="str"/>
      <x:c r="N195" s="60" t="str"/>
      <x:c r="O195" s="60" t="str">
        <x:v>+1 910 584 3181</x:v>
      </x:c>
      <x:c r="P195" s="60" t="str">
        <x:v>https://www.linkedin.com/in/elizabeth-ferm-64042b1b</x:v>
      </x:c>
      <x:c r="Q195" s="60" t="str">
        <x:v>11-50</x:v>
      </x:c>
      <x:c r="R195" s="60" t="str">
        <x:v>100000-499999</x:v>
      </x:c>
      <x:c r="S195" s="60" t="str"/>
      <x:c r="T195" s="74" t="str">
        <x:v>0</x:v>
      </x:c>
      <x:c r="U195" s="60" t="str"/>
      <x:c r="V195" s="74" t="str">
        <x:v>30</x:v>
      </x:c>
      <x:c r="W195" s="74" t="str">
        <x:v>23</x:v>
      </x:c>
      <x:c r="X195" s="74" t="str">
        <x:v>0</x:v>
      </x:c>
      <x:c r="Y195" s="74" t="str">
        <x:v>3</x:v>
      </x:c>
      <x:c r="Z195" s="74" t="str">
        <x:v>5</x:v>
      </x:c>
      <x:c r="AA195" s="74" t="str">
        <x:v>1</x:v>
      </x:c>
      <x:c r="AB195" s="74" t="str">
        <x:v>0</x:v>
      </x:c>
      <x:c r="AC195" s="74" t="str">
        <x:v>1</x:v>
      </x:c>
      <x:c r="AD195" s="74" t="str">
        <x:v>0</x:v>
      </x:c>
      <x:c r="AE195" s="74" t="str">
        <x:v>1</x:v>
      </x:c>
      <x:c r="AF195" s="74" t="str"/>
      <x:c r="AG195" s="74" t="str">
        <x:v>1</x:v>
      </x:c>
      <x:c r="AH195" s="74" t="str">
        <x:v>0</x:v>
      </x:c>
      <x:c r="AI195" s="74" t="str">
        <x:v>0</x:v>
      </x:c>
      <x:c r="AJ195" s="74" t="str">
        <x:v>0</x:v>
      </x:c>
      <x:c r="AK195" s="74" t="str">
        <x:v>1</x:v>
      </x:c>
      <x:c r="AL195" s="74" t="str">
        <x:v>1</x:v>
      </x:c>
      <x:c r="AM195" s="74" t="str">
        <x:v>1</x:v>
      </x:c>
      <x:c r="AN195" s="74" t="str">
        <x:v>0</x:v>
      </x:c>
      <x:c r="AO195" s="60" t="str">
        <x:v>2026</x:v>
      </x:c>
      <x:c r="AP195" s="76" t="str">
        <x:v>Paid-demand technology detected; creative refresh hypothesis</x:v>
      </x:c>
      <x:c r="AQ195" s="76" t="str">
        <x:v>Meta Pixel; call tracking; visible service offer</x:v>
      </x:c>
      <x:c r="AR195" s="76" t="str">
        <x:v>I was reviewing roofing companies in North Charleston, South Carolina and SERVPRO of Greater Northern Charleston &amp; Dorchester County looked like a strong fit for a creative test.</x:v>
      </x:c>
      <x:c r="AS195" s="76" t="str">
        <x:v>storm-to-inspection before/after ad</x:v>
      </x:c>
      <x:c r="AT195" s="76" t="str">
        <x:v>SERVPRO of Greater Northern Charleston &amp; Dorchester County ad concept</x:v>
      </x:c>
      <x:c r="AU195" s="76" t="str">
        <x:v>Hi Elizabeth — I was reviewing roofing companies in North Charleston, South Carolina and SERVPRO of Greater Northern Charleston &amp; Dorchester County looked like a strong fit for a creative test. I mapped a private 15-second storm-to-inspection before/after ad for SERVPRO of Greater Northern Charleston &amp; Dorchester County using only public brand context—not for publishing, just to show the angle. We build three client-approved video ad concepts in seven days, then turn the winners into fresh variations. No filming day required. Worth sending the private sample?</x:v>
      </x:c>
      <x:c r="AV195" s="76" t="str">
        <x:v>Quick follow-up: the sample angle is a storm-to-inspection before/after ad. If it misses the mark, no problem—I won't keep chasing. Should I send it?</x:v>
      </x:c>
      <x:c r="AW195" s="76" t="str">
        <x:v>Hi Elizabeth, Ryan here. I was looking at SERVPRO of Greater Northern Charleston &amp; Dorchester County's public marketing and noticed: paid-demand technology detected; creative refresh hypothesis. I mapped one private storm-to-inspection before/after ad as an example. Did I catch you with 30 seconds?</x:v>
      </x:c>
      <x:c r="AX195" s="60" t="str">
        <x:v>https://www.facebook.com/ads/library/?active_status=active&amp;ad_type=all&amp;country=US&amp;q=SERVPRO%20of%20Greater%20Northern%20Charleston%20%26%20Dorchester%20County&amp;search_type=keyword_unordered</x:v>
      </x:c>
      <x:c r="AY195" s="60" t="str">
        <x:v>ok:200</x:v>
      </x:c>
      <x:c r="AZ195" s="60" t="n">
        <x:v>46232.722858796296</x:v>
      </x:c>
      <x:c r="BA195" s="60" t="str">
        <x:v>AI Ark SC trades export</x:v>
      </x:c>
      <x:c r="BB195" s="60" t="str">
        <x:v>https://servprogreaternortherncharleston.com | https://www.linkedin.com/company/servproofgnc</x:v>
      </x:c>
      <x:c r="BC195" s="60" t="str"/>
    </x:row>
    <x:row r="196" ht="18" customHeight="1">
      <x:c r="A196" s="70" t="str">
        <x:v>195</x:v>
      </x:c>
      <x:c r="B196" s="70" t="str">
        <x:v>B - Strong</x:v>
      </x:c>
      <x:c r="C196" s="72" t="str">
        <x:v>61</x:v>
      </x:c>
      <x:c r="D196" s="60" t="str">
        <x:v>First Choice Heating &amp; Air</x:v>
      </x:c>
      <x:c r="E196" s="60" t="str">
        <x:v>https://first-choicehvac.com</x:v>
      </x:c>
      <x:c r="F196" s="60" t="str">
        <x:v>https://first-choicehvac.com</x:v>
      </x:c>
      <x:c r="G196" s="60" t="str">
        <x:v>Myrtle Beach</x:v>
      </x:c>
      <x:c r="H196" s="60" t="str">
        <x:v>South Carolina</x:v>
      </x:c>
      <x:c r="I196" s="60" t="str">
        <x:v>HVAC</x:v>
      </x:c>
      <x:c r="J196" s="60" t="str">
        <x:v>First Choice Heating &amp; Air</x:v>
      </x:c>
      <x:c r="K196" s="60" t="str"/>
      <x:c r="L196" s="60" t="str">
        <x:v>Owner / decision maker to verify</x:v>
      </x:c>
      <x:c r="M196" s="60" t="str"/>
      <x:c r="N196" s="60" t="str"/>
      <x:c r="O196" s="60" t="str">
        <x:v>(843) 314-4375</x:v>
      </x:c>
      <x:c r="P196" s="60" t="str"/>
      <x:c r="Q196" s="60" t="str"/>
      <x:c r="R196" s="60" t="str"/>
      <x:c r="S196" s="60" t="str">
        <x:v>4.9</x:v>
      </x:c>
      <x:c r="T196" s="74" t="str">
        <x:v>321</x:v>
      </x:c>
      <x:c r="U196" s="60" t="str"/>
      <x:c r="V196" s="74" t="str">
        <x:v>29</x:v>
      </x:c>
      <x:c r="W196" s="74" t="str">
        <x:v>18</x:v>
      </x:c>
      <x:c r="X196" s="74" t="str">
        <x:v>0</x:v>
      </x:c>
      <x:c r="Y196" s="74" t="str">
        <x:v>9</x:v>
      </x:c>
      <x:c r="Z196" s="74" t="str">
        <x:v>5</x:v>
      </x:c>
      <x:c r="AA196" s="74" t="str">
        <x:v>1</x:v>
      </x:c>
      <x:c r="AB196" s="74" t="str">
        <x:v>0</x:v>
      </x:c>
      <x:c r="AC196" s="74" t="str">
        <x:v>1</x:v>
      </x:c>
      <x:c r="AD196" s="74" t="str">
        <x:v>0</x:v>
      </x:c>
      <x:c r="AE196" s="74" t="str">
        <x:v>0</x:v>
      </x:c>
      <x:c r="AF196" s="74" t="str">
        <x:v>podium</x:v>
      </x:c>
      <x:c r="AG196" s="74" t="str">
        <x:v>1</x:v>
      </x:c>
      <x:c r="AH196" s="74" t="str">
        <x:v>0</x:v>
      </x:c>
      <x:c r="AI196" s="74" t="str">
        <x:v>0</x:v>
      </x:c>
      <x:c r="AJ196" s="74" t="str">
        <x:v>1</x:v>
      </x:c>
      <x:c r="AK196" s="74" t="str">
        <x:v>1</x:v>
      </x:c>
      <x:c r="AL196" s="74" t="str">
        <x:v>0</x:v>
      </x:c>
      <x:c r="AM196" s="74" t="str">
        <x:v>1</x:v>
      </x:c>
      <x:c r="AN196" s="74" t="str">
        <x:v>1</x:v>
      </x:c>
      <x:c r="AO196" s="60" t="str">
        <x:v>2026</x:v>
      </x:c>
      <x:c r="AP196" s="76" t="str">
        <x:v>Paid-demand technology detected; creative refresh hypothesis</x:v>
      </x:c>
      <x:c r="AQ196" s="76" t="str">
        <x:v>Meta Pixel; financing; visible service offer</x:v>
      </x:c>
      <x:c r="AR196" s="76" t="str">
        <x:v>I was reviewing hvac companies in Myrtle Beach, South Carolina and First Choice Heating &amp; Air looked like a strong fit for a creative test.</x:v>
      </x:c>
      <x:c r="AS196" s="76" t="str">
        <x:v>no-cool-call to same-day comfort ad</x:v>
      </x:c>
      <x:c r="AT196" s="76" t="str">
        <x:v>First Choice Heating &amp; Air ad concept</x:v>
      </x:c>
      <x:c r="AU196" s="76" t="str">
        <x:v>Hi First Choice Heating &amp; Air — I was reviewing hvac companies in Myrtle Beach, South Carolina and First Choice Heating &amp; Air looked like a strong fit for a creative test. I mapped a private 15-second no-cool-call to same-day comfort ad for First Choice Heating &amp; Air using only public brand context—not for publishing, just to show the angle. We build three client-approved video ad concepts in seven days, then turn the winners into fresh variations. No filming day required. Worth sending the private sample?</x:v>
      </x:c>
      <x:c r="AV196" s="76" t="str">
        <x:v>Quick follow-up: the sample angle is a no-cool-call to same-day comfort ad. If it misses the mark, no problem—I won't keep chasing. Should I send it?</x:v>
      </x:c>
      <x:c r="AW196" s="76" t="str">
        <x:v>Hi First Choice Heating &amp; Air, Ryan here. I was looking at First Choice Heating &amp; Air's public marketing and noticed: paid-demand technology detected; creative refresh hypothesis. I mapped one private no-cool-call to same-day comfort ad as an example. Did I catch you with 30 seconds?</x:v>
      </x:c>
      <x:c r="AX196" s="60" t="str">
        <x:v>https://www.facebook.com/ads/library/?active_status=active&amp;ad_type=all&amp;country=US&amp;q=First%20Choice%20Heating%20%26%20Air&amp;search_type=keyword_unordered</x:v>
      </x:c>
      <x:c r="AY196" s="60" t="str">
        <x:v>ok:200</x:v>
      </x:c>
      <x:c r="AZ196" s="60" t="n">
        <x:v>46232.722858796296</x:v>
      </x:c>
      <x:c r="BA196" s="60" t="str">
        <x:v>Google Maps home-services export</x:v>
      </x:c>
      <x:c r="BB196" s="60" t="str">
        <x:v>https://first-choicehvac.com | https://maps.google.com/?cid=15280046430218444708&amp;g_mp=Cidnb29nbGUubWFwcy5wbGFjZXMudjEuUGxhY2VzLlNlYXJjaFRleHQQAhgEIAA</x:v>
      </x:c>
      <x:c r="BC196" s="60" t="str"/>
    </x:row>
    <x:row r="197" ht="18" customHeight="1">
      <x:c r="A197" s="70" t="str">
        <x:v>196</x:v>
      </x:c>
      <x:c r="B197" s="70" t="str">
        <x:v>B - Strong</x:v>
      </x:c>
      <x:c r="C197" s="72" t="str">
        <x:v>61</x:v>
      </x:c>
      <x:c r="D197" s="60" t="str">
        <x:v>Palmetto Heating &amp; Cooling</x:v>
      </x:c>
      <x:c r="E197" s="60" t="str">
        <x:v>https://palmettohc.com</x:v>
      </x:c>
      <x:c r="F197" s="60" t="str">
        <x:v>https://www.palmettohc.com/</x:v>
      </x:c>
      <x:c r="G197" s="60" t="str">
        <x:v>Florence</x:v>
      </x:c>
      <x:c r="H197" s="60" t="str">
        <x:v>South Carolina</x:v>
      </x:c>
      <x:c r="I197" s="60" t="str">
        <x:v>HVAC</x:v>
      </x:c>
      <x:c r="J197" s="60" t="str">
        <x:v>Palmetto Heating &amp; Cooling</x:v>
      </x:c>
      <x:c r="K197" s="60" t="str"/>
      <x:c r="L197" s="60" t="str">
        <x:v>Owner / decision maker to verify</x:v>
      </x:c>
      <x:c r="M197" s="60" t="str"/>
      <x:c r="N197" s="60" t="str"/>
      <x:c r="O197" s="60" t="str">
        <x:v>(843) 669-8050</x:v>
      </x:c>
      <x:c r="P197" s="60" t="str"/>
      <x:c r="Q197" s="60" t="str"/>
      <x:c r="R197" s="60" t="str"/>
      <x:c r="S197" s="60" t="str">
        <x:v>4.3</x:v>
      </x:c>
      <x:c r="T197" s="74" t="str">
        <x:v>87</x:v>
      </x:c>
      <x:c r="U197" s="60" t="str"/>
      <x:c r="V197" s="74" t="str">
        <x:v>26</x:v>
      </x:c>
      <x:c r="W197" s="74" t="str">
        <x:v>15</x:v>
      </x:c>
      <x:c r="X197" s="74" t="str">
        <x:v>0</x:v>
      </x:c>
      <x:c r="Y197" s="74" t="str">
        <x:v>15</x:v>
      </x:c>
      <x:c r="Z197" s="74" t="str">
        <x:v>5</x:v>
      </x:c>
      <x:c r="AA197" s="74" t="str">
        <x:v>1</x:v>
      </x:c>
      <x:c r="AB197" s="74" t="str">
        <x:v>0</x:v>
      </x:c>
      <x:c r="AC197" s="74" t="str">
        <x:v>1</x:v>
      </x:c>
      <x:c r="AD197" s="74" t="str">
        <x:v>0</x:v>
      </x:c>
      <x:c r="AE197" s="74" t="str">
        <x:v>0</x:v>
      </x:c>
      <x:c r="AF197" s="74" t="str"/>
      <x:c r="AG197" s="74" t="str">
        <x:v>1</x:v>
      </x:c>
      <x:c r="AH197" s="74" t="str">
        <x:v>1</x:v>
      </x:c>
      <x:c r="AI197" s="74" t="str">
        <x:v>1</x:v>
      </x:c>
      <x:c r="AJ197" s="74" t="str">
        <x:v>1</x:v>
      </x:c>
      <x:c r="AK197" s="74" t="str">
        <x:v>1</x:v>
      </x:c>
      <x:c r="AL197" s="74" t="str">
        <x:v>0</x:v>
      </x:c>
      <x:c r="AM197" s="74" t="str">
        <x:v>1</x:v>
      </x:c>
      <x:c r="AN197" s="74" t="str">
        <x:v>1</x:v>
      </x:c>
      <x:c r="AO197" s="60" t="str">
        <x:v>0</x:v>
      </x:c>
      <x:c r="AP197" s="76" t="str">
        <x:v>Paid-demand technology detected; creative refresh hypothesis</x:v>
      </x:c>
      <x:c r="AQ197" s="76" t="str">
        <x:v>Meta Pixel; project/gallery proof; testimonials; financing; visible service offer</x:v>
      </x:c>
      <x:c r="AR197" s="76" t="str">
        <x:v>I was reviewing hvac companies in Florence, South Carolina and Palmetto Heating &amp; Cooling looked like a strong fit for a creative test.</x:v>
      </x:c>
      <x:c r="AS197" s="76" t="str">
        <x:v>no-cool-call to same-day comfort ad</x:v>
      </x:c>
      <x:c r="AT197" s="76" t="str">
        <x:v>Palmetto Heating &amp; Cooling ad concept</x:v>
      </x:c>
      <x:c r="AU197" s="76" t="str">
        <x:v>Hi Palmetto Heating &amp; Cooling — I was reviewing hvac companies in Florence, South Carolina and Palmetto Heating &amp; Cooling looked like a strong fit for a creative test. I mapped a private 15-second no-cool-call to same-day comfort ad for Palmetto Heating &amp; Cooling using only public brand context—not for publishing, just to show the angle. We build three client-approved video ad concepts in seven days, then turn the winners into fresh variations. No filming day required. Worth sending the private sample?</x:v>
      </x:c>
      <x:c r="AV197" s="76" t="str">
        <x:v>Quick follow-up: the sample angle is a no-cool-call to same-day comfort ad. If it misses the mark, no problem—I won't keep chasing. Should I send it?</x:v>
      </x:c>
      <x:c r="AW197" s="76" t="str">
        <x:v>Hi Palmetto Heating &amp; Cooling, Ryan here. I was looking at Palmetto Heating &amp; Cooling's public marketing and noticed: paid-demand technology detected; creative refresh hypothesis. I mapped one private no-cool-call to same-day comfort ad as an example. Did I catch you with 30 seconds?</x:v>
      </x:c>
      <x:c r="AX197" s="60" t="str">
        <x:v>https://www.facebook.com/ads/library/?active_status=active&amp;ad_type=all&amp;country=US&amp;q=Palmetto%20Heating%20%26%20Cooling&amp;search_type=keyword_unordered</x:v>
      </x:c>
      <x:c r="AY197" s="60" t="str">
        <x:v>ok:200</x:v>
      </x:c>
      <x:c r="AZ197" s="60" t="n">
        <x:v>46232.722858796296</x:v>
      </x:c>
      <x:c r="BA197" s="60" t="str">
        <x:v>Google Maps home-services export</x:v>
      </x:c>
      <x:c r="BB197" s="60" t="str">
        <x:v>https://maps.google.com/?cid=17865766078201756535&amp;g_mp=Cidnb29nbGUubWFwcy5wbGFjZXMudjEuUGxhY2VzLlNlYXJjaFRleHQQAhgEIAA | https://palmettohc.com</x:v>
      </x:c>
      <x:c r="BC197" s="60" t="str"/>
    </x:row>
    <x:row r="198" ht="18" customHeight="1">
      <x:c r="A198" s="70" t="str">
        <x:v>197</x:v>
      </x:c>
      <x:c r="B198" s="70" t="str">
        <x:v>B - Strong</x:v>
      </x:c>
      <x:c r="C198" s="72" t="str">
        <x:v>61</x:v>
      </x:c>
      <x:c r="D198" s="60" t="str">
        <x:v>Beemer KangaRoof</x:v>
      </x:c>
      <x:c r="E198" s="60" t="str">
        <x:v>https://beemerkangaroof.com</x:v>
      </x:c>
      <x:c r="F198" s="60" t="str">
        <x:v>https://www.beemerkangaroof.com/</x:v>
      </x:c>
      <x:c r="G198" s="60" t="str">
        <x:v>Greenville</x:v>
      </x:c>
      <x:c r="H198" s="60" t="str">
        <x:v>South Carolina</x:v>
      </x:c>
      <x:c r="I198" s="60" t="str">
        <x:v>Roofing</x:v>
      </x:c>
      <x:c r="J198" s="60" t="str">
        <x:v>Beemer KangaRoof</x:v>
      </x:c>
      <x:c r="K198" s="60" t="str"/>
      <x:c r="L198" s="60" t="str">
        <x:v>Owner / decision maker to verify</x:v>
      </x:c>
      <x:c r="M198" s="60" t="str"/>
      <x:c r="N198" s="60" t="str"/>
      <x:c r="O198" s="60" t="str">
        <x:v>(864) 412-2573</x:v>
      </x:c>
      <x:c r="P198" s="60" t="str"/>
      <x:c r="Q198" s="60" t="str"/>
      <x:c r="R198" s="60" t="str"/>
      <x:c r="S198" s="60" t="str">
        <x:v>4.9</x:v>
      </x:c>
      <x:c r="T198" s="74" t="str">
        <x:v>327</x:v>
      </x:c>
      <x:c r="U198" s="60" t="str"/>
      <x:c r="V198" s="74" t="str">
        <x:v>30</x:v>
      </x:c>
      <x:c r="W198" s="74" t="str">
        <x:v>15</x:v>
      </x:c>
      <x:c r="X198" s="74" t="str">
        <x:v>0</x:v>
      </x:c>
      <x:c r="Y198" s="74" t="str">
        <x:v>11</x:v>
      </x:c>
      <x:c r="Z198" s="74" t="str">
        <x:v>5</x:v>
      </x:c>
      <x:c r="AA198" s="74" t="str">
        <x:v>1</x:v>
      </x:c>
      <x:c r="AB198" s="74" t="str">
        <x:v>0</x:v>
      </x:c>
      <x:c r="AC198" s="74" t="str">
        <x:v>1</x:v>
      </x:c>
      <x:c r="AD198" s="74" t="str">
        <x:v>0</x:v>
      </x:c>
      <x:c r="AE198" s="74" t="str">
        <x:v>0</x:v>
      </x:c>
      <x:c r="AF198" s="74" t="str"/>
      <x:c r="AG198" s="74" t="str">
        <x:v>1</x:v>
      </x:c>
      <x:c r="AH198" s="74" t="str">
        <x:v>1</x:v>
      </x:c>
      <x:c r="AI198" s="74" t="str">
        <x:v>0</x:v>
      </x:c>
      <x:c r="AJ198" s="74" t="str">
        <x:v>0</x:v>
      </x:c>
      <x:c r="AK198" s="74" t="str">
        <x:v>1</x:v>
      </x:c>
      <x:c r="AL198" s="74" t="str">
        <x:v>1</x:v>
      </x:c>
      <x:c r="AM198" s="74" t="str">
        <x:v>1</x:v>
      </x:c>
      <x:c r="AN198" s="74" t="str">
        <x:v>1</x:v>
      </x:c>
      <x:c r="AO198" s="60" t="str">
        <x:v>0</x:v>
      </x:c>
      <x:c r="AP198" s="76" t="str">
        <x:v>Paid-demand technology detected; creative refresh hypothesis</x:v>
      </x:c>
      <x:c r="AQ198" s="76" t="str">
        <x:v>Meta Pixel; project/gallery proof; visible service offer</x:v>
      </x:c>
      <x:c r="AR198" s="76" t="str">
        <x:v>I was reviewing roofing companies in Greenville, South Carolina and Beemer KangaRoof looked like a strong fit for a creative test.</x:v>
      </x:c>
      <x:c r="AS198" s="76" t="str">
        <x:v>storm-to-inspection before/after ad</x:v>
      </x:c>
      <x:c r="AT198" s="76" t="str">
        <x:v>Beemer KangaRoof ad concept</x:v>
      </x:c>
      <x:c r="AU198" s="76" t="str">
        <x:v>Hi Beemer KangaRoof — I was reviewing roofing companies in Greenville, South Carolina and Beemer KangaRoof looked like a strong fit for a creative test. I mapped a private 15-second storm-to-inspection before/after ad for Beemer KangaRoof using only public brand context—not for publishing, just to show the angle. We build three client-approved video ad concepts in seven days, then turn the winners into fresh variations. No filming day required. Worth sending the private sample?</x:v>
      </x:c>
      <x:c r="AV198" s="76" t="str">
        <x:v>Quick follow-up: the sample angle is a storm-to-inspection before/after ad. If it misses the mark, no problem—I won't keep chasing. Should I send it?</x:v>
      </x:c>
      <x:c r="AW198" s="76" t="str">
        <x:v>Hi Beemer KangaRoof, Ryan here. I was looking at Beemer KangaRoof's public marketing and noticed: paid-demand technology detected; creative refresh hypothesis. I mapped one private storm-to-inspection before/after ad as an example. Did I catch you with 30 seconds?</x:v>
      </x:c>
      <x:c r="AX198" s="60" t="str">
        <x:v>https://www.facebook.com/ads/library/?active_status=active&amp;ad_type=all&amp;country=US&amp;q=Beemer%20KangaRoof&amp;search_type=keyword_unordered</x:v>
      </x:c>
      <x:c r="AY198" s="60" t="str">
        <x:v>ok:200</x:v>
      </x:c>
      <x:c r="AZ198" s="60" t="n">
        <x:v>46232.722858796296</x:v>
      </x:c>
      <x:c r="BA198" s="60" t="str">
        <x:v>Google Maps home-services export</x:v>
      </x:c>
      <x:c r="BB198" s="60" t="str">
        <x:v>https://beemerkangaroof.com | https://maps.google.com/?cid=15834410702434152650&amp;g_mp=Cidnb29nbGUubWFwcy5wbGFjZXMudjEuUGxhY2VzLlNlYXJjaFRleHQQAhgEIAA</x:v>
      </x:c>
      <x:c r="BC198" s="60" t="str"/>
    </x:row>
    <x:row r="199" ht="18" customHeight="1">
      <x:c r="A199" s="70" t="str">
        <x:v>198</x:v>
      </x:c>
      <x:c r="B199" s="70" t="str">
        <x:v>B - Strong</x:v>
      </x:c>
      <x:c r="C199" s="72" t="str">
        <x:v>61</x:v>
      </x:c>
      <x:c r="D199" s="60" t="str">
        <x:v>ATD Roofing</x:v>
      </x:c>
      <x:c r="E199" s="60" t="str">
        <x:v>https://atdroofing.com</x:v>
      </x:c>
      <x:c r="F199" s="60" t="str">
        <x:v>https://atdroofing.com</x:v>
      </x:c>
      <x:c r="G199" s="60" t="str">
        <x:v>Greenville</x:v>
      </x:c>
      <x:c r="H199" s="60" t="str">
        <x:v>South Carolina</x:v>
      </x:c>
      <x:c r="I199" s="60" t="str">
        <x:v>Roofing</x:v>
      </x:c>
      <x:c r="J199" s="60" t="str">
        <x:v>ATD Roofing</x:v>
      </x:c>
      <x:c r="K199" s="60" t="str"/>
      <x:c r="L199" s="60" t="str">
        <x:v>Owner / decision maker to verify</x:v>
      </x:c>
      <x:c r="M199" s="60" t="str"/>
      <x:c r="N199" s="60" t="str"/>
      <x:c r="O199" s="60" t="str">
        <x:v>(864) 618-2353</x:v>
      </x:c>
      <x:c r="P199" s="60" t="str"/>
      <x:c r="Q199" s="60" t="str"/>
      <x:c r="R199" s="60" t="str"/>
      <x:c r="S199" s="60" t="str">
        <x:v>4.8</x:v>
      </x:c>
      <x:c r="T199" s="74" t="str">
        <x:v>359</x:v>
      </x:c>
      <x:c r="U199" s="60" t="str"/>
      <x:c r="V199" s="74" t="str">
        <x:v>30</x:v>
      </x:c>
      <x:c r="W199" s="74" t="str">
        <x:v>15</x:v>
      </x:c>
      <x:c r="X199" s="74" t="str">
        <x:v>0</x:v>
      </x:c>
      <x:c r="Y199" s="74" t="str">
        <x:v>11</x:v>
      </x:c>
      <x:c r="Z199" s="74" t="str">
        <x:v>5</x:v>
      </x:c>
      <x:c r="AA199" s="74" t="str">
        <x:v>1</x:v>
      </x:c>
      <x:c r="AB199" s="74" t="str">
        <x:v>0</x:v>
      </x:c>
      <x:c r="AC199" s="74" t="str">
        <x:v>1</x:v>
      </x:c>
      <x:c r="AD199" s="74" t="str">
        <x:v>0</x:v>
      </x:c>
      <x:c r="AE199" s="74" t="str">
        <x:v>0</x:v>
      </x:c>
      <x:c r="AF199" s="74" t="str"/>
      <x:c r="AG199" s="74" t="str">
        <x:v>1</x:v>
      </x:c>
      <x:c r="AH199" s="74" t="str">
        <x:v>1</x:v>
      </x:c>
      <x:c r="AI199" s="74" t="str">
        <x:v>0</x:v>
      </x:c>
      <x:c r="AJ199" s="74" t="str">
        <x:v>0</x:v>
      </x:c>
      <x:c r="AK199" s="74" t="str">
        <x:v>1</x:v>
      </x:c>
      <x:c r="AL199" s="74" t="str">
        <x:v>0</x:v>
      </x:c>
      <x:c r="AM199" s="74" t="str">
        <x:v>1</x:v>
      </x:c>
      <x:c r="AN199" s="74" t="str">
        <x:v>1</x:v>
      </x:c>
      <x:c r="AO199" s="60" t="str">
        <x:v>2026</x:v>
      </x:c>
      <x:c r="AP199" s="76" t="str">
        <x:v>Paid-demand technology detected; creative refresh hypothesis</x:v>
      </x:c>
      <x:c r="AQ199" s="76" t="str">
        <x:v>Meta Pixel; project/gallery proof; visible service offer</x:v>
      </x:c>
      <x:c r="AR199" s="76" t="str">
        <x:v>I was reviewing roofing companies in Greenville, South Carolina and ATD Roofing looked like a strong fit for a creative test.</x:v>
      </x:c>
      <x:c r="AS199" s="76" t="str">
        <x:v>storm-to-inspection before/after ad</x:v>
      </x:c>
      <x:c r="AT199" s="76" t="str">
        <x:v>ATD Roofing ad concept</x:v>
      </x:c>
      <x:c r="AU199" s="76" t="str">
        <x:v>Hi ATD Roofing — I was reviewing roofing companies in Greenville, South Carolina and ATD Roofing looked like a strong fit for a creative test. I mapped a private 15-second storm-to-inspection before/after ad for ATD Roofing using only public brand context—not for publishing, just to show the angle. We build three client-approved video ad concepts in seven days, then turn the winners into fresh variations. No filming day required. Worth sending the private sample?</x:v>
      </x:c>
      <x:c r="AV199" s="76" t="str">
        <x:v>Quick follow-up: the sample angle is a storm-to-inspection before/after ad. If it misses the mark, no problem—I won't keep chasing. Should I send it?</x:v>
      </x:c>
      <x:c r="AW199" s="76" t="str">
        <x:v>Hi ATD Roofing, Ryan here. I was looking at ATD Roofing's public marketing and noticed: paid-demand technology detected; creative refresh hypothesis. I mapped one private storm-to-inspection before/after ad as an example. Did I catch you with 30 seconds?</x:v>
      </x:c>
      <x:c r="AX199" s="60" t="str">
        <x:v>https://www.facebook.com/ads/library/?active_status=active&amp;ad_type=all&amp;country=US&amp;q=ATD%20Roofing&amp;search_type=keyword_unordered</x:v>
      </x:c>
      <x:c r="AY199" s="60" t="str">
        <x:v>ok:200</x:v>
      </x:c>
      <x:c r="AZ199" s="60" t="n">
        <x:v>46232.722858796296</x:v>
      </x:c>
      <x:c r="BA199" s="60" t="str">
        <x:v>Google Maps home-services export</x:v>
      </x:c>
      <x:c r="BB199" s="60" t="str">
        <x:v>https://atdroofing.com | https://maps.google.com/?cid=8043938605965295007&amp;g_mp=Cidnb29nbGUubWFwcy5wbGFjZXMudjEuUGxhY2VzLlNlYXJjaFRleHQQAhgEIAA</x:v>
      </x:c>
      <x:c r="BC199" s="60" t="str"/>
    </x:row>
    <x:row r="200" ht="18" customHeight="1">
      <x:c r="A200" s="70" t="str">
        <x:v>199</x:v>
      </x:c>
      <x:c r="B200" s="70" t="str">
        <x:v>B - Strong</x:v>
      </x:c>
      <x:c r="C200" s="72" t="str">
        <x:v>61</x:v>
      </x:c>
      <x:c r="D200" s="60" t="str">
        <x:v>Heartwood Fence</x:v>
      </x:c>
      <x:c r="E200" s="60" t="str">
        <x:v>https://heartwoodfenceva.com</x:v>
      </x:c>
      <x:c r="F200" s="60" t="str">
        <x:v>https://www.heartwoodfenceva.com/</x:v>
      </x:c>
      <x:c r="G200" s="60" t="str">
        <x:v>Greenville</x:v>
      </x:c>
      <x:c r="H200" s="60" t="str">
        <x:v>South Carolina</x:v>
      </x:c>
      <x:c r="I200" s="60" t="str">
        <x:v>Fence &amp; Deck</x:v>
      </x:c>
      <x:c r="J200" s="60" t="str">
        <x:v>Kevin</x:v>
      </x:c>
      <x:c r="K200" s="60" t="str">
        <x:v>White</x:v>
      </x:c>
      <x:c r="L200" s="60" t="str">
        <x:v>Owner | Managing Partner</x:v>
      </x:c>
      <x:c r="M200" s="60" t="str">
        <x:v>kevin@heartwoodfenceva.com</x:v>
      </x:c>
      <x:c r="N200" s="60" t="str">
        <x:v>Verified with BounceBan on 08 Jun 26 12:06</x:v>
      </x:c>
      <x:c r="O200" s="60" t="str"/>
      <x:c r="P200" s="60" t="str">
        <x:v>https://www.linkedin.com/in/kevin-white-3a605ab6</x:v>
      </x:c>
      <x:c r="Q200" s="60" t="str">
        <x:v>2-10</x:v>
      </x:c>
      <x:c r="R200" s="60" t="str">
        <x:v>100000-499999</x:v>
      </x:c>
      <x:c r="S200" s="60" t="str"/>
      <x:c r="T200" s="74" t="str">
        <x:v>0</x:v>
      </x:c>
      <x:c r="U200" s="60" t="str"/>
      <x:c r="V200" s="74" t="str">
        <x:v>21</x:v>
      </x:c>
      <x:c r="W200" s="74" t="str">
        <x:v>15</x:v>
      </x:c>
      <x:c r="X200" s="74" t="str">
        <x:v>15</x:v>
      </x:c>
      <x:c r="Y200" s="74" t="str">
        <x:v>3</x:v>
      </x:c>
      <x:c r="Z200" s="74" t="str">
        <x:v>7</x:v>
      </x:c>
      <x:c r="AA200" s="74" t="str">
        <x:v>1</x:v>
      </x:c>
      <x:c r="AB200" s="74" t="str">
        <x:v>0</x:v>
      </x:c>
      <x:c r="AC200" s="74" t="str">
        <x:v>1</x:v>
      </x:c>
      <x:c r="AD200" s="74" t="str">
        <x:v>0</x:v>
      </x:c>
      <x:c r="AE200" s="74" t="str">
        <x:v>0</x:v>
      </x:c>
      <x:c r="AF200" s="74" t="str"/>
      <x:c r="AG200" s="74" t="str">
        <x:v>0</x:v>
      </x:c>
      <x:c r="AH200" s="74" t="str">
        <x:v>0</x:v>
      </x:c>
      <x:c r="AI200" s="74" t="str">
        <x:v>0</x:v>
      </x:c>
      <x:c r="AJ200" s="74" t="str">
        <x:v>0</x:v>
      </x:c>
      <x:c r="AK200" s="74" t="str">
        <x:v>1</x:v>
      </x:c>
      <x:c r="AL200" s="74" t="str">
        <x:v>1</x:v>
      </x:c>
      <x:c r="AM200" s="74" t="str">
        <x:v>1</x:v>
      </x:c>
      <x:c r="AN200" s="74" t="str">
        <x:v>0</x:v>
      </x:c>
      <x:c r="AO200" s="60" t="str">
        <x:v>2024</x:v>
      </x:c>
      <x:c r="AP200" s="76" t="str">
        <x:v>Meta tracking detected; no embedded homepage video found</x:v>
      </x:c>
      <x:c r="AQ200" s="76" t="str">
        <x:v>Meta Pixel; visible service offer; no embedded homepage video detected</x:v>
      </x:c>
      <x:c r="AR200" s="76" t="str">
        <x:v>I noticed Heartwood Fence's site has Meta tracking installed, but I couldn't find an embedded video on the homepage.</x:v>
      </x:c>
      <x:c r="AS200" s="76" t="str">
        <x:v>yard privacy transformation ad</x:v>
      </x:c>
      <x:c r="AT200" s="76" t="str">
        <x:v>Heartwood Fence ad concept</x:v>
      </x:c>
      <x:c r="AU200" s="76" t="str">
        <x:v>Hi Kevin — I noticed Heartwood Fence's site has Meta tracking installed, but I couldn't find an embedded video on the homepage. I mapped a private 15-second yard privacy transformation ad for Heartwood Fence using only public brand context—not for publishing, just to show the angle. We build three client-approved video ad concepts in seven days, then turn the winners into fresh variations. No filming day required. Worth sending the private sample?</x:v>
      </x:c>
      <x:c r="AV200" s="76" t="str">
        <x:v>Quick follow-up: the sample angle is a yard privacy transformation ad. If it misses the mark, no problem—I won't keep chasing. Should I send it?</x:v>
      </x:c>
      <x:c r="AW200" s="76" t="str">
        <x:v>Hi Kevin, Ryan here. I was looking at Heartwood Fence's public marketing and noticed: meta tracking detected; no embedded homepage video found. I mapped one private yard privacy transformation ad as an example. Did I catch you with 30 seconds?</x:v>
      </x:c>
      <x:c r="AX200" s="60" t="str">
        <x:v>https://www.facebook.com/ads/library/?active_status=active&amp;ad_type=all&amp;country=US&amp;q=Heartwood%20Fence&amp;search_type=keyword_unordered</x:v>
      </x:c>
      <x:c r="AY200" s="60" t="str">
        <x:v>ok:200</x:v>
      </x:c>
      <x:c r="AZ200" s="60" t="n">
        <x:v>46232.722858796296</x:v>
      </x:c>
      <x:c r="BA200" s="60" t="str">
        <x:v>AI Ark SC trades export</x:v>
      </x:c>
      <x:c r="BB200" s="60" t="str">
        <x:v>https://heartwoodfenceva.com | https://www.linkedin.com/company/heartwood-fence</x:v>
      </x:c>
      <x:c r="BC200" s="60" t="str"/>
    </x:row>
    <x:row r="201" ht="18" customHeight="1">
      <x:c r="A201" s="70" t="str">
        <x:v>200</x:v>
      </x:c>
      <x:c r="B201" s="70" t="str">
        <x:v>B - Strong</x:v>
      </x:c>
      <x:c r="C201" s="72" t="str">
        <x:v>61</x:v>
      </x:c>
      <x:c r="D201" s="60" t="str">
        <x:v>Charleston Spray Wash</x:v>
      </x:c>
      <x:c r="E201" s="60" t="str">
        <x:v>https://charlestonspraywash.com</x:v>
      </x:c>
      <x:c r="F201" s="60" t="str">
        <x:v>https://www.charlestonspraywash.com/</x:v>
      </x:c>
      <x:c r="G201" s="60" t="str">
        <x:v>Mount Pleasant</x:v>
      </x:c>
      <x:c r="H201" s="60" t="str">
        <x:v>South Carolina</x:v>
      </x:c>
      <x:c r="I201" s="60" t="str">
        <x:v>Roofing</x:v>
      </x:c>
      <x:c r="J201" s="60" t="str">
        <x:v>Sean</x:v>
      </x:c>
      <x:c r="K201" s="60" t="str">
        <x:v>M.</x:v>
      </x:c>
      <x:c r="L201" s="60" t="str">
        <x:v>Owner and CEO</x:v>
      </x:c>
      <x:c r="M201" s="60" t="str"/>
      <x:c r="N201" s="60" t="str"/>
      <x:c r="O201" s="60" t="str"/>
      <x:c r="P201" s="60" t="str">
        <x:v>https://www.linkedin.com/in/smcnally1988</x:v>
      </x:c>
      <x:c r="Q201" s="60" t="str">
        <x:v>2-10</x:v>
      </x:c>
      <x:c r="R201" s="60" t="str">
        <x:v>0-99999</x:v>
      </x:c>
      <x:c r="S201" s="60" t="str"/>
      <x:c r="T201" s="74" t="str">
        <x:v>0</x:v>
      </x:c>
      <x:c r="U201" s="60" t="str"/>
      <x:c r="V201" s="74" t="str">
        <x:v>28</x:v>
      </x:c>
      <x:c r="W201" s="74" t="str">
        <x:v>15</x:v>
      </x:c>
      <x:c r="X201" s="74" t="str">
        <x:v>16</x:v>
      </x:c>
      <x:c r="Y201" s="74" t="str">
        <x:v>0</x:v>
      </x:c>
      <x:c r="Z201" s="74" t="str">
        <x:v>2</x:v>
      </x:c>
      <x:c r="AA201" s="74" t="str">
        <x:v>1</x:v>
      </x:c>
      <x:c r="AB201" s="74" t="str">
        <x:v>0</x:v>
      </x:c>
      <x:c r="AC201" s="74" t="str">
        <x:v>1</x:v>
      </x:c>
      <x:c r="AD201" s="74" t="str">
        <x:v>0</x:v>
      </x:c>
      <x:c r="AE201" s="74" t="str">
        <x:v>0</x:v>
      </x:c>
      <x:c r="AF201" s="74" t="str"/>
      <x:c r="AG201" s="74" t="str">
        <x:v>0</x:v>
      </x:c>
      <x:c r="AH201" s="74" t="str">
        <x:v>0</x:v>
      </x:c>
      <x:c r="AI201" s="74" t="str">
        <x:v>0</x:v>
      </x:c>
      <x:c r="AJ201" s="74" t="str">
        <x:v>0</x:v>
      </x:c>
      <x:c r="AK201" s="74" t="str">
        <x:v>0</x:v>
      </x:c>
      <x:c r="AL201" s="74" t="str">
        <x:v>0</x:v>
      </x:c>
      <x:c r="AM201" s="74" t="str">
        <x:v>1</x:v>
      </x:c>
      <x:c r="AN201" s="74" t="str">
        <x:v>0</x:v>
      </x:c>
      <x:c r="AO201" s="60" t="str">
        <x:v>0</x:v>
      </x:c>
      <x:c r="AP201" s="76" t="str">
        <x:v>Meta tracking detected; no embedded homepage video found</x:v>
      </x:c>
      <x:c r="AQ201" s="76" t="str">
        <x:v>Meta Pixel; no embedded homepage video detected</x:v>
      </x:c>
      <x:c r="AR201" s="76" t="str">
        <x:v>I noticed Charleston Spray Wash's site has Meta tracking installed, but I couldn't find an embedded video on the homepage.</x:v>
      </x:c>
      <x:c r="AS201" s="76" t="str">
        <x:v>storm-to-inspection before/after ad</x:v>
      </x:c>
      <x:c r="AT201" s="76" t="str">
        <x:v>Charleston Spray Wash ad concept</x:v>
      </x:c>
      <x:c r="AU201" s="76" t="str">
        <x:v>Hi Sean — I noticed Charleston Spray Wash's site has Meta tracking installed, but I couldn't find an embedded video on the homepage. I mapped a private 15-second storm-to-inspection before/after ad for Charleston Spray Wash using only public brand context—not for publishing, just to show the angle. We build three client-approved video ad concepts in seven days, then turn the winners into fresh variations. No filming day required. Worth sending the private sample?</x:v>
      </x:c>
      <x:c r="AV201" s="76" t="str">
        <x:v>Quick follow-up: the sample angle is a storm-to-inspection before/after ad. If it misses the mark, no problem—I won't keep chasing. Should I send it?</x:v>
      </x:c>
      <x:c r="AW201" s="76" t="str">
        <x:v>Hi Sean, Ryan here. I was looking at Charleston Spray Wash's public marketing and noticed: meta tracking detected; no embedded homepage video found. I mapped one private storm-to-inspection before/after ad as an example. Did I catch you with 30 seconds?</x:v>
      </x:c>
      <x:c r="AX201" s="60" t="str">
        <x:v>https://www.facebook.com/ads/library/?active_status=active&amp;ad_type=all&amp;country=US&amp;q=Charleston%20Spray%20Wash&amp;search_type=keyword_unordered</x:v>
      </x:c>
      <x:c r="AY201" s="60" t="str">
        <x:v>ok:200</x:v>
      </x:c>
      <x:c r="AZ201" s="60" t="n">
        <x:v>46232.722858796296</x:v>
      </x:c>
      <x:c r="BA201" s="60" t="str">
        <x:v>AI Ark SC trades export</x:v>
      </x:c>
      <x:c r="BB201" s="60" t="str">
        <x:v>https://charlestonspraywash.com | https://www.linkedin.com/company/charleston-spray-wash</x:v>
      </x:c>
      <x:c r="BC201" s="60" t="str"/>
    </x:row>
    <x:row r="202" ht="18" customHeight="1">
      <x:c r="A202" s="70" t="str">
        <x:v>201</x:v>
      </x:c>
      <x:c r="B202" s="70" t="str">
        <x:v>B - Strong</x:v>
      </x:c>
      <x:c r="C202" s="72" t="str">
        <x:v>61</x:v>
      </x:c>
      <x:c r="D202" s="60" t="str">
        <x:v>home builder</x:v>
      </x:c>
      <x:c r="E202" s="60" t="str">
        <x:v>https://boesenhomes.com</x:v>
      </x:c>
      <x:c r="F202" s="60" t="str">
        <x:v>http://boesenhomes.com</x:v>
      </x:c>
      <x:c r="G202" s="60" t="str">
        <x:v>Charleston</x:v>
      </x:c>
      <x:c r="H202" s="60" t="str">
        <x:v>South Carolina</x:v>
      </x:c>
      <x:c r="I202" s="60" t="str">
        <x:v>General Contractor</x:v>
      </x:c>
      <x:c r="J202" s="60" t="str">
        <x:v>Kevin</x:v>
      </x:c>
      <x:c r="K202" s="60" t="str">
        <x:v>Vachon</x:v>
      </x:c>
      <x:c r="L202" s="60" t="str">
        <x:v>Owner</x:v>
      </x:c>
      <x:c r="M202" s="60" t="str"/>
      <x:c r="N202" s="60" t="str"/>
      <x:c r="O202" s="60" t="str">
        <x:v>+1 843 870 0841</x:v>
      </x:c>
      <x:c r="P202" s="60" t="str">
        <x:v>https://www.linkedin.com/in/kevin-vachon-73644a15</x:v>
      </x:c>
      <x:c r="Q202" s="60" t="str">
        <x:v>null+</x:v>
      </x:c>
      <x:c r="R202" s="60" t="str">
        <x:v>10000000-24999999</x:v>
      </x:c>
      <x:c r="S202" s="60" t="str"/>
      <x:c r="T202" s="74" t="str">
        <x:v>0</x:v>
      </x:c>
      <x:c r="U202" s="60" t="str"/>
      <x:c r="V202" s="74" t="str">
        <x:v>22</x:v>
      </x:c>
      <x:c r="W202" s="74" t="str">
        <x:v>13</x:v>
      </x:c>
      <x:c r="X202" s="74" t="str">
        <x:v>16</x:v>
      </x:c>
      <x:c r="Y202" s="74" t="str">
        <x:v>5</x:v>
      </x:c>
      <x:c r="Z202" s="74" t="str">
        <x:v>5</x:v>
      </x:c>
      <x:c r="AA202" s="74" t="str">
        <x:v>0</x:v>
      </x:c>
      <x:c r="AB202" s="74" t="str">
        <x:v>1</x:v>
      </x:c>
      <x:c r="AC202" s="74" t="str">
        <x:v>1</x:v>
      </x:c>
      <x:c r="AD202" s="74" t="str">
        <x:v>0</x:v>
      </x:c>
      <x:c r="AE202" s="74" t="str">
        <x:v>0</x:v>
      </x:c>
      <x:c r="AF202" s="74" t="str"/>
      <x:c r="AG202" s="74" t="str">
        <x:v>0</x:v>
      </x:c>
      <x:c r="AH202" s="74" t="str">
        <x:v>1</x:v>
      </x:c>
      <x:c r="AI202" s="74" t="str">
        <x:v>0</x:v>
      </x:c>
      <x:c r="AJ202" s="74" t="str">
        <x:v>0</x:v>
      </x:c>
      <x:c r="AK202" s="74" t="str">
        <x:v>0</x:v>
      </x:c>
      <x:c r="AL202" s="74" t="str">
        <x:v>0</x:v>
      </x:c>
      <x:c r="AM202" s="74" t="str">
        <x:v>0</x:v>
      </x:c>
      <x:c r="AN202" s="74" t="str">
        <x:v>0</x:v>
      </x:c>
      <x:c r="AO202" s="60" t="str">
        <x:v>0</x:v>
      </x:c>
      <x:c r="AP202" s="76" t="str">
        <x:v>Google Ads tag detected; no embedded homepage video found</x:v>
      </x:c>
      <x:c r="AQ202" s="76" t="str">
        <x:v>Google Ads tag; project/gallery proof; no embedded homepage video detected</x:v>
      </x:c>
      <x:c r="AR202" s="76" t="str">
        <x:v>I noticed home builder's site has a Google Ads tag installed, but I couldn't find an embedded video on the homepage.</x:v>
      </x:c>
      <x:c r="AS202" s="76" t="str">
        <x:v>project walkthrough with proof milestones</x:v>
      </x:c>
      <x:c r="AT202" s="76" t="str">
        <x:v>home builder ad concept</x:v>
      </x:c>
      <x:c r="AU202" s="76" t="str">
        <x:v>Hi Kevin — I noticed home builder's site has a Google Ads tag installed, but I couldn't find an embedded video on the homepage. I mapped a private 15-second project walkthrough with proof milestones for home builder using only public brand context—not for publishing, just to show the angle. We build three client-approved video ad concepts in seven days, then turn the winners into fresh variations. No filming day required. Worth sending the private sample?</x:v>
      </x:c>
      <x:c r="AV202" s="76" t="str">
        <x:v>Quick follow-up: the sample angle is a project walkthrough with proof milestones. If it misses the mark, no problem—I won't keep chasing. Should I send it?</x:v>
      </x:c>
      <x:c r="AW202" s="76" t="str">
        <x:v>Hi Kevin, Ryan here. I was looking at home builder's public marketing and noticed: google ads tag detected; no embedded homepage video found. I mapped one private project walkthrough with proof milestones as an example. Did I catch you with 30 seconds?</x:v>
      </x:c>
      <x:c r="AX202" s="60" t="str">
        <x:v>https://www.facebook.com/ads/library/?active_status=active&amp;ad_type=all&amp;country=US&amp;q=home%20builder&amp;search_type=keyword_unordered</x:v>
      </x:c>
      <x:c r="AY202" s="60" t="str">
        <x:v>ok:200</x:v>
      </x:c>
      <x:c r="AZ202" s="60" t="n">
        <x:v>46232.722858796296</x:v>
      </x:c>
      <x:c r="BA202" s="60" t="str">
        <x:v>AI Ark SC trades export</x:v>
      </x:c>
      <x:c r="BB202" s="60" t="str">
        <x:v>https://boesenhomes.com | https://www.linkedin.com/company/home-builder</x:v>
      </x:c>
      <x:c r="BC202" s="60" t="str"/>
    </x:row>
    <x:row r="203" ht="18" customHeight="1">
      <x:c r="A203" s="70" t="str">
        <x:v>202</x:v>
      </x:c>
      <x:c r="B203" s="70" t="str">
        <x:v>B - Strong</x:v>
      </x:c>
      <x:c r="C203" s="72" t="str">
        <x:v>61</x:v>
      </x:c>
      <x:c r="D203" s="60" t="str">
        <x:v>BBI CONSTRUCTION &amp; LANDSCAPING LLC</x:v>
      </x:c>
      <x:c r="E203" s="60" t="str">
        <x:v>https://bbimb.com</x:v>
      </x:c>
      <x:c r="F203" s="60" t="str">
        <x:v>https://bbimb.com</x:v>
      </x:c>
      <x:c r="G203" s="60" t="str">
        <x:v>Greater Myrtle Beach Area</x:v>
      </x:c>
      <x:c r="H203" s="60" t="str"/>
      <x:c r="I203" s="60" t="str">
        <x:v>General Contractor</x:v>
      </x:c>
      <x:c r="J203" s="60" t="str">
        <x:v>Brox</x:v>
      </x:c>
      <x:c r="K203" s="60" t="str">
        <x:v>Baxley</x:v>
      </x:c>
      <x:c r="L203" s="60" t="str">
        <x:v>Owner</x:v>
      </x:c>
      <x:c r="M203" s="60" t="str"/>
      <x:c r="N203" s="60" t="str"/>
      <x:c r="O203" s="60" t="str">
        <x:v>+1 843 465 0893</x:v>
      </x:c>
      <x:c r="P203" s="60" t="str">
        <x:v>https://www.linkedin.com/in/broxbaxley</x:v>
      </x:c>
      <x:c r="Q203" s="60" t="str">
        <x:v>2-10</x:v>
      </x:c>
      <x:c r="R203" s="60" t="str">
        <x:v>0-99999</x:v>
      </x:c>
      <x:c r="S203" s="60" t="str"/>
      <x:c r="T203" s="74" t="str">
        <x:v>0</x:v>
      </x:c>
      <x:c r="U203" s="60" t="str"/>
      <x:c r="V203" s="74" t="str">
        <x:v>20</x:v>
      </x:c>
      <x:c r="W203" s="74" t="str">
        <x:v>12</x:v>
      </x:c>
      <x:c r="X203" s="74" t="str">
        <x:v>15</x:v>
      </x:c>
      <x:c r="Y203" s="74" t="str">
        <x:v>9</x:v>
      </x:c>
      <x:c r="Z203" s="74" t="str">
        <x:v>5</x:v>
      </x:c>
      <x:c r="AA203" s="74" t="str">
        <x:v>1</x:v>
      </x:c>
      <x:c r="AB203" s="74" t="str">
        <x:v>0</x:v>
      </x:c>
      <x:c r="AC203" s="74" t="str">
        <x:v>0</x:v>
      </x:c>
      <x:c r="AD203" s="74" t="str">
        <x:v>0</x:v>
      </x:c>
      <x:c r="AE203" s="74" t="str">
        <x:v>0</x:v>
      </x:c>
      <x:c r="AF203" s="74" t="str"/>
      <x:c r="AG203" s="74" t="str">
        <x:v>0</x:v>
      </x:c>
      <x:c r="AH203" s="74" t="str">
        <x:v>1</x:v>
      </x:c>
      <x:c r="AI203" s="74" t="str">
        <x:v>1</x:v>
      </x:c>
      <x:c r="AJ203" s="74" t="str">
        <x:v>0</x:v>
      </x:c>
      <x:c r="AK203" s="74" t="str">
        <x:v>0</x:v>
      </x:c>
      <x:c r="AL203" s="74" t="str">
        <x:v>1</x:v>
      </x:c>
      <x:c r="AM203" s="74" t="str">
        <x:v>1</x:v>
      </x:c>
      <x:c r="AN203" s="74" t="str">
        <x:v>0</x:v>
      </x:c>
      <x:c r="AO203" s="60" t="str">
        <x:v>2017</x:v>
      </x:c>
      <x:c r="AP203" s="76" t="str">
        <x:v>Meta tracking detected; no embedded homepage video found</x:v>
      </x:c>
      <x:c r="AQ203" s="76" t="str">
        <x:v>Meta Pixel; project/gallery proof; testimonials; no embedded homepage video detected</x:v>
      </x:c>
      <x:c r="AR203" s="76" t="str">
        <x:v>I noticed BBI CONSTRUCTION &amp; LANDSCAPING LLC's site has Meta tracking installed, but I couldn't find an embedded video on the homepage.</x:v>
      </x:c>
      <x:c r="AS203" s="76" t="str">
        <x:v>project walkthrough with proof milestones</x:v>
      </x:c>
      <x:c r="AT203" s="76" t="str">
        <x:v>BBI CONSTRUCTION &amp; LANDSCAPING LLC ad concept</x:v>
      </x:c>
      <x:c r="AU203" s="76" t="str">
        <x:v>Hi Brox — I noticed BBI CONSTRUCTION &amp; LANDSCAPING LLC's site has Meta tracking installed, but I couldn't find an embedded video on the homepage. I mapped a private 15-second project walkthrough with proof milestones for BBI CONSTRUCTION &amp; LANDSCAPING LLC using only public brand context—not for publishing, just to show the angle. We build three client-approved video ad concepts in seven days, then turn the winners into fresh variations. No filming day required. Worth sending the private sample?</x:v>
      </x:c>
      <x:c r="AV203" s="76" t="str">
        <x:v>Quick follow-up: the sample angle is a project walkthrough with proof milestones. If it misses the mark, no problem—I won't keep chasing. Should I send it?</x:v>
      </x:c>
      <x:c r="AW203" s="76" t="str">
        <x:v>Hi Brox, Ryan here. I was looking at BBI CONSTRUCTION &amp; LANDSCAPING LLC's public marketing and noticed: meta tracking detected; no embedded homepage video found. I mapped one private project walkthrough with proof milestones as an example. Did I catch you with 30 seconds?</x:v>
      </x:c>
      <x:c r="AX203" s="60" t="str">
        <x:v>https://www.facebook.com/ads/library/?active_status=active&amp;ad_type=all&amp;country=US&amp;q=BBI%20CONSTRUCTION%20%26%20LANDSCAPING%20LLC&amp;search_type=keyword_unordered</x:v>
      </x:c>
      <x:c r="AY203" s="60" t="str">
        <x:v>ok:200</x:v>
      </x:c>
      <x:c r="AZ203" s="60" t="n">
        <x:v>46232.722858796296</x:v>
      </x:c>
      <x:c r="BA203" s="60" t="str">
        <x:v>AI Ark SC trades export</x:v>
      </x:c>
      <x:c r="BB203" s="60" t="str">
        <x:v>https://bbimb.com | https://www.linkedin.com/company/bbi-construction-&amp;-landscaping-llc</x:v>
      </x:c>
      <x:c r="BC203" s="60" t="str"/>
    </x:row>
    <x:row r="204" ht="18" customHeight="1">
      <x:c r="A204" s="70" t="str">
        <x:v>203</x:v>
      </x:c>
      <x:c r="B204" s="70" t="str">
        <x:v>B - Strong</x:v>
      </x:c>
      <x:c r="C204" s="72" t="str">
        <x:v>61</x:v>
      </x:c>
      <x:c r="D204" s="60" t="str">
        <x:v>Merritt Roofing LLC</x:v>
      </x:c>
      <x:c r="E204" s="60" t="str">
        <x:v>https://merrittroofing.com</x:v>
      </x:c>
      <x:c r="F204" s="60" t="str">
        <x:v>https://www.merrittroofing.com/</x:v>
      </x:c>
      <x:c r="G204" s="60" t="str">
        <x:v>Rock Hill</x:v>
      </x:c>
      <x:c r="H204" s="60" t="str">
        <x:v>South Carolina</x:v>
      </x:c>
      <x:c r="I204" s="60" t="str">
        <x:v>Roofing</x:v>
      </x:c>
      <x:c r="J204" s="60" t="str">
        <x:v>Merritt Roofing LLC</x:v>
      </x:c>
      <x:c r="K204" s="60" t="str"/>
      <x:c r="L204" s="60" t="str">
        <x:v>Owner / decision maker to verify</x:v>
      </x:c>
      <x:c r="M204" s="60" t="str"/>
      <x:c r="N204" s="60" t="str"/>
      <x:c r="O204" s="60" t="str">
        <x:v>(803) 902-4586</x:v>
      </x:c>
      <x:c r="P204" s="60" t="str"/>
      <x:c r="Q204" s="60" t="str"/>
      <x:c r="R204" s="60" t="str"/>
      <x:c r="S204" s="60" t="str">
        <x:v>4.9</x:v>
      </x:c>
      <x:c r="T204" s="74" t="str">
        <x:v>261</x:v>
      </x:c>
      <x:c r="U204" s="60" t="str"/>
      <x:c r="V204" s="74" t="str">
        <x:v>30</x:v>
      </x:c>
      <x:c r="W204" s="74" t="str">
        <x:v>11</x:v>
      </x:c>
      <x:c r="X204" s="74" t="str">
        <x:v>0</x:v>
      </x:c>
      <x:c r="Y204" s="74" t="str">
        <x:v>15</x:v>
      </x:c>
      <x:c r="Z204" s="74" t="str">
        <x:v>5</x:v>
      </x:c>
      <x:c r="AA204" s="74" t="str">
        <x:v>0</x:v>
      </x:c>
      <x:c r="AB204" s="74" t="str">
        <x:v>0</x:v>
      </x:c>
      <x:c r="AC204" s="74" t="str">
        <x:v>1</x:v>
      </x:c>
      <x:c r="AD204" s="74" t="str">
        <x:v>0</x:v>
      </x:c>
      <x:c r="AE204" s="74" t="str">
        <x:v>1</x:v>
      </x:c>
      <x:c r="AF204" s="74" t="str"/>
      <x:c r="AG204" s="74" t="str">
        <x:v>1</x:v>
      </x:c>
      <x:c r="AH204" s="74" t="str">
        <x:v>1</x:v>
      </x:c>
      <x:c r="AI204" s="74" t="str">
        <x:v>1</x:v>
      </x:c>
      <x:c r="AJ204" s="74" t="str">
        <x:v>1</x:v>
      </x:c>
      <x:c r="AK204" s="74" t="str">
        <x:v>1</x:v>
      </x:c>
      <x:c r="AL204" s="74" t="str">
        <x:v>1</x:v>
      </x:c>
      <x:c r="AM204" s="74" t="str">
        <x:v>1</x:v>
      </x:c>
      <x:c r="AN204" s="74" t="str">
        <x:v>1</x:v>
      </x:c>
      <x:c r="AO204" s="60" t="str">
        <x:v>2026</x:v>
      </x:c>
      <x:c r="AP204" s="76" t="str">
        <x:v>Paid-demand technology detected; creative refresh hypothesis</x:v>
      </x:c>
      <x:c r="AQ204" s="76" t="str">
        <x:v>call tracking; project/gallery proof; testimonials; financing; visible service offer</x:v>
      </x:c>
      <x:c r="AR204" s="76" t="str">
        <x:v>I was reviewing roofing companies in Rock Hill, South Carolina and Merritt Roofing LLC looked like a strong fit for a creative test.</x:v>
      </x:c>
      <x:c r="AS204" s="76" t="str">
        <x:v>storm-to-inspection before/after ad</x:v>
      </x:c>
      <x:c r="AT204" s="76" t="str">
        <x:v>Merritt Roofing LLC ad concept</x:v>
      </x:c>
      <x:c r="AU204" s="76" t="str">
        <x:v>Hi Merritt Roofing LLC — I was reviewing roofing companies in Rock Hill, South Carolina and Merritt Roofing LLC looked like a strong fit for a creative test. I mapped a private 15-second storm-to-inspection before/after ad for Merritt Roofing LLC using only public brand context—not for publishing, just to show the angle. We build three client-approved video ad concepts in seven days, then turn the winners into fresh variations. No filming day required. Worth sending the private sample?</x:v>
      </x:c>
      <x:c r="AV204" s="76" t="str">
        <x:v>Quick follow-up: the sample angle is a storm-to-inspection before/after ad. If it misses the mark, no problem—I won't keep chasing. Should I send it?</x:v>
      </x:c>
      <x:c r="AW204" s="76" t="str">
        <x:v>Hi Merritt Roofing LLC, Ryan here. I was looking at Merritt Roofing LLC's public marketing and noticed: paid-demand technology detected; creative refresh hypothesis. I mapped one private storm-to-inspection before/after ad as an example. Did I catch you with 30 seconds?</x:v>
      </x:c>
      <x:c r="AX204" s="60" t="str">
        <x:v>https://www.facebook.com/ads/library/?active_status=active&amp;ad_type=all&amp;country=US&amp;q=Merritt%20Roofing%20LLC&amp;search_type=keyword_unordered</x:v>
      </x:c>
      <x:c r="AY204" s="60" t="str">
        <x:v>ok:200</x:v>
      </x:c>
      <x:c r="AZ204" s="60" t="n">
        <x:v>46232.722858796296</x:v>
      </x:c>
      <x:c r="BA204" s="60" t="str">
        <x:v>Google Maps home-services export</x:v>
      </x:c>
      <x:c r="BB204" s="60" t="str">
        <x:v>https://maps.google.com/?cid=11833401606687393274&amp;g_mp=Cidnb29nbGUubWFwcy5wbGFjZXMudjEuUGxhY2VzLlNlYXJjaFRleHQQAhgEIAA | https://merrittroofing.com</x:v>
      </x:c>
      <x:c r="BC204" s="60" t="str"/>
    </x:row>
    <x:row r="205" ht="18" customHeight="1">
      <x:c r="A205" s="70" t="str">
        <x:v>204</x:v>
      </x:c>
      <x:c r="B205" s="70" t="str">
        <x:v>B - Strong</x:v>
      </x:c>
      <x:c r="C205" s="72" t="str">
        <x:v>61</x:v>
      </x:c>
      <x:c r="D205" s="60" t="str">
        <x:v>Salty Dog Roofing &amp; Siding</x:v>
      </x:c>
      <x:c r="E205" s="60" t="str">
        <x:v>https://roofingpups.com</x:v>
      </x:c>
      <x:c r="F205" s="60" t="str">
        <x:v>https://roofingpups.com</x:v>
      </x:c>
      <x:c r="G205" s="60" t="str">
        <x:v>Myrtle Beach</x:v>
      </x:c>
      <x:c r="H205" s="60" t="str">
        <x:v>South Carolina</x:v>
      </x:c>
      <x:c r="I205" s="60" t="str">
        <x:v>Roofing</x:v>
      </x:c>
      <x:c r="J205" s="60" t="str">
        <x:v>Salty Dog Roofing &amp; Siding</x:v>
      </x:c>
      <x:c r="K205" s="60" t="str"/>
      <x:c r="L205" s="60" t="str">
        <x:v>Owner / decision maker to verify</x:v>
      </x:c>
      <x:c r="M205" s="60" t="str"/>
      <x:c r="N205" s="60" t="str"/>
      <x:c r="O205" s="60" t="str">
        <x:v>(843) 428-2998</x:v>
      </x:c>
      <x:c r="P205" s="60" t="str"/>
      <x:c r="Q205" s="60" t="str"/>
      <x:c r="R205" s="60" t="str"/>
      <x:c r="S205" s="60" t="str">
        <x:v>4.9</x:v>
      </x:c>
      <x:c r="T205" s="74" t="str">
        <x:v>399</x:v>
      </x:c>
      <x:c r="U205" s="60" t="str"/>
      <x:c r="V205" s="74" t="str">
        <x:v>30</x:v>
      </x:c>
      <x:c r="W205" s="74" t="str">
        <x:v>6</x:v>
      </x:c>
      <x:c r="X205" s="74" t="str">
        <x:v>6</x:v>
      </x:c>
      <x:c r="Y205" s="74" t="str">
        <x:v>14</x:v>
      </x:c>
      <x:c r="Z205" s="74" t="str">
        <x:v>5</x:v>
      </x:c>
      <x:c r="AA205" s="74" t="str">
        <x:v>0</x:v>
      </x:c>
      <x:c r="AB205" s="74" t="str">
        <x:v>0</x:v>
      </x:c>
      <x:c r="AC205" s="74" t="str">
        <x:v>1</x:v>
      </x:c>
      <x:c r="AD205" s="74" t="str">
        <x:v>0</x:v>
      </x:c>
      <x:c r="AE205" s="74" t="str">
        <x:v>0</x:v>
      </x:c>
      <x:c r="AF205" s="74" t="str">
        <x:v>servicetitan</x:v>
      </x:c>
      <x:c r="AG205" s="74" t="str">
        <x:v>0</x:v>
      </x:c>
      <x:c r="AH205" s="74" t="str">
        <x:v>1</x:v>
      </x:c>
      <x:c r="AI205" s="74" t="str">
        <x:v>0</x:v>
      </x:c>
      <x:c r="AJ205" s="74" t="str">
        <x:v>1</x:v>
      </x:c>
      <x:c r="AK205" s="74" t="str">
        <x:v>1</x:v>
      </x:c>
      <x:c r="AL205" s="74" t="str">
        <x:v>1</x:v>
      </x:c>
      <x:c r="AM205" s="74" t="str">
        <x:v>1</x:v>
      </x:c>
      <x:c r="AN205" s="74" t="str">
        <x:v>1</x:v>
      </x:c>
      <x:c r="AO205" s="60" t="str">
        <x:v>0</x:v>
      </x:c>
      <x:c r="AP205" s="76" t="str">
        <x:v>Project/gallery proof found; no embedded homepage video found</x:v>
      </x:c>
      <x:c r="AQ205" s="76" t="str">
        <x:v>project/gallery proof; financing; visible service offer; no embedded homepage video detected</x:v>
      </x:c>
      <x:c r="AR205" s="76" t="str">
        <x:v>I found project/gallery proof on Salty Dog Roofing &amp; Siding's site that could be repackaged into short-form ad concepts.</x:v>
      </x:c>
      <x:c r="AS205" s="76" t="str">
        <x:v>storm-to-inspection before/after ad</x:v>
      </x:c>
      <x:c r="AT205" s="76" t="str">
        <x:v>Salty Dog Roofing &amp; Siding ad concept</x:v>
      </x:c>
      <x:c r="AU205" s="76" t="str">
        <x:v>Hi Salty Dog Roofing &amp; Siding — I found project/gallery proof on Salty Dog Roofing &amp; Siding's site that could be repackaged into short-form ad concepts. I mapped a private 15-second storm-to-inspection before/after ad for Salty Dog Roofing &amp; Siding using only public brand context—not for publishing, just to show the angle. We build three client-approved video ad concepts in seven days, then turn the winners into fresh variations. No filming day required. Worth sending the private sample?</x:v>
      </x:c>
      <x:c r="AV205" s="76" t="str">
        <x:v>Quick follow-up: the sample angle is a storm-to-inspection before/after ad. If it misses the mark, no problem—I won't keep chasing. Should I send it?</x:v>
      </x:c>
      <x:c r="AW205" s="76" t="str">
        <x:v>Hi Salty Dog Roofing &amp; Siding, Ryan here. I was looking at Salty Dog Roofing &amp; Siding's public marketing and noticed: project/gallery proof found; no embedded homepage video found. I mapped one private storm-to-inspection before/after ad as an example. Did I catch you with 30 seconds?</x:v>
      </x:c>
      <x:c r="AX205" s="60" t="str">
        <x:v>https://www.facebook.com/ads/library/?active_status=active&amp;ad_type=all&amp;country=US&amp;q=Salty%20Dog%20Roofing%20%26%20Siding&amp;search_type=keyword_unordered</x:v>
      </x:c>
      <x:c r="AY205" s="60" t="str">
        <x:v>ok:200</x:v>
      </x:c>
      <x:c r="AZ205" s="60" t="n">
        <x:v>46232.722858796296</x:v>
      </x:c>
      <x:c r="BA205" s="60" t="str">
        <x:v>Google Maps home-services export</x:v>
      </x:c>
      <x:c r="BB205" s="60" t="str">
        <x:v>https://maps.google.com/?cid=17479612708397071398&amp;g_mp=Cidnb29nbGUubWFwcy5wbGFjZXMudjEuUGxhY2VzLlNlYXJjaFRleHQQAhgEIAA | https://roofingpups.com</x:v>
      </x:c>
      <x:c r="BC205" s="60" t="str"/>
    </x:row>
    <x:row r="206" ht="18" customHeight="1">
      <x:c r="A206" s="70" t="str">
        <x:v>205</x:v>
      </x:c>
      <x:c r="B206" s="70" t="str">
        <x:v>B - Strong</x:v>
      </x:c>
      <x:c r="C206" s="72" t="str">
        <x:v>61</x:v>
      </x:c>
      <x:c r="D206" s="60" t="str">
        <x:v>Solutions Heating Air</x:v>
      </x:c>
      <x:c r="E206" s="60" t="str">
        <x:v>https://solutionshvacservices.com</x:v>
      </x:c>
      <x:c r="F206" s="60" t="str">
        <x:v>https://www.solutionshvacservices.com/</x:v>
      </x:c>
      <x:c r="G206" s="60" t="str">
        <x:v>Columbia</x:v>
      </x:c>
      <x:c r="H206" s="60" t="str">
        <x:v>South Carolina</x:v>
      </x:c>
      <x:c r="I206" s="60" t="str">
        <x:v>HVAC</x:v>
      </x:c>
      <x:c r="J206" s="60" t="str">
        <x:v>Solutions Heating Air</x:v>
      </x:c>
      <x:c r="K206" s="60" t="str"/>
      <x:c r="L206" s="60" t="str">
        <x:v>Owner / decision maker to verify</x:v>
      </x:c>
      <x:c r="M206" s="60" t="str"/>
      <x:c r="N206" s="60" t="str"/>
      <x:c r="O206" s="60" t="str">
        <x:v>(803) 269-5326</x:v>
      </x:c>
      <x:c r="P206" s="60" t="str"/>
      <x:c r="Q206" s="60" t="str"/>
      <x:c r="R206" s="60" t="str"/>
      <x:c r="S206" s="60" t="str">
        <x:v>4.9</x:v>
      </x:c>
      <x:c r="T206" s="74" t="str">
        <x:v>547</x:v>
      </x:c>
      <x:c r="U206" s="60" t="str"/>
      <x:c r="V206" s="74" t="str">
        <x:v>29</x:v>
      </x:c>
      <x:c r="W206" s="74" t="str">
        <x:v>6</x:v>
      </x:c>
      <x:c r="X206" s="74" t="str">
        <x:v>10</x:v>
      </x:c>
      <x:c r="Y206" s="74" t="str">
        <x:v>11</x:v>
      </x:c>
      <x:c r="Z206" s="74" t="str">
        <x:v>5</x:v>
      </x:c>
      <x:c r="AA206" s="74" t="str">
        <x:v>0</x:v>
      </x:c>
      <x:c r="AB206" s="74" t="str">
        <x:v>0</x:v>
      </x:c>
      <x:c r="AC206" s="74" t="str">
        <x:v>1</x:v>
      </x:c>
      <x:c r="AD206" s="74" t="str">
        <x:v>0</x:v>
      </x:c>
      <x:c r="AE206" s="74" t="str">
        <x:v>0</x:v>
      </x:c>
      <x:c r="AF206" s="74" t="str">
        <x:v>housecallpro</x:v>
      </x:c>
      <x:c r="AG206" s="74" t="str">
        <x:v>0</x:v>
      </x:c>
      <x:c r="AH206" s="74" t="str">
        <x:v>1</x:v>
      </x:c>
      <x:c r="AI206" s="74" t="str">
        <x:v>0</x:v>
      </x:c>
      <x:c r="AJ206" s="74" t="str">
        <x:v>0</x:v>
      </x:c>
      <x:c r="AK206" s="74" t="str">
        <x:v>1</x:v>
      </x:c>
      <x:c r="AL206" s="74" t="str">
        <x:v>0</x:v>
      </x:c>
      <x:c r="AM206" s="74" t="str">
        <x:v>1</x:v>
      </x:c>
      <x:c r="AN206" s="74" t="str">
        <x:v>0</x:v>
      </x:c>
      <x:c r="AO206" s="60" t="str">
        <x:v>2026</x:v>
      </x:c>
      <x:c r="AP206" s="76" t="str">
        <x:v>Project/gallery proof found; no embedded homepage video found</x:v>
      </x:c>
      <x:c r="AQ206" s="76" t="str">
        <x:v>project/gallery proof; visible service offer; no embedded homepage video detected</x:v>
      </x:c>
      <x:c r="AR206" s="76" t="str">
        <x:v>I found project/gallery proof on Solutions Heating Air's site that could be repackaged into short-form ad concepts.</x:v>
      </x:c>
      <x:c r="AS206" s="76" t="str">
        <x:v>no-cool-call to same-day comfort ad</x:v>
      </x:c>
      <x:c r="AT206" s="76" t="str">
        <x:v>Solutions Heating Air ad concept</x:v>
      </x:c>
      <x:c r="AU206" s="76" t="str">
        <x:v>Hi Solutions Heating Air — I found project/gallery proof on Solutions Heating Air's site that could be repackaged into short-form ad concepts. I mapped a private 15-second no-cool-call to same-day comfort ad for Solutions Heating Air using only public brand context—not for publishing, just to show the angle. We build three client-approved video ad concepts in seven days, then turn the winners into fresh variations. No filming day required. Worth sending the private sample?</x:v>
      </x:c>
      <x:c r="AV206" s="76" t="str">
        <x:v>Quick follow-up: the sample angle is a no-cool-call to same-day comfort ad. If it misses the mark, no problem—I won't keep chasing. Should I send it?</x:v>
      </x:c>
      <x:c r="AW206" s="76" t="str">
        <x:v>Hi Solutions Heating Air, Ryan here. I was looking at Solutions Heating Air's public marketing and noticed: project/gallery proof found; no embedded homepage video found. I mapped one private no-cool-call to same-day comfort ad as an example. Did I catch you with 30 seconds?</x:v>
      </x:c>
      <x:c r="AX206" s="60" t="str">
        <x:v>https://www.facebook.com/ads/library/?active_status=active&amp;ad_type=all&amp;country=US&amp;q=Solutions%20Heating%20Air&amp;search_type=keyword_unordered</x:v>
      </x:c>
      <x:c r="AY206" s="60" t="str">
        <x:v>ok:200</x:v>
      </x:c>
      <x:c r="AZ206" s="60" t="n">
        <x:v>46232.722858796296</x:v>
      </x:c>
      <x:c r="BA206" s="60" t="str">
        <x:v>Google Maps home-services export</x:v>
      </x:c>
      <x:c r="BB206" s="60" t="str">
        <x:v>https://maps.google.com/?cid=12311358657868431084&amp;g_mp=Cidnb29nbGUubWFwcy5wbGFjZXMudjEuUGxhY2VzLlNlYXJjaFRleHQQAhgEIAA | https://solutionshvacservices.com</x:v>
      </x:c>
      <x:c r="BC206" s="60" t="str"/>
    </x:row>
    <x:row r="207" ht="18" customHeight="1">
      <x:c r="A207" s="70" t="str">
        <x:v>206</x:v>
      </x:c>
      <x:c r="B207" s="70" t="str">
        <x:v>B - Strong</x:v>
      </x:c>
      <x:c r="C207" s="72" t="str">
        <x:v>61</x:v>
      </x:c>
      <x:c r="D207" s="60" t="str">
        <x:v>Mid-State Heating and Air, LLC</x:v>
      </x:c>
      <x:c r="E207" s="60" t="str">
        <x:v>https://midstateheating.com</x:v>
      </x:c>
      <x:c r="F207" s="60" t="str">
        <x:v>https://midstateheating.com</x:v>
      </x:c>
      <x:c r="G207" s="60" t="str">
        <x:v>Columbia</x:v>
      </x:c>
      <x:c r="H207" s="60" t="str">
        <x:v>South Carolina</x:v>
      </x:c>
      <x:c r="I207" s="60" t="str">
        <x:v>HVAC</x:v>
      </x:c>
      <x:c r="J207" s="60" t="str">
        <x:v>Mid-State Heating and Air, LLC</x:v>
      </x:c>
      <x:c r="K207" s="60" t="str"/>
      <x:c r="L207" s="60" t="str">
        <x:v>Owner / decision maker to verify</x:v>
      </x:c>
      <x:c r="M207" s="60" t="str"/>
      <x:c r="N207" s="60" t="str"/>
      <x:c r="O207" s="60" t="str">
        <x:v>(803) 609-6689</x:v>
      </x:c>
      <x:c r="P207" s="60" t="str"/>
      <x:c r="Q207" s="60" t="str"/>
      <x:c r="R207" s="60" t="str"/>
      <x:c r="S207" s="60" t="str">
        <x:v>4.8</x:v>
      </x:c>
      <x:c r="T207" s="74" t="str">
        <x:v>333</x:v>
      </x:c>
      <x:c r="U207" s="60" t="str"/>
      <x:c r="V207" s="74" t="str">
        <x:v>29</x:v>
      </x:c>
      <x:c r="W207" s="74" t="str">
        <x:v>6</x:v>
      </x:c>
      <x:c r="X207" s="74" t="str">
        <x:v>10</x:v>
      </x:c>
      <x:c r="Y207" s="74" t="str">
        <x:v>11</x:v>
      </x:c>
      <x:c r="Z207" s="74" t="str">
        <x:v>5</x:v>
      </x:c>
      <x:c r="AA207" s="74" t="str">
        <x:v>0</x:v>
      </x:c>
      <x:c r="AB207" s="74" t="str">
        <x:v>0</x:v>
      </x:c>
      <x:c r="AC207" s="74" t="str">
        <x:v>1</x:v>
      </x:c>
      <x:c r="AD207" s="74" t="str">
        <x:v>0</x:v>
      </x:c>
      <x:c r="AE207" s="74" t="str">
        <x:v>0</x:v>
      </x:c>
      <x:c r="AF207" s="74" t="str">
        <x:v>podium</x:v>
      </x:c>
      <x:c r="AG207" s="74" t="str">
        <x:v>0</x:v>
      </x:c>
      <x:c r="AH207" s="74" t="str">
        <x:v>1</x:v>
      </x:c>
      <x:c r="AI207" s="74" t="str">
        <x:v>0</x:v>
      </x:c>
      <x:c r="AJ207" s="74" t="str">
        <x:v>0</x:v>
      </x:c>
      <x:c r="AK207" s="74" t="str">
        <x:v>1</x:v>
      </x:c>
      <x:c r="AL207" s="74" t="str">
        <x:v>0</x:v>
      </x:c>
      <x:c r="AM207" s="74" t="str">
        <x:v>1</x:v>
      </x:c>
      <x:c r="AN207" s="74" t="str">
        <x:v>0</x:v>
      </x:c>
      <x:c r="AO207" s="60" t="str">
        <x:v>2026</x:v>
      </x:c>
      <x:c r="AP207" s="76" t="str">
        <x:v>Project/gallery proof found; no embedded homepage video found</x:v>
      </x:c>
      <x:c r="AQ207" s="76" t="str">
        <x:v>project/gallery proof; visible service offer; no embedded homepage video detected</x:v>
      </x:c>
      <x:c r="AR207" s="76" t="str">
        <x:v>I found project/gallery proof on Mid-State Heating and Air, LLC's site that could be repackaged into short-form ad concepts.</x:v>
      </x:c>
      <x:c r="AS207" s="76" t="str">
        <x:v>no-cool-call to same-day comfort ad</x:v>
      </x:c>
      <x:c r="AT207" s="76" t="str">
        <x:v>Mid-State Heating and Air, LLC ad concept</x:v>
      </x:c>
      <x:c r="AU207" s="76" t="str">
        <x:v>Hi Mid-State Heating and Air, LLC — I found project/gallery proof on Mid-State Heating and Air, LLC's site that could be repackaged into short-form ad concepts. I mapped a private 15-second no-cool-call to same-day comfort ad for Mid-State Heating and Air, LLC using only public brand context—not for publishing, just to show the angle. We build three client-approved video ad concepts in seven days, then turn the winners into fresh variations. No filming day required. Worth sending the private sample?</x:v>
      </x:c>
      <x:c r="AV207" s="76" t="str">
        <x:v>Quick follow-up: the sample angle is a no-cool-call to same-day comfort ad. If it misses the mark, no problem—I won't keep chasing. Should I send it?</x:v>
      </x:c>
      <x:c r="AW207" s="76" t="str">
        <x:v>Hi Mid-State Heating and Air, LLC, Ryan here. I was looking at Mid-State Heating and Air, LLC's public marketing and noticed: project/gallery proof found; no embedded homepage video found. I mapped one private no-cool-call to same-day comfort ad as an example. Did I catch you with 30 seconds?</x:v>
      </x:c>
      <x:c r="AX207" s="60" t="str">
        <x:v>https://www.facebook.com/ads/library/?active_status=active&amp;ad_type=all&amp;country=US&amp;q=Mid-State%20Heating%20and%20Air%2C%20LLC&amp;search_type=keyword_unordered</x:v>
      </x:c>
      <x:c r="AY207" s="60" t="str">
        <x:v>ok:200</x:v>
      </x:c>
      <x:c r="AZ207" s="60" t="n">
        <x:v>46232.722858796296</x:v>
      </x:c>
      <x:c r="BA207" s="60" t="str">
        <x:v>Google Maps home-services export</x:v>
      </x:c>
      <x:c r="BB207" s="60" t="str">
        <x:v>https://maps.google.com/?cid=14862045415706107941&amp;g_mp=Cidnb29nbGUubWFwcy5wbGFjZXMudjEuUGxhY2VzLlNlYXJjaFRleHQQAhgEIAA | https://midstateheating.com</x:v>
      </x:c>
      <x:c r="BC207" s="60" t="str"/>
    </x:row>
    <x:row r="208" ht="18" customHeight="1">
      <x:c r="A208" s="70" t="str">
        <x:v>207</x:v>
      </x:c>
      <x:c r="B208" s="70" t="str">
        <x:v>B - Strong</x:v>
      </x:c>
      <x:c r="C208" s="72" t="str">
        <x:v>61</x:v>
      </x:c>
      <x:c r="D208" s="60" t="str">
        <x:v>Beech Island Appliance Service Co.</x:v>
      </x:c>
      <x:c r="E208" s="60" t="str">
        <x:v>https://beechislandheatingandair.com</x:v>
      </x:c>
      <x:c r="F208" s="60" t="str">
        <x:v>https://beechislandheatingandair.com</x:v>
      </x:c>
      <x:c r="G208" s="60" t="str">
        <x:v>Aiken</x:v>
      </x:c>
      <x:c r="H208" s="60" t="str">
        <x:v>South Carolina</x:v>
      </x:c>
      <x:c r="I208" s="60" t="str">
        <x:v>HVAC</x:v>
      </x:c>
      <x:c r="J208" s="60" t="str">
        <x:v>Beech Island Appliance Service Co.</x:v>
      </x:c>
      <x:c r="K208" s="60" t="str"/>
      <x:c r="L208" s="60" t="str">
        <x:v>Owner / decision maker to verify</x:v>
      </x:c>
      <x:c r="M208" s="60" t="str"/>
      <x:c r="N208" s="60" t="str"/>
      <x:c r="O208" s="60" t="str">
        <x:v>(803) 827-0421</x:v>
      </x:c>
      <x:c r="P208" s="60" t="str"/>
      <x:c r="Q208" s="60" t="str"/>
      <x:c r="R208" s="60" t="str"/>
      <x:c r="S208" s="60" t="str">
        <x:v>4.8</x:v>
      </x:c>
      <x:c r="T208" s="74" t="str">
        <x:v>153</x:v>
      </x:c>
      <x:c r="U208" s="60" t="str"/>
      <x:c r="V208" s="74" t="str">
        <x:v>28</x:v>
      </x:c>
      <x:c r="W208" s="74" t="str">
        <x:v>6</x:v>
      </x:c>
      <x:c r="X208" s="74" t="str">
        <x:v>13</x:v>
      </x:c>
      <x:c r="Y208" s="74" t="str">
        <x:v>9</x:v>
      </x:c>
      <x:c r="Z208" s="74" t="str">
        <x:v>5</x:v>
      </x:c>
      <x:c r="AA208" s="74" t="str">
        <x:v>0</x:v>
      </x:c>
      <x:c r="AB208" s="74" t="str">
        <x:v>0</x:v>
      </x:c>
      <x:c r="AC208" s="74" t="str">
        <x:v>1</x:v>
      </x:c>
      <x:c r="AD208" s="74" t="str">
        <x:v>0</x:v>
      </x:c>
      <x:c r="AE208" s="74" t="str">
        <x:v>0</x:v>
      </x:c>
      <x:c r="AF208" s="74" t="str">
        <x:v>podium</x:v>
      </x:c>
      <x:c r="AG208" s="74" t="str">
        <x:v>0</x:v>
      </x:c>
      <x:c r="AH208" s="74" t="str">
        <x:v>0</x:v>
      </x:c>
      <x:c r="AI208" s="74" t="str">
        <x:v>0</x:v>
      </x:c>
      <x:c r="AJ208" s="74" t="str">
        <x:v>1</x:v>
      </x:c>
      <x:c r="AK208" s="74" t="str">
        <x:v>1</x:v>
      </x:c>
      <x:c r="AL208" s="74" t="str">
        <x:v>0</x:v>
      </x:c>
      <x:c r="AM208" s="74" t="str">
        <x:v>1</x:v>
      </x:c>
      <x:c r="AN208" s="74" t="str">
        <x:v>0</x:v>
      </x:c>
      <x:c r="AO208" s="60" t="str">
        <x:v>2019</x:v>
      </x:c>
      <x:c r="AP208" s="76" t="str">
        <x:v>153 Google reviews; no embedded homepage video found</x:v>
      </x:c>
      <x:c r="AQ208" s="76" t="str">
        <x:v>financing; visible service offer; no embedded homepage video detected</x:v>
      </x:c>
      <x:c r="AR208" s="76" t="str">
        <x:v>Beech Island Appliance Service Co. has 153 Google reviews—strong proof that could be turned into short-form ad concepts.</x:v>
      </x:c>
      <x:c r="AS208" s="76" t="str">
        <x:v>no-cool-call to same-day comfort ad</x:v>
      </x:c>
      <x:c r="AT208" s="76" t="str">
        <x:v>Beech Island Appliance Service Co. ad concept</x:v>
      </x:c>
      <x:c r="AU208" s="76" t="str">
        <x:v>Hi Beech Island Appliance Service Co. — Beech Island Appliance Service Co. has 153 Google reviews—strong proof that could be turned into short-form ad concepts. I mapped a private 15-second no-cool-call to same-day comfort ad for Beech Island Appliance Service Co. using only public brand context—not for publishing, just to show the angle. We build three client-approved video ad concepts in seven days, then turn the winners into fresh variations. No filming day required. Worth sending the private sample?</x:v>
      </x:c>
      <x:c r="AV208" s="76" t="str">
        <x:v>Quick follow-up: the sample angle is a no-cool-call to same-day comfort ad. If it misses the mark, no problem—I won't keep chasing. Should I send it?</x:v>
      </x:c>
      <x:c r="AW208" s="76" t="str">
        <x:v>Hi Beech Island Appliance Service Co., Ryan here. I was looking at Beech Island Appliance Service Co.'s public marketing and noticed: 153 google reviews; no embedded homepage video found. I mapped one private no-cool-call to same-day comfort ad as an example. Did I catch you with 30 seconds?</x:v>
      </x:c>
      <x:c r="AX208" s="60" t="str">
        <x:v>https://www.facebook.com/ads/library/?active_status=active&amp;ad_type=all&amp;country=US&amp;q=Beech%20Island%20Appliance%20Service%20Co.&amp;search_type=keyword_unordered</x:v>
      </x:c>
      <x:c r="AY208" s="60" t="str">
        <x:v>ok:200</x:v>
      </x:c>
      <x:c r="AZ208" s="60" t="n">
        <x:v>46232.722858796296</x:v>
      </x:c>
      <x:c r="BA208" s="60" t="str">
        <x:v>Google Maps home-services export</x:v>
      </x:c>
      <x:c r="BB208" s="60" t="str">
        <x:v>https://beechislandheatingandair.com | https://maps.google.com/?cid=17009305480756764925&amp;g_mp=Cidnb29nbGUubWFwcy5wbGFjZXMudjEuUGxhY2VzLlNlYXJjaFRleHQQAhgEIAA</x:v>
      </x:c>
      <x:c r="BC208" s="60" t="str"/>
    </x:row>
    <x:row r="209" ht="18" customHeight="1">
      <x:c r="A209" s="70" t="str">
        <x:v>208</x:v>
      </x:c>
      <x:c r="B209" s="70" t="str">
        <x:v>B - Strong</x:v>
      </x:c>
      <x:c r="C209" s="72" t="str">
        <x:v>61</x:v>
      </x:c>
      <x:c r="D209" s="60" t="str">
        <x:v>Airport Heating &amp; Cooling, Inc</x:v>
      </x:c>
      <x:c r="E209" s="60" t="str">
        <x:v>https://airportheatingandcooling.com</x:v>
      </x:c>
      <x:c r="F209" s="60" t="str">
        <x:v>https://airportheatingandcooling.com</x:v>
      </x:c>
      <x:c r="G209" s="60" t="str">
        <x:v>Columbia</x:v>
      </x:c>
      <x:c r="H209" s="60" t="str">
        <x:v>South Carolina</x:v>
      </x:c>
      <x:c r="I209" s="60" t="str">
        <x:v>HVAC</x:v>
      </x:c>
      <x:c r="J209" s="60" t="str">
        <x:v>Airport Heating &amp; Cooling, Inc</x:v>
      </x:c>
      <x:c r="K209" s="60" t="str"/>
      <x:c r="L209" s="60" t="str">
        <x:v>Owner / decision maker to verify</x:v>
      </x:c>
      <x:c r="M209" s="60" t="str"/>
      <x:c r="N209" s="60" t="str"/>
      <x:c r="O209" s="60" t="str">
        <x:v>(803) 926-9527</x:v>
      </x:c>
      <x:c r="P209" s="60" t="str"/>
      <x:c r="Q209" s="60" t="str"/>
      <x:c r="R209" s="60" t="str"/>
      <x:c r="S209" s="60" t="str">
        <x:v>4.9</x:v>
      </x:c>
      <x:c r="T209" s="74" t="str">
        <x:v>540</x:v>
      </x:c>
      <x:c r="U209" s="60" t="str">
        <x:v>slow_response</x:v>
      </x:c>
      <x:c r="V209" s="74" t="str">
        <x:v>29</x:v>
      </x:c>
      <x:c r="W209" s="74" t="str">
        <x:v>3</x:v>
      </x:c>
      <x:c r="X209" s="74" t="str">
        <x:v>12</x:v>
      </x:c>
      <x:c r="Y209" s="74" t="str">
        <x:v>12</x:v>
      </x:c>
      <x:c r="Z209" s="74" t="str">
        <x:v>5</x:v>
      </x:c>
      <x:c r="AA209" s="74" t="str">
        <x:v>0</x:v>
      </x:c>
      <x:c r="AB209" s="74" t="str">
        <x:v>0</x:v>
      </x:c>
      <x:c r="AC209" s="74" t="str">
        <x:v>1</x:v>
      </x:c>
      <x:c r="AD209" s="74" t="str">
        <x:v>0</x:v>
      </x:c>
      <x:c r="AE209" s="74" t="str">
        <x:v>0</x:v>
      </x:c>
      <x:c r="AF209" s="74" t="str"/>
      <x:c r="AG209" s="74" t="str">
        <x:v>0</x:v>
      </x:c>
      <x:c r="AH209" s="74" t="str">
        <x:v>1</x:v>
      </x:c>
      <x:c r="AI209" s="74" t="str">
        <x:v>1</x:v>
      </x:c>
      <x:c r="AJ209" s="74" t="str">
        <x:v>0</x:v>
      </x:c>
      <x:c r="AK209" s="74" t="str">
        <x:v>0</x:v>
      </x:c>
      <x:c r="AL209" s="74" t="str">
        <x:v>0</x:v>
      </x:c>
      <x:c r="AM209" s="74" t="str">
        <x:v>1</x:v>
      </x:c>
      <x:c r="AN209" s="74" t="str">
        <x:v>0</x:v>
      </x:c>
      <x:c r="AO209" s="60" t="str">
        <x:v>0</x:v>
      </x:c>
      <x:c r="AP209" s="76" t="str">
        <x:v>Project/gallery proof found; no embedded homepage video found</x:v>
      </x:c>
      <x:c r="AQ209" s="76" t="str">
        <x:v>project/gallery proof; testimonials; no embedded homepage video detected</x:v>
      </x:c>
      <x:c r="AR209" s="76" t="str">
        <x:v>I found project/gallery proof on Airport Heating &amp; Cooling, Inc's site that could be repackaged into short-form ad concepts.</x:v>
      </x:c>
      <x:c r="AS209" s="76" t="str">
        <x:v>no-cool-call to same-day comfort ad</x:v>
      </x:c>
      <x:c r="AT209" s="76" t="str">
        <x:v>Airport Heating &amp; Cooling, Inc ad concept</x:v>
      </x:c>
      <x:c r="AU209" s="76" t="str">
        <x:v>Hi Airport Heating &amp; Cooling, Inc — I found project/gallery proof on Airport Heating &amp; Cooling, Inc's site that could be repackaged into short-form ad concepts. I mapped a private 15-second no-cool-call to same-day comfort ad for Airport Heating &amp; Cooling, Inc using only public brand context—not for publishing, just to show the angle. We build three client-approved video ad concepts in seven days, then turn the winners into fresh variations. No filming day required. Worth sending the private sample?</x:v>
      </x:c>
      <x:c r="AV209" s="76" t="str">
        <x:v>Quick follow-up: the sample angle is a no-cool-call to same-day comfort ad. If it misses the mark, no problem—I won't keep chasing. Should I send it?</x:v>
      </x:c>
      <x:c r="AW209" s="76" t="str">
        <x:v>Hi Airport Heating &amp; Cooling, Inc, Ryan here. I was looking at Airport Heating &amp; Cooling, Inc's public marketing and noticed: project/gallery proof found; no embedded homepage video found. I mapped one private no-cool-call to same-day comfort ad as an example. Did I catch you with 30 seconds?</x:v>
      </x:c>
      <x:c r="AX209" s="60" t="str">
        <x:v>https://www.facebook.com/ads/library/?active_status=active&amp;ad_type=all&amp;country=US&amp;q=Airport%20Heating%20%26%20Cooling%2C%20Inc&amp;search_type=keyword_unordered</x:v>
      </x:c>
      <x:c r="AY209" s="60" t="str">
        <x:v>ok:200</x:v>
      </x:c>
      <x:c r="AZ209" s="60" t="n">
        <x:v>46232.722858796296</x:v>
      </x:c>
      <x:c r="BA209" s="60" t="str">
        <x:v>Google Maps home-services export</x:v>
      </x:c>
      <x:c r="BB209" s="60" t="str">
        <x:v>https://airportheatingandcooling.com | https://maps.google.com/?cid=14842830282505405718&amp;g_mp=Cidnb29nbGUubWFwcy5wbGFjZXMudjEuUGxhY2VzLlNlYXJjaFRleHQQAhgEIAA</x:v>
      </x:c>
      <x:c r="BC209" s="60" t="str"/>
    </x:row>
    <x:row r="210" ht="18" customHeight="1">
      <x:c r="A210" s="70" t="str">
        <x:v>209</x:v>
      </x:c>
      <x:c r="B210" s="70" t="str">
        <x:v>B - Strong</x:v>
      </x:c>
      <x:c r="C210" s="72" t="str">
        <x:v>61</x:v>
      </x:c>
      <x:c r="D210" s="60" t="str">
        <x:v>Charleston Roofing and Exteriors</x:v>
      </x:c>
      <x:c r="E210" s="60" t="str">
        <x:v>https://charlestonroof.com</x:v>
      </x:c>
      <x:c r="F210" s="60" t="str">
        <x:v>https://charlestonroof.com</x:v>
      </x:c>
      <x:c r="G210" s="60" t="str">
        <x:v>Charleston</x:v>
      </x:c>
      <x:c r="H210" s="60" t="str">
        <x:v>South Carolina</x:v>
      </x:c>
      <x:c r="I210" s="60" t="str">
        <x:v>Roofing</x:v>
      </x:c>
      <x:c r="J210" s="60" t="str">
        <x:v>Charleston Roofing and Exteriors</x:v>
      </x:c>
      <x:c r="K210" s="60" t="str"/>
      <x:c r="L210" s="60" t="str">
        <x:v>Owner / decision maker to verify</x:v>
      </x:c>
      <x:c r="M210" s="60" t="str"/>
      <x:c r="N210" s="60" t="str"/>
      <x:c r="O210" s="60" t="str">
        <x:v>(843) 203-5555</x:v>
      </x:c>
      <x:c r="P210" s="60" t="str"/>
      <x:c r="Q210" s="60" t="str"/>
      <x:c r="R210" s="60" t="str"/>
      <x:c r="S210" s="60" t="str">
        <x:v>4.8</x:v>
      </x:c>
      <x:c r="T210" s="74" t="str">
        <x:v>281</x:v>
      </x:c>
      <x:c r="U210" s="60" t="str"/>
      <x:c r="V210" s="74" t="str">
        <x:v>30</x:v>
      </x:c>
      <x:c r="W210" s="74" t="str">
        <x:v>3</x:v>
      </x:c>
      <x:c r="X210" s="74" t="str">
        <x:v>13</x:v>
      </x:c>
      <x:c r="Y210" s="74" t="str">
        <x:v>10</x:v>
      </x:c>
      <x:c r="Z210" s="74" t="str">
        <x:v>5</x:v>
      </x:c>
      <x:c r="AA210" s="74" t="str">
        <x:v>0</x:v>
      </x:c>
      <x:c r="AB210" s="74" t="str">
        <x:v>0</x:v>
      </x:c>
      <x:c r="AC210" s="74" t="str">
        <x:v>1</x:v>
      </x:c>
      <x:c r="AD210" s="74" t="str">
        <x:v>0</x:v>
      </x:c>
      <x:c r="AE210" s="74" t="str">
        <x:v>0</x:v>
      </x:c>
      <x:c r="AF210" s="74" t="str"/>
      <x:c r="AG210" s="74" t="str">
        <x:v>0</x:v>
      </x:c>
      <x:c r="AH210" s="74" t="str">
        <x:v>0</x:v>
      </x:c>
      <x:c r="AI210" s="74" t="str">
        <x:v>1</x:v>
      </x:c>
      <x:c r="AJ210" s="74" t="str">
        <x:v>0</x:v>
      </x:c>
      <x:c r="AK210" s="74" t="str">
        <x:v>1</x:v>
      </x:c>
      <x:c r="AL210" s="74" t="str">
        <x:v>0</x:v>
      </x:c>
      <x:c r="AM210" s="74" t="str">
        <x:v>0</x:v>
      </x:c>
      <x:c r="AN210" s="74" t="str">
        <x:v>0</x:v>
      </x:c>
      <x:c r="AO210" s="60" t="str">
        <x:v>2020</x:v>
      </x:c>
      <x:c r="AP210" s="76" t="str">
        <x:v>281 Google reviews; no embedded homepage video found</x:v>
      </x:c>
      <x:c r="AQ210" s="76" t="str">
        <x:v>testimonials; visible service offer; no embedded homepage video detected</x:v>
      </x:c>
      <x:c r="AR210" s="76" t="str">
        <x:v>Charleston Roofing and Exteriors has 281 Google reviews—strong proof that could be turned into short-form ad concepts.</x:v>
      </x:c>
      <x:c r="AS210" s="76" t="str">
        <x:v>storm-to-inspection before/after ad</x:v>
      </x:c>
      <x:c r="AT210" s="76" t="str">
        <x:v>Charleston Roofing and Exteriors ad concept</x:v>
      </x:c>
      <x:c r="AU210" s="76" t="str">
        <x:v>Hi Charleston Roofing and Exteriors — Charleston Roofing and Exteriors has 281 Google reviews—strong proof that could be turned into short-form ad concepts. I mapped a private 15-second storm-to-inspection before/after ad for Charleston Roofing and Exteriors using only public brand context—not for publishing, just to show the angle. We build three client-approved video ad concepts in seven days, then turn the winners into fresh variations. No filming day required. Worth sending the private sample?</x:v>
      </x:c>
      <x:c r="AV210" s="76" t="str">
        <x:v>Quick follow-up: the sample angle is a storm-to-inspection before/after ad. If it misses the mark, no problem—I won't keep chasing. Should I send it?</x:v>
      </x:c>
      <x:c r="AW210" s="76" t="str">
        <x:v>Hi Charleston Roofing and Exteriors, Ryan here. I was looking at Charleston Roofing and Exteriors's public marketing and noticed: 281 google reviews; no embedded homepage video found. I mapped one private storm-to-inspection before/after ad as an example. Did I catch you with 30 seconds?</x:v>
      </x:c>
      <x:c r="AX210" s="60" t="str">
        <x:v>https://www.facebook.com/ads/library/?active_status=active&amp;ad_type=all&amp;country=US&amp;q=Charleston%20Roofing%20and%20Exteriors&amp;search_type=keyword_unordered</x:v>
      </x:c>
      <x:c r="AY210" s="60" t="str">
        <x:v>ok:200</x:v>
      </x:c>
      <x:c r="AZ210" s="60" t="n">
        <x:v>46232.722858796296</x:v>
      </x:c>
      <x:c r="BA210" s="60" t="str">
        <x:v>Google Maps home-services export</x:v>
      </x:c>
      <x:c r="BB210" s="60" t="str">
        <x:v>https://charlestonroof.com | https://maps.google.com/?cid=2277282758004589967&amp;g_mp=Cidnb29nbGUubWFwcy5wbGFjZXMudjEuUGxhY2VzLlNlYXJjaFRleHQQAhgEIAA</x:v>
      </x:c>
      <x:c r="BC210" s="60" t="str"/>
    </x:row>
    <x:row r="211" ht="18" customHeight="1">
      <x:c r="A211" s="70" t="str">
        <x:v>210</x:v>
      </x:c>
      <x:c r="B211" s="70" t="str">
        <x:v>B - Strong</x:v>
      </x:c>
      <x:c r="C211" s="72" t="str">
        <x:v>60</x:v>
      </x:c>
      <x:c r="D211" s="60" t="str">
        <x:v>United Contractors Roofing - Upstate Roofing Experts</x:v>
      </x:c>
      <x:c r="E211" s="60" t="str">
        <x:v>https://unitedroofing.ai</x:v>
      </x:c>
      <x:c r="F211" s="60" t="str">
        <x:v>https://www.unitedroofing.ai/</x:v>
      </x:c>
      <x:c r="G211" s="60" t="str">
        <x:v>Greenville</x:v>
      </x:c>
      <x:c r="H211" s="60" t="str">
        <x:v>South Carolina</x:v>
      </x:c>
      <x:c r="I211" s="60" t="str">
        <x:v>Roofing</x:v>
      </x:c>
      <x:c r="J211" s="60" t="str">
        <x:v>United Contractors Roofing - Upstate Roofing Experts</x:v>
      </x:c>
      <x:c r="K211" s="60" t="str"/>
      <x:c r="L211" s="60" t="str">
        <x:v>Owner / decision maker to verify</x:v>
      </x:c>
      <x:c r="M211" s="60" t="str"/>
      <x:c r="N211" s="60" t="str"/>
      <x:c r="O211" s="60" t="str">
        <x:v>(864) 528-4403</x:v>
      </x:c>
      <x:c r="P211" s="60" t="str"/>
      <x:c r="Q211" s="60" t="str"/>
      <x:c r="R211" s="60" t="str"/>
      <x:c r="S211" s="60" t="str">
        <x:v>5</x:v>
      </x:c>
      <x:c r="T211" s="74" t="str">
        <x:v>222</x:v>
      </x:c>
      <x:c r="U211" s="60" t="str"/>
      <x:c r="V211" s="74" t="str">
        <x:v>29</x:v>
      </x:c>
      <x:c r="W211" s="74" t="str">
        <x:v>15</x:v>
      </x:c>
      <x:c r="X211" s="74" t="str">
        <x:v>0</x:v>
      </x:c>
      <x:c r="Y211" s="74" t="str">
        <x:v>11</x:v>
      </x:c>
      <x:c r="Z211" s="74" t="str">
        <x:v>5</x:v>
      </x:c>
      <x:c r="AA211" s="74" t="str">
        <x:v>1</x:v>
      </x:c>
      <x:c r="AB211" s="74" t="str">
        <x:v>0</x:v>
      </x:c>
      <x:c r="AC211" s="74" t="str">
        <x:v>1</x:v>
      </x:c>
      <x:c r="AD211" s="74" t="str">
        <x:v>0</x:v>
      </x:c>
      <x:c r="AE211" s="74" t="str">
        <x:v>0</x:v>
      </x:c>
      <x:c r="AF211" s="74" t="str"/>
      <x:c r="AG211" s="74" t="str">
        <x:v>1</x:v>
      </x:c>
      <x:c r="AH211" s="74" t="str">
        <x:v>1</x:v>
      </x:c>
      <x:c r="AI211" s="74" t="str">
        <x:v>0</x:v>
      </x:c>
      <x:c r="AJ211" s="74" t="str">
        <x:v>0</x:v>
      </x:c>
      <x:c r="AK211" s="74" t="str">
        <x:v>1</x:v>
      </x:c>
      <x:c r="AL211" s="74" t="str">
        <x:v>1</x:v>
      </x:c>
      <x:c r="AM211" s="74" t="str">
        <x:v>1</x:v>
      </x:c>
      <x:c r="AN211" s="74" t="str">
        <x:v>1</x:v>
      </x:c>
      <x:c r="AO211" s="60" t="str">
        <x:v>2025</x:v>
      </x:c>
      <x:c r="AP211" s="76" t="str">
        <x:v>Paid-demand technology detected; creative refresh hypothesis</x:v>
      </x:c>
      <x:c r="AQ211" s="76" t="str">
        <x:v>Meta Pixel; project/gallery proof; visible service offer</x:v>
      </x:c>
      <x:c r="AR211" s="76" t="str">
        <x:v>I was reviewing roofing companies in Greenville, South Carolina and United Contractors Roofing - Upstate Roofing Experts looked like a strong fit for a creative test.</x:v>
      </x:c>
      <x:c r="AS211" s="76" t="str">
        <x:v>storm-to-inspection before/after ad</x:v>
      </x:c>
      <x:c r="AT211" s="76" t="str">
        <x:v>United Contractors Roofing - Upstate Roofing Experts ad concept</x:v>
      </x:c>
      <x:c r="AU211" s="76" t="str">
        <x:v>Hi United Contractors Roofing - Upstate Roofing Experts — I was reviewing roofing companies in Greenville, South Carolina and United Contractors Roofing - Upstate Roofing Experts looked like a strong fit for a creative test. I mapped a private 15-second storm-to-inspection before/after ad for United Contractors Roofing - Upstate Roofing Experts using only public brand context—not for publishing, just to show the angle. We build three client-approved video ad concepts in seven days, then turn the winners into fresh variations. No filming day required. Worth sending the private sample?</x:v>
      </x:c>
      <x:c r="AV211" s="76" t="str">
        <x:v>Quick follow-up: the sample angle is a storm-to-inspection before/after ad. If it misses the mark, no problem—I won't keep chasing. Should I send it?</x:v>
      </x:c>
      <x:c r="AW211" s="76" t="str">
        <x:v>Hi United Contractors Roofing - Upstate Roofing Experts, Ryan here. I was looking at United Contractors Roofing - Upstate Roofing Experts's public marketing and noticed: paid-demand technology detected; creative refresh hypothesis. I mapped one private storm-to-inspection before/after ad as an example. Did I catch you with 30 seconds?</x:v>
      </x:c>
      <x:c r="AX211" s="60" t="str">
        <x:v>https://www.facebook.com/ads/library/?active_status=active&amp;ad_type=all&amp;country=US&amp;q=United%20Contractors%20Roofing%20-%20Upstate%20Roofing%20Experts&amp;search_type=keyword_unordered</x:v>
      </x:c>
      <x:c r="AY211" s="60" t="str">
        <x:v>ok:200</x:v>
      </x:c>
      <x:c r="AZ211" s="60" t="n">
        <x:v>46232.722858796296</x:v>
      </x:c>
      <x:c r="BA211" s="60" t="str">
        <x:v>Google Maps home-services export</x:v>
      </x:c>
      <x:c r="BB211" s="60" t="str">
        <x:v>https://maps.google.com/?cid=10019535322872261473&amp;g_mp=Cidnb29nbGUubWFwcy5wbGFjZXMudjEuUGxhY2VzLlNlYXJjaFRleHQQAhgEIAA | https://unitedroofing.ai</x:v>
      </x:c>
      <x:c r="BC211" s="60" t="str"/>
    </x:row>
    <x:row r="212" ht="18" customHeight="1">
      <x:c r="A212" s="70" t="str">
        <x:v>211</x:v>
      </x:c>
      <x:c r="B212" s="70" t="str">
        <x:v>B - Strong</x:v>
      </x:c>
      <x:c r="C212" s="72" t="str">
        <x:v>60</x:v>
      </x:c>
      <x:c r="D212" s="60" t="str">
        <x:v>Callaway Construction Co</x:v>
      </x:c>
      <x:c r="E212" s="60" t="str">
        <x:v>https://callawayconstruction.com</x:v>
      </x:c>
      <x:c r="F212" s="60" t="str">
        <x:v>https://callawayconstruction.com</x:v>
      </x:c>
      <x:c r="G212" s="60" t="str">
        <x:v>West Columbia</x:v>
      </x:c>
      <x:c r="H212" s="60" t="str">
        <x:v>South Carolina</x:v>
      </x:c>
      <x:c r="I212" s="60" t="str">
        <x:v>General Contractor</x:v>
      </x:c>
      <x:c r="J212" s="60" t="str">
        <x:v>Wes</x:v>
      </x:c>
      <x:c r="K212" s="60" t="str">
        <x:v>Lawson</x:v>
      </x:c>
      <x:c r="L212" s="60" t="str">
        <x:v>Owner</x:v>
      </x:c>
      <x:c r="M212" s="60" t="str">
        <x:v>weslawson@callawayconstruction.com</x:v>
      </x:c>
      <x:c r="N212" s="60" t="str">
        <x:v>Verified with BounceBan on 08 Jun 26 12:06</x:v>
      </x:c>
      <x:c r="O212" s="60" t="str">
        <x:v>+1 334 678 0096, +1 803 528 3305</x:v>
      </x:c>
      <x:c r="P212" s="60" t="str">
        <x:v>https://www.linkedin.com/in/callawayconstruction</x:v>
      </x:c>
      <x:c r="Q212" s="60" t="str">
        <x:v>2-10</x:v>
      </x:c>
      <x:c r="R212" s="60" t="str">
        <x:v>100000-499999</x:v>
      </x:c>
      <x:c r="S212" s="60" t="str"/>
      <x:c r="T212" s="74" t="str">
        <x:v>0</x:v>
      </x:c>
      <x:c r="U212" s="60" t="str"/>
      <x:c r="V212" s="74" t="str">
        <x:v>20</x:v>
      </x:c>
      <x:c r="W212" s="74" t="str">
        <x:v>15</x:v>
      </x:c>
      <x:c r="X212" s="74" t="str">
        <x:v>15</x:v>
      </x:c>
      <x:c r="Y212" s="74" t="str">
        <x:v>0</x:v>
      </x:c>
      <x:c r="Z212" s="74" t="str">
        <x:v>10</x:v>
      </x:c>
      <x:c r="AA212" s="74" t="str">
        <x:v>1</x:v>
      </x:c>
      <x:c r="AB212" s="74" t="str">
        <x:v>0</x:v>
      </x:c>
      <x:c r="AC212" s="74" t="str">
        <x:v>1</x:v>
      </x:c>
      <x:c r="AD212" s="74" t="str">
        <x:v>0</x:v>
      </x:c>
      <x:c r="AE212" s="74" t="str">
        <x:v>0</x:v>
      </x:c>
      <x:c r="AF212" s="74" t="str"/>
      <x:c r="AG212" s="74" t="str">
        <x:v>0</x:v>
      </x:c>
      <x:c r="AH212" s="74" t="str">
        <x:v>0</x:v>
      </x:c>
      <x:c r="AI212" s="74" t="str">
        <x:v>0</x:v>
      </x:c>
      <x:c r="AJ212" s="74" t="str">
        <x:v>0</x:v>
      </x:c>
      <x:c r="AK212" s="74" t="str">
        <x:v>0</x:v>
      </x:c>
      <x:c r="AL212" s="74" t="str">
        <x:v>1</x:v>
      </x:c>
      <x:c r="AM212" s="74" t="str">
        <x:v>1</x:v>
      </x:c>
      <x:c r="AN212" s="74" t="str">
        <x:v>0</x:v>
      </x:c>
      <x:c r="AO212" s="60" t="str">
        <x:v>2018</x:v>
      </x:c>
      <x:c r="AP212" s="76" t="str">
        <x:v>Meta tracking detected; no embedded homepage video found</x:v>
      </x:c>
      <x:c r="AQ212" s="76" t="str">
        <x:v>Meta Pixel; no embedded homepage video detected</x:v>
      </x:c>
      <x:c r="AR212" s="76" t="str">
        <x:v>I noticed Callaway Construction Co's site has Meta tracking installed, but I couldn't find an embedded video on the homepage.</x:v>
      </x:c>
      <x:c r="AS212" s="76" t="str">
        <x:v>project walkthrough with proof milestones</x:v>
      </x:c>
      <x:c r="AT212" s="76" t="str">
        <x:v>Callaway Construction Co ad concept</x:v>
      </x:c>
      <x:c r="AU212" s="76" t="str">
        <x:v>Hi Wes — I noticed Callaway Construction Co's site has Meta tracking installed, but I couldn't find an embedded video on the homepage. I mapped a private 15-second project walkthrough with proof milestones for Callaway Construction Co using only public brand context—not for publishing, just to show the angle. We build three client-approved video ad concepts in seven days, then turn the winners into fresh variations. No filming day required. Worth sending the private sample?</x:v>
      </x:c>
      <x:c r="AV212" s="76" t="str">
        <x:v>Quick follow-up: the sample angle is a project walkthrough with proof milestones. If it misses the mark, no problem—I won't keep chasing. Should I send it?</x:v>
      </x:c>
      <x:c r="AW212" s="76" t="str">
        <x:v>Hi Wes, Ryan here. I was looking at Callaway Construction Co's public marketing and noticed: meta tracking detected; no embedded homepage video found. I mapped one private project walkthrough with proof milestones as an example. Did I catch you with 30 seconds?</x:v>
      </x:c>
      <x:c r="AX212" s="60" t="str">
        <x:v>https://www.facebook.com/ads/library/?active_status=active&amp;ad_type=all&amp;country=US&amp;q=Callaway%20Construction%20Co&amp;search_type=keyword_unordered</x:v>
      </x:c>
      <x:c r="AY212" s="60" t="str">
        <x:v>ok:200</x:v>
      </x:c>
      <x:c r="AZ212" s="60" t="n">
        <x:v>46232.722858796296</x:v>
      </x:c>
      <x:c r="BA212" s="60" t="str">
        <x:v>AI Ark SC trades export</x:v>
      </x:c>
      <x:c r="BB212" s="60" t="str">
        <x:v>https://callawayconstruction.com | https://www.linkedin.com/company/callaway-construction-co</x:v>
      </x:c>
      <x:c r="BC212" s="60" t="str"/>
    </x:row>
    <x:row r="213" ht="18" customHeight="1">
      <x:c r="A213" s="70" t="str">
        <x:v>212</x:v>
      </x:c>
      <x:c r="B213" s="70" t="str">
        <x:v>B - Strong</x:v>
      </x:c>
      <x:c r="C213" s="72" t="str">
        <x:v>60</x:v>
      </x:c>
      <x:c r="D213" s="60" t="str">
        <x:v>Ace Hardwear</x:v>
      </x:c>
      <x:c r="E213" s="60" t="str">
        <x:v>https://acehardware.com</x:v>
      </x:c>
      <x:c r="F213" s="60" t="str">
        <x:v>https://www.acehardware.com/</x:v>
      </x:c>
      <x:c r="G213" s="60" t="str">
        <x:v>Charleston</x:v>
      </x:c>
      <x:c r="H213" s="60" t="str">
        <x:v>South Carolina</x:v>
      </x:c>
      <x:c r="I213" s="60" t="str">
        <x:v>General Contractor</x:v>
      </x:c>
      <x:c r="J213" s="60" t="str">
        <x:v>Darrin</x:v>
      </x:c>
      <x:c r="K213" s="60" t="str">
        <x:v>Witt</x:v>
      </x:c>
      <x:c r="L213" s="60" t="str">
        <x:v>Owner Operator</x:v>
      </x:c>
      <x:c r="M213" s="60" t="str"/>
      <x:c r="N213" s="60" t="str"/>
      <x:c r="O213" s="60" t="str">
        <x:v>+1 843 452 1129</x:v>
      </x:c>
      <x:c r="P213" s="60" t="str">
        <x:v>https://www.linkedin.com/in/darrin-witt-69755a86</x:v>
      </x:c>
      <x:c r="Q213" s="60" t="str">
        <x:v>2-10</x:v>
      </x:c>
      <x:c r="R213" s="60" t="str">
        <x:v>1000000-4999999</x:v>
      </x:c>
      <x:c r="S213" s="60" t="str"/>
      <x:c r="T213" s="74" t="str">
        <x:v>0</x:v>
      </x:c>
      <x:c r="U213" s="60" t="str"/>
      <x:c r="V213" s="74" t="str">
        <x:v>24</x:v>
      </x:c>
      <x:c r="W213" s="74" t="str">
        <x:v>15</x:v>
      </x:c>
      <x:c r="X213" s="74" t="str">
        <x:v>16</x:v>
      </x:c>
      <x:c r="Y213" s="74" t="str">
        <x:v>0</x:v>
      </x:c>
      <x:c r="Z213" s="74" t="str">
        <x:v>5</x:v>
      </x:c>
      <x:c r="AA213" s="74" t="str">
        <x:v>1</x:v>
      </x:c>
      <x:c r="AB213" s="74" t="str">
        <x:v>0</x:v>
      </x:c>
      <x:c r="AC213" s="74" t="str">
        <x:v>1</x:v>
      </x:c>
      <x:c r="AD213" s="74" t="str">
        <x:v>0</x:v>
      </x:c>
      <x:c r="AE213" s="74" t="str">
        <x:v>0</x:v>
      </x:c>
      <x:c r="AF213" s="74" t="str"/>
      <x:c r="AG213" s="74" t="str">
        <x:v>0</x:v>
      </x:c>
      <x:c r="AH213" s="74" t="str">
        <x:v>0</x:v>
      </x:c>
      <x:c r="AI213" s="74" t="str">
        <x:v>0</x:v>
      </x:c>
      <x:c r="AJ213" s="74" t="str">
        <x:v>0</x:v>
      </x:c>
      <x:c r="AK213" s="74" t="str">
        <x:v>0</x:v>
      </x:c>
      <x:c r="AL213" s="74" t="str">
        <x:v>0</x:v>
      </x:c>
      <x:c r="AM213" s="74" t="str">
        <x:v>1</x:v>
      </x:c>
      <x:c r="AN213" s="74" t="str">
        <x:v>0</x:v>
      </x:c>
      <x:c r="AO213" s="60" t="str">
        <x:v>0</x:v>
      </x:c>
      <x:c r="AP213" s="76" t="str">
        <x:v>Meta tracking detected; no embedded homepage video found</x:v>
      </x:c>
      <x:c r="AQ213" s="76" t="str">
        <x:v>Meta Pixel; no embedded homepage video detected</x:v>
      </x:c>
      <x:c r="AR213" s="76" t="str">
        <x:v>I noticed Ace Hardwear's site has Meta tracking installed, but I couldn't find an embedded video on the homepage.</x:v>
      </x:c>
      <x:c r="AS213" s="76" t="str">
        <x:v>project walkthrough with proof milestones</x:v>
      </x:c>
      <x:c r="AT213" s="76" t="str">
        <x:v>Ace Hardwear ad concept</x:v>
      </x:c>
      <x:c r="AU213" s="76" t="str">
        <x:v>Hi Darrin — I noticed Ace Hardwear's site has Meta tracking installed, but I couldn't find an embedded video on the homepage. I mapped a private 15-second project walkthrough with proof milestones for Ace Hardwear using only public brand context—not for publishing, just to show the angle. We build three client-approved video ad concepts in seven days, then turn the winners into fresh variations. No filming day required. Worth sending the private sample?</x:v>
      </x:c>
      <x:c r="AV213" s="76" t="str">
        <x:v>Quick follow-up: the sample angle is a project walkthrough with proof milestones. If it misses the mark, no problem—I won't keep chasing. Should I send it?</x:v>
      </x:c>
      <x:c r="AW213" s="76" t="str">
        <x:v>Hi Darrin, Ryan here. I was looking at Ace Hardwear's public marketing and noticed: meta tracking detected; no embedded homepage video found. I mapped one private project walkthrough with proof milestones as an example. Did I catch you with 30 seconds?</x:v>
      </x:c>
      <x:c r="AX213" s="60" t="str">
        <x:v>https://www.facebook.com/ads/library/?active_status=active&amp;ad_type=all&amp;country=US&amp;q=Ace%20Hardwear&amp;search_type=keyword_unordered</x:v>
      </x:c>
      <x:c r="AY213" s="60" t="str">
        <x:v>ok:200</x:v>
      </x:c>
      <x:c r="AZ213" s="60" t="n">
        <x:v>46232.722858796296</x:v>
      </x:c>
      <x:c r="BA213" s="60" t="str">
        <x:v>AI Ark SC trades export</x:v>
      </x:c>
      <x:c r="BB213" s="60" t="str">
        <x:v>https://acehardware.com | https://www.linkedin.com/company/ace-hardwear</x:v>
      </x:c>
      <x:c r="BC213" s="60" t="str"/>
    </x:row>
    <x:row r="214" ht="18" customHeight="1">
      <x:c r="A214" s="70" t="str">
        <x:v>213</x:v>
      </x:c>
      <x:c r="B214" s="70" t="str">
        <x:v>B - Strong</x:v>
      </x:c>
      <x:c r="C214" s="72" t="str">
        <x:v>60</x:v>
      </x:c>
      <x:c r="D214" s="60" t="str">
        <x:v>Palmetto Roofing Siding Gutters</x:v>
      </x:c>
      <x:c r="E214" s="60" t="str">
        <x:v>https://palmettorsg.com</x:v>
      </x:c>
      <x:c r="F214" s="60" t="str">
        <x:v>https://palmettorsg.com</x:v>
      </x:c>
      <x:c r="G214" s="60" t="str">
        <x:v>Rock Hill</x:v>
      </x:c>
      <x:c r="H214" s="60" t="str">
        <x:v>South Carolina</x:v>
      </x:c>
      <x:c r="I214" s="60" t="str">
        <x:v>Roofing</x:v>
      </x:c>
      <x:c r="J214" s="60" t="str">
        <x:v>Palmetto Roofing Siding Gutters</x:v>
      </x:c>
      <x:c r="K214" s="60" t="str"/>
      <x:c r="L214" s="60" t="str">
        <x:v>Owner / decision maker to verify</x:v>
      </x:c>
      <x:c r="M214" s="60" t="str"/>
      <x:c r="N214" s="60" t="str"/>
      <x:c r="O214" s="60" t="str">
        <x:v>(803) 274-5753</x:v>
      </x:c>
      <x:c r="P214" s="60" t="str"/>
      <x:c r="Q214" s="60" t="str"/>
      <x:c r="R214" s="60" t="str"/>
      <x:c r="S214" s="60" t="str">
        <x:v>4.9</x:v>
      </x:c>
      <x:c r="T214" s="74" t="str">
        <x:v>112</x:v>
      </x:c>
      <x:c r="U214" s="60" t="str"/>
      <x:c r="V214" s="74" t="str">
        <x:v>29</x:v>
      </x:c>
      <x:c r="W214" s="74" t="str">
        <x:v>13</x:v>
      </x:c>
      <x:c r="X214" s="74" t="str">
        <x:v>4</x:v>
      </x:c>
      <x:c r="Y214" s="74" t="str">
        <x:v>9</x:v>
      </x:c>
      <x:c r="Z214" s="74" t="str">
        <x:v>5</x:v>
      </x:c>
      <x:c r="AA214" s="74" t="str">
        <x:v>0</x:v>
      </x:c>
      <x:c r="AB214" s="74" t="str">
        <x:v>1</x:v>
      </x:c>
      <x:c r="AC214" s="74" t="str">
        <x:v>1</x:v>
      </x:c>
      <x:c r="AD214" s="74" t="str">
        <x:v>0</x:v>
      </x:c>
      <x:c r="AE214" s="74" t="str">
        <x:v>0</x:v>
      </x:c>
      <x:c r="AF214" s="74" t="str"/>
      <x:c r="AG214" s="74" t="str">
        <x:v>1</x:v>
      </x:c>
      <x:c r="AH214" s="74" t="str">
        <x:v>0</x:v>
      </x:c>
      <x:c r="AI214" s="74" t="str">
        <x:v>0</x:v>
      </x:c>
      <x:c r="AJ214" s="74" t="str">
        <x:v>1</x:v>
      </x:c>
      <x:c r="AK214" s="74" t="str">
        <x:v>1</x:v>
      </x:c>
      <x:c r="AL214" s="74" t="str">
        <x:v>0</x:v>
      </x:c>
      <x:c r="AM214" s="74" t="str">
        <x:v>1</x:v>
      </x:c>
      <x:c r="AN214" s="74" t="str">
        <x:v>0</x:v>
      </x:c>
      <x:c r="AO214" s="60" t="str">
        <x:v>0</x:v>
      </x:c>
      <x:c r="AP214" s="76" t="str">
        <x:v>Paid-demand technology detected; creative refresh hypothesis</x:v>
      </x:c>
      <x:c r="AQ214" s="76" t="str">
        <x:v>Google Ads tag; financing; visible service offer</x:v>
      </x:c>
      <x:c r="AR214" s="76" t="str">
        <x:v>I was reviewing roofing companies in Rock Hill, South Carolina and Palmetto Roofing Siding Gutters looked like a strong fit for a creative test.</x:v>
      </x:c>
      <x:c r="AS214" s="76" t="str">
        <x:v>storm-to-inspection before/after ad</x:v>
      </x:c>
      <x:c r="AT214" s="76" t="str">
        <x:v>Palmetto Roofing Siding Gutters ad concept</x:v>
      </x:c>
      <x:c r="AU214" s="76" t="str">
        <x:v>Hi Palmetto Roofing Siding Gutters — I was reviewing roofing companies in Rock Hill, South Carolina and Palmetto Roofing Siding Gutters looked like a strong fit for a creative test. I mapped a private 15-second storm-to-inspection before/after ad for Palmetto Roofing Siding Gutters using only public brand context—not for publishing, just to show the angle. We build three client-approved video ad concepts in seven days, then turn the winners into fresh variations. No filming day required. Worth sending the private sample?</x:v>
      </x:c>
      <x:c r="AV214" s="76" t="str">
        <x:v>Quick follow-up: the sample angle is a storm-to-inspection before/after ad. If it misses the mark, no problem—I won't keep chasing. Should I send it?</x:v>
      </x:c>
      <x:c r="AW214" s="76" t="str">
        <x:v>Hi Palmetto Roofing Siding Gutters, Ryan here. I was looking at Palmetto Roofing Siding Gutters's public marketing and noticed: paid-demand technology detected; creative refresh hypothesis. I mapped one private storm-to-inspection before/after ad as an example. Did I catch you with 30 seconds?</x:v>
      </x:c>
      <x:c r="AX214" s="60" t="str">
        <x:v>https://www.facebook.com/ads/library/?active_status=active&amp;ad_type=all&amp;country=US&amp;q=Palmetto%20Roofing%20Siding%20Gutters&amp;search_type=keyword_unordered</x:v>
      </x:c>
      <x:c r="AY214" s="60" t="str">
        <x:v>ok:200</x:v>
      </x:c>
      <x:c r="AZ214" s="60" t="n">
        <x:v>46232.722858796296</x:v>
      </x:c>
      <x:c r="BA214" s="60" t="str">
        <x:v>Google Maps home-services export</x:v>
      </x:c>
      <x:c r="BB214" s="60" t="str">
        <x:v>https://maps.google.com/?cid=1449109921724798025&amp;g_mp=Cidnb29nbGUubWFwcy5wbGFjZXMudjEuUGxhY2VzLlNlYXJjaFRleHQQAhgEIAA | https://palmettorsg.com</x:v>
      </x:c>
      <x:c r="BC214" s="60" t="str"/>
    </x:row>
    <x:row r="215" ht="18" customHeight="1">
      <x:c r="A215" s="70" t="str">
        <x:v>214</x:v>
      </x:c>
      <x:c r="B215" s="70" t="str">
        <x:v>B - Strong</x:v>
      </x:c>
      <x:c r="C215" s="72" t="str">
        <x:v>60</x:v>
      </x:c>
      <x:c r="D215" s="60" t="str">
        <x:v>Hudson Construction Services, Inc.</x:v>
      </x:c>
      <x:c r="E215" s="60" t="str">
        <x:v>https://hudsoncontractors.com</x:v>
      </x:c>
      <x:c r="F215" s="60" t="str">
        <x:v>https://hudsoncontractors.com</x:v>
      </x:c>
      <x:c r="G215" s="60" t="str">
        <x:v>Kershaw</x:v>
      </x:c>
      <x:c r="H215" s="60" t="str">
        <x:v>South Carolina</x:v>
      </x:c>
      <x:c r="I215" s="60" t="str">
        <x:v>General Contractor</x:v>
      </x:c>
      <x:c r="J215" s="60" t="str">
        <x:v>Randy</x:v>
      </x:c>
      <x:c r="K215" s="60" t="str">
        <x:v>Hudson</x:v>
      </x:c>
      <x:c r="L215" s="60" t="str">
        <x:v>owner</x:v>
      </x:c>
      <x:c r="M215" s="60" t="str"/>
      <x:c r="N215" s="60" t="str"/>
      <x:c r="O215" s="60" t="str"/>
      <x:c r="P215" s="60" t="str">
        <x:v>https://www.linkedin.com/in/randy-hudson-29141a46</x:v>
      </x:c>
      <x:c r="Q215" s="60" t="str">
        <x:v>2-10</x:v>
      </x:c>
      <x:c r="R215" s="60" t="str">
        <x:v>1000000-4999999</x:v>
      </x:c>
      <x:c r="S215" s="60" t="str"/>
      <x:c r="T215" s="74" t="str">
        <x:v>0</x:v>
      </x:c>
      <x:c r="U215" s="60" t="str"/>
      <x:c r="V215" s="74" t="str">
        <x:v>24</x:v>
      </x:c>
      <x:c r="W215" s="74" t="str">
        <x:v>13</x:v>
      </x:c>
      <x:c r="X215" s="74" t="str">
        <x:v>12</x:v>
      </x:c>
      <x:c r="Y215" s="74" t="str">
        <x:v>9</x:v>
      </x:c>
      <x:c r="Z215" s="74" t="str">
        <x:v>2</x:v>
      </x:c>
      <x:c r="AA215" s="74" t="str">
        <x:v>0</x:v>
      </x:c>
      <x:c r="AB215" s="74" t="str">
        <x:v>1</x:v>
      </x:c>
      <x:c r="AC215" s="74" t="str">
        <x:v>1</x:v>
      </x:c>
      <x:c r="AD215" s="74" t="str">
        <x:v>0</x:v>
      </x:c>
      <x:c r="AE215" s="74" t="str">
        <x:v>0</x:v>
      </x:c>
      <x:c r="AF215" s="74" t="str"/>
      <x:c r="AG215" s="74" t="str">
        <x:v>0</x:v>
      </x:c>
      <x:c r="AH215" s="74" t="str">
        <x:v>1</x:v>
      </x:c>
      <x:c r="AI215" s="74" t="str">
        <x:v>1</x:v>
      </x:c>
      <x:c r="AJ215" s="74" t="str">
        <x:v>0</x:v>
      </x:c>
      <x:c r="AK215" s="74" t="str">
        <x:v>0</x:v>
      </x:c>
      <x:c r="AL215" s="74" t="str">
        <x:v>1</x:v>
      </x:c>
      <x:c r="AM215" s="74" t="str">
        <x:v>1</x:v>
      </x:c>
      <x:c r="AN215" s="74" t="str">
        <x:v>0</x:v>
      </x:c>
      <x:c r="AO215" s="60" t="str">
        <x:v>0</x:v>
      </x:c>
      <x:c r="AP215" s="76" t="str">
        <x:v>Google Ads tag detected; no embedded homepage video found</x:v>
      </x:c>
      <x:c r="AQ215" s="76" t="str">
        <x:v>Google Ads tag; project/gallery proof; testimonials; no embedded homepage video detected</x:v>
      </x:c>
      <x:c r="AR215" s="76" t="str">
        <x:v>I noticed Hudson Construction Services, Inc.'s site has a Google Ads tag installed, but I couldn't find an embedded video on the homepage.</x:v>
      </x:c>
      <x:c r="AS215" s="76" t="str">
        <x:v>project walkthrough with proof milestones</x:v>
      </x:c>
      <x:c r="AT215" s="76" t="str">
        <x:v>Hudson Construction Services, Inc. ad concept</x:v>
      </x:c>
      <x:c r="AU215" s="76" t="str">
        <x:v>Hi Randy — I noticed Hudson Construction Services, Inc.'s site has a Google Ads tag installed, but I couldn't find an embedded video on the homepage. I mapped a private 15-second project walkthrough with proof milestones for Hudson Construction Services, Inc. using only public brand context—not for publishing, just to show the angle. We build three client-approved video ad concepts in seven days, then turn the winners into fresh variations. No filming day required. Worth sending the private sample?</x:v>
      </x:c>
      <x:c r="AV215" s="76" t="str">
        <x:v>Quick follow-up: the sample angle is a project walkthrough with proof milestones. If it misses the mark, no problem—I won't keep chasing. Should I send it?</x:v>
      </x:c>
      <x:c r="AW215" s="76" t="str">
        <x:v>Hi Randy, Ryan here. I was looking at Hudson Construction Services, Inc.'s public marketing and noticed: google ads tag detected; no embedded homepage video found. I mapped one private project walkthrough with proof milestones as an example. Did I catch you with 30 seconds?</x:v>
      </x:c>
      <x:c r="AX215" s="60" t="str">
        <x:v>https://www.facebook.com/ads/library/?active_status=active&amp;ad_type=all&amp;country=US&amp;q=Hudson%20Construction%20Services%2C%20Inc.&amp;search_type=keyword_unordered</x:v>
      </x:c>
      <x:c r="AY215" s="60" t="str">
        <x:v>ok:200</x:v>
      </x:c>
      <x:c r="AZ215" s="60" t="n">
        <x:v>46232.722858796296</x:v>
      </x:c>
      <x:c r="BA215" s="60" t="str">
        <x:v>AI Ark SC trades export</x:v>
      </x:c>
      <x:c r="BB215" s="60" t="str">
        <x:v>https://hudsoncontractors.com | https://www.linkedin.com/company/hudson-construction</x:v>
      </x:c>
      <x:c r="BC215" s="60" t="str"/>
    </x:row>
    <x:row r="216" ht="18" customHeight="1">
      <x:c r="A216" s="70" t="str">
        <x:v>215</x:v>
      </x:c>
      <x:c r="B216" s="70" t="str">
        <x:v>B - Strong</x:v>
      </x:c>
      <x:c r="C216" s="72" t="str">
        <x:v>60</x:v>
      </x:c>
      <x:c r="D216" s="60" t="str">
        <x:v>C&amp;W Roofing, Siding, and Window Co.</x:v>
      </x:c>
      <x:c r="E216" s="60" t="str">
        <x:v>https://cwsiding.com</x:v>
      </x:c>
      <x:c r="F216" s="60" t="str">
        <x:v>https://cwsiding.com</x:v>
      </x:c>
      <x:c r="G216" s="60" t="str">
        <x:v>Easley</x:v>
      </x:c>
      <x:c r="H216" s="60" t="str">
        <x:v>South Carolina</x:v>
      </x:c>
      <x:c r="I216" s="60" t="str">
        <x:v>Roofing</x:v>
      </x:c>
      <x:c r="J216" s="60" t="str">
        <x:v>Bret</x:v>
      </x:c>
      <x:c r="K216" s="60" t="str">
        <x:v>White</x:v>
      </x:c>
      <x:c r="L216" s="60" t="str">
        <x:v>Company Owner</x:v>
      </x:c>
      <x:c r="M216" s="60" t="str"/>
      <x:c r="N216" s="60" t="str"/>
      <x:c r="O216" s="60" t="str">
        <x:v>+1 864 643 9904</x:v>
      </x:c>
      <x:c r="P216" s="60" t="str">
        <x:v>https://www.linkedin.com/in/bret-white-1b996035</x:v>
      </x:c>
      <x:c r="Q216" s="60" t="str">
        <x:v>2-10</x:v>
      </x:c>
      <x:c r="R216" s="60" t="str">
        <x:v>0-99999</x:v>
      </x:c>
      <x:c r="S216" s="60" t="str">
        <x:v>4.9</x:v>
      </x:c>
      <x:c r="T216" s="74" t="str">
        <x:v>108</x:v>
      </x:c>
      <x:c r="U216" s="60" t="str"/>
      <x:c r="V216" s="74" t="str">
        <x:v>30</x:v>
      </x:c>
      <x:c r="W216" s="74" t="str">
        <x:v>11</x:v>
      </x:c>
      <x:c r="X216" s="74" t="str">
        <x:v>0</x:v>
      </x:c>
      <x:c r="Y216" s="74" t="str">
        <x:v>14</x:v>
      </x:c>
      <x:c r="Z216" s="74" t="str">
        <x:v>5</x:v>
      </x:c>
      <x:c r="AA216" s="74" t="str">
        <x:v>0</x:v>
      </x:c>
      <x:c r="AB216" s="74" t="str">
        <x:v>0</x:v>
      </x:c>
      <x:c r="AC216" s="74" t="str">
        <x:v>1</x:v>
      </x:c>
      <x:c r="AD216" s="74" t="str">
        <x:v>0</x:v>
      </x:c>
      <x:c r="AE216" s="74" t="str">
        <x:v>1</x:v>
      </x:c>
      <x:c r="AF216" s="74" t="str"/>
      <x:c r="AG216" s="74" t="str">
        <x:v>1</x:v>
      </x:c>
      <x:c r="AH216" s="74" t="str">
        <x:v>1</x:v>
      </x:c>
      <x:c r="AI216" s="74" t="str">
        <x:v>0</x:v>
      </x:c>
      <x:c r="AJ216" s="74" t="str">
        <x:v>1</x:v>
      </x:c>
      <x:c r="AK216" s="74" t="str">
        <x:v>1</x:v>
      </x:c>
      <x:c r="AL216" s="74" t="str">
        <x:v>1</x:v>
      </x:c>
      <x:c r="AM216" s="74" t="str">
        <x:v>1</x:v>
      </x:c>
      <x:c r="AN216" s="74" t="str">
        <x:v>1</x:v>
      </x:c>
      <x:c r="AO216" s="60" t="str">
        <x:v>2026</x:v>
      </x:c>
      <x:c r="AP216" s="76" t="str">
        <x:v>Paid-demand technology detected; creative refresh hypothesis</x:v>
      </x:c>
      <x:c r="AQ216" s="76" t="str">
        <x:v>call tracking; project/gallery proof; financing; visible service offer</x:v>
      </x:c>
      <x:c r="AR216" s="76" t="str">
        <x:v>I was reviewing roofing companies in Easley, South Carolina and C&amp;W Roofing, Siding, and Window Co. looked like a strong fit for a creative test.</x:v>
      </x:c>
      <x:c r="AS216" s="76" t="str">
        <x:v>storm-to-inspection before/after ad</x:v>
      </x:c>
      <x:c r="AT216" s="76" t="str">
        <x:v>C&amp;W Roofing, Siding, and Window Co. ad concept</x:v>
      </x:c>
      <x:c r="AU216" s="76" t="str">
        <x:v>Hi Bret — I was reviewing roofing companies in Easley, South Carolina and C&amp;W Roofing, Siding, and Window Co. looked like a strong fit for a creative test. I mapped a private 15-second storm-to-inspection before/after ad for C&amp;W Roofing, Siding, and Window Co. using only public brand context—not for publishing, just to show the angle. We build three client-approved video ad concepts in seven days, then turn the winners into fresh variations. No filming day required. Worth sending the private sample?</x:v>
      </x:c>
      <x:c r="AV216" s="76" t="str">
        <x:v>Quick follow-up: the sample angle is a storm-to-inspection before/after ad. If it misses the mark, no problem—I won't keep chasing. Should I send it?</x:v>
      </x:c>
      <x:c r="AW216" s="76" t="str">
        <x:v>Hi Bret, Ryan here. I was looking at C&amp;W Roofing, Siding, and Window Co.'s public marketing and noticed: paid-demand technology detected; creative refresh hypothesis. I mapped one private storm-to-inspection before/after ad as an example. Did I catch you with 30 seconds?</x:v>
      </x:c>
      <x:c r="AX216" s="60" t="str">
        <x:v>https://www.facebook.com/ads/library/?active_status=active&amp;ad_type=all&amp;country=US&amp;q=C%26W%20Roofing%2C%20Siding%2C%20and%20Window%20Co.&amp;search_type=keyword_unordered</x:v>
      </x:c>
      <x:c r="AY216" s="60" t="str">
        <x:v>ok:200</x:v>
      </x:c>
      <x:c r="AZ216" s="60" t="n">
        <x:v>46232.722858796296</x:v>
      </x:c>
      <x:c r="BA216" s="60" t="str">
        <x:v>AI Ark SC trades export | Google Maps home-services export</x:v>
      </x:c>
      <x:c r="BB216" s="60" t="str">
        <x:v>https://cwsiding.com | https://maps.google.com/?cid=16573197196668515272&amp;g_mp=Cidnb29nbGUubWFwcy5wbGFjZXMudjEuUGxhY2VzLlNlYXJjaFRleHQQAhgEIAA | https://www.linkedin.com/company/c-w-roofing-siding-and-window-co</x:v>
      </x:c>
      <x:c r="BC216" s="60" t="str"/>
    </x:row>
    <x:row r="217" ht="18" customHeight="1">
      <x:c r="A217" s="70" t="str">
        <x:v>216</x:v>
      </x:c>
      <x:c r="B217" s="70" t="str">
        <x:v>B - Strong</x:v>
      </x:c>
      <x:c r="C217" s="72" t="str">
        <x:v>60</x:v>
      </x:c>
      <x:c r="D217" s="60" t="str">
        <x:v>Mercy Contracting LLC</x:v>
      </x:c>
      <x:c r="E217" s="60" t="str">
        <x:v>https://mercycontracting.com</x:v>
      </x:c>
      <x:c r="F217" s="60" t="str">
        <x:v>https://mercycontracting.com</x:v>
      </x:c>
      <x:c r="G217" s="60" t="str">
        <x:v>Columbia</x:v>
      </x:c>
      <x:c r="H217" s="60" t="str">
        <x:v>South Carolina Metropolitan Area</x:v>
      </x:c>
      <x:c r="I217" s="60" t="str">
        <x:v>Roofing</x:v>
      </x:c>
      <x:c r="J217" s="60" t="str">
        <x:v>Kimani</x:v>
      </x:c>
      <x:c r="K217" s="60" t="str">
        <x:v>Davis</x:v>
      </x:c>
      <x:c r="L217" s="60" t="str">
        <x:v>Business Owner</x:v>
      </x:c>
      <x:c r="M217" s="60" t="str">
        <x:v>kimani.davis@mercycontracting.com</x:v>
      </x:c>
      <x:c r="N217" s="60" t="str">
        <x:v>Verified with BounceBan on 08 Jun 26 12:06</x:v>
      </x:c>
      <x:c r="O217" s="60" t="str">
        <x:v>+1 803 645 1936</x:v>
      </x:c>
      <x:c r="P217" s="60" t="str">
        <x:v>https://www.linkedin.com/in/kimani-davis-1ab0715a</x:v>
      </x:c>
      <x:c r="Q217" s="60" t="str">
        <x:v>2-10</x:v>
      </x:c>
      <x:c r="R217" s="60" t="str">
        <x:v>100000-499999</x:v>
      </x:c>
      <x:c r="S217" s="60" t="str"/>
      <x:c r="T217" s="74" t="str">
        <x:v>0</x:v>
      </x:c>
      <x:c r="U217" s="60" t="str"/>
      <x:c r="V217" s="74" t="str">
        <x:v>28</x:v>
      </x:c>
      <x:c r="W217" s="74" t="str">
        <x:v>3</x:v>
      </x:c>
      <x:c r="X217" s="74" t="str">
        <x:v>10</x:v>
      </x:c>
      <x:c r="Y217" s="74" t="str">
        <x:v>9</x:v>
      </x:c>
      <x:c r="Z217" s="74" t="str">
        <x:v>10</x:v>
      </x:c>
      <x:c r="AA217" s="74" t="str">
        <x:v>0</x:v>
      </x:c>
      <x:c r="AB217" s="74" t="str">
        <x:v>0</x:v>
      </x:c>
      <x:c r="AC217" s="74" t="str">
        <x:v>1</x:v>
      </x:c>
      <x:c r="AD217" s="74" t="str">
        <x:v>0</x:v>
      </x:c>
      <x:c r="AE217" s="74" t="str">
        <x:v>0</x:v>
      </x:c>
      <x:c r="AF217" s="74" t="str"/>
      <x:c r="AG217" s="74" t="str">
        <x:v>0</x:v>
      </x:c>
      <x:c r="AH217" s="74" t="str">
        <x:v>1</x:v>
      </x:c>
      <x:c r="AI217" s="74" t="str">
        <x:v>1</x:v>
      </x:c>
      <x:c r="AJ217" s="74" t="str">
        <x:v>0</x:v>
      </x:c>
      <x:c r="AK217" s="74" t="str">
        <x:v>0</x:v>
      </x:c>
      <x:c r="AL217" s="74" t="str">
        <x:v>0</x:v>
      </x:c>
      <x:c r="AM217" s="74" t="str">
        <x:v>1</x:v>
      </x:c>
      <x:c r="AN217" s="74" t="str">
        <x:v>0</x:v>
      </x:c>
      <x:c r="AO217" s="60" t="str">
        <x:v>2026</x:v>
      </x:c>
      <x:c r="AP217" s="76" t="str">
        <x:v>Project/gallery proof found; no embedded homepage video found</x:v>
      </x:c>
      <x:c r="AQ217" s="76" t="str">
        <x:v>project/gallery proof; testimonials; no embedded homepage video detected</x:v>
      </x:c>
      <x:c r="AR217" s="76" t="str">
        <x:v>I found project/gallery proof on Mercy Contracting LLC's site that could be repackaged into short-form ad concepts.</x:v>
      </x:c>
      <x:c r="AS217" s="76" t="str">
        <x:v>storm-to-inspection before/after ad</x:v>
      </x:c>
      <x:c r="AT217" s="76" t="str">
        <x:v>Mercy Contracting LLC ad concept</x:v>
      </x:c>
      <x:c r="AU217" s="76" t="str">
        <x:v>Hi Kimani — I found project/gallery proof on Mercy Contracting LLC's site that could be repackaged into short-form ad concepts. I mapped a private 15-second storm-to-inspection before/after ad for Mercy Contracting LLC using only public brand context—not for publishing, just to show the angle. We build three client-approved video ad concepts in seven days, then turn the winners into fresh variations. No filming day required. Worth sending the private sample?</x:v>
      </x:c>
      <x:c r="AV217" s="76" t="str">
        <x:v>Quick follow-up: the sample angle is a storm-to-inspection before/after ad. If it misses the mark, no problem—I won't keep chasing. Should I send it?</x:v>
      </x:c>
      <x:c r="AW217" s="76" t="str">
        <x:v>Hi Kimani, Ryan here. I was looking at Mercy Contracting LLC's public marketing and noticed: project/gallery proof found; no embedded homepage video found. I mapped one private storm-to-inspection before/after ad as an example. Did I catch you with 30 seconds?</x:v>
      </x:c>
      <x:c r="AX217" s="60" t="str">
        <x:v>https://www.facebook.com/ads/library/?active_status=active&amp;ad_type=all&amp;country=US&amp;q=Mercy%20Contracting%20LLC&amp;search_type=keyword_unordered</x:v>
      </x:c>
      <x:c r="AY217" s="60" t="str">
        <x:v>ok:200</x:v>
      </x:c>
      <x:c r="AZ217" s="60" t="n">
        <x:v>46232.722858796296</x:v>
      </x:c>
      <x:c r="BA217" s="60" t="str">
        <x:v>AI Ark SC trades export</x:v>
      </x:c>
      <x:c r="BB217" s="60" t="str">
        <x:v>https://mercycontracting.com | https://www.linkedin.com/company/mercy-contracting-llc</x:v>
      </x:c>
      <x:c r="BC217" s="60" t="str"/>
    </x:row>
    <x:row r="218" ht="18" customHeight="1">
      <x:c r="A218" s="70" t="str">
        <x:v>217</x:v>
      </x:c>
      <x:c r="B218" s="70" t="str">
        <x:v>B - Strong</x:v>
      </x:c>
      <x:c r="C218" s="72" t="str">
        <x:v>60</x:v>
      </x:c>
      <x:c r="D218" s="60" t="str">
        <x:v>Hilltop Roofing Supply</x:v>
      </x:c>
      <x:c r="E218" s="60" t="str">
        <x:v>https://hilltoproofingsupply.com</x:v>
      </x:c>
      <x:c r="F218" s="60" t="str">
        <x:v>https://www.hilltoproofingsupply.com/</x:v>
      </x:c>
      <x:c r="G218" s="60" t="str">
        <x:v>Greenville-spartanburg-anderson</x:v>
      </x:c>
      <x:c r="H218" s="60" t="str">
        <x:v>South Carolina Area</x:v>
      </x:c>
      <x:c r="I218" s="60" t="str">
        <x:v>Roofing</x:v>
      </x:c>
      <x:c r="J218" s="60" t="str">
        <x:v>Jon</x:v>
      </x:c>
      <x:c r="K218" s="60" t="str">
        <x:v>Byler</x:v>
      </x:c>
      <x:c r="L218" s="60" t="str">
        <x:v>Owner</x:v>
      </x:c>
      <x:c r="M218" s="60" t="str">
        <x:v>jon@hilltoproofingsupply.com</x:v>
      </x:c>
      <x:c r="N218" s="60" t="str">
        <x:v>Verified with BounceBan on 08 Jun 26 12:06</x:v>
      </x:c>
      <x:c r="O218" s="60" t="str">
        <x:v>+1 336 413 7105</x:v>
      </x:c>
      <x:c r="P218" s="60" t="str">
        <x:v>https://www.linkedin.com/in/jon-byler-b6301971</x:v>
      </x:c>
      <x:c r="Q218" s="60" t="str">
        <x:v>2-10</x:v>
      </x:c>
      <x:c r="R218" s="60" t="str"/>
      <x:c r="S218" s="60" t="str"/>
      <x:c r="T218" s="74" t="str">
        <x:v>0</x:v>
      </x:c>
      <x:c r="U218" s="60" t="str"/>
      <x:c r="V218" s="74" t="str">
        <x:v>28</x:v>
      </x:c>
      <x:c r="W218" s="74" t="str">
        <x:v>3</x:v>
      </x:c>
      <x:c r="X218" s="74" t="str">
        <x:v>10</x:v>
      </x:c>
      <x:c r="Y218" s="74" t="str">
        <x:v>9</x:v>
      </x:c>
      <x:c r="Z218" s="74" t="str">
        <x:v>10</x:v>
      </x:c>
      <x:c r="AA218" s="74" t="str">
        <x:v>0</x:v>
      </x:c>
      <x:c r="AB218" s="74" t="str">
        <x:v>0</x:v>
      </x:c>
      <x:c r="AC218" s="74" t="str">
        <x:v>1</x:v>
      </x:c>
      <x:c r="AD218" s="74" t="str">
        <x:v>0</x:v>
      </x:c>
      <x:c r="AE218" s="74" t="str">
        <x:v>0</x:v>
      </x:c>
      <x:c r="AF218" s="74" t="str"/>
      <x:c r="AG218" s="74" t="str">
        <x:v>0</x:v>
      </x:c>
      <x:c r="AH218" s="74" t="str">
        <x:v>1</x:v>
      </x:c>
      <x:c r="AI218" s="74" t="str">
        <x:v>1</x:v>
      </x:c>
      <x:c r="AJ218" s="74" t="str">
        <x:v>0</x:v>
      </x:c>
      <x:c r="AK218" s="74" t="str">
        <x:v>0</x:v>
      </x:c>
      <x:c r="AL218" s="74" t="str">
        <x:v>0</x:v>
      </x:c>
      <x:c r="AM218" s="74" t="str">
        <x:v>1</x:v>
      </x:c>
      <x:c r="AN218" s="74" t="str">
        <x:v>0</x:v>
      </x:c>
      <x:c r="AO218" s="60" t="str">
        <x:v>2026</x:v>
      </x:c>
      <x:c r="AP218" s="76" t="str">
        <x:v>Project/gallery proof found; no embedded homepage video found</x:v>
      </x:c>
      <x:c r="AQ218" s="76" t="str">
        <x:v>project/gallery proof; testimonials; no embedded homepage video detected</x:v>
      </x:c>
      <x:c r="AR218" s="76" t="str">
        <x:v>I found project/gallery proof on Hilltop Roofing Supply's site that could be repackaged into short-form ad concepts.</x:v>
      </x:c>
      <x:c r="AS218" s="76" t="str">
        <x:v>storm-to-inspection before/after ad</x:v>
      </x:c>
      <x:c r="AT218" s="76" t="str">
        <x:v>Hilltop Roofing Supply ad concept</x:v>
      </x:c>
      <x:c r="AU218" s="76" t="str">
        <x:v>Hi Jon — I found project/gallery proof on Hilltop Roofing Supply's site that could be repackaged into short-form ad concepts. I mapped a private 15-second storm-to-inspection before/after ad for Hilltop Roofing Supply using only public brand context—not for publishing, just to show the angle. We build three client-approved video ad concepts in seven days, then turn the winners into fresh variations. No filming day required. Worth sending the private sample?</x:v>
      </x:c>
      <x:c r="AV218" s="76" t="str">
        <x:v>Quick follow-up: the sample angle is a storm-to-inspection before/after ad. If it misses the mark, no problem—I won't keep chasing. Should I send it?</x:v>
      </x:c>
      <x:c r="AW218" s="76" t="str">
        <x:v>Hi Jon, Ryan here. I was looking at Hilltop Roofing Supply's public marketing and noticed: project/gallery proof found; no embedded homepage video found. I mapped one private storm-to-inspection before/after ad as an example. Did I catch you with 30 seconds?</x:v>
      </x:c>
      <x:c r="AX218" s="60" t="str">
        <x:v>https://www.facebook.com/ads/library/?active_status=active&amp;ad_type=all&amp;country=US&amp;q=Hilltop%20Roofing%20Supply&amp;search_type=keyword_unordered</x:v>
      </x:c>
      <x:c r="AY218" s="60" t="str">
        <x:v>ok:200</x:v>
      </x:c>
      <x:c r="AZ218" s="60" t="n">
        <x:v>46232.722858796296</x:v>
      </x:c>
      <x:c r="BA218" s="60" t="str">
        <x:v>AI Ark SC trades export</x:v>
      </x:c>
      <x:c r="BB218" s="60" t="str">
        <x:v>https://hilltoproofingsupply.com | https://www.linkedin.com/company/hilltop-roofing-supply</x:v>
      </x:c>
      <x:c r="BC218" s="60" t="str"/>
    </x:row>
    <x:row r="219" ht="18" customHeight="1">
      <x:c r="A219" s="70" t="str">
        <x:v>218</x:v>
      </x:c>
      <x:c r="B219" s="70" t="str">
        <x:v>B - Strong</x:v>
      </x:c>
      <x:c r="C219" s="72" t="str">
        <x:v>59</x:v>
      </x:c>
      <x:c r="D219" s="60" t="str">
        <x:v>U.S. Lawns</x:v>
      </x:c>
      <x:c r="E219" s="60" t="str">
        <x:v>https://uslawns.com</x:v>
      </x:c>
      <x:c r="F219" s="60" t="str">
        <x:v>https://uslawns.com</x:v>
      </x:c>
      <x:c r="G219" s="60" t="str">
        <x:v>Murrells Inlet</x:v>
      </x:c>
      <x:c r="H219" s="60" t="str">
        <x:v>South Carolina</x:v>
      </x:c>
      <x:c r="I219" s="60" t="str">
        <x:v>Landscaping &amp; Tree</x:v>
      </x:c>
      <x:c r="J219" s="60" t="str">
        <x:v>Bryan</x:v>
      </x:c>
      <x:c r="K219" s="60" t="str">
        <x:v>Smith</x:v>
      </x:c>
      <x:c r="L219" s="60" t="str">
        <x:v>Owner</x:v>
      </x:c>
      <x:c r="M219" s="60" t="str">
        <x:v>bryan.smith@uslawns.net</x:v>
      </x:c>
      <x:c r="N219" s="60" t="str">
        <x:v>Verified with BounceBan on 08 Jun 26 12:06</x:v>
      </x:c>
      <x:c r="O219" s="60" t="str">
        <x:v>+1 407 246 1630</x:v>
      </x:c>
      <x:c r="P219" s="60" t="str">
        <x:v>https://www.linkedin.com/in/bryan-smith-40004b2b</x:v>
      </x:c>
      <x:c r="Q219" s="60" t="str">
        <x:v>1001-5000</x:v>
      </x:c>
      <x:c r="R219" s="60" t="str">
        <x:v>25000000-49999999</x:v>
      </x:c>
      <x:c r="S219" s="60" t="str"/>
      <x:c r="T219" s="74" t="str">
        <x:v>0</x:v>
      </x:c>
      <x:c r="U219" s="60" t="str"/>
      <x:c r="V219" s="74" t="str">
        <x:v>24</x:v>
      </x:c>
      <x:c r="W219" s="74" t="str">
        <x:v>25</x:v>
      </x:c>
      <x:c r="X219" s="74" t="str">
        <x:v>0</x:v>
      </x:c>
      <x:c r="Y219" s="74" t="str">
        <x:v>0</x:v>
      </x:c>
      <x:c r="Z219" s="74" t="str">
        <x:v>10</x:v>
      </x:c>
      <x:c r="AA219" s="74" t="str">
        <x:v>1</x:v>
      </x:c>
      <x:c r="AB219" s="74" t="str">
        <x:v>1</x:v>
      </x:c>
      <x:c r="AC219" s="74" t="str">
        <x:v>1</x:v>
      </x:c>
      <x:c r="AD219" s="74" t="str">
        <x:v>0</x:v>
      </x:c>
      <x:c r="AE219" s="74" t="str">
        <x:v>0</x:v>
      </x:c>
      <x:c r="AF219" s="74" t="str"/>
      <x:c r="AG219" s="74" t="str">
        <x:v>1</x:v>
      </x:c>
      <x:c r="AH219" s="74" t="str">
        <x:v>0</x:v>
      </x:c>
      <x:c r="AI219" s="74" t="str">
        <x:v>0</x:v>
      </x:c>
      <x:c r="AJ219" s="74" t="str">
        <x:v>0</x:v>
      </x:c>
      <x:c r="AK219" s="74" t="str">
        <x:v>0</x:v>
      </x:c>
      <x:c r="AL219" s="74" t="str">
        <x:v>0</x:v>
      </x:c>
      <x:c r="AM219" s="74" t="str">
        <x:v>1</x:v>
      </x:c>
      <x:c r="AN219" s="74" t="str">
        <x:v>1</x:v>
      </x:c>
      <x:c r="AO219" s="60" t="str">
        <x:v>2026</x:v>
      </x:c>
      <x:c r="AP219" s="76" t="str">
        <x:v>Paid-demand technology detected; creative refresh hypothesis</x:v>
      </x:c>
      <x:c r="AQ219" s="76" t="str">
        <x:v>Meta Pixel; Google Ads tag</x:v>
      </x:c>
      <x:c r="AR219" s="76" t="str">
        <x:v>I was reviewing landscaping &amp; tree companies in Murrells Inlet, South Carolina and U.S. Lawns looked like a strong fit for a creative test.</x:v>
      </x:c>
      <x:c r="AS219" s="76" t="str">
        <x:v>property transformation ad</x:v>
      </x:c>
      <x:c r="AT219" s="76" t="str">
        <x:v>U.S. Lawns ad concept</x:v>
      </x:c>
      <x:c r="AU219" s="76" t="str">
        <x:v>Hi Bryan — I was reviewing landscaping &amp; tree companies in Murrells Inlet, South Carolina and U.S. Lawns looked like a strong fit for a creative test. I mapped a private 15-second property transformation ad for U.S. Lawns using only public brand context—not for publishing, just to show the angle. We build three client-approved video ad concepts in seven days, then turn the winners into fresh variations. No filming day required. Worth sending the private sample?</x:v>
      </x:c>
      <x:c r="AV219" s="76" t="str">
        <x:v>Quick follow-up: the sample angle is a property transformation ad. If it misses the mark, no problem—I won't keep chasing. Should I send it?</x:v>
      </x:c>
      <x:c r="AW219" s="76" t="str">
        <x:v>Hi Bryan, Ryan here. I was looking at U.S. Lawns's public marketing and noticed: paid-demand technology detected; creative refresh hypothesis. I mapped one private property transformation ad as an example. Did I catch you with 30 seconds?</x:v>
      </x:c>
      <x:c r="AX219" s="60" t="str">
        <x:v>https://www.facebook.com/ads/library/?active_status=active&amp;ad_type=all&amp;country=US&amp;q=U.S.%20Lawns&amp;search_type=keyword_unordered</x:v>
      </x:c>
      <x:c r="AY219" s="60" t="str">
        <x:v>ok:200</x:v>
      </x:c>
      <x:c r="AZ219" s="60" t="n">
        <x:v>46232.722858796296</x:v>
      </x:c>
      <x:c r="BA219" s="60" t="str">
        <x:v>AI Ark SC trades export</x:v>
      </x:c>
      <x:c r="BB219" s="60" t="str">
        <x:v>https://uslawns.com | https://www.linkedin.com/company/uslawns</x:v>
      </x:c>
      <x:c r="BC219" s="60" t="str"/>
    </x:row>
    <x:row r="220" ht="18" customHeight="1">
      <x:c r="A220" s="70" t="str">
        <x:v>219</x:v>
      </x:c>
      <x:c r="B220" s="70" t="str">
        <x:v>B - Strong</x:v>
      </x:c>
      <x:c r="C220" s="72" t="str">
        <x:v>59</x:v>
      </x:c>
      <x:c r="D220" s="60" t="str">
        <x:v>SERVPRO Of Orangeburg</x:v>
      </x:c>
      <x:c r="E220" s="60" t="str">
        <x:v>https://servproorangeburg.com</x:v>
      </x:c>
      <x:c r="F220" s="60" t="str">
        <x:v>https://www.servpro.com/locations/sc/servpro-of-orangeburg</x:v>
      </x:c>
      <x:c r="G220" s="60" t="str">
        <x:v>Orangeburg</x:v>
      </x:c>
      <x:c r="H220" s="60" t="str">
        <x:v>South Carolina</x:v>
      </x:c>
      <x:c r="I220" s="60" t="str">
        <x:v>Restoration</x:v>
      </x:c>
      <x:c r="J220" s="60" t="str">
        <x:v>Jacob</x:v>
      </x:c>
      <x:c r="K220" s="60" t="str">
        <x:v>Burger</x:v>
      </x:c>
      <x:c r="L220" s="60" t="str">
        <x:v>Owner</x:v>
      </x:c>
      <x:c r="M220" s="60" t="str"/>
      <x:c r="N220" s="60" t="str"/>
      <x:c r="O220" s="60" t="str">
        <x:v>+1 803 640 5071</x:v>
      </x:c>
      <x:c r="P220" s="60" t="str">
        <x:v>https://www.linkedin.com/in/jacob-burger-557186113</x:v>
      </x:c>
      <x:c r="Q220" s="60" t="str">
        <x:v>2-10</x:v>
      </x:c>
      <x:c r="R220" s="60" t="str">
        <x:v>100000-499999</x:v>
      </x:c>
      <x:c r="S220" s="60" t="str"/>
      <x:c r="T220" s="74" t="str">
        <x:v>0</x:v>
      </x:c>
      <x:c r="U220" s="60" t="str"/>
      <x:c r="V220" s="74" t="str">
        <x:v>28</x:v>
      </x:c>
      <x:c r="W220" s="74" t="str">
        <x:v>23</x:v>
      </x:c>
      <x:c r="X220" s="74" t="str">
        <x:v>0</x:v>
      </x:c>
      <x:c r="Y220" s="74" t="str">
        <x:v>3</x:v>
      </x:c>
      <x:c r="Z220" s="74" t="str">
        <x:v>5</x:v>
      </x:c>
      <x:c r="AA220" s="74" t="str">
        <x:v>1</x:v>
      </x:c>
      <x:c r="AB220" s="74" t="str">
        <x:v>0</x:v>
      </x:c>
      <x:c r="AC220" s="74" t="str">
        <x:v>1</x:v>
      </x:c>
      <x:c r="AD220" s="74" t="str">
        <x:v>0</x:v>
      </x:c>
      <x:c r="AE220" s="74" t="str">
        <x:v>1</x:v>
      </x:c>
      <x:c r="AF220" s="74" t="str"/>
      <x:c r="AG220" s="74" t="str">
        <x:v>1</x:v>
      </x:c>
      <x:c r="AH220" s="74" t="str">
        <x:v>0</x:v>
      </x:c>
      <x:c r="AI220" s="74" t="str">
        <x:v>0</x:v>
      </x:c>
      <x:c r="AJ220" s="74" t="str">
        <x:v>0</x:v>
      </x:c>
      <x:c r="AK220" s="74" t="str">
        <x:v>1</x:v>
      </x:c>
      <x:c r="AL220" s="74" t="str">
        <x:v>1</x:v>
      </x:c>
      <x:c r="AM220" s="74" t="str">
        <x:v>1</x:v>
      </x:c>
      <x:c r="AN220" s="74" t="str">
        <x:v>0</x:v>
      </x:c>
      <x:c r="AO220" s="60" t="str">
        <x:v>2026</x:v>
      </x:c>
      <x:c r="AP220" s="76" t="str">
        <x:v>Paid-demand technology detected; creative refresh hypothesis</x:v>
      </x:c>
      <x:c r="AQ220" s="76" t="str">
        <x:v>Meta Pixel; call tracking; visible service offer</x:v>
      </x:c>
      <x:c r="AR220" s="76" t="str">
        <x:v>I was reviewing restoration companies in Orangeburg, South Carolina and SERVPRO Of Orangeburg looked like a strong fit for a creative test.</x:v>
      </x:c>
      <x:c r="AS220" s="76" t="str">
        <x:v>first-24-hours emergency-response ad</x:v>
      </x:c>
      <x:c r="AT220" s="76" t="str">
        <x:v>SERVPRO Of Orangeburg ad concept</x:v>
      </x:c>
      <x:c r="AU220" s="76" t="str">
        <x:v>Hi Jacob — I was reviewing restoration companies in Orangeburg, South Carolina and SERVPRO Of Orangeburg looked like a strong fit for a creative test. I mapped a private 15-second first-24-hours emergency-response ad for SERVPRO Of Orangeburg using only public brand context—not for publishing, just to show the angle. We build three client-approved video ad concepts in seven days, then turn the winners into fresh variations. No filming day required. Worth sending the private sample?</x:v>
      </x:c>
      <x:c r="AV220" s="76" t="str">
        <x:v>Quick follow-up: the sample angle is a first-24-hours emergency-response ad. If it misses the mark, no problem—I won't keep chasing. Should I send it?</x:v>
      </x:c>
      <x:c r="AW220" s="76" t="str">
        <x:v>Hi Jacob, Ryan here. I was looking at SERVPRO Of Orangeburg's public marketing and noticed: paid-demand technology detected; creative refresh hypothesis. I mapped one private first-24-hours emergency-response ad as an example. Did I catch you with 30 seconds?</x:v>
      </x:c>
      <x:c r="AX220" s="60" t="str">
        <x:v>https://www.facebook.com/ads/library/?active_status=active&amp;ad_type=all&amp;country=US&amp;q=SERVPRO%20Of%20Orangeburg&amp;search_type=keyword_unordered</x:v>
      </x:c>
      <x:c r="AY220" s="60" t="str">
        <x:v>ok:200</x:v>
      </x:c>
      <x:c r="AZ220" s="60" t="n">
        <x:v>46232.722858796296</x:v>
      </x:c>
      <x:c r="BA220" s="60" t="str">
        <x:v>AI Ark SC trades export</x:v>
      </x:c>
      <x:c r="BB220" s="60" t="str">
        <x:v>https://servproorangeburg.com | https://www.linkedin.com/company/servpro-of-orangeburg</x:v>
      </x:c>
      <x:c r="BC220" s="60" t="str"/>
    </x:row>
    <x:row r="221" ht="18" customHeight="1">
      <x:c r="A221" s="70" t="str">
        <x:v>220</x:v>
      </x:c>
      <x:c r="B221" s="70" t="str">
        <x:v>B - Strong</x:v>
      </x:c>
      <x:c r="C221" s="72" t="str">
        <x:v>59</x:v>
      </x:c>
      <x:c r="D221" s="60" t="str">
        <x:v>Siding Unlimited, LLC</x:v>
      </x:c>
      <x:c r="E221" s="60" t="str">
        <x:v>https://sidingunlimited.com</x:v>
      </x:c>
      <x:c r="F221" s="60" t="str">
        <x:v>https://www.sidingunlimited.com/</x:v>
      </x:c>
      <x:c r="G221" s="60" t="str">
        <x:v>Spartanburg</x:v>
      </x:c>
      <x:c r="H221" s="60" t="str">
        <x:v>South Carolina</x:v>
      </x:c>
      <x:c r="I221" s="60" t="str">
        <x:v>Roofing</x:v>
      </x:c>
      <x:c r="J221" s="60" t="str">
        <x:v>Jeff</x:v>
      </x:c>
      <x:c r="K221" s="60" t="str">
        <x:v>Hall</x:v>
      </x:c>
      <x:c r="L221" s="60" t="str">
        <x:v>owner</x:v>
      </x:c>
      <x:c r="M221" s="60" t="str"/>
      <x:c r="N221" s="60" t="str"/>
      <x:c r="O221" s="60" t="str"/>
      <x:c r="P221" s="60" t="str">
        <x:v>https://www.linkedin.com/in/jeff-hall-97154493</x:v>
      </x:c>
      <x:c r="Q221" s="60" t="str">
        <x:v>11-50</x:v>
      </x:c>
      <x:c r="R221" s="60" t="str">
        <x:v>1000000-4999999</x:v>
      </x:c>
      <x:c r="S221" s="60" t="str"/>
      <x:c r="T221" s="74" t="str">
        <x:v>0</x:v>
      </x:c>
      <x:c r="U221" s="60" t="str"/>
      <x:c r="V221" s="74" t="str">
        <x:v>30</x:v>
      </x:c>
      <x:c r="W221" s="74" t="str">
        <x:v>15</x:v>
      </x:c>
      <x:c r="X221" s="74" t="str">
        <x:v>0</x:v>
      </x:c>
      <x:c r="Y221" s="74" t="str">
        <x:v>12</x:v>
      </x:c>
      <x:c r="Z221" s="74" t="str">
        <x:v>2</x:v>
      </x:c>
      <x:c r="AA221" s="74" t="str">
        <x:v>1</x:v>
      </x:c>
      <x:c r="AB221" s="74" t="str">
        <x:v>0</x:v>
      </x:c>
      <x:c r="AC221" s="74" t="str">
        <x:v>1</x:v>
      </x:c>
      <x:c r="AD221" s="74" t="str">
        <x:v>0</x:v>
      </x:c>
      <x:c r="AE221" s="74" t="str">
        <x:v>0</x:v>
      </x:c>
      <x:c r="AF221" s="74" t="str"/>
      <x:c r="AG221" s="74" t="str">
        <x:v>1</x:v>
      </x:c>
      <x:c r="AH221" s="74" t="str">
        <x:v>1</x:v>
      </x:c>
      <x:c r="AI221" s="74" t="str">
        <x:v>1</x:v>
      </x:c>
      <x:c r="AJ221" s="74" t="str">
        <x:v>1</x:v>
      </x:c>
      <x:c r="AK221" s="74" t="str">
        <x:v>0</x:v>
      </x:c>
      <x:c r="AL221" s="74" t="str">
        <x:v>1</x:v>
      </x:c>
      <x:c r="AM221" s="74" t="str">
        <x:v>1</x:v>
      </x:c>
      <x:c r="AN221" s="74" t="str">
        <x:v>1</x:v>
      </x:c>
      <x:c r="AO221" s="60" t="str">
        <x:v>0</x:v>
      </x:c>
      <x:c r="AP221" s="76" t="str">
        <x:v>Paid-demand technology detected; creative refresh hypothesis</x:v>
      </x:c>
      <x:c r="AQ221" s="76" t="str">
        <x:v>Meta Pixel; project/gallery proof; testimonials; financing</x:v>
      </x:c>
      <x:c r="AR221" s="76" t="str">
        <x:v>I was reviewing roofing companies in Spartanburg, South Carolina and Siding Unlimited, LLC looked like a strong fit for a creative test.</x:v>
      </x:c>
      <x:c r="AS221" s="76" t="str">
        <x:v>storm-to-inspection before/after ad</x:v>
      </x:c>
      <x:c r="AT221" s="76" t="str">
        <x:v>Siding Unlimited, LLC ad concept</x:v>
      </x:c>
      <x:c r="AU221" s="76" t="str">
        <x:v>Hi Jeff — I was reviewing roofing companies in Spartanburg, South Carolina and Siding Unlimited, LLC looked like a strong fit for a creative test. I mapped a private 15-second storm-to-inspection before/after ad for Siding Unlimited, LLC using only public brand context—not for publishing, just to show the angle. We build three client-approved video ad concepts in seven days, then turn the winners into fresh variations. No filming day required. Worth sending the private sample?</x:v>
      </x:c>
      <x:c r="AV221" s="76" t="str">
        <x:v>Quick follow-up: the sample angle is a storm-to-inspection before/after ad. If it misses the mark, no problem—I won't keep chasing. Should I send it?</x:v>
      </x:c>
      <x:c r="AW221" s="76" t="str">
        <x:v>Hi Jeff, Ryan here. I was looking at Siding Unlimited, LLC's public marketing and noticed: paid-demand technology detected; creative refresh hypothesis. I mapped one private storm-to-inspection before/after ad as an example. Did I catch you with 30 seconds?</x:v>
      </x:c>
      <x:c r="AX221" s="60" t="str">
        <x:v>https://www.facebook.com/ads/library/?active_status=active&amp;ad_type=all&amp;country=US&amp;q=Siding%20Unlimited%2C%20LLC&amp;search_type=keyword_unordered</x:v>
      </x:c>
      <x:c r="AY221" s="60" t="str">
        <x:v>ok:200</x:v>
      </x:c>
      <x:c r="AZ221" s="60" t="n">
        <x:v>46232.722858796296</x:v>
      </x:c>
      <x:c r="BA221" s="60" t="str">
        <x:v>AI Ark SC trades export</x:v>
      </x:c>
      <x:c r="BB221" s="60" t="str">
        <x:v>https://sidingunlimited.com | https://www.linkedin.com/company/siding-unlimited-llc</x:v>
      </x:c>
      <x:c r="BC221" s="60" t="str"/>
    </x:row>
    <x:row r="222" ht="18" customHeight="1">
      <x:c r="A222" s="70" t="str">
        <x:v>221</x:v>
      </x:c>
      <x:c r="B222" s="70" t="str">
        <x:v>B - Strong</x:v>
      </x:c>
      <x:c r="C222" s="72" t="str">
        <x:v>59</x:v>
      </x:c>
      <x:c r="D222" s="60" t="str">
        <x:v>Clyde Nettles Roofing</x:v>
      </x:c>
      <x:c r="E222" s="60" t="str">
        <x:v>https://clydenettles.com</x:v>
      </x:c>
      <x:c r="F222" s="60" t="str">
        <x:v>https://clydenettles.com</x:v>
      </x:c>
      <x:c r="G222" s="60" t="str">
        <x:v>Florence</x:v>
      </x:c>
      <x:c r="H222" s="60" t="str">
        <x:v>South Carolina</x:v>
      </x:c>
      <x:c r="I222" s="60" t="str">
        <x:v>Roofing</x:v>
      </x:c>
      <x:c r="J222" s="60" t="str">
        <x:v>Clyde Nettles Roofing</x:v>
      </x:c>
      <x:c r="K222" s="60" t="str"/>
      <x:c r="L222" s="60" t="str">
        <x:v>Owner / decision maker to verify</x:v>
      </x:c>
      <x:c r="M222" s="60" t="str"/>
      <x:c r="N222" s="60" t="str"/>
      <x:c r="O222" s="60" t="str">
        <x:v>(803) 754-7663</x:v>
      </x:c>
      <x:c r="P222" s="60" t="str"/>
      <x:c r="Q222" s="60" t="str"/>
      <x:c r="R222" s="60" t="str"/>
      <x:c r="S222" s="60" t="str">
        <x:v>4.9</x:v>
      </x:c>
      <x:c r="T222" s="74" t="str">
        <x:v>135</x:v>
      </x:c>
      <x:c r="U222" s="60" t="str"/>
      <x:c r="V222" s="74" t="str">
        <x:v>29</x:v>
      </x:c>
      <x:c r="W222" s="74" t="str">
        <x:v>15</x:v>
      </x:c>
      <x:c r="X222" s="74" t="str">
        <x:v>0</x:v>
      </x:c>
      <x:c r="Y222" s="74" t="str">
        <x:v>10</x:v>
      </x:c>
      <x:c r="Z222" s="74" t="str">
        <x:v>5</x:v>
      </x:c>
      <x:c r="AA222" s="74" t="str">
        <x:v>1</x:v>
      </x:c>
      <x:c r="AB222" s="74" t="str">
        <x:v>0</x:v>
      </x:c>
      <x:c r="AC222" s="74" t="str">
        <x:v>1</x:v>
      </x:c>
      <x:c r="AD222" s="74" t="str">
        <x:v>0</x:v>
      </x:c>
      <x:c r="AE222" s="74" t="str">
        <x:v>0</x:v>
      </x:c>
      <x:c r="AF222" s="74" t="str"/>
      <x:c r="AG222" s="74" t="str">
        <x:v>1</x:v>
      </x:c>
      <x:c r="AH222" s="74" t="str">
        <x:v>0</x:v>
      </x:c>
      <x:c r="AI222" s="74" t="str">
        <x:v>1</x:v>
      </x:c>
      <x:c r="AJ222" s="74" t="str">
        <x:v>1</x:v>
      </x:c>
      <x:c r="AK222" s="74" t="str">
        <x:v>0</x:v>
      </x:c>
      <x:c r="AL222" s="74" t="str">
        <x:v>1</x:v>
      </x:c>
      <x:c r="AM222" s="74" t="str">
        <x:v>1</x:v>
      </x:c>
      <x:c r="AN222" s="74" t="str">
        <x:v>1</x:v>
      </x:c>
      <x:c r="AO222" s="60" t="str">
        <x:v>0</x:v>
      </x:c>
      <x:c r="AP222" s="76" t="str">
        <x:v>Paid-demand technology detected; creative refresh hypothesis</x:v>
      </x:c>
      <x:c r="AQ222" s="76" t="str">
        <x:v>Meta Pixel; testimonials; financing</x:v>
      </x:c>
      <x:c r="AR222" s="76" t="str">
        <x:v>I was reviewing roofing companies in Florence, South Carolina and Clyde Nettles Roofing looked like a strong fit for a creative test.</x:v>
      </x:c>
      <x:c r="AS222" s="76" t="str">
        <x:v>storm-to-inspection before/after ad</x:v>
      </x:c>
      <x:c r="AT222" s="76" t="str">
        <x:v>Clyde Nettles Roofing ad concept</x:v>
      </x:c>
      <x:c r="AU222" s="76" t="str">
        <x:v>Hi Clyde Nettles Roofing — I was reviewing roofing companies in Florence, South Carolina and Clyde Nettles Roofing looked like a strong fit for a creative test. I mapped a private 15-second storm-to-inspection before/after ad for Clyde Nettles Roofing using only public brand context—not for publishing, just to show the angle. We build three client-approved video ad concepts in seven days, then turn the winners into fresh variations. No filming day required. Worth sending the private sample?</x:v>
      </x:c>
      <x:c r="AV222" s="76" t="str">
        <x:v>Quick follow-up: the sample angle is a storm-to-inspection before/after ad. If it misses the mark, no problem—I won't keep chasing. Should I send it?</x:v>
      </x:c>
      <x:c r="AW222" s="76" t="str">
        <x:v>Hi Clyde Nettles Roofing, Ryan here. I was looking at Clyde Nettles Roofing's public marketing and noticed: paid-demand technology detected; creative refresh hypothesis. I mapped one private storm-to-inspection before/after ad as an example. Did I catch you with 30 seconds?</x:v>
      </x:c>
      <x:c r="AX222" s="60" t="str">
        <x:v>https://www.facebook.com/ads/library/?active_status=active&amp;ad_type=all&amp;country=US&amp;q=Clyde%20Nettles%20Roofing&amp;search_type=keyword_unordered</x:v>
      </x:c>
      <x:c r="AY222" s="60" t="str">
        <x:v>ok:200</x:v>
      </x:c>
      <x:c r="AZ222" s="60" t="n">
        <x:v>46232.722858796296</x:v>
      </x:c>
      <x:c r="BA222" s="60" t="str">
        <x:v>Google Maps home-services export</x:v>
      </x:c>
      <x:c r="BB222" s="60" t="str">
        <x:v>https://clydenettles.com | https://maps.google.com/?cid=9126082958891138263&amp;g_mp=Cidnb29nbGUubWFwcy5wbGFjZXMudjEuUGxhY2VzLlNlYXJjaFRleHQQAhgEIAA</x:v>
      </x:c>
      <x:c r="BC222" s="60" t="str"/>
    </x:row>
    <x:row r="223" ht="18" customHeight="1">
      <x:c r="A223" s="70" t="str">
        <x:v>222</x:v>
      </x:c>
      <x:c r="B223" s="70" t="str">
        <x:v>B - Strong</x:v>
      </x:c>
      <x:c r="C223" s="72" t="str">
        <x:v>59</x:v>
      </x:c>
      <x:c r="D223" s="60" t="str">
        <x:v>Bluffton Electric LLC</x:v>
      </x:c>
      <x:c r="E223" s="60" t="str">
        <x:v>https://blufftonelectric.com</x:v>
      </x:c>
      <x:c r="F223" s="60" t="str">
        <x:v>https://blufftonelectric.com</x:v>
      </x:c>
      <x:c r="G223" s="60" t="str">
        <x:v>Hilton Head</x:v>
      </x:c>
      <x:c r="H223" s="60" t="str">
        <x:v>South Carolina</x:v>
      </x:c>
      <x:c r="I223" s="60" t="str">
        <x:v>Electrical</x:v>
      </x:c>
      <x:c r="J223" s="60" t="str">
        <x:v>Bluffton Electric LLC</x:v>
      </x:c>
      <x:c r="K223" s="60" t="str"/>
      <x:c r="L223" s="60" t="str">
        <x:v>Owner / decision maker to verify</x:v>
      </x:c>
      <x:c r="M223" s="60" t="str"/>
      <x:c r="N223" s="60" t="str"/>
      <x:c r="O223" s="60" t="str">
        <x:v>(843) 757-9522</x:v>
      </x:c>
      <x:c r="P223" s="60" t="str"/>
      <x:c r="Q223" s="60" t="str"/>
      <x:c r="R223" s="60" t="str"/>
      <x:c r="S223" s="60" t="str">
        <x:v>4.7</x:v>
      </x:c>
      <x:c r="T223" s="74" t="str">
        <x:v>60</x:v>
      </x:c>
      <x:c r="U223" s="60" t="str"/>
      <x:c r="V223" s="74" t="str">
        <x:v>21</x:v>
      </x:c>
      <x:c r="W223" s="74" t="str">
        <x:v>15</x:v>
      </x:c>
      <x:c r="X223" s="74" t="str">
        <x:v>12</x:v>
      </x:c>
      <x:c r="Y223" s="74" t="str">
        <x:v>6</x:v>
      </x:c>
      <x:c r="Z223" s="74" t="str">
        <x:v>5</x:v>
      </x:c>
      <x:c r="AA223" s="74" t="str">
        <x:v>1</x:v>
      </x:c>
      <x:c r="AB223" s="74" t="str">
        <x:v>0</x:v>
      </x:c>
      <x:c r="AC223" s="74" t="str">
        <x:v>1</x:v>
      </x:c>
      <x:c r="AD223" s="74" t="str">
        <x:v>0</x:v>
      </x:c>
      <x:c r="AE223" s="74" t="str">
        <x:v>0</x:v>
      </x:c>
      <x:c r="AF223" s="74" t="str"/>
      <x:c r="AG223" s="74" t="str">
        <x:v>0</x:v>
      </x:c>
      <x:c r="AH223" s="74" t="str">
        <x:v>0</x:v>
      </x:c>
      <x:c r="AI223" s="74" t="str">
        <x:v>1</x:v>
      </x:c>
      <x:c r="AJ223" s="74" t="str">
        <x:v>0</x:v>
      </x:c>
      <x:c r="AK223" s="74" t="str">
        <x:v>0</x:v>
      </x:c>
      <x:c r="AL223" s="74" t="str">
        <x:v>1</x:v>
      </x:c>
      <x:c r="AM223" s="74" t="str">
        <x:v>1</x:v>
      </x:c>
      <x:c r="AN223" s="74" t="str">
        <x:v>0</x:v>
      </x:c>
      <x:c r="AO223" s="60" t="str">
        <x:v>0</x:v>
      </x:c>
      <x:c r="AP223" s="76" t="str">
        <x:v>Meta tracking detected; no embedded homepage video found</x:v>
      </x:c>
      <x:c r="AQ223" s="76" t="str">
        <x:v>Meta Pixel; testimonials; no embedded homepage video detected</x:v>
      </x:c>
      <x:c r="AR223" s="76" t="str">
        <x:v>I noticed Bluffton Electric LLC's site has Meta tracking installed, but I couldn't find an embedded video on the homepage.</x:v>
      </x:c>
      <x:c r="AS223" s="76" t="str">
        <x:v>safety inspection problem/solution ad</x:v>
      </x:c>
      <x:c r="AT223" s="76" t="str">
        <x:v>Bluffton Electric LLC ad concept</x:v>
      </x:c>
      <x:c r="AU223" s="76" t="str">
        <x:v>Hi Bluffton Electric LLC — I noticed Bluffton Electric LLC's site has Meta tracking installed, but I couldn't find an embedded video on the homepage. I mapped a private 15-second safety inspection problem/solution ad for Bluffton Electric LLC using only public brand context—not for publishing, just to show the angle. We build three client-approved video ad concepts in seven days, then turn the winners into fresh variations. No filming day required. Worth sending the private sample?</x:v>
      </x:c>
      <x:c r="AV223" s="76" t="str">
        <x:v>Quick follow-up: the sample angle is a safety inspection problem/solution ad. If it misses the mark, no problem—I won't keep chasing. Should I send it?</x:v>
      </x:c>
      <x:c r="AW223" s="76" t="str">
        <x:v>Hi Bluffton Electric LLC, Ryan here. I was looking at Bluffton Electric LLC's public marketing and noticed: meta tracking detected; no embedded homepage video found. I mapped one private safety inspection problem/solution ad as an example. Did I catch you with 30 seconds?</x:v>
      </x:c>
      <x:c r="AX223" s="60" t="str">
        <x:v>https://www.facebook.com/ads/library/?active_status=active&amp;ad_type=all&amp;country=US&amp;q=Bluffton%20Electric%20LLC&amp;search_type=keyword_unordered</x:v>
      </x:c>
      <x:c r="AY223" s="60" t="str">
        <x:v>ok:200</x:v>
      </x:c>
      <x:c r="AZ223" s="60" t="n">
        <x:v>46232.722858796296</x:v>
      </x:c>
      <x:c r="BA223" s="60" t="str">
        <x:v>Google Maps home-services export</x:v>
      </x:c>
      <x:c r="BB223" s="60" t="str">
        <x:v>https://blufftonelectric.com | https://maps.google.com/?cid=16104560811370593931&amp;g_mp=Cidnb29nbGUubWFwcy5wbGFjZXMudjEuUGxhY2VzLlNlYXJjaFRleHQQAhgEIAA</x:v>
      </x:c>
      <x:c r="BC223" s="60" t="str"/>
    </x:row>
    <x:row r="224" ht="18" customHeight="1">
      <x:c r="A224" s="70" t="str">
        <x:v>223</x:v>
      </x:c>
      <x:c r="B224" s="70" t="str">
        <x:v>B - Strong</x:v>
      </x:c>
      <x:c r="C224" s="72" t="str">
        <x:v>59</x:v>
      </x:c>
      <x:c r="D224" s="60" t="str">
        <x:v>GE Handyman</x:v>
      </x:c>
      <x:c r="E224" s="60" t="str">
        <x:v>https://gehandyman.com</x:v>
      </x:c>
      <x:c r="F224" s="60" t="str">
        <x:v>https://gehandyman.com</x:v>
      </x:c>
      <x:c r="G224" s="60" t="str">
        <x:v>Greenville</x:v>
      </x:c>
      <x:c r="H224" s="60" t="str">
        <x:v>South Carolina</x:v>
      </x:c>
      <x:c r="I224" s="60" t="str">
        <x:v>Electrical</x:v>
      </x:c>
      <x:c r="J224" s="60" t="str">
        <x:v>GE Handyman</x:v>
      </x:c>
      <x:c r="K224" s="60" t="str"/>
      <x:c r="L224" s="60" t="str">
        <x:v>Owner / decision maker to verify</x:v>
      </x:c>
      <x:c r="M224" s="60" t="str"/>
      <x:c r="N224" s="60" t="str"/>
      <x:c r="O224" s="60" t="str">
        <x:v>(864) 428-8555</x:v>
      </x:c>
      <x:c r="P224" s="60" t="str"/>
      <x:c r="Q224" s="60" t="str"/>
      <x:c r="R224" s="60" t="str"/>
      <x:c r="S224" s="60" t="str">
        <x:v>5</x:v>
      </x:c>
      <x:c r="T224" s="74" t="str">
        <x:v>43</x:v>
      </x:c>
      <x:c r="U224" s="60" t="str"/>
      <x:c r="V224" s="74" t="str">
        <x:v>21</x:v>
      </x:c>
      <x:c r="W224" s="74" t="str">
        <x:v>15</x:v>
      </x:c>
      <x:c r="X224" s="74" t="str">
        <x:v>16</x:v>
      </x:c>
      <x:c r="Y224" s="74" t="str">
        <x:v>2</x:v>
      </x:c>
      <x:c r="Z224" s="74" t="str">
        <x:v>5</x:v>
      </x:c>
      <x:c r="AA224" s="74" t="str">
        <x:v>1</x:v>
      </x:c>
      <x:c r="AB224" s="74" t="str">
        <x:v>0</x:v>
      </x:c>
      <x:c r="AC224" s="74" t="str">
        <x:v>1</x:v>
      </x:c>
      <x:c r="AD224" s="74" t="str">
        <x:v>0</x:v>
      </x:c>
      <x:c r="AE224" s="74" t="str">
        <x:v>0</x:v>
      </x:c>
      <x:c r="AF224" s="74" t="str"/>
      <x:c r="AG224" s="74" t="str">
        <x:v>0</x:v>
      </x:c>
      <x:c r="AH224" s="74" t="str">
        <x:v>0</x:v>
      </x:c>
      <x:c r="AI224" s="74" t="str">
        <x:v>0</x:v>
      </x:c>
      <x:c r="AJ224" s="74" t="str">
        <x:v>0</x:v>
      </x:c>
      <x:c r="AK224" s="74" t="str">
        <x:v>0</x:v>
      </x:c>
      <x:c r="AL224" s="74" t="str">
        <x:v>0</x:v>
      </x:c>
      <x:c r="AM224" s="74" t="str">
        <x:v>1</x:v>
      </x:c>
      <x:c r="AN224" s="74" t="str">
        <x:v>0</x:v>
      </x:c>
      <x:c r="AO224" s="60" t="str">
        <x:v>2026</x:v>
      </x:c>
      <x:c r="AP224" s="76" t="str">
        <x:v>Meta tracking detected; no embedded homepage video found</x:v>
      </x:c>
      <x:c r="AQ224" s="76" t="str">
        <x:v>Meta Pixel; no embedded homepage video detected</x:v>
      </x:c>
      <x:c r="AR224" s="76" t="str">
        <x:v>I noticed GE Handyman's site has Meta tracking installed, but I couldn't find an embedded video on the homepage.</x:v>
      </x:c>
      <x:c r="AS224" s="76" t="str">
        <x:v>safety inspection problem/solution ad</x:v>
      </x:c>
      <x:c r="AT224" s="76" t="str">
        <x:v>GE Handyman ad concept</x:v>
      </x:c>
      <x:c r="AU224" s="76" t="str">
        <x:v>Hi GE Handyman — I noticed GE Handyman's site has Meta tracking installed, but I couldn't find an embedded video on the homepage. I mapped a private 15-second safety inspection problem/solution ad for GE Handyman using only public brand context—not for publishing, just to show the angle. We build three client-approved video ad concepts in seven days, then turn the winners into fresh variations. No filming day required. Worth sending the private sample?</x:v>
      </x:c>
      <x:c r="AV224" s="76" t="str">
        <x:v>Quick follow-up: the sample angle is a safety inspection problem/solution ad. If it misses the mark, no problem—I won't keep chasing. Should I send it?</x:v>
      </x:c>
      <x:c r="AW224" s="76" t="str">
        <x:v>Hi GE Handyman, Ryan here. I was looking at GE Handyman's public marketing and noticed: meta tracking detected; no embedded homepage video found. I mapped one private safety inspection problem/solution ad as an example. Did I catch you with 30 seconds?</x:v>
      </x:c>
      <x:c r="AX224" s="60" t="str">
        <x:v>https://www.facebook.com/ads/library/?active_status=active&amp;ad_type=all&amp;country=US&amp;q=GE%20Handyman&amp;search_type=keyword_unordered</x:v>
      </x:c>
      <x:c r="AY224" s="60" t="str">
        <x:v>ok:200</x:v>
      </x:c>
      <x:c r="AZ224" s="60" t="n">
        <x:v>46232.722858796296</x:v>
      </x:c>
      <x:c r="BA224" s="60" t="str">
        <x:v>Google Maps home-services export</x:v>
      </x:c>
      <x:c r="BB224" s="60" t="str">
        <x:v>https://gehandyman.com | https://maps.google.com/?cid=2253060976975758363&amp;g_mp=Cidnb29nbGUubWFwcy5wbGFjZXMudjEuUGxhY2VzLlNlYXJjaFRleHQQAhgEIAA</x:v>
      </x:c>
      <x:c r="BC224" s="60" t="str"/>
    </x:row>
    <x:row r="225" ht="18" customHeight="1">
      <x:c r="A225" s="70" t="str">
        <x:v>224</x:v>
      </x:c>
      <x:c r="B225" s="70" t="str">
        <x:v>B - Strong</x:v>
      </x:c>
      <x:c r="C225" s="72" t="str">
        <x:v>59</x:v>
      </x:c>
      <x:c r="D225" s="60" t="str">
        <x:v>Profinish Painting LLC</x:v>
      </x:c>
      <x:c r="E225" s="60" t="str">
        <x:v>https://profinishpaintingsc.com</x:v>
      </x:c>
      <x:c r="F225" s="60" t="str">
        <x:v>https://profinishpaintingsc.com</x:v>
      </x:c>
      <x:c r="G225" s="60" t="str">
        <x:v>Bluffton</x:v>
      </x:c>
      <x:c r="H225" s="60" t="str">
        <x:v>South Carolina</x:v>
      </x:c>
      <x:c r="I225" s="60" t="str">
        <x:v>General Contractor</x:v>
      </x:c>
      <x:c r="J225" s="60" t="str">
        <x:v>Nestor</x:v>
      </x:c>
      <x:c r="K225" s="60" t="str">
        <x:v>Mareque</x:v>
      </x:c>
      <x:c r="L225" s="60" t="str">
        <x:v>Owner Profinish Painting LLC</x:v>
      </x:c>
      <x:c r="M225" s="60" t="str"/>
      <x:c r="N225" s="60" t="str"/>
      <x:c r="O225" s="60" t="str"/>
      <x:c r="P225" s="60" t="str">
        <x:v>https://www.linkedin.com/in/nestor-mareque-722220273</x:v>
      </x:c>
      <x:c r="Q225" s="60" t="str">
        <x:v>2-10</x:v>
      </x:c>
      <x:c r="R225" s="60" t="str">
        <x:v>0-99999</x:v>
      </x:c>
      <x:c r="S225" s="60" t="str"/>
      <x:c r="T225" s="74" t="str">
        <x:v>0</x:v>
      </x:c>
      <x:c r="U225" s="60" t="str"/>
      <x:c r="V225" s="74" t="str">
        <x:v>20</x:v>
      </x:c>
      <x:c r="W225" s="74" t="str">
        <x:v>13</x:v>
      </x:c>
      <x:c r="X225" s="74" t="str">
        <x:v>12</x:v>
      </x:c>
      <x:c r="Y225" s="74" t="str">
        <x:v>12</x:v>
      </x:c>
      <x:c r="Z225" s="74" t="str">
        <x:v>2</x:v>
      </x:c>
      <x:c r="AA225" s="74" t="str">
        <x:v>0</x:v>
      </x:c>
      <x:c r="AB225" s="74" t="str">
        <x:v>1</x:v>
      </x:c>
      <x:c r="AC225" s="74" t="str">
        <x:v>1</x:v>
      </x:c>
      <x:c r="AD225" s="74" t="str">
        <x:v>0</x:v>
      </x:c>
      <x:c r="AE225" s="74" t="str">
        <x:v>0</x:v>
      </x:c>
      <x:c r="AF225" s="74" t="str"/>
      <x:c r="AG225" s="74" t="str">
        <x:v>0</x:v>
      </x:c>
      <x:c r="AH225" s="74" t="str">
        <x:v>1</x:v>
      </x:c>
      <x:c r="AI225" s="74" t="str">
        <x:v>1</x:v>
      </x:c>
      <x:c r="AJ225" s="74" t="str">
        <x:v>0</x:v>
      </x:c>
      <x:c r="AK225" s="74" t="str">
        <x:v>1</x:v>
      </x:c>
      <x:c r="AL225" s="74" t="str">
        <x:v>1</x:v>
      </x:c>
      <x:c r="AM225" s="74" t="str">
        <x:v>1</x:v>
      </x:c>
      <x:c r="AN225" s="74" t="str">
        <x:v>1</x:v>
      </x:c>
      <x:c r="AO225" s="60" t="str">
        <x:v>0</x:v>
      </x:c>
      <x:c r="AP225" s="76" t="str">
        <x:v>Google Ads tag detected; no embedded homepage video found</x:v>
      </x:c>
      <x:c r="AQ225" s="76" t="str">
        <x:v>Google Ads tag; project/gallery proof; testimonials; visible service offer; no embedded homepage video detected</x:v>
      </x:c>
      <x:c r="AR225" s="76" t="str">
        <x:v>I noticed Profinish Painting LLC's site has a Google Ads tag installed, but I couldn't find an embedded video on the homepage.</x:v>
      </x:c>
      <x:c r="AS225" s="76" t="str">
        <x:v>project walkthrough with proof milestones</x:v>
      </x:c>
      <x:c r="AT225" s="76" t="str">
        <x:v>Profinish Painting LLC ad concept</x:v>
      </x:c>
      <x:c r="AU225" s="76" t="str">
        <x:v>Hi Nestor — I noticed Profinish Painting LLC's site has a Google Ads tag installed, but I couldn't find an embedded video on the homepage. I mapped a private 15-second project walkthrough with proof milestones for Profinish Painting LLC using only public brand context—not for publishing, just to show the angle. We build three client-approved video ad concepts in seven days, then turn the winners into fresh variations. No filming day required. Worth sending the private sample?</x:v>
      </x:c>
      <x:c r="AV225" s="76" t="str">
        <x:v>Quick follow-up: the sample angle is a project walkthrough with proof milestones. If it misses the mark, no problem—I won't keep chasing. Should I send it?</x:v>
      </x:c>
      <x:c r="AW225" s="76" t="str">
        <x:v>Hi Nestor, Ryan here. I was looking at Profinish Painting LLC's public marketing and noticed: google ads tag detected; no embedded homepage video found. I mapped one private project walkthrough with proof milestones as an example. Did I catch you with 30 seconds?</x:v>
      </x:c>
      <x:c r="AX225" s="60" t="str">
        <x:v>https://www.facebook.com/ads/library/?active_status=active&amp;ad_type=all&amp;country=US&amp;q=Profinish%20Painting%20LLC&amp;search_type=keyword_unordered</x:v>
      </x:c>
      <x:c r="AY225" s="60" t="str">
        <x:v>ok:200</x:v>
      </x:c>
      <x:c r="AZ225" s="60" t="n">
        <x:v>46232.722858796296</x:v>
      </x:c>
      <x:c r="BA225" s="60" t="str">
        <x:v>AI Ark SC trades export</x:v>
      </x:c>
      <x:c r="BB225" s="60" t="str">
        <x:v>https://profinishpaintingsc.com | https://www.linkedin.com/company/profinish-painting-sc</x:v>
      </x:c>
      <x:c r="BC225" s="60" t="str"/>
    </x:row>
    <x:row r="226" ht="18" customHeight="1">
      <x:c r="A226" s="70" t="str">
        <x:v>225</x:v>
      </x:c>
      <x:c r="B226" s="70" t="str">
        <x:v>B - Strong</x:v>
      </x:c>
      <x:c r="C226" s="72" t="str">
        <x:v>59</x:v>
      </x:c>
      <x:c r="D226" s="60" t="str">
        <x:v>Plumbing Pros Llc</x:v>
      </x:c>
      <x:c r="E226" s="60" t="str">
        <x:v>https://scplumbingpros.com</x:v>
      </x:c>
      <x:c r="F226" s="60" t="str">
        <x:v>https://scplumbingpros.com</x:v>
      </x:c>
      <x:c r="G226" s="60" t="str">
        <x:v>Spartanburg</x:v>
      </x:c>
      <x:c r="H226" s="60" t="str">
        <x:v>South Carolina</x:v>
      </x:c>
      <x:c r="I226" s="60" t="str">
        <x:v>Plumbing</x:v>
      </x:c>
      <x:c r="J226" s="60" t="str">
        <x:v>Plumbing Pros Llc</x:v>
      </x:c>
      <x:c r="K226" s="60" t="str"/>
      <x:c r="L226" s="60" t="str">
        <x:v>Owner / decision maker to verify</x:v>
      </x:c>
      <x:c r="M226" s="60" t="str"/>
      <x:c r="N226" s="60" t="str"/>
      <x:c r="O226" s="60" t="str">
        <x:v>(864) 895-7767</x:v>
      </x:c>
      <x:c r="P226" s="60" t="str"/>
      <x:c r="Q226" s="60" t="str"/>
      <x:c r="R226" s="60" t="str"/>
      <x:c r="S226" s="60" t="str">
        <x:v>5</x:v>
      </x:c>
      <x:c r="T226" s="74" t="str">
        <x:v>57</x:v>
      </x:c>
      <x:c r="U226" s="60" t="str"/>
      <x:c r="V226" s="74" t="str">
        <x:v>22</x:v>
      </x:c>
      <x:c r="W226" s="74" t="str">
        <x:v>11</x:v>
      </x:c>
      <x:c r="X226" s="74" t="str">
        <x:v>16</x:v>
      </x:c>
      <x:c r="Y226" s="74" t="str">
        <x:v>5</x:v>
      </x:c>
      <x:c r="Z226" s="74" t="str">
        <x:v>5</x:v>
      </x:c>
      <x:c r="AA226" s="74" t="str">
        <x:v>0</x:v>
      </x:c>
      <x:c r="AB226" s="74" t="str">
        <x:v>0</x:v>
      </x:c>
      <x:c r="AC226" s="74" t="str">
        <x:v>1</x:v>
      </x:c>
      <x:c r="AD226" s="74" t="str">
        <x:v>0</x:v>
      </x:c>
      <x:c r="AE226" s="74" t="str">
        <x:v>1</x:v>
      </x:c>
      <x:c r="AF226" s="74" t="str"/>
      <x:c r="AG226" s="74" t="str">
        <x:v>0</x:v>
      </x:c>
      <x:c r="AH226" s="74" t="str">
        <x:v>0</x:v>
      </x:c>
      <x:c r="AI226" s="74" t="str">
        <x:v>0</x:v>
      </x:c>
      <x:c r="AJ226" s="74" t="str">
        <x:v>0</x:v>
      </x:c>
      <x:c r="AK226" s="74" t="str">
        <x:v>1</x:v>
      </x:c>
      <x:c r="AL226" s="74" t="str">
        <x:v>0</x:v>
      </x:c>
      <x:c r="AM226" s="74" t="str">
        <x:v>1</x:v>
      </x:c>
      <x:c r="AN226" s="74" t="str">
        <x:v>0</x:v>
      </x:c>
      <x:c r="AO226" s="60" t="str">
        <x:v>0</x:v>
      </x:c>
      <x:c r="AP226" s="76" t="str">
        <x:v>Call-tracking stack detected; no embedded homepage video found</x:v>
      </x:c>
      <x:c r="AQ226" s="76" t="str">
        <x:v>call tracking; visible service offer; no embedded homepage video detected</x:v>
      </x:c>
      <x:c r="AR226" s="76" t="str">
        <x:v>I noticed Plumbing Pros Llc has call tracking in place, but I couldn't find an embedded video on the homepage.</x:v>
      </x:c>
      <x:c r="AS226" s="76" t="str">
        <x:v>small symptom to prevented-emergency ad</x:v>
      </x:c>
      <x:c r="AT226" s="76" t="str">
        <x:v>Plumbing Pros Llc ad concept</x:v>
      </x:c>
      <x:c r="AU226" s="76" t="str">
        <x:v>Hi Plumbing Pros Llc — I noticed Plumbing Pros Llc has call tracking in place, but I couldn't find an embedded video on the homepage. I mapped a private 15-second small symptom to prevented-emergency ad for Plumbing Pros Llc using only public brand context—not for publishing, just to show the angle. We build three client-approved video ad concepts in seven days, then turn the winners into fresh variations. No filming day required. Worth sending the private sample?</x:v>
      </x:c>
      <x:c r="AV226" s="76" t="str">
        <x:v>Quick follow-up: the sample angle is a small symptom to prevented-emergency ad. If it misses the mark, no problem—I won't keep chasing. Should I send it?</x:v>
      </x:c>
      <x:c r="AW226" s="76" t="str">
        <x:v>Hi Plumbing Pros Llc, Ryan here. I was looking at Plumbing Pros Llc's public marketing and noticed: call-tracking stack detected; no embedded homepage video found. I mapped one private small symptom to prevented-emergency ad as an example. Did I catch you with 30 seconds?</x:v>
      </x:c>
      <x:c r="AX226" s="60" t="str">
        <x:v>https://www.facebook.com/ads/library/?active_status=active&amp;ad_type=all&amp;country=US&amp;q=Plumbing%20Pros%20Llc&amp;search_type=keyword_unordered</x:v>
      </x:c>
      <x:c r="AY226" s="60" t="str">
        <x:v>ok:200</x:v>
      </x:c>
      <x:c r="AZ226" s="60" t="n">
        <x:v>46232.722858796296</x:v>
      </x:c>
      <x:c r="BA226" s="60" t="str">
        <x:v>Google Maps home-services export</x:v>
      </x:c>
      <x:c r="BB226" s="60" t="str">
        <x:v>https://maps.google.com/?cid=9380409214890756446&amp;g_mp=Cidnb29nbGUubWFwcy5wbGFjZXMudjEuUGxhY2VzLlNlYXJjaFRleHQQAhgEIAA | https://scplumbingpros.com</x:v>
      </x:c>
      <x:c r="BC226" s="60" t="str"/>
    </x:row>
    <x:row r="227" ht="18" customHeight="1">
      <x:c r="A227" s="70" t="str">
        <x:v>226</x:v>
      </x:c>
      <x:c r="B227" s="70" t="str">
        <x:v>B - Strong</x:v>
      </x:c>
      <x:c r="C227" s="72" t="str">
        <x:v>59</x:v>
      </x:c>
      <x:c r="D227" s="60" t="str">
        <x:v>Viking Fence</x:v>
      </x:c>
      <x:c r="E227" s="60" t="str">
        <x:v>https://vikingfencedallas.com</x:v>
      </x:c>
      <x:c r="F227" s="60" t="str">
        <x:v>https://www.vikingfence.com/dallas/</x:v>
      </x:c>
      <x:c r="G227" s="60" t="str">
        <x:v>Summerville</x:v>
      </x:c>
      <x:c r="H227" s="60" t="str">
        <x:v>South Carolina</x:v>
      </x:c>
      <x:c r="I227" s="60" t="str">
        <x:v>Fence &amp; Deck</x:v>
      </x:c>
      <x:c r="J227" s="60" t="str">
        <x:v>Gregg</x:v>
      </x:c>
      <x:c r="K227" s="60" t="str">
        <x:v>Sutton</x:v>
      </x:c>
      <x:c r="L227" s="60" t="str">
        <x:v>Small Business Owner</x:v>
      </x:c>
      <x:c r="M227" s="60" t="str"/>
      <x:c r="N227" s="60" t="str"/>
      <x:c r="O227" s="60" t="str"/>
      <x:c r="P227" s="60" t="str">
        <x:v>https://www.linkedin.com/in/gregg-sutton-85790226a</x:v>
      </x:c>
      <x:c r="Q227" s="60" t="str">
        <x:v>2-10</x:v>
      </x:c>
      <x:c r="R227" s="60" t="str">
        <x:v>1000000-4999999</x:v>
      </x:c>
      <x:c r="S227" s="60" t="str"/>
      <x:c r="T227" s="74" t="str">
        <x:v>0</x:v>
      </x:c>
      <x:c r="U227" s="60" t="str"/>
      <x:c r="V227" s="74" t="str">
        <x:v>25</x:v>
      </x:c>
      <x:c r="W227" s="74" t="str">
        <x:v>11</x:v>
      </x:c>
      <x:c r="X227" s="74" t="str">
        <x:v>16</x:v>
      </x:c>
      <x:c r="Y227" s="74" t="str">
        <x:v>5</x:v>
      </x:c>
      <x:c r="Z227" s="74" t="str">
        <x:v>2</x:v>
      </x:c>
      <x:c r="AA227" s="74" t="str">
        <x:v>0</x:v>
      </x:c>
      <x:c r="AB227" s="74" t="str">
        <x:v>0</x:v>
      </x:c>
      <x:c r="AC227" s="74" t="str">
        <x:v>1</x:v>
      </x:c>
      <x:c r="AD227" s="74" t="str">
        <x:v>0</x:v>
      </x:c>
      <x:c r="AE227" s="74" t="str">
        <x:v>1</x:v>
      </x:c>
      <x:c r="AF227" s="74" t="str"/>
      <x:c r="AG227" s="74" t="str">
        <x:v>0</x:v>
      </x:c>
      <x:c r="AH227" s="74" t="str">
        <x:v>1</x:v>
      </x:c>
      <x:c r="AI227" s="74" t="str">
        <x:v>0</x:v>
      </x:c>
      <x:c r="AJ227" s="74" t="str">
        <x:v>0</x:v>
      </x:c>
      <x:c r="AK227" s="74" t="str">
        <x:v>0</x:v>
      </x:c>
      <x:c r="AL227" s="74" t="str">
        <x:v>0</x:v>
      </x:c>
      <x:c r="AM227" s="74" t="str">
        <x:v>1</x:v>
      </x:c>
      <x:c r="AN227" s="74" t="str">
        <x:v>0</x:v>
      </x:c>
      <x:c r="AO227" s="60" t="str">
        <x:v>0</x:v>
      </x:c>
      <x:c r="AP227" s="76" t="str">
        <x:v>Call-tracking stack detected; no embedded homepage video found</x:v>
      </x:c>
      <x:c r="AQ227" s="76" t="str">
        <x:v>call tracking; project/gallery proof; no embedded homepage video detected</x:v>
      </x:c>
      <x:c r="AR227" s="76" t="str">
        <x:v>I noticed Viking Fence has call tracking in place, but I couldn't find an embedded video on the homepage.</x:v>
      </x:c>
      <x:c r="AS227" s="76" t="str">
        <x:v>yard privacy transformation ad</x:v>
      </x:c>
      <x:c r="AT227" s="76" t="str">
        <x:v>Viking Fence ad concept</x:v>
      </x:c>
      <x:c r="AU227" s="76" t="str">
        <x:v>Hi Gregg — I noticed Viking Fence has call tracking in place, but I couldn't find an embedded video on the homepage. I mapped a private 15-second yard privacy transformation ad for Viking Fence using only public brand context—not for publishing, just to show the angle. We build three client-approved video ad concepts in seven days, then turn the winners into fresh variations. No filming day required. Worth sending the private sample?</x:v>
      </x:c>
      <x:c r="AV227" s="76" t="str">
        <x:v>Quick follow-up: the sample angle is a yard privacy transformation ad. If it misses the mark, no problem—I won't keep chasing. Should I send it?</x:v>
      </x:c>
      <x:c r="AW227" s="76" t="str">
        <x:v>Hi Gregg, Ryan here. I was looking at Viking Fence's public marketing and noticed: call-tracking stack detected; no embedded homepage video found. I mapped one private yard privacy transformation ad as an example. Did I catch you with 30 seconds?</x:v>
      </x:c>
      <x:c r="AX227" s="60" t="str">
        <x:v>https://www.facebook.com/ads/library/?active_status=active&amp;ad_type=all&amp;country=US&amp;q=Viking%20Fence&amp;search_type=keyword_unordered</x:v>
      </x:c>
      <x:c r="AY227" s="60" t="str">
        <x:v>ok:200</x:v>
      </x:c>
      <x:c r="AZ227" s="60" t="n">
        <x:v>46232.722858796296</x:v>
      </x:c>
      <x:c r="BA227" s="60" t="str">
        <x:v>AI Ark SC trades export</x:v>
      </x:c>
      <x:c r="BB227" s="60" t="str">
        <x:v>https://vikingfencedallas.com | https://www.linkedin.com/company/viking-fence</x:v>
      </x:c>
      <x:c r="BC227" s="60" t="str"/>
    </x:row>
    <x:row r="228" ht="18" customHeight="1">
      <x:c r="A228" s="70" t="str">
        <x:v>227</x:v>
      </x:c>
      <x:c r="B228" s="70" t="str">
        <x:v>B - Strong</x:v>
      </x:c>
      <x:c r="C228" s="72" t="str">
        <x:v>59</x:v>
      </x:c>
      <x:c r="D228" s="60" t="str">
        <x:v>Air Today Heating &amp; Cooling</x:v>
      </x:c>
      <x:c r="E228" s="60" t="str">
        <x:v>https://iwantairtoday.com</x:v>
      </x:c>
      <x:c r="F228" s="60" t="str">
        <x:v>https://iwantairtoday.com</x:v>
      </x:c>
      <x:c r="G228" s="60" t="str">
        <x:v>Greenville</x:v>
      </x:c>
      <x:c r="H228" s="60" t="str">
        <x:v>South Carolina</x:v>
      </x:c>
      <x:c r="I228" s="60" t="str">
        <x:v>HVAC</x:v>
      </x:c>
      <x:c r="J228" s="60" t="str">
        <x:v>Air Today Heating &amp; Cooling</x:v>
      </x:c>
      <x:c r="K228" s="60" t="str"/>
      <x:c r="L228" s="60" t="str">
        <x:v>Owner / decision maker to verify</x:v>
      </x:c>
      <x:c r="M228" s="60" t="str"/>
      <x:c r="N228" s="60" t="str"/>
      <x:c r="O228" s="60" t="str">
        <x:v>(864) 295-0905</x:v>
      </x:c>
      <x:c r="P228" s="60" t="str"/>
      <x:c r="Q228" s="60" t="str"/>
      <x:c r="R228" s="60" t="str"/>
      <x:c r="S228" s="60" t="str">
        <x:v>5</x:v>
      </x:c>
      <x:c r="T228" s="74" t="str">
        <x:v>303</x:v>
      </x:c>
      <x:c r="U228" s="60" t="str"/>
      <x:c r="V228" s="74" t="str">
        <x:v>29</x:v>
      </x:c>
      <x:c r="W228" s="74" t="str">
        <x:v>6</x:v>
      </x:c>
      <x:c r="X228" s="74" t="str">
        <x:v>6</x:v>
      </x:c>
      <x:c r="Y228" s="74" t="str">
        <x:v>13</x:v>
      </x:c>
      <x:c r="Z228" s="74" t="str">
        <x:v>5</x:v>
      </x:c>
      <x:c r="AA228" s="74" t="str">
        <x:v>0</x:v>
      </x:c>
      <x:c r="AB228" s="74" t="str">
        <x:v>0</x:v>
      </x:c>
      <x:c r="AC228" s="74" t="str">
        <x:v>1</x:v>
      </x:c>
      <x:c r="AD228" s="74" t="str">
        <x:v>0</x:v>
      </x:c>
      <x:c r="AE228" s="74" t="str">
        <x:v>0</x:v>
      </x:c>
      <x:c r="AF228" s="74" t="str">
        <x:v>housecallpro</x:v>
      </x:c>
      <x:c r="AG228" s="74" t="str">
        <x:v>0</x:v>
      </x:c>
      <x:c r="AH228" s="74" t="str">
        <x:v>0</x:v>
      </x:c>
      <x:c r="AI228" s="74" t="str">
        <x:v>1</x:v>
      </x:c>
      <x:c r="AJ228" s="74" t="str">
        <x:v>1</x:v>
      </x:c>
      <x:c r="AK228" s="74" t="str">
        <x:v>1</x:v>
      </x:c>
      <x:c r="AL228" s="74" t="str">
        <x:v>1</x:v>
      </x:c>
      <x:c r="AM228" s="74" t="str">
        <x:v>1</x:v>
      </x:c>
      <x:c r="AN228" s="74" t="str">
        <x:v>1</x:v>
      </x:c>
      <x:c r="AO228" s="60" t="str">
        <x:v>0</x:v>
      </x:c>
      <x:c r="AP228" s="76" t="str">
        <x:v>303 Google reviews; no embedded homepage video found</x:v>
      </x:c>
      <x:c r="AQ228" s="76" t="str">
        <x:v>testimonials; financing; visible service offer; no embedded homepage video detected</x:v>
      </x:c>
      <x:c r="AR228" s="76" t="str">
        <x:v>Air Today Heating &amp; Cooling has 303 Google reviews—strong proof that could be turned into short-form ad concepts.</x:v>
      </x:c>
      <x:c r="AS228" s="76" t="str">
        <x:v>no-cool-call to same-day comfort ad</x:v>
      </x:c>
      <x:c r="AT228" s="76" t="str">
        <x:v>Air Today Heating &amp; Cooling ad concept</x:v>
      </x:c>
      <x:c r="AU228" s="76" t="str">
        <x:v>Hi Air Today Heating &amp; Cooling — Air Today Heating &amp; Cooling has 303 Google reviews—strong proof that could be turned into short-form ad concepts. I mapped a private 15-second no-cool-call to same-day comfort ad for Air Today Heating &amp; Cooling using only public brand context—not for publishing, just to show the angle. We build three client-approved video ad concepts in seven days, then turn the winners into fresh variations. No filming day required. Worth sending the private sample?</x:v>
      </x:c>
      <x:c r="AV228" s="76" t="str">
        <x:v>Quick follow-up: the sample angle is a no-cool-call to same-day comfort ad. If it misses the mark, no problem—I won't keep chasing. Should I send it?</x:v>
      </x:c>
      <x:c r="AW228" s="76" t="str">
        <x:v>Hi Air Today Heating &amp; Cooling, Ryan here. I was looking at Air Today Heating &amp; Cooling's public marketing and noticed: 303 google reviews; no embedded homepage video found. I mapped one private no-cool-call to same-day comfort ad as an example. Did I catch you with 30 seconds?</x:v>
      </x:c>
      <x:c r="AX228" s="60" t="str">
        <x:v>https://www.facebook.com/ads/library/?active_status=active&amp;ad_type=all&amp;country=US&amp;q=Air%20Today%20Heating%20%26%20Cooling&amp;search_type=keyword_unordered</x:v>
      </x:c>
      <x:c r="AY228" s="60" t="str">
        <x:v>ok:200</x:v>
      </x:c>
      <x:c r="AZ228" s="60" t="n">
        <x:v>46232.722858796296</x:v>
      </x:c>
      <x:c r="BA228" s="60" t="str">
        <x:v>Google Maps home-services export</x:v>
      </x:c>
      <x:c r="BB228" s="60" t="str">
        <x:v>https://iwantairtoday.com | https://maps.google.com/?cid=4424633656452932323&amp;g_mp=Cidnb29nbGUubWFwcy5wbGFjZXMudjEuUGxhY2VzLlNlYXJjaFRleHQQAhgEIAA</x:v>
      </x:c>
      <x:c r="BC228" s="60" t="str"/>
    </x:row>
    <x:row r="229" ht="18" customHeight="1">
      <x:c r="A229" s="70" t="str">
        <x:v>228</x:v>
      </x:c>
      <x:c r="B229" s="70" t="str">
        <x:v>B - Strong</x:v>
      </x:c>
      <x:c r="C229" s="72" t="str">
        <x:v>59</x:v>
      </x:c>
      <x:c r="D229" s="60" t="str">
        <x:v>Pinnacle Heating &amp; Air</x:v>
      </x:c>
      <x:c r="E229" s="60" t="str">
        <x:v>https://pinnaclehvacsc.com</x:v>
      </x:c>
      <x:c r="F229" s="60" t="str">
        <x:v>https://www.pinnaclehvacsc.com/</x:v>
      </x:c>
      <x:c r="G229" s="60" t="str">
        <x:v>Beaufort</x:v>
      </x:c>
      <x:c r="H229" s="60" t="str">
        <x:v>South Carolina</x:v>
      </x:c>
      <x:c r="I229" s="60" t="str">
        <x:v>HVAC</x:v>
      </x:c>
      <x:c r="J229" s="60" t="str">
        <x:v>Pinnacle Heating &amp; Air</x:v>
      </x:c>
      <x:c r="K229" s="60" t="str"/>
      <x:c r="L229" s="60" t="str">
        <x:v>Owner / decision maker to verify</x:v>
      </x:c>
      <x:c r="M229" s="60" t="str"/>
      <x:c r="N229" s="60" t="str"/>
      <x:c r="O229" s="60" t="str">
        <x:v>(843) 271-3780</x:v>
      </x:c>
      <x:c r="P229" s="60" t="str"/>
      <x:c r="Q229" s="60" t="str"/>
      <x:c r="R229" s="60" t="str"/>
      <x:c r="S229" s="60" t="str">
        <x:v>5</x:v>
      </x:c>
      <x:c r="T229" s="74" t="str">
        <x:v>598</x:v>
      </x:c>
      <x:c r="U229" s="60" t="str"/>
      <x:c r="V229" s="74" t="str">
        <x:v>29</x:v>
      </x:c>
      <x:c r="W229" s="74" t="str">
        <x:v>6</x:v>
      </x:c>
      <x:c r="X229" s="74" t="str">
        <x:v>10</x:v>
      </x:c>
      <x:c r="Y229" s="74" t="str">
        <x:v>9</x:v>
      </x:c>
      <x:c r="Z229" s="74" t="str">
        <x:v>5</x:v>
      </x:c>
      <x:c r="AA229" s="74" t="str">
        <x:v>0</x:v>
      </x:c>
      <x:c r="AB229" s="74" t="str">
        <x:v>0</x:v>
      </x:c>
      <x:c r="AC229" s="74" t="str">
        <x:v>1</x:v>
      </x:c>
      <x:c r="AD229" s="74" t="str">
        <x:v>0</x:v>
      </x:c>
      <x:c r="AE229" s="74" t="str">
        <x:v>0</x:v>
      </x:c>
      <x:c r="AF229" s="74" t="str">
        <x:v>housecallpro</x:v>
      </x:c>
      <x:c r="AG229" s="74" t="str">
        <x:v>0</x:v>
      </x:c>
      <x:c r="AH229" s="74" t="str">
        <x:v>0</x:v>
      </x:c>
      <x:c r="AI229" s="74" t="str">
        <x:v>0</x:v>
      </x:c>
      <x:c r="AJ229" s="74" t="str">
        <x:v>1</x:v>
      </x:c>
      <x:c r="AK229" s="74" t="str">
        <x:v>1</x:v>
      </x:c>
      <x:c r="AL229" s="74" t="str">
        <x:v>0</x:v>
      </x:c>
      <x:c r="AM229" s="74" t="str">
        <x:v>1</x:v>
      </x:c>
      <x:c r="AN229" s="74" t="str">
        <x:v>0</x:v>
      </x:c>
      <x:c r="AO229" s="60" t="str">
        <x:v>0</x:v>
      </x:c>
      <x:c r="AP229" s="76" t="str">
        <x:v>598 Google reviews; no embedded homepage video found</x:v>
      </x:c>
      <x:c r="AQ229" s="76" t="str">
        <x:v>financing; visible service offer; no embedded homepage video detected</x:v>
      </x:c>
      <x:c r="AR229" s="76" t="str">
        <x:v>Pinnacle Heating &amp; Air has 598 Google reviews—strong proof that could be turned into short-form ad concepts.</x:v>
      </x:c>
      <x:c r="AS229" s="76" t="str">
        <x:v>no-cool-call to same-day comfort ad</x:v>
      </x:c>
      <x:c r="AT229" s="76" t="str">
        <x:v>Pinnacle Heating &amp; Air ad concept</x:v>
      </x:c>
      <x:c r="AU229" s="76" t="str">
        <x:v>Hi Pinnacle Heating &amp; Air — Pinnacle Heating &amp; Air has 598 Google reviews—strong proof that could be turned into short-form ad concepts. I mapped a private 15-second no-cool-call to same-day comfort ad for Pinnacle Heating &amp; Air using only public brand context—not for publishing, just to show the angle. We build three client-approved video ad concepts in seven days, then turn the winners into fresh variations. No filming day required. Worth sending the private sample?</x:v>
      </x:c>
      <x:c r="AV229" s="76" t="str">
        <x:v>Quick follow-up: the sample angle is a no-cool-call to same-day comfort ad. If it misses the mark, no problem—I won't keep chasing. Should I send it?</x:v>
      </x:c>
      <x:c r="AW229" s="76" t="str">
        <x:v>Hi Pinnacle Heating &amp; Air, Ryan here. I was looking at Pinnacle Heating &amp; Air's public marketing and noticed: 598 google reviews; no embedded homepage video found. I mapped one private no-cool-call to same-day comfort ad as an example. Did I catch you with 30 seconds?</x:v>
      </x:c>
      <x:c r="AX229" s="60" t="str">
        <x:v>https://www.facebook.com/ads/library/?active_status=active&amp;ad_type=all&amp;country=US&amp;q=Pinnacle%20Heating%20%26%20Air&amp;search_type=keyword_unordered</x:v>
      </x:c>
      <x:c r="AY229" s="60" t="str">
        <x:v>ok:200</x:v>
      </x:c>
      <x:c r="AZ229" s="60" t="n">
        <x:v>46232.722858796296</x:v>
      </x:c>
      <x:c r="BA229" s="60" t="str">
        <x:v>Google Maps home-services export</x:v>
      </x:c>
      <x:c r="BB229" s="60" t="str">
        <x:v>https://maps.google.com/?cid=15898776228653623705&amp;g_mp=Cidnb29nbGUubWFwcy5wbGFjZXMudjEuUGxhY2VzLlNlYXJjaFRleHQQAhgEIAA | https://pinnaclehvacsc.com</x:v>
      </x:c>
      <x:c r="BC229" s="60" t="str"/>
    </x:row>
    <x:row r="230" ht="18" customHeight="1">
      <x:c r="A230" s="70" t="str">
        <x:v>229</x:v>
      </x:c>
      <x:c r="B230" s="70" t="str">
        <x:v>B - Strong</x:v>
      </x:c>
      <x:c r="C230" s="72" t="str">
        <x:v>59</x:v>
      </x:c>
      <x:c r="D230" s="60" t="str">
        <x:v>Ben Construction</x:v>
      </x:c>
      <x:c r="E230" s="60" t="str">
        <x:v>https://bensroofingconstruction.com</x:v>
      </x:c>
      <x:c r="F230" s="60" t="str">
        <x:v>https://www.bensroofingconstruction.com/</x:v>
      </x:c>
      <x:c r="G230" s="60" t="str">
        <x:v>Greenville</x:v>
      </x:c>
      <x:c r="H230" s="60" t="str">
        <x:v>South Carolina</x:v>
      </x:c>
      <x:c r="I230" s="60" t="str">
        <x:v>Roofing</x:v>
      </x:c>
      <x:c r="J230" s="60" t="str">
        <x:v>Frankie</x:v>
      </x:c>
      <x:c r="K230" s="60" t="str">
        <x:v>Shivers</x:v>
      </x:c>
      <x:c r="L230" s="60" t="str">
        <x:v>Owner</x:v>
      </x:c>
      <x:c r="M230" s="60" t="str"/>
      <x:c r="N230" s="60" t="str"/>
      <x:c r="O230" s="60" t="str">
        <x:v>+1 803 292 9798, +1 864 505 8651</x:v>
      </x:c>
      <x:c r="P230" s="60" t="str">
        <x:v>https://www.linkedin.com/in/frankie-shivers-a50977ab</x:v>
      </x:c>
      <x:c r="Q230" s="60" t="str">
        <x:v>11-50</x:v>
      </x:c>
      <x:c r="R230" s="60" t="str">
        <x:v>500000-999999</x:v>
      </x:c>
      <x:c r="S230" s="60" t="str"/>
      <x:c r="T230" s="74" t="str">
        <x:v>0</x:v>
      </x:c>
      <x:c r="U230" s="60" t="str"/>
      <x:c r="V230" s="74" t="str">
        <x:v>30</x:v>
      </x:c>
      <x:c r="W230" s="74" t="str">
        <x:v>3</x:v>
      </x:c>
      <x:c r="X230" s="74" t="str">
        <x:v>6</x:v>
      </x:c>
      <x:c r="Y230" s="74" t="str">
        <x:v>15</x:v>
      </x:c>
      <x:c r="Z230" s="74" t="str">
        <x:v>5</x:v>
      </x:c>
      <x:c r="AA230" s="74" t="str">
        <x:v>0</x:v>
      </x:c>
      <x:c r="AB230" s="74" t="str">
        <x:v>0</x:v>
      </x:c>
      <x:c r="AC230" s="74" t="str">
        <x:v>1</x:v>
      </x:c>
      <x:c r="AD230" s="74" t="str">
        <x:v>0</x:v>
      </x:c>
      <x:c r="AE230" s="74" t="str">
        <x:v>0</x:v>
      </x:c>
      <x:c r="AF230" s="74" t="str"/>
      <x:c r="AG230" s="74" t="str">
        <x:v>0</x:v>
      </x:c>
      <x:c r="AH230" s="74" t="str">
        <x:v>1</x:v>
      </x:c>
      <x:c r="AI230" s="74" t="str">
        <x:v>1</x:v>
      </x:c>
      <x:c r="AJ230" s="74" t="str">
        <x:v>1</x:v>
      </x:c>
      <x:c r="AK230" s="74" t="str">
        <x:v>1</x:v>
      </x:c>
      <x:c r="AL230" s="74" t="str">
        <x:v>1</x:v>
      </x:c>
      <x:c r="AM230" s="74" t="str">
        <x:v>1</x:v>
      </x:c>
      <x:c r="AN230" s="74" t="str">
        <x:v>0</x:v>
      </x:c>
      <x:c r="AO230" s="60" t="str">
        <x:v>2026</x:v>
      </x:c>
      <x:c r="AP230" s="76" t="str">
        <x:v>Project/gallery proof found; no embedded homepage video found</x:v>
      </x:c>
      <x:c r="AQ230" s="76" t="str">
        <x:v>project/gallery proof; testimonials; financing; visible service offer; no embedded homepage video detected</x:v>
      </x:c>
      <x:c r="AR230" s="76" t="str">
        <x:v>I found project/gallery proof on Ben Construction's site that could be repackaged into short-form ad concepts.</x:v>
      </x:c>
      <x:c r="AS230" s="76" t="str">
        <x:v>storm-to-inspection before/after ad</x:v>
      </x:c>
      <x:c r="AT230" s="76" t="str">
        <x:v>Ben Construction ad concept</x:v>
      </x:c>
      <x:c r="AU230" s="76" t="str">
        <x:v>Hi Frankie — I found project/gallery proof on Ben Construction's site that could be repackaged into short-form ad concepts. I mapped a private 15-second storm-to-inspection before/after ad for Ben Construction using only public brand context—not for publishing, just to show the angle. We build three client-approved video ad concepts in seven days, then turn the winners into fresh variations. No filming day required. Worth sending the private sample?</x:v>
      </x:c>
      <x:c r="AV230" s="76" t="str">
        <x:v>Quick follow-up: the sample angle is a storm-to-inspection before/after ad. If it misses the mark, no problem—I won't keep chasing. Should I send it?</x:v>
      </x:c>
      <x:c r="AW230" s="76" t="str">
        <x:v>Hi Frankie, Ryan here. I was looking at Ben Construction's public marketing and noticed: project/gallery proof found; no embedded homepage video found. I mapped one private storm-to-inspection before/after ad as an example. Did I catch you with 30 seconds?</x:v>
      </x:c>
      <x:c r="AX230" s="60" t="str">
        <x:v>https://www.facebook.com/ads/library/?active_status=active&amp;ad_type=all&amp;country=US&amp;q=Ben%20Construction&amp;search_type=keyword_unordered</x:v>
      </x:c>
      <x:c r="AY230" s="60" t="str">
        <x:v>ok:200</x:v>
      </x:c>
      <x:c r="AZ230" s="60" t="n">
        <x:v>46232.722858796296</x:v>
      </x:c>
      <x:c r="BA230" s="60" t="str">
        <x:v>AI Ark SC trades export</x:v>
      </x:c>
      <x:c r="BB230" s="60" t="str">
        <x:v>https://bensroofingconstruction.com | https://www.linkedin.com/company/ben-construction</x:v>
      </x:c>
      <x:c r="BC230" s="60" t="str"/>
    </x:row>
    <x:row r="231" ht="18" customHeight="1">
      <x:c r="A231" s="70" t="str">
        <x:v>230</x:v>
      </x:c>
      <x:c r="B231" s="70" t="str">
        <x:v>B - Strong</x:v>
      </x:c>
      <x:c r="C231" s="72" t="str">
        <x:v>59</x:v>
      </x:c>
      <x:c r="D231" s="60" t="str">
        <x:v>All About Garage Doors &amp; More, LLC</x:v>
      </x:c>
      <x:c r="E231" s="60" t="str">
        <x:v>https://allaboutgaragedoorsmore.com</x:v>
      </x:c>
      <x:c r="F231" s="60" t="str">
        <x:v>https://allaboutgaragedoorsmore.com</x:v>
      </x:c>
      <x:c r="G231" s="60" t="str">
        <x:v>Charleston</x:v>
      </x:c>
      <x:c r="H231" s="60" t="str">
        <x:v>South Carolina</x:v>
      </x:c>
      <x:c r="I231" s="60" t="str">
        <x:v>Garage Doors</x:v>
      </x:c>
      <x:c r="J231" s="60" t="str">
        <x:v>All About Garage Doors &amp; More, LLC</x:v>
      </x:c>
      <x:c r="K231" s="60" t="str"/>
      <x:c r="L231" s="60" t="str">
        <x:v>Owner / decision maker to verify</x:v>
      </x:c>
      <x:c r="M231" s="60" t="str"/>
      <x:c r="N231" s="60" t="str"/>
      <x:c r="O231" s="60" t="str">
        <x:v>(843) 514-8913</x:v>
      </x:c>
      <x:c r="P231" s="60" t="str"/>
      <x:c r="Q231" s="60" t="str"/>
      <x:c r="R231" s="60" t="str"/>
      <x:c r="S231" s="60" t="str">
        <x:v>4.4</x:v>
      </x:c>
      <x:c r="T231" s="74" t="str">
        <x:v>115</x:v>
      </x:c>
      <x:c r="U231" s="60" t="str">
        <x:v>slow_response</x:v>
      </x:c>
      <x:c r="V231" s="74" t="str">
        <x:v>24</x:v>
      </x:c>
      <x:c r="W231" s="74" t="str">
        <x:v>3</x:v>
      </x:c>
      <x:c r="X231" s="74" t="str">
        <x:v>12</x:v>
      </x:c>
      <x:c r="Y231" s="74" t="str">
        <x:v>15</x:v>
      </x:c>
      <x:c r="Z231" s="74" t="str">
        <x:v>5</x:v>
      </x:c>
      <x:c r="AA231" s="74" t="str">
        <x:v>0</x:v>
      </x:c>
      <x:c r="AB231" s="74" t="str">
        <x:v>0</x:v>
      </x:c>
      <x:c r="AC231" s="74" t="str">
        <x:v>1</x:v>
      </x:c>
      <x:c r="AD231" s="74" t="str">
        <x:v>0</x:v>
      </x:c>
      <x:c r="AE231" s="74" t="str">
        <x:v>0</x:v>
      </x:c>
      <x:c r="AF231" s="74" t="str"/>
      <x:c r="AG231" s="74" t="str">
        <x:v>0</x:v>
      </x:c>
      <x:c r="AH231" s="74" t="str">
        <x:v>1</x:v>
      </x:c>
      <x:c r="AI231" s="74" t="str">
        <x:v>1</x:v>
      </x:c>
      <x:c r="AJ231" s="74" t="str">
        <x:v>0</x:v>
      </x:c>
      <x:c r="AK231" s="74" t="str">
        <x:v>1</x:v>
      </x:c>
      <x:c r="AL231" s="74" t="str">
        <x:v>0</x:v>
      </x:c>
      <x:c r="AM231" s="74" t="str">
        <x:v>1</x:v>
      </x:c>
      <x:c r="AN231" s="74" t="str">
        <x:v>0</x:v>
      </x:c>
      <x:c r="AO231" s="60" t="str">
        <x:v>0</x:v>
      </x:c>
      <x:c r="AP231" s="76" t="str">
        <x:v>Project/gallery proof found; no embedded homepage video found</x:v>
      </x:c>
      <x:c r="AQ231" s="76" t="str">
        <x:v>project/gallery proof; testimonials; visible service offer; no embedded homepage video detected</x:v>
      </x:c>
      <x:c r="AR231" s="76" t="str">
        <x:v>I found project/gallery proof on All About Garage Doors &amp; More, LLC's site that could be repackaged into short-form ad concepts.</x:v>
      </x:c>
      <x:c r="AS231" s="76" t="str">
        <x:v>curb-appeal transformation ad</x:v>
      </x:c>
      <x:c r="AT231" s="76" t="str">
        <x:v>All About Garage Doors &amp; More, LLC ad concept</x:v>
      </x:c>
      <x:c r="AU231" s="76" t="str">
        <x:v>Hi All About Garage Doors &amp; More, LLC — I found project/gallery proof on All About Garage Doors &amp; More, LLC's site that could be repackaged into short-form ad concepts. I mapped a private 15-second curb-appeal transformation ad for All About Garage Doors &amp; More, LLC using only public brand context—not for publishing, just to show the angle. We build three client-approved video ad concepts in seven days, then turn the winners into fresh variations. No filming day required. Worth sending the private sample?</x:v>
      </x:c>
      <x:c r="AV231" s="76" t="str">
        <x:v>Quick follow-up: the sample angle is a curb-appeal transformation ad. If it misses the mark, no problem—I won't keep chasing. Should I send it?</x:v>
      </x:c>
      <x:c r="AW231" s="76" t="str">
        <x:v>Hi All About Garage Doors &amp; More, LLC, Ryan here. I was looking at All About Garage Doors &amp; More, LLC's public marketing and noticed: project/gallery proof found; no embedded homepage video found. I mapped one private curb-appeal transformation ad as an example. Did I catch you with 30 seconds?</x:v>
      </x:c>
      <x:c r="AX231" s="60" t="str">
        <x:v>https://www.facebook.com/ads/library/?active_status=active&amp;ad_type=all&amp;country=US&amp;q=All%20About%20Garage%20Doors%20%26%20More%2C%20LLC&amp;search_type=keyword_unordered</x:v>
      </x:c>
      <x:c r="AY231" s="60" t="str">
        <x:v>ok:200</x:v>
      </x:c>
      <x:c r="AZ231" s="60" t="n">
        <x:v>46232.722858796296</x:v>
      </x:c>
      <x:c r="BA231" s="60" t="str">
        <x:v>Google Maps home-services export</x:v>
      </x:c>
      <x:c r="BB231" s="60" t="str">
        <x:v>https://allaboutgaragedoorsmore.com | https://maps.google.com/?cid=16750972194793939351&amp;g_mp=Cidnb29nbGUubWFwcy5wbGFjZXMudjEuUGxhY2VzLlNlYXJjaFRleHQQAhgEIAA</x:v>
      </x:c>
      <x:c r="BC231" s="60" t="str"/>
    </x:row>
    <x:row r="232" ht="18" customHeight="1">
      <x:c r="A232" s="70" t="str">
        <x:v>231</x:v>
      </x:c>
      <x:c r="B232" s="70" t="str">
        <x:v>B - Strong</x:v>
      </x:c>
      <x:c r="C232" s="72" t="str">
        <x:v>59</x:v>
      </x:c>
      <x:c r="D232" s="60" t="str">
        <x:v>Carolina Roofing Specialists Inc</x:v>
      </x:c>
      <x:c r="E232" s="60" t="str">
        <x:v>https://carolinaroofingsc.com</x:v>
      </x:c>
      <x:c r="F232" s="60" t="str">
        <x:v>https://www.carolinaroofingsc.com/</x:v>
      </x:c>
      <x:c r="G232" s="60" t="str">
        <x:v>Hilton Head</x:v>
      </x:c>
      <x:c r="H232" s="60" t="str">
        <x:v>South Carolina</x:v>
      </x:c>
      <x:c r="I232" s="60" t="str">
        <x:v>Roofing</x:v>
      </x:c>
      <x:c r="J232" s="60" t="str">
        <x:v>Carolina Roofing Specialists Inc</x:v>
      </x:c>
      <x:c r="K232" s="60" t="str"/>
      <x:c r="L232" s="60" t="str">
        <x:v>Owner / decision maker to verify</x:v>
      </x:c>
      <x:c r="M232" s="60" t="str"/>
      <x:c r="N232" s="60" t="str"/>
      <x:c r="O232" s="60" t="str">
        <x:v>(843) 384-2499</x:v>
      </x:c>
      <x:c r="P232" s="60" t="str"/>
      <x:c r="Q232" s="60" t="str"/>
      <x:c r="R232" s="60" t="str"/>
      <x:c r="S232" s="60" t="str">
        <x:v>5</x:v>
      </x:c>
      <x:c r="T232" s="74" t="str">
        <x:v>72</x:v>
      </x:c>
      <x:c r="U232" s="60" t="str"/>
      <x:c r="V232" s="74" t="str">
        <x:v>27</x:v>
      </x:c>
      <x:c r="W232" s="74" t="str">
        <x:v>3</x:v>
      </x:c>
      <x:c r="X232" s="74" t="str">
        <x:v>10</x:v>
      </x:c>
      <x:c r="Y232" s="74" t="str">
        <x:v>14</x:v>
      </x:c>
      <x:c r="Z232" s="74" t="str">
        <x:v>5</x:v>
      </x:c>
      <x:c r="AA232" s="74" t="str">
        <x:v>0</x:v>
      </x:c>
      <x:c r="AB232" s="74" t="str">
        <x:v>0</x:v>
      </x:c>
      <x:c r="AC232" s="74" t="str">
        <x:v>1</x:v>
      </x:c>
      <x:c r="AD232" s="74" t="str">
        <x:v>0</x:v>
      </x:c>
      <x:c r="AE232" s="74" t="str">
        <x:v>0</x:v>
      </x:c>
      <x:c r="AF232" s="74" t="str"/>
      <x:c r="AG232" s="74" t="str">
        <x:v>0</x:v>
      </x:c>
      <x:c r="AH232" s="74" t="str">
        <x:v>1</x:v>
      </x:c>
      <x:c r="AI232" s="74" t="str">
        <x:v>1</x:v>
      </x:c>
      <x:c r="AJ232" s="74" t="str">
        <x:v>0</x:v>
      </x:c>
      <x:c r="AK232" s="74" t="str">
        <x:v>1</x:v>
      </x:c>
      <x:c r="AL232" s="74" t="str">
        <x:v>0</x:v>
      </x:c>
      <x:c r="AM232" s="74" t="str">
        <x:v>1</x:v>
      </x:c>
      <x:c r="AN232" s="74" t="str">
        <x:v>0</x:v>
      </x:c>
      <x:c r="AO232" s="60" t="str">
        <x:v>2026</x:v>
      </x:c>
      <x:c r="AP232" s="76" t="str">
        <x:v>Project/gallery proof found; no embedded homepage video found</x:v>
      </x:c>
      <x:c r="AQ232" s="76" t="str">
        <x:v>project/gallery proof; testimonials; visible service offer; no embedded homepage video detected</x:v>
      </x:c>
      <x:c r="AR232" s="76" t="str">
        <x:v>I found project/gallery proof on Carolina Roofing Specialists Inc's site that could be repackaged into short-form ad concepts.</x:v>
      </x:c>
      <x:c r="AS232" s="76" t="str">
        <x:v>storm-to-inspection before/after ad</x:v>
      </x:c>
      <x:c r="AT232" s="76" t="str">
        <x:v>Carolina Roofing Specialists Inc ad concept</x:v>
      </x:c>
      <x:c r="AU232" s="76" t="str">
        <x:v>Hi Carolina Roofing Specialists Inc — I found project/gallery proof on Carolina Roofing Specialists Inc's site that could be repackaged into short-form ad concepts. I mapped a private 15-second storm-to-inspection before/after ad for Carolina Roofing Specialists Inc using only public brand context—not for publishing, just to show the angle. We build three client-approved video ad concepts in seven days, then turn the winners into fresh variations. No filming day required. Worth sending the private sample?</x:v>
      </x:c>
      <x:c r="AV232" s="76" t="str">
        <x:v>Quick follow-up: the sample angle is a storm-to-inspection before/after ad. If it misses the mark, no problem—I won't keep chasing. Should I send it?</x:v>
      </x:c>
      <x:c r="AW232" s="76" t="str">
        <x:v>Hi Carolina Roofing Specialists Inc, Ryan here. I was looking at Carolina Roofing Specialists Inc's public marketing and noticed: project/gallery proof found; no embedded homepage video found. I mapped one private storm-to-inspection before/after ad as an example. Did I catch you with 30 seconds?</x:v>
      </x:c>
      <x:c r="AX232" s="60" t="str">
        <x:v>https://www.facebook.com/ads/library/?active_status=active&amp;ad_type=all&amp;country=US&amp;q=Carolina%20Roofing%20Specialists%20Inc&amp;search_type=keyword_unordered</x:v>
      </x:c>
      <x:c r="AY232" s="60" t="str">
        <x:v>ok:200</x:v>
      </x:c>
      <x:c r="AZ232" s="60" t="n">
        <x:v>46232.722858796296</x:v>
      </x:c>
      <x:c r="BA232" s="60" t="str">
        <x:v>Google Maps home-services export</x:v>
      </x:c>
      <x:c r="BB232" s="60" t="str">
        <x:v>https://carolinaroofingsc.com | https://maps.google.com/?cid=4999835429242057195&amp;g_mp=Cidnb29nbGUubWFwcy5wbGFjZXMudjEuUGxhY2VzLlNlYXJjaFRleHQQAhgEIAA</x:v>
      </x:c>
      <x:c r="BC232" s="60" t="str"/>
    </x:row>
    <x:row r="233" ht="18" customHeight="1">
      <x:c r="A233" s="70" t="str">
        <x:v>232</x:v>
      </x:c>
      <x:c r="B233" s="70" t="str">
        <x:v>B - Strong</x:v>
      </x:c>
      <x:c r="C233" s="72" t="str">
        <x:v>59</x:v>
      </x:c>
      <x:c r="D233" s="60" t="str">
        <x:v>Southpaw Roofing</x:v>
      </x:c>
      <x:c r="E233" s="60" t="str">
        <x:v>https://southpawroofing.com</x:v>
      </x:c>
      <x:c r="F233" s="60" t="str">
        <x:v>https://southpawroofing.com</x:v>
      </x:c>
      <x:c r="G233" s="60" t="str">
        <x:v>North Augusta</x:v>
      </x:c>
      <x:c r="H233" s="60" t="str">
        <x:v>South Carolina</x:v>
      </x:c>
      <x:c r="I233" s="60" t="str">
        <x:v>Roofing</x:v>
      </x:c>
      <x:c r="J233" s="60" t="str">
        <x:v>David</x:v>
      </x:c>
      <x:c r="K233" s="60" t="str">
        <x:v>Noyce</x:v>
      </x:c>
      <x:c r="L233" s="60" t="str">
        <x:v>Business Owner</x:v>
      </x:c>
      <x:c r="M233" s="60" t="str">
        <x:v>davidnoyce@southpawroofing.com</x:v>
      </x:c>
      <x:c r="N233" s="60" t="str">
        <x:v>Verified with BounceBan on 08 Jun 26 12:06</x:v>
      </x:c>
      <x:c r="O233" s="60" t="str">
        <x:v>+1 803 634 2880</x:v>
      </x:c>
      <x:c r="P233" s="60" t="str">
        <x:v>https://www.linkedin.com/in/david-noyce</x:v>
      </x:c>
      <x:c r="Q233" s="60" t="str">
        <x:v>11-50</x:v>
      </x:c>
      <x:c r="R233" s="60" t="str">
        <x:v>100000-499999</x:v>
      </x:c>
      <x:c r="S233" s="60" t="str"/>
      <x:c r="T233" s="74" t="str">
        <x:v>0</x:v>
      </x:c>
      <x:c r="U233" s="60" t="str"/>
      <x:c r="V233" s="74" t="str">
        <x:v>30</x:v>
      </x:c>
      <x:c r="W233" s="74" t="str">
        <x:v>3</x:v>
      </x:c>
      <x:c r="X233" s="74" t="str">
        <x:v>4</x:v>
      </x:c>
      <x:c r="Y233" s="74" t="str">
        <x:v>12</x:v>
      </x:c>
      <x:c r="Z233" s="74" t="str">
        <x:v>10</x:v>
      </x:c>
      <x:c r="AA233" s="74" t="str">
        <x:v>0</x:v>
      </x:c>
      <x:c r="AB233" s="74" t="str">
        <x:v>0</x:v>
      </x:c>
      <x:c r="AC233" s="74" t="str">
        <x:v>1</x:v>
      </x:c>
      <x:c r="AD233" s="74" t="str">
        <x:v>0</x:v>
      </x:c>
      <x:c r="AE233" s="74" t="str">
        <x:v>0</x:v>
      </x:c>
      <x:c r="AF233" s="74" t="str"/>
      <x:c r="AG233" s="74" t="str">
        <x:v>1</x:v>
      </x:c>
      <x:c r="AH233" s="74" t="str">
        <x:v>1</x:v>
      </x:c>
      <x:c r="AI233" s="74" t="str">
        <x:v>1</x:v>
      </x:c>
      <x:c r="AJ233" s="74" t="str">
        <x:v>0</x:v>
      </x:c>
      <x:c r="AK233" s="74" t="str">
        <x:v>1</x:v>
      </x:c>
      <x:c r="AL233" s="74" t="str">
        <x:v>0</x:v>
      </x:c>
      <x:c r="AM233" s="74" t="str">
        <x:v>1</x:v>
      </x:c>
      <x:c r="AN233" s="74" t="str">
        <x:v>0</x:v>
      </x:c>
      <x:c r="AO233" s="60" t="str">
        <x:v>2026</x:v>
      </x:c>
      <x:c r="AP233" s="76" t="str">
        <x:v>ICP fit; paid-demand need requires manual verification</x:v>
      </x:c>
      <x:c r="AQ233" s="76" t="str">
        <x:v>project/gallery proof; testimonials; visible service offer</x:v>
      </x:c>
      <x:c r="AR233" s="76" t="str">
        <x:v>I was reviewing roofing companies in North Augusta, South Carolina and Southpaw Roofing looked like a strong fit for a creative test.</x:v>
      </x:c>
      <x:c r="AS233" s="76" t="str">
        <x:v>storm-to-inspection before/after ad</x:v>
      </x:c>
      <x:c r="AT233" s="76" t="str">
        <x:v>Southpaw Roofing ad concept</x:v>
      </x:c>
      <x:c r="AU233" s="76" t="str">
        <x:v>Hi David — I was reviewing roofing companies in North Augusta, South Carolina and Southpaw Roofing looked like a strong fit for a creative test. I mapped a private 15-second storm-to-inspection before/after ad for Southpaw Roofing using only public brand context—not for publishing, just to show the angle. We build three client-approved video ad concepts in seven days, then turn the winners into fresh variations. No filming day required. Worth sending the private sample?</x:v>
      </x:c>
      <x:c r="AV233" s="76" t="str">
        <x:v>Quick follow-up: the sample angle is a storm-to-inspection before/after ad. If it misses the mark, no problem—I won't keep chasing. Should I send it?</x:v>
      </x:c>
      <x:c r="AW233" s="76" t="str">
        <x:v>Hi David, Ryan here. I was looking at Southpaw Roofing's public marketing and noticed: icp fit; paid-demand need requires manual verification. I mapped one private storm-to-inspection before/after ad as an example. Did I catch you with 30 seconds?</x:v>
      </x:c>
      <x:c r="AX233" s="60" t="str">
        <x:v>https://www.facebook.com/ads/library/?active_status=active&amp;ad_type=all&amp;country=US&amp;q=Southpaw%20Roofing&amp;search_type=keyword_unordered</x:v>
      </x:c>
      <x:c r="AY233" s="60" t="str">
        <x:v>ok:200</x:v>
      </x:c>
      <x:c r="AZ233" s="60" t="n">
        <x:v>46232.722858796296</x:v>
      </x:c>
      <x:c r="BA233" s="60" t="str">
        <x:v>AI Ark SC trades export</x:v>
      </x:c>
      <x:c r="BB233" s="60" t="str">
        <x:v>https://southpawroofing.com | https://www.linkedin.com/company/southpawroofing</x:v>
      </x:c>
      <x:c r="BC233" s="60" t="str"/>
    </x:row>
    <x:row r="234" ht="18" customHeight="1">
      <x:c r="A234" s="70" t="str">
        <x:v>233</x:v>
      </x:c>
      <x:c r="B234" s="70" t="str">
        <x:v>B - Strong</x:v>
      </x:c>
      <x:c r="C234" s="72" t="str">
        <x:v>59</x:v>
      </x:c>
      <x:c r="D234" s="60" t="str">
        <x:v>All Comfort Today</x:v>
      </x:c>
      <x:c r="E234" s="60" t="str">
        <x:v>https://allcomforttoday.com</x:v>
      </x:c>
      <x:c r="F234" s="60" t="str">
        <x:v>https://allcomforttoday.com</x:v>
      </x:c>
      <x:c r="G234" s="60" t="str">
        <x:v>Greenville-spartanburg-anderson</x:v>
      </x:c>
      <x:c r="H234" s="60" t="str">
        <x:v>South Carolina Area</x:v>
      </x:c>
      <x:c r="I234" s="60" t="str">
        <x:v>General Contractor</x:v>
      </x:c>
      <x:c r="J234" s="60" t="str">
        <x:v>Ingrid</x:v>
      </x:c>
      <x:c r="K234" s="60" t="str">
        <x:v>Verseeuw</x:v>
      </x:c>
      <x:c r="L234" s="60" t="str">
        <x:v>Founder and Owner of All Comfort Today</x:v>
      </x:c>
      <x:c r="M234" s="60" t="str">
        <x:v>ingrid@allcomforttoday.com</x:v>
      </x:c>
      <x:c r="N234" s="60" t="str">
        <x:v>Verified with BounceBan on 08 Jun 26 12:08</x:v>
      </x:c>
      <x:c r="O234" s="60" t="str">
        <x:v>+1 954 980 3612</x:v>
      </x:c>
      <x:c r="P234" s="60" t="str">
        <x:v>https://www.linkedin.com/in/ingrid-verseeuw-b45b9514b</x:v>
      </x:c>
      <x:c r="Q234" s="60" t="str">
        <x:v>2-10</x:v>
      </x:c>
      <x:c r="R234" s="60" t="str">
        <x:v>0-99999</x:v>
      </x:c>
      <x:c r="S234" s="60" t="str">
        <x:v>5</x:v>
      </x:c>
      <x:c r="T234" s="74" t="str">
        <x:v>51</x:v>
      </x:c>
      <x:c r="U234" s="60" t="str"/>
      <x:c r="V234" s="74" t="str">
        <x:v>29</x:v>
      </x:c>
      <x:c r="W234" s="74" t="str">
        <x:v>3</x:v>
      </x:c>
      <x:c r="X234" s="74" t="str">
        <x:v>10</x:v>
      </x:c>
      <x:c r="Y234" s="74" t="str">
        <x:v>7</x:v>
      </x:c>
      <x:c r="Z234" s="74" t="str">
        <x:v>10</x:v>
      </x:c>
      <x:c r="AA234" s="74" t="str">
        <x:v>0</x:v>
      </x:c>
      <x:c r="AB234" s="74" t="str">
        <x:v>0</x:v>
      </x:c>
      <x:c r="AC234" s="74" t="str">
        <x:v>1</x:v>
      </x:c>
      <x:c r="AD234" s="74" t="str">
        <x:v>0</x:v>
      </x:c>
      <x:c r="AE234" s="74" t="str">
        <x:v>0</x:v>
      </x:c>
      <x:c r="AF234" s="74" t="str"/>
      <x:c r="AG234" s="74" t="str">
        <x:v>0</x:v>
      </x:c>
      <x:c r="AH234" s="74" t="str">
        <x:v>1</x:v>
      </x:c>
      <x:c r="AI234" s="74" t="str">
        <x:v>0</x:v>
      </x:c>
      <x:c r="AJ234" s="74" t="str">
        <x:v>0</x:v>
      </x:c>
      <x:c r="AK234" s="74" t="str">
        <x:v>0</x:v>
      </x:c>
      <x:c r="AL234" s="74" t="str">
        <x:v>0</x:v>
      </x:c>
      <x:c r="AM234" s="74" t="str">
        <x:v>0</x:v>
      </x:c>
      <x:c r="AN234" s="74" t="str">
        <x:v>0</x:v>
      </x:c>
      <x:c r="AO234" s="60" t="str">
        <x:v>0</x:v>
      </x:c>
      <x:c r="AP234" s="76" t="str">
        <x:v>Project/gallery proof found; no embedded homepage video found</x:v>
      </x:c>
      <x:c r="AQ234" s="76" t="str">
        <x:v>project/gallery proof; no embedded homepage video detected</x:v>
      </x:c>
      <x:c r="AR234" s="76" t="str">
        <x:v>I found project/gallery proof on All Comfort Today's site that could be repackaged into short-form ad concepts.</x:v>
      </x:c>
      <x:c r="AS234" s="76" t="str">
        <x:v>project walkthrough with proof milestones</x:v>
      </x:c>
      <x:c r="AT234" s="76" t="str">
        <x:v>All Comfort Today ad concept</x:v>
      </x:c>
      <x:c r="AU234" s="76" t="str">
        <x:v>Hi Ingrid — I found project/gallery proof on All Comfort Today's site that could be repackaged into short-form ad concepts. I mapped a private 15-second project walkthrough with proof milestones for All Comfort Today using only public brand context—not for publishing, just to show the angle. We build three client-approved video ad concepts in seven days, then turn the winners into fresh variations. No filming day required. Worth sending the private sample?</x:v>
      </x:c>
      <x:c r="AV234" s="76" t="str">
        <x:v>Quick follow-up: the sample angle is a project walkthrough with proof milestones. If it misses the mark, no problem—I won't keep chasing. Should I send it?</x:v>
      </x:c>
      <x:c r="AW234" s="76" t="str">
        <x:v>Hi Ingrid, Ryan here. I was looking at All Comfort Today's public marketing and noticed: project/gallery proof found; no embedded homepage video found. I mapped one private project walkthrough with proof milestones as an example. Did I catch you with 30 seconds?</x:v>
      </x:c>
      <x:c r="AX234" s="60" t="str">
        <x:v>https://www.facebook.com/ads/library/?active_status=active&amp;ad_type=all&amp;country=US&amp;q=All%20Comfort%20Today&amp;search_type=keyword_unordered</x:v>
      </x:c>
      <x:c r="AY234" s="60" t="str">
        <x:v>ok:200</x:v>
      </x:c>
      <x:c r="AZ234" s="60" t="n">
        <x:v>46232.722858796296</x:v>
      </x:c>
      <x:c r="BA234" s="60" t="str">
        <x:v>AI Ark SC trades export | Google Maps home-services export</x:v>
      </x:c>
      <x:c r="BB234" s="60" t="str">
        <x:v>https://allcomforttoday.com | https://maps.google.com/?cid=14464275605895976838&amp;g_mp=Cidnb29nbGUubWFwcy5wbGFjZXMudjEuUGxhY2VzLlNlYXJjaFRleHQQAhgEIAA | https://www.linkedin.com/company/all-comfort-today</x:v>
      </x:c>
      <x:c r="BC234" s="60" t="str"/>
    </x:row>
    <x:row r="235" ht="18" customHeight="1">
      <x:c r="A235" s="70" t="str">
        <x:v>234</x:v>
      </x:c>
      <x:c r="B235" s="70" t="str">
        <x:v>B - Strong</x:v>
      </x:c>
      <x:c r="C235" s="72" t="str">
        <x:v>59</x:v>
      </x:c>
      <x:c r="D235" s="60" t="str">
        <x:v>Hilton Head Roofing Company</x:v>
      </x:c>
      <x:c r="E235" s="60" t="str">
        <x:v>https://hiltonheadroofingcompany.com</x:v>
      </x:c>
      <x:c r="F235" s="60" t="str">
        <x:v>https://www.hiltonheadroofingcompany.com/</x:v>
      </x:c>
      <x:c r="G235" s="60" t="str">
        <x:v>Hilton Head</x:v>
      </x:c>
      <x:c r="H235" s="60" t="str">
        <x:v>South Carolina</x:v>
      </x:c>
      <x:c r="I235" s="60" t="str">
        <x:v>Roofing</x:v>
      </x:c>
      <x:c r="J235" s="60" t="str">
        <x:v>Hilton Head Roofing Company</x:v>
      </x:c>
      <x:c r="K235" s="60" t="str"/>
      <x:c r="L235" s="60" t="str">
        <x:v>Owner / decision maker to verify</x:v>
      </x:c>
      <x:c r="M235" s="60" t="str"/>
      <x:c r="N235" s="60" t="str"/>
      <x:c r="O235" s="60" t="str">
        <x:v>(843) 258-8446</x:v>
      </x:c>
      <x:c r="P235" s="60" t="str"/>
      <x:c r="Q235" s="60" t="str"/>
      <x:c r="R235" s="60" t="str"/>
      <x:c r="S235" s="60" t="str">
        <x:v>5</x:v>
      </x:c>
      <x:c r="T235" s="74" t="str">
        <x:v>36</x:v>
      </x:c>
      <x:c r="U235" s="60" t="str"/>
      <x:c r="V235" s="74" t="str">
        <x:v>27</x:v>
      </x:c>
      <x:c r="W235" s="74" t="str">
        <x:v>0</x:v>
      </x:c>
      <x:c r="X235" s="74" t="str">
        <x:v>13</x:v>
      </x:c>
      <x:c r="Y235" s="74" t="str">
        <x:v>14</x:v>
      </x:c>
      <x:c r="Z235" s="74" t="str">
        <x:v>5</x:v>
      </x:c>
      <x:c r="AA235" s="74" t="str">
        <x:v>0</x:v>
      </x:c>
      <x:c r="AB235" s="74" t="str">
        <x:v>0</x:v>
      </x:c>
      <x:c r="AC235" s="74" t="str">
        <x:v>0</x:v>
      </x:c>
      <x:c r="AD235" s="74" t="str">
        <x:v>0</x:v>
      </x:c>
      <x:c r="AE235" s="74" t="str">
        <x:v>0</x:v>
      </x:c>
      <x:c r="AF235" s="74" t="str"/>
      <x:c r="AG235" s="74" t="str">
        <x:v>0</x:v>
      </x:c>
      <x:c r="AH235" s="74" t="str">
        <x:v>1</x:v>
      </x:c>
      <x:c r="AI235" s="74" t="str">
        <x:v>1</x:v>
      </x:c>
      <x:c r="AJ235" s="74" t="str">
        <x:v>0</x:v>
      </x:c>
      <x:c r="AK235" s="74" t="str">
        <x:v>1</x:v>
      </x:c>
      <x:c r="AL235" s="74" t="str">
        <x:v>0</x:v>
      </x:c>
      <x:c r="AM235" s="74" t="str">
        <x:v>0</x:v>
      </x:c>
      <x:c r="AN235" s="74" t="str">
        <x:v>0</x:v>
      </x:c>
      <x:c r="AO235" s="60" t="str">
        <x:v>2024</x:v>
      </x:c>
      <x:c r="AP235" s="76" t="str">
        <x:v>Project/gallery proof found; no embedded homepage video found</x:v>
      </x:c>
      <x:c r="AQ235" s="76" t="str">
        <x:v>project/gallery proof; testimonials; visible service offer; no embedded homepage video detected</x:v>
      </x:c>
      <x:c r="AR235" s="76" t="str">
        <x:v>I found project/gallery proof on Hilton Head Roofing Company's site that could be repackaged into short-form ad concepts.</x:v>
      </x:c>
      <x:c r="AS235" s="76" t="str">
        <x:v>storm-to-inspection before/after ad</x:v>
      </x:c>
      <x:c r="AT235" s="76" t="str">
        <x:v>Hilton Head Roofing Company ad concept</x:v>
      </x:c>
      <x:c r="AU235" s="76" t="str">
        <x:v>Hi Hilton Head Roofing Company — I found project/gallery proof on Hilton Head Roofing Company's site that could be repackaged into short-form ad concepts. I mapped a private 15-second storm-to-inspection before/after ad for Hilton Head Roofing Company using only public brand context—not for publishing, just to show the angle. We build three client-approved video ad concepts in seven days, then turn the winners into fresh variations. No filming day required. Worth sending the private sample?</x:v>
      </x:c>
      <x:c r="AV235" s="76" t="str">
        <x:v>Quick follow-up: the sample angle is a storm-to-inspection before/after ad. If it misses the mark, no problem—I won't keep chasing. Should I send it?</x:v>
      </x:c>
      <x:c r="AW235" s="76" t="str">
        <x:v>Hi Hilton Head Roofing Company, Ryan here. I was looking at Hilton Head Roofing Company's public marketing and noticed: project/gallery proof found; no embedded homepage video found. I mapped one private storm-to-inspection before/after ad as an example. Did I catch you with 30 seconds?</x:v>
      </x:c>
      <x:c r="AX235" s="60" t="str">
        <x:v>https://www.facebook.com/ads/library/?active_status=active&amp;ad_type=all&amp;country=US&amp;q=Hilton%20Head%20Roofing%20Company&amp;search_type=keyword_unordered</x:v>
      </x:c>
      <x:c r="AY235" s="60" t="str">
        <x:v>ok:200</x:v>
      </x:c>
      <x:c r="AZ235" s="60" t="n">
        <x:v>46232.722858796296</x:v>
      </x:c>
      <x:c r="BA235" s="60" t="str">
        <x:v>Google Maps home-services export</x:v>
      </x:c>
      <x:c r="BB235" s="60" t="str">
        <x:v>https://hiltonheadroofingcompany.com | https://maps.google.com/?cid=14977635192878738294&amp;g_mp=Cidnb29nbGUubWFwcy5wbGFjZXMudjEuUGxhY2VzLlNlYXJjaFRleHQQAhgEIAA</x:v>
      </x:c>
      <x:c r="BC235" s="60" t="str"/>
    </x:row>
    <x:row r="236" ht="18" customHeight="1">
      <x:c r="A236" s="70" t="str">
        <x:v>235</x:v>
      </x:c>
      <x:c r="B236" s="70" t="str">
        <x:v>B - Strong</x:v>
      </x:c>
      <x:c r="C236" s="72" t="str">
        <x:v>59</x:v>
      </x:c>
      <x:c r="D236" s="60" t="str">
        <x:v>GutterGuysSC LLC</x:v>
      </x:c>
      <x:c r="E236" s="60" t="str">
        <x:v>https://gutterguyssc.com</x:v>
      </x:c>
      <x:c r="F236" s="60" t="str">
        <x:v>https://www.gutterguyssc.com/</x:v>
      </x:c>
      <x:c r="G236" s="60" t="str">
        <x:v>Florence</x:v>
      </x:c>
      <x:c r="H236" s="60" t="str">
        <x:v>South Carolina</x:v>
      </x:c>
      <x:c r="I236" s="60" t="str">
        <x:v>Roofing</x:v>
      </x:c>
      <x:c r="J236" s="60" t="str">
        <x:v>Jeremy</x:v>
      </x:c>
      <x:c r="K236" s="60" t="str">
        <x:v>Carroll</x:v>
      </x:c>
      <x:c r="L236" s="60" t="str">
        <x:v>owner</x:v>
      </x:c>
      <x:c r="M236" s="60" t="str">
        <x:v>jeremy@gutterguyssc.com</x:v>
      </x:c>
      <x:c r="N236" s="60" t="str">
        <x:v>Verified with BounceBan on 08 Jun 26 12:06</x:v>
      </x:c>
      <x:c r="O236" s="60" t="str"/>
      <x:c r="P236" s="60" t="str">
        <x:v>https://www.linkedin.com/in/jeremy-carroll-11791479</x:v>
      </x:c>
      <x:c r="Q236" s="60" t="str">
        <x:v>11-50</x:v>
      </x:c>
      <x:c r="R236" s="60" t="str">
        <x:v>0-99999</x:v>
      </x:c>
      <x:c r="S236" s="60" t="str"/>
      <x:c r="T236" s="74" t="str">
        <x:v>0</x:v>
      </x:c>
      <x:c r="U236" s="60" t="str"/>
      <x:c r="V236" s="74" t="str">
        <x:v>30</x:v>
      </x:c>
      <x:c r="W236" s="74" t="str">
        <x:v>0</x:v>
      </x:c>
      <x:c r="X236" s="74" t="str">
        <x:v>10</x:v>
      </x:c>
      <x:c r="Y236" s="74" t="str">
        <x:v>12</x:v>
      </x:c>
      <x:c r="Z236" s="74" t="str">
        <x:v>7</x:v>
      </x:c>
      <x:c r="AA236" s="74" t="str">
        <x:v>0</x:v>
      </x:c>
      <x:c r="AB236" s="74" t="str">
        <x:v>0</x:v>
      </x:c>
      <x:c r="AC236" s="74" t="str">
        <x:v>0</x:v>
      </x:c>
      <x:c r="AD236" s="74" t="str">
        <x:v>0</x:v>
      </x:c>
      <x:c r="AE236" s="74" t="str">
        <x:v>0</x:v>
      </x:c>
      <x:c r="AF236" s="74" t="str"/>
      <x:c r="AG236" s="74" t="str">
        <x:v>0</x:v>
      </x:c>
      <x:c r="AH236" s="74" t="str">
        <x:v>1</x:v>
      </x:c>
      <x:c r="AI236" s="74" t="str">
        <x:v>1</x:v>
      </x:c>
      <x:c r="AJ236" s="74" t="str">
        <x:v>0</x:v>
      </x:c>
      <x:c r="AK236" s="74" t="str">
        <x:v>1</x:v>
      </x:c>
      <x:c r="AL236" s="74" t="str">
        <x:v>0</x:v>
      </x:c>
      <x:c r="AM236" s="74" t="str">
        <x:v>1</x:v>
      </x:c>
      <x:c r="AN236" s="74" t="str">
        <x:v>0</x:v>
      </x:c>
      <x:c r="AO236" s="60" t="str">
        <x:v>2026</x:v>
      </x:c>
      <x:c r="AP236" s="76" t="str">
        <x:v>Project/gallery proof found; no embedded homepage video found</x:v>
      </x:c>
      <x:c r="AQ236" s="76" t="str">
        <x:v>project/gallery proof; testimonials; visible service offer; no embedded homepage video detected</x:v>
      </x:c>
      <x:c r="AR236" s="76" t="str">
        <x:v>I found project/gallery proof on GutterGuysSC LLC's site that could be repackaged into short-form ad concepts.</x:v>
      </x:c>
      <x:c r="AS236" s="76" t="str">
        <x:v>storm-to-inspection before/after ad</x:v>
      </x:c>
      <x:c r="AT236" s="76" t="str">
        <x:v>GutterGuysSC LLC ad concept</x:v>
      </x:c>
      <x:c r="AU236" s="76" t="str">
        <x:v>Hi Jeremy — I found project/gallery proof on GutterGuysSC LLC's site that could be repackaged into short-form ad concepts. I mapped a private 15-second storm-to-inspection before/after ad for GutterGuysSC LLC using only public brand context—not for publishing, just to show the angle. We build three client-approved video ad concepts in seven days, then turn the winners into fresh variations. No filming day required. Worth sending the private sample?</x:v>
      </x:c>
      <x:c r="AV236" s="76" t="str">
        <x:v>Quick follow-up: the sample angle is a storm-to-inspection before/after ad. If it misses the mark, no problem—I won't keep chasing. Should I send it?</x:v>
      </x:c>
      <x:c r="AW236" s="76" t="str">
        <x:v>Hi Jeremy, Ryan here. I was looking at GutterGuysSC LLC's public marketing and noticed: project/gallery proof found; no embedded homepage video found. I mapped one private storm-to-inspection before/after ad as an example. Did I catch you with 30 seconds?</x:v>
      </x:c>
      <x:c r="AX236" s="60" t="str">
        <x:v>https://www.facebook.com/ads/library/?active_status=active&amp;ad_type=all&amp;country=US&amp;q=GutterGuysSC%20LLC&amp;search_type=keyword_unordered</x:v>
      </x:c>
      <x:c r="AY236" s="60" t="str">
        <x:v>ok:200</x:v>
      </x:c>
      <x:c r="AZ236" s="60" t="n">
        <x:v>46232.722858796296</x:v>
      </x:c>
      <x:c r="BA236" s="60" t="str">
        <x:v>AI Ark SC trades export</x:v>
      </x:c>
      <x:c r="BB236" s="60" t="str">
        <x:v>https://gutterguyssc.com | https://www.linkedin.com/company/gutterguyssc-llc</x:v>
      </x:c>
      <x:c r="BC236" s="60" t="str"/>
    </x:row>
    <x:row r="237" ht="18" customHeight="1">
      <x:c r="A237" s="70" t="str">
        <x:v>236</x:v>
      </x:c>
      <x:c r="B237" s="70" t="str">
        <x:v>B - Strong</x:v>
      </x:c>
      <x:c r="C237" s="72" t="str">
        <x:v>58</x:v>
      </x:c>
      <x:c r="D237" s="60" t="str">
        <x:v>Home Bright Power Washing</x:v>
      </x:c>
      <x:c r="E237" s="60" t="str">
        <x:v>https://homebrightpowerwashing.com</x:v>
      </x:c>
      <x:c r="F237" s="60" t="str">
        <x:v>https://www.homebrightpowerwashing.com/</x:v>
      </x:c>
      <x:c r="G237" s="60" t="str">
        <x:v>Greenville-spartanburg-anderson</x:v>
      </x:c>
      <x:c r="H237" s="60" t="str">
        <x:v>South Carolina Area</x:v>
      </x:c>
      <x:c r="I237" s="60" t="str">
        <x:v>Cleaning &amp; Exterior Care</x:v>
      </x:c>
      <x:c r="J237" s="60" t="str">
        <x:v>Jared</x:v>
      </x:c>
      <x:c r="K237" s="60" t="str">
        <x:v>Nelson</x:v>
      </x:c>
      <x:c r="L237" s="60" t="str">
        <x:v>Owner &amp; Director of Operations</x:v>
      </x:c>
      <x:c r="M237" s="60" t="str">
        <x:v>jared@homebrightpowerwashing.com</x:v>
      </x:c>
      <x:c r="N237" s="60" t="str">
        <x:v>Verified with BounceBan on 08 Jun 26 12:06</x:v>
      </x:c>
      <x:c r="O237" s="60" t="str"/>
      <x:c r="P237" s="60" t="str">
        <x:v>https://www.linkedin.com/in/jared-nelson-20ab211b4</x:v>
      </x:c>
      <x:c r="Q237" s="60" t="str">
        <x:v>2-10</x:v>
      </x:c>
      <x:c r="R237" s="60" t="str">
        <x:v>0-99999</x:v>
      </x:c>
      <x:c r="S237" s="60" t="str"/>
      <x:c r="T237" s="74" t="str">
        <x:v>0</x:v>
      </x:c>
      <x:c r="U237" s="60" t="str"/>
      <x:c r="V237" s="74" t="str">
        <x:v>18</x:v>
      </x:c>
      <x:c r="W237" s="74" t="str">
        <x:v>18</x:v>
      </x:c>
      <x:c r="X237" s="74" t="str">
        <x:v>12</x:v>
      </x:c>
      <x:c r="Y237" s="74" t="str">
        <x:v>3</x:v>
      </x:c>
      <x:c r="Z237" s="74" t="str">
        <x:v>7</x:v>
      </x:c>
      <x:c r="AA237" s="74" t="str">
        <x:v>1</x:v>
      </x:c>
      <x:c r="AB237" s="74" t="str">
        <x:v>0</x:v>
      </x:c>
      <x:c r="AC237" s="74" t="str">
        <x:v>1</x:v>
      </x:c>
      <x:c r="AD237" s="74" t="str">
        <x:v>0</x:v>
      </x:c>
      <x:c r="AE237" s="74" t="str">
        <x:v>0</x:v>
      </x:c>
      <x:c r="AF237" s="74" t="str">
        <x:v>birdeye</x:v>
      </x:c>
      <x:c r="AG237" s="74" t="str">
        <x:v>0</x:v>
      </x:c>
      <x:c r="AH237" s="74" t="str">
        <x:v>0</x:v>
      </x:c>
      <x:c r="AI237" s="74" t="str">
        <x:v>0</x:v>
      </x:c>
      <x:c r="AJ237" s="74" t="str">
        <x:v>0</x:v>
      </x:c>
      <x:c r="AK237" s="74" t="str">
        <x:v>1</x:v>
      </x:c>
      <x:c r="AL237" s="74" t="str">
        <x:v>0</x:v>
      </x:c>
      <x:c r="AM237" s="74" t="str">
        <x:v>1</x:v>
      </x:c>
      <x:c r="AN237" s="74" t="str">
        <x:v>1</x:v>
      </x:c>
      <x:c r="AO237" s="60" t="str">
        <x:v>2026</x:v>
      </x:c>
      <x:c r="AP237" s="76" t="str">
        <x:v>Meta tracking detected; no embedded homepage video found</x:v>
      </x:c>
      <x:c r="AQ237" s="76" t="str">
        <x:v>Meta Pixel; visible service offer; no embedded homepage video detected</x:v>
      </x:c>
      <x:c r="AR237" s="76" t="str">
        <x:v>I noticed Home Bright Power Washing's site has Meta tracking installed, but I couldn't find an embedded video on the homepage.</x:v>
      </x:c>
      <x:c r="AS237" s="76" t="str">
        <x:v>high-contrast before/after ad</x:v>
      </x:c>
      <x:c r="AT237" s="76" t="str">
        <x:v>Home Bright Power Washing ad concept</x:v>
      </x:c>
      <x:c r="AU237" s="76" t="str">
        <x:v>Hi Jared — I noticed Home Bright Power Washing's site has Meta tracking installed, but I couldn't find an embedded video on the homepage. I mapped a private 15-second high-contrast before/after ad for Home Bright Power Washing using only public brand context—not for publishing, just to show the angle. We build three client-approved video ad concepts in seven days, then turn the winners into fresh variations. No filming day required. Worth sending the private sample?</x:v>
      </x:c>
      <x:c r="AV237" s="76" t="str">
        <x:v>Quick follow-up: the sample angle is a high-contrast before/after ad. If it misses the mark, no problem—I won't keep chasing. Should I send it?</x:v>
      </x:c>
      <x:c r="AW237" s="76" t="str">
        <x:v>Hi Jared, Ryan here. I was looking at Home Bright Power Washing's public marketing and noticed: meta tracking detected; no embedded homepage video found. I mapped one private high-contrast before/after ad as an example. Did I catch you with 30 seconds?</x:v>
      </x:c>
      <x:c r="AX237" s="60" t="str">
        <x:v>https://www.facebook.com/ads/library/?active_status=active&amp;ad_type=all&amp;country=US&amp;q=Home%20Bright%20Power%20Washing&amp;search_type=keyword_unordered</x:v>
      </x:c>
      <x:c r="AY237" s="60" t="str">
        <x:v>ok:200</x:v>
      </x:c>
      <x:c r="AZ237" s="60" t="n">
        <x:v>46232.722858796296</x:v>
      </x:c>
      <x:c r="BA237" s="60" t="str">
        <x:v>AI Ark SC trades export</x:v>
      </x:c>
      <x:c r="BB237" s="60" t="str">
        <x:v>https://homebrightpowerwashing.com | https://www.linkedin.com/company/home-bright-power-washing</x:v>
      </x:c>
      <x:c r="BC237" s="60" t="str"/>
    </x:row>
    <x:row r="238" ht="18" customHeight="1">
      <x:c r="A238" s="70" t="str">
        <x:v>237</x:v>
      </x:c>
      <x:c r="B238" s="70" t="str">
        <x:v>B - Strong</x:v>
      </x:c>
      <x:c r="C238" s="72" t="str">
        <x:v>58</x:v>
      </x:c>
      <x:c r="D238" s="60" t="str">
        <x:v>TruLift Concrete Repair</x:v>
      </x:c>
      <x:c r="E238" s="60" t="str">
        <x:v>https://truliftconcrete.com</x:v>
      </x:c>
      <x:c r="F238" s="60" t="str">
        <x:v>https://truliftconcrete.com</x:v>
      </x:c>
      <x:c r="G238" s="60" t="str">
        <x:v>Rock Hill</x:v>
      </x:c>
      <x:c r="H238" s="60" t="str">
        <x:v>South Carolina</x:v>
      </x:c>
      <x:c r="I238" s="60" t="str">
        <x:v>Pools &amp; Spas</x:v>
      </x:c>
      <x:c r="J238" s="60" t="str">
        <x:v>Jesse</x:v>
      </x:c>
      <x:c r="K238" s="60" t="str">
        <x:v>Roberts</x:v>
      </x:c>
      <x:c r="L238" s="60" t="str">
        <x:v>Owner</x:v>
      </x:c>
      <x:c r="M238" s="60" t="str">
        <x:v>jroberts@truliftconcrete.com</x:v>
      </x:c>
      <x:c r="N238" s="60" t="str">
        <x:v>Verified with BounceBan on 08 Jun 26 12:06</x:v>
      </x:c>
      <x:c r="O238" s="60" t="str">
        <x:v>+1 803 984 1112</x:v>
      </x:c>
      <x:c r="P238" s="60" t="str">
        <x:v>https://www.linkedin.com/in/jesserobertssc</x:v>
      </x:c>
      <x:c r="Q238" s="60" t="str">
        <x:v>2-10</x:v>
      </x:c>
      <x:c r="R238" s="60" t="str">
        <x:v>0-99999</x:v>
      </x:c>
      <x:c r="S238" s="60" t="str"/>
      <x:c r="T238" s="74" t="str">
        <x:v>0</x:v>
      </x:c>
      <x:c r="U238" s="60" t="str"/>
      <x:c r="V238" s="74" t="str">
        <x:v>24</x:v>
      </x:c>
      <x:c r="W238" s="74" t="str">
        <x:v>16</x:v>
      </x:c>
      <x:c r="X238" s="74" t="str">
        <x:v>0</x:v>
      </x:c>
      <x:c r="Y238" s="74" t="str">
        <x:v>8</x:v>
      </x:c>
      <x:c r="Z238" s="74" t="str">
        <x:v>10</x:v>
      </x:c>
      <x:c r="AA238" s="74" t="str">
        <x:v>0</x:v>
      </x:c>
      <x:c r="AB238" s="74" t="str">
        <x:v>1</x:v>
      </x:c>
      <x:c r="AC238" s="74" t="str">
        <x:v>1</x:v>
      </x:c>
      <x:c r="AD238" s="74" t="str">
        <x:v>0</x:v>
      </x:c>
      <x:c r="AE238" s="74" t="str">
        <x:v>0</x:v>
      </x:c>
      <x:c r="AF238" s="74" t="str">
        <x:v>housecallpro</x:v>
      </x:c>
      <x:c r="AG238" s="74" t="str">
        <x:v>1</x:v>
      </x:c>
      <x:c r="AH238" s="74" t="str">
        <x:v>1</x:v>
      </x:c>
      <x:c r="AI238" s="74" t="str">
        <x:v>0</x:v>
      </x:c>
      <x:c r="AJ238" s="74" t="str">
        <x:v>0</x:v>
      </x:c>
      <x:c r="AK238" s="74" t="str">
        <x:v>1</x:v>
      </x:c>
      <x:c r="AL238" s="74" t="str">
        <x:v>1</x:v>
      </x:c>
      <x:c r="AM238" s="74" t="str">
        <x:v>1</x:v>
      </x:c>
      <x:c r="AN238" s="74" t="str">
        <x:v>1</x:v>
      </x:c>
      <x:c r="AO238" s="60" t="str">
        <x:v>2026</x:v>
      </x:c>
      <x:c r="AP238" s="76" t="str">
        <x:v>Paid-demand technology detected; creative refresh hypothesis</x:v>
      </x:c>
      <x:c r="AQ238" s="76" t="str">
        <x:v>Google Ads tag; project/gallery proof; visible service offer</x:v>
      </x:c>
      <x:c r="AR238" s="76" t="str">
        <x:v>I was reviewing pools &amp; spas companies in Rock Hill, South Carolina and TruLift Concrete Repair looked like a strong fit for a creative test.</x:v>
      </x:c>
      <x:c r="AS238" s="76" t="str">
        <x:v>backyard-before to finished-project reveal</x:v>
      </x:c>
      <x:c r="AT238" s="76" t="str">
        <x:v>TruLift Concrete Repair ad concept</x:v>
      </x:c>
      <x:c r="AU238" s="76" t="str">
        <x:v>Hi Jesse — I was reviewing pools &amp; spas companies in Rock Hill, South Carolina and TruLift Concrete Repair looked like a strong fit for a creative test. I mapped a private 15-second backyard-before to finished-project reveal for TruLift Concrete Repair using only public brand context—not for publishing, just to show the angle. We build three client-approved video ad concepts in seven days, then turn the winners into fresh variations. No filming day required. Worth sending the private sample?</x:v>
      </x:c>
      <x:c r="AV238" s="76" t="str">
        <x:v>Quick follow-up: the sample angle is a backyard-before to finished-project reveal. If it misses the mark, no problem—I won't keep chasing. Should I send it?</x:v>
      </x:c>
      <x:c r="AW238" s="76" t="str">
        <x:v>Hi Jesse, Ryan here. I was looking at TruLift Concrete Repair's public marketing and noticed: paid-demand technology detected; creative refresh hypothesis. I mapped one private backyard-before to finished-project reveal as an example. Did I catch you with 30 seconds?</x:v>
      </x:c>
      <x:c r="AX238" s="60" t="str">
        <x:v>https://www.facebook.com/ads/library/?active_status=active&amp;ad_type=all&amp;country=US&amp;q=TruLift%20Concrete%20Repair&amp;search_type=keyword_unordered</x:v>
      </x:c>
      <x:c r="AY238" s="60" t="str">
        <x:v>ok:200</x:v>
      </x:c>
      <x:c r="AZ238" s="60" t="n">
        <x:v>46232.722858796296</x:v>
      </x:c>
      <x:c r="BA238" s="60" t="str">
        <x:v>AI Ark SC trades export</x:v>
      </x:c>
      <x:c r="BB238" s="60" t="str">
        <x:v>https://truliftconcrete.com | https://www.linkedin.com/company/trulift-concrete-repair</x:v>
      </x:c>
      <x:c r="BC238" s="60" t="str"/>
    </x:row>
    <x:row r="239" ht="18" customHeight="1">
      <x:c r="A239" s="70" t="str">
        <x:v>238</x:v>
      </x:c>
      <x:c r="B239" s="70" t="str">
        <x:v>B - Strong</x:v>
      </x:c>
      <x:c r="C239" s="72" t="str">
        <x:v>58</x:v>
      </x:c>
      <x:c r="D239" s="60" t="str">
        <x:v>Davis &amp; Sons Plumbing &amp; Maintenance Inc</x:v>
      </x:c>
      <x:c r="E239" s="60" t="str">
        <x:v>https://davisandsonsplumbingllc.com</x:v>
      </x:c>
      <x:c r="F239" s="60" t="str">
        <x:v>https://davisandsonsplumbingllc.com</x:v>
      </x:c>
      <x:c r="G239" s="60" t="str">
        <x:v>Beaufort</x:v>
      </x:c>
      <x:c r="H239" s="60" t="str">
        <x:v>South Carolina</x:v>
      </x:c>
      <x:c r="I239" s="60" t="str">
        <x:v>Plumbing</x:v>
      </x:c>
      <x:c r="J239" s="60" t="str">
        <x:v>Davis &amp; Sons Plumbing &amp; Maintenance Inc</x:v>
      </x:c>
      <x:c r="K239" s="60" t="str"/>
      <x:c r="L239" s="60" t="str">
        <x:v>Owner / decision maker to verify</x:v>
      </x:c>
      <x:c r="M239" s="60" t="str"/>
      <x:c r="N239" s="60" t="str"/>
      <x:c r="O239" s="60" t="str">
        <x:v>(843) 838-4685</x:v>
      </x:c>
      <x:c r="P239" s="60" t="str"/>
      <x:c r="Q239" s="60" t="str"/>
      <x:c r="R239" s="60" t="str"/>
      <x:c r="S239" s="60" t="str">
        <x:v>3.4</x:v>
      </x:c>
      <x:c r="T239" s="74" t="str">
        <x:v>15</x:v>
      </x:c>
      <x:c r="U239" s="60" t="str">
        <x:v>no_show, communication</x:v>
      </x:c>
      <x:c r="V239" s="74" t="str">
        <x:v>20</x:v>
      </x:c>
      <x:c r="W239" s="74" t="str">
        <x:v>15</x:v>
      </x:c>
      <x:c r="X239" s="74" t="str">
        <x:v>9</x:v>
      </x:c>
      <x:c r="Y239" s="74" t="str">
        <x:v>9</x:v>
      </x:c>
      <x:c r="Z239" s="74" t="str">
        <x:v>5</x:v>
      </x:c>
      <x:c r="AA239" s="74" t="str">
        <x:v>1</x:v>
      </x:c>
      <x:c r="AB239" s="74" t="str">
        <x:v>0</x:v>
      </x:c>
      <x:c r="AC239" s="74" t="str">
        <x:v>1</x:v>
      </x:c>
      <x:c r="AD239" s="74" t="str">
        <x:v>0</x:v>
      </x:c>
      <x:c r="AE239" s="74" t="str">
        <x:v>0</x:v>
      </x:c>
      <x:c r="AF239" s="74" t="str"/>
      <x:c r="AG239" s="74" t="str">
        <x:v>1</x:v>
      </x:c>
      <x:c r="AH239" s="74" t="str">
        <x:v>1</x:v>
      </x:c>
      <x:c r="AI239" s="74" t="str">
        <x:v>1</x:v>
      </x:c>
      <x:c r="AJ239" s="74" t="str">
        <x:v>0</x:v>
      </x:c>
      <x:c r="AK239" s="74" t="str">
        <x:v>0</x:v>
      </x:c>
      <x:c r="AL239" s="74" t="str">
        <x:v>0</x:v>
      </x:c>
      <x:c r="AM239" s="74" t="str">
        <x:v>0</x:v>
      </x:c>
      <x:c r="AN239" s="74" t="str">
        <x:v>0</x:v>
      </x:c>
      <x:c r="AO239" s="60" t="str">
        <x:v>2024</x:v>
      </x:c>
      <x:c r="AP239" s="76" t="str">
        <x:v>Paid-demand technology detected; creative refresh hypothesis</x:v>
      </x:c>
      <x:c r="AQ239" s="76" t="str">
        <x:v>Meta Pixel; project/gallery proof; testimonials</x:v>
      </x:c>
      <x:c r="AR239" s="76" t="str">
        <x:v>I was reviewing plumbing companies in Beaufort, South Carolina and Davis &amp; Sons Plumbing &amp; Maintenance Inc looked like a strong fit for a creative test.</x:v>
      </x:c>
      <x:c r="AS239" s="76" t="str">
        <x:v>small symptom to prevented-emergency ad</x:v>
      </x:c>
      <x:c r="AT239" s="76" t="str">
        <x:v>Davis &amp; Sons Plumbing &amp; Maintenance Inc ad concept</x:v>
      </x:c>
      <x:c r="AU239" s="76" t="str">
        <x:v>Hi Davis &amp; Sons Plumbing &amp; Maintenance Inc — I was reviewing plumbing companies in Beaufort, South Carolina and Davis &amp; Sons Plumbing &amp; Maintenance Inc looked like a strong fit for a creative test. I mapped a private 15-second small symptom to prevented-emergency ad for Davis &amp; Sons Plumbing &amp; Maintenance Inc using only public brand context—not for publishing, just to show the angle. We build three client-approved video ad concepts in seven days, then turn the winners into fresh variations. No filming day required. Worth sending the private sample?</x:v>
      </x:c>
      <x:c r="AV239" s="76" t="str">
        <x:v>Quick follow-up: the sample angle is a small symptom to prevented-emergency ad. If it misses the mark, no problem—I won't keep chasing. Should I send it?</x:v>
      </x:c>
      <x:c r="AW239" s="76" t="str">
        <x:v>Hi Davis &amp; Sons Plumbing &amp; Maintenance Inc, Ryan here. I was looking at Davis &amp; Sons Plumbing &amp; Maintenance Inc's public marketing and noticed: paid-demand technology detected; creative refresh hypothesis. I mapped one private small symptom to prevented-emergency ad as an example. Did I catch you with 30 seconds?</x:v>
      </x:c>
      <x:c r="AX239" s="60" t="str">
        <x:v>https://www.facebook.com/ads/library/?active_status=active&amp;ad_type=all&amp;country=US&amp;q=Davis%20%26%20Sons%20Plumbing%20%26%20Maintenance%20Inc&amp;search_type=keyword_unordered</x:v>
      </x:c>
      <x:c r="AY239" s="60" t="str">
        <x:v>ok:200</x:v>
      </x:c>
      <x:c r="AZ239" s="60" t="n">
        <x:v>46232.722858796296</x:v>
      </x:c>
      <x:c r="BA239" s="60" t="str">
        <x:v>Google Maps home-services export</x:v>
      </x:c>
      <x:c r="BB239" s="60" t="str">
        <x:v>https://davisandsonsplumbingllc.com | https://maps.google.com/?cid=1374611302958123654&amp;g_mp=Cidnb29nbGUubWFwcy5wbGFjZXMudjEuUGxhY2VzLlNlYXJjaFRleHQQAhgEIAA</x:v>
      </x:c>
      <x:c r="BC239" s="60" t="str"/>
    </x:row>
    <x:row r="240" ht="18" customHeight="1">
      <x:c r="A240" s="70" t="str">
        <x:v>239</x:v>
      </x:c>
      <x:c r="B240" s="70" t="str">
        <x:v>B - Strong</x:v>
      </x:c>
      <x:c r="C240" s="72" t="str">
        <x:v>58</x:v>
      </x:c>
      <x:c r="D240" s="60" t="str">
        <x:v>Real Deal Countertops</x:v>
      </x:c>
      <x:c r="E240" s="60" t="str">
        <x:v>https://realdealcountertops.com</x:v>
      </x:c>
      <x:c r="F240" s="60" t="str">
        <x:v>https://www.realdealcountertops.com/</x:v>
      </x:c>
      <x:c r="G240" s="60" t="str">
        <x:v>Charleston</x:v>
      </x:c>
      <x:c r="H240" s="60" t="str">
        <x:v>South Carolina Metropolitan Area</x:v>
      </x:c>
      <x:c r="I240" s="60" t="str">
        <x:v>Remodeling</x:v>
      </x:c>
      <x:c r="J240" s="60" t="str">
        <x:v>Rafael</x:v>
      </x:c>
      <x:c r="K240" s="60" t="str">
        <x:v>Quedevez</x:v>
      </x:c>
      <x:c r="L240" s="60" t="str">
        <x:v>Owner</x:v>
      </x:c>
      <x:c r="M240" s="60" t="str">
        <x:v>rafael@realdealcountertops.com</x:v>
      </x:c>
      <x:c r="N240" s="60" t="str">
        <x:v>Verified with BounceBan on 08 Jun 26 12:06</x:v>
      </x:c>
      <x:c r="O240" s="60" t="str">
        <x:v>+1 843 437 4824</x:v>
      </x:c>
      <x:c r="P240" s="60" t="str">
        <x:v>https://www.linkedin.com/in/rafael-quedevez-8655a11a0</x:v>
      </x:c>
      <x:c r="Q240" s="60" t="str">
        <x:v>2-10</x:v>
      </x:c>
      <x:c r="R240" s="60" t="str">
        <x:v>100000-499999</x:v>
      </x:c>
      <x:c r="S240" s="60" t="str"/>
      <x:c r="T240" s="74" t="str">
        <x:v>0</x:v>
      </x:c>
      <x:c r="U240" s="60" t="str"/>
      <x:c r="V240" s="74" t="str">
        <x:v>25</x:v>
      </x:c>
      <x:c r="W240" s="74" t="str">
        <x:v>15</x:v>
      </x:c>
      <x:c r="X240" s="74" t="str">
        <x:v>0</x:v>
      </x:c>
      <x:c r="Y240" s="74" t="str">
        <x:v>8</x:v>
      </x:c>
      <x:c r="Z240" s="74" t="str">
        <x:v>10</x:v>
      </x:c>
      <x:c r="AA240" s="74" t="str">
        <x:v>1</x:v>
      </x:c>
      <x:c r="AB240" s="74" t="str">
        <x:v>0</x:v>
      </x:c>
      <x:c r="AC240" s="74" t="str">
        <x:v>1</x:v>
      </x:c>
      <x:c r="AD240" s="74" t="str">
        <x:v>0</x:v>
      </x:c>
      <x:c r="AE240" s="74" t="str">
        <x:v>0</x:v>
      </x:c>
      <x:c r="AF240" s="74" t="str"/>
      <x:c r="AG240" s="74" t="str">
        <x:v>1</x:v>
      </x:c>
      <x:c r="AH240" s="74" t="str">
        <x:v>1</x:v>
      </x:c>
      <x:c r="AI240" s="74" t="str">
        <x:v>0</x:v>
      </x:c>
      <x:c r="AJ240" s="74" t="str">
        <x:v>1</x:v>
      </x:c>
      <x:c r="AK240" s="74" t="str">
        <x:v>0</x:v>
      </x:c>
      <x:c r="AL240" s="74" t="str">
        <x:v>1</x:v>
      </x:c>
      <x:c r="AM240" s="74" t="str">
        <x:v>1</x:v>
      </x:c>
      <x:c r="AN240" s="74" t="str">
        <x:v>1</x:v>
      </x:c>
      <x:c r="AO240" s="60" t="str">
        <x:v>2026</x:v>
      </x:c>
      <x:c r="AP240" s="76" t="str">
        <x:v>Paid-demand technology detected; creative refresh hypothesis</x:v>
      </x:c>
      <x:c r="AQ240" s="76" t="str">
        <x:v>Meta Pixel; project/gallery proof; financing</x:v>
      </x:c>
      <x:c r="AR240" s="76" t="str">
        <x:v>I was reviewing remodeling companies in Charleston, South Carolina Metropolitan Area and Real Deal Countertops looked like a strong fit for a creative test.</x:v>
      </x:c>
      <x:c r="AS240" s="76" t="str">
        <x:v>project reveal with budget-and-timeline proof</x:v>
      </x:c>
      <x:c r="AT240" s="76" t="str">
        <x:v>Real Deal Countertops ad concept</x:v>
      </x:c>
      <x:c r="AU240" s="76" t="str">
        <x:v>Hi Rafael — I was reviewing remodeling companies in Charleston, South Carolina Metropolitan Area and Real Deal Countertops looked like a strong fit for a creative test. I mapped a private 15-second project reveal with budget-and-timeline proof for Real Deal Countertops using only public brand context—not for publishing, just to show the angle. We build three client-approved video ad concepts in seven days, then turn the winners into fresh variations. No filming day required. Worth sending the private sample?</x:v>
      </x:c>
      <x:c r="AV240" s="76" t="str">
        <x:v>Quick follow-up: the sample angle is a project reveal with budget-and-timeline proof. If it misses the mark, no problem—I won't keep chasing. Should I send it?</x:v>
      </x:c>
      <x:c r="AW240" s="76" t="str">
        <x:v>Hi Rafael, Ryan here. I was looking at Real Deal Countertops's public marketing and noticed: paid-demand technology detected; creative refresh hypothesis. I mapped one private project reveal with budget-and-timeline proof as an example. Did I catch you with 30 seconds?</x:v>
      </x:c>
      <x:c r="AX240" s="60" t="str">
        <x:v>https://www.facebook.com/ads/library/?active_status=active&amp;ad_type=all&amp;country=US&amp;q=Real%20Deal%20Countertops&amp;search_type=keyword_unordered</x:v>
      </x:c>
      <x:c r="AY240" s="60" t="str">
        <x:v>ok:200</x:v>
      </x:c>
      <x:c r="AZ240" s="60" t="n">
        <x:v>46232.722858796296</x:v>
      </x:c>
      <x:c r="BA240" s="60" t="str">
        <x:v>AI Ark SC trades export</x:v>
      </x:c>
      <x:c r="BB240" s="60" t="str">
        <x:v>https://realdealcountertops.com | https://www.linkedin.com/company/real-deal-countertops</x:v>
      </x:c>
      <x:c r="BC240" s="60" t="str"/>
    </x:row>
    <x:row r="241" ht="18" customHeight="1">
      <x:c r="A241" s="70" t="str">
        <x:v>240</x:v>
      </x:c>
      <x:c r="B241" s="70" t="str">
        <x:v>B - Strong</x:v>
      </x:c>
      <x:c r="C241" s="72" t="str">
        <x:v>58</x:v>
      </x:c>
      <x:c r="D241" s="60" t="str">
        <x:v>Eastergard Heating &amp; AC Repair</x:v>
      </x:c>
      <x:c r="E241" s="60" t="str">
        <x:v>https://eastergard.com</x:v>
      </x:c>
      <x:c r="F241" s="60" t="str">
        <x:v>https://eastergard.com</x:v>
      </x:c>
      <x:c r="G241" s="60" t="str">
        <x:v>Greenville</x:v>
      </x:c>
      <x:c r="H241" s="60" t="str">
        <x:v>South Carolina</x:v>
      </x:c>
      <x:c r="I241" s="60" t="str">
        <x:v>HVAC</x:v>
      </x:c>
      <x:c r="J241" s="60" t="str">
        <x:v>Eastergard Heating &amp; AC Repair</x:v>
      </x:c>
      <x:c r="K241" s="60" t="str"/>
      <x:c r="L241" s="60" t="str">
        <x:v>Owner / decision maker to verify</x:v>
      </x:c>
      <x:c r="M241" s="60" t="str"/>
      <x:c r="N241" s="60" t="str"/>
      <x:c r="O241" s="60" t="str">
        <x:v>(864) 606-6771</x:v>
      </x:c>
      <x:c r="P241" s="60" t="str"/>
      <x:c r="Q241" s="60" t="str"/>
      <x:c r="R241" s="60" t="str"/>
      <x:c r="S241" s="60" t="str">
        <x:v>4.9</x:v>
      </x:c>
      <x:c r="T241" s="74" t="str">
        <x:v>572</x:v>
      </x:c>
      <x:c r="U241" s="60" t="str"/>
      <x:c r="V241" s="74" t="str">
        <x:v>29</x:v>
      </x:c>
      <x:c r="W241" s="74" t="str">
        <x:v>14</x:v>
      </x:c>
      <x:c r="X241" s="74" t="str">
        <x:v>0</x:v>
      </x:c>
      <x:c r="Y241" s="74" t="str">
        <x:v>10</x:v>
      </x:c>
      <x:c r="Z241" s="74" t="str">
        <x:v>5</x:v>
      </x:c>
      <x:c r="AA241" s="74" t="str">
        <x:v>0</x:v>
      </x:c>
      <x:c r="AB241" s="74" t="str">
        <x:v>0</x:v>
      </x:c>
      <x:c r="AC241" s="74" t="str">
        <x:v>1</x:v>
      </x:c>
      <x:c r="AD241" s="74" t="str">
        <x:v>0</x:v>
      </x:c>
      <x:c r="AE241" s="74" t="str">
        <x:v>1</x:v>
      </x:c>
      <x:c r="AF241" s="74" t="str">
        <x:v>servicetitan</x:v>
      </x:c>
      <x:c r="AG241" s="74" t="str">
        <x:v>1</x:v>
      </x:c>
      <x:c r="AH241" s="74" t="str">
        <x:v>0</x:v>
      </x:c>
      <x:c r="AI241" s="74" t="str">
        <x:v>1</x:v>
      </x:c>
      <x:c r="AJ241" s="74" t="str">
        <x:v>0</x:v>
      </x:c>
      <x:c r="AK241" s="74" t="str">
        <x:v>1</x:v>
      </x:c>
      <x:c r="AL241" s="74" t="str">
        <x:v>0</x:v>
      </x:c>
      <x:c r="AM241" s="74" t="str">
        <x:v>1</x:v>
      </x:c>
      <x:c r="AN241" s="74" t="str">
        <x:v>1</x:v>
      </x:c>
      <x:c r="AO241" s="60" t="str">
        <x:v>2026</x:v>
      </x:c>
      <x:c r="AP241" s="76" t="str">
        <x:v>Paid-demand technology detected; creative refresh hypothesis</x:v>
      </x:c>
      <x:c r="AQ241" s="76" t="str">
        <x:v>call tracking; testimonials; visible service offer</x:v>
      </x:c>
      <x:c r="AR241" s="76" t="str">
        <x:v>I was reviewing hvac companies in Greenville, South Carolina and Eastergard Heating &amp; AC Repair looked like a strong fit for a creative test.</x:v>
      </x:c>
      <x:c r="AS241" s="76" t="str">
        <x:v>no-cool-call to same-day comfort ad</x:v>
      </x:c>
      <x:c r="AT241" s="76" t="str">
        <x:v>Eastergard Heating &amp; AC Repair ad concept</x:v>
      </x:c>
      <x:c r="AU241" s="76" t="str">
        <x:v>Hi Eastergard Heating &amp; AC Repair — I was reviewing hvac companies in Greenville, South Carolina and Eastergard Heating &amp; AC Repair looked like a strong fit for a creative test. I mapped a private 15-second no-cool-call to same-day comfort ad for Eastergard Heating &amp; AC Repair using only public brand context—not for publishing, just to show the angle. We build three client-approved video ad concepts in seven days, then turn the winners into fresh variations. No filming day required. Worth sending the private sample?</x:v>
      </x:c>
      <x:c r="AV241" s="76" t="str">
        <x:v>Quick follow-up: the sample angle is a no-cool-call to same-day comfort ad. If it misses the mark, no problem—I won't keep chasing. Should I send it?</x:v>
      </x:c>
      <x:c r="AW241" s="76" t="str">
        <x:v>Hi Eastergard Heating &amp; AC Repair, Ryan here. I was looking at Eastergard Heating &amp; AC Repair's public marketing and noticed: paid-demand technology detected; creative refresh hypothesis. I mapped one private no-cool-call to same-day comfort ad as an example. Did I catch you with 30 seconds?</x:v>
      </x:c>
      <x:c r="AX241" s="60" t="str">
        <x:v>https://www.facebook.com/ads/library/?active_status=active&amp;ad_type=all&amp;country=US&amp;q=Eastergard%20Heating%20%26%20AC%20Repair&amp;search_type=keyword_unordered</x:v>
      </x:c>
      <x:c r="AY241" s="60" t="str">
        <x:v>ok:200</x:v>
      </x:c>
      <x:c r="AZ241" s="60" t="n">
        <x:v>46232.722858796296</x:v>
      </x:c>
      <x:c r="BA241" s="60" t="str">
        <x:v>Google Maps home-services export</x:v>
      </x:c>
      <x:c r="BB241" s="60" t="str">
        <x:v>https://eastergard.com | https://maps.google.com/?cid=18207788633175069835&amp;g_mp=Cidnb29nbGUubWFwcy5wbGFjZXMudjEuUGxhY2VzLlNlYXJjaFRleHQQAhgEIAA</x:v>
      </x:c>
      <x:c r="BC241" s="60" t="str"/>
    </x:row>
    <x:row r="242" ht="18" customHeight="1">
      <x:c r="A242" s="70" t="str">
        <x:v>241</x:v>
      </x:c>
      <x:c r="B242" s="70" t="str">
        <x:v>B - Strong</x:v>
      </x:c>
      <x:c r="C242" s="72" t="str">
        <x:v>58</x:v>
      </x:c>
      <x:c r="D242" s="60" t="str">
        <x:v>USA Plumbing</x:v>
      </x:c>
      <x:c r="E242" s="60" t="str">
        <x:v>https://usaplumbingmb.com</x:v>
      </x:c>
      <x:c r="F242" s="60" t="str">
        <x:v>https://www.usaplumbingsc.com/</x:v>
      </x:c>
      <x:c r="G242" s="60" t="str">
        <x:v>Myrtle Beach</x:v>
      </x:c>
      <x:c r="H242" s="60" t="str">
        <x:v>South Carolina</x:v>
      </x:c>
      <x:c r="I242" s="60" t="str">
        <x:v>Plumbing</x:v>
      </x:c>
      <x:c r="J242" s="60" t="str">
        <x:v>USA Plumbing</x:v>
      </x:c>
      <x:c r="K242" s="60" t="str"/>
      <x:c r="L242" s="60" t="str">
        <x:v>Owner / decision maker to verify</x:v>
      </x:c>
      <x:c r="M242" s="60" t="str"/>
      <x:c r="N242" s="60" t="str"/>
      <x:c r="O242" s="60" t="str">
        <x:v>(843) 241-8054</x:v>
      </x:c>
      <x:c r="P242" s="60" t="str"/>
      <x:c r="Q242" s="60" t="str"/>
      <x:c r="R242" s="60" t="str"/>
      <x:c r="S242" s="60" t="str">
        <x:v>4.9</x:v>
      </x:c>
      <x:c r="T242" s="74" t="str">
        <x:v>352</x:v>
      </x:c>
      <x:c r="U242" s="60" t="str"/>
      <x:c r="V242" s="74" t="str">
        <x:v>25</x:v>
      </x:c>
      <x:c r="W242" s="74" t="str">
        <x:v>13</x:v>
      </x:c>
      <x:c r="X242" s="74" t="str">
        <x:v>4</x:v>
      </x:c>
      <x:c r="Y242" s="74" t="str">
        <x:v>11</x:v>
      </x:c>
      <x:c r="Z242" s="74" t="str">
        <x:v>5</x:v>
      </x:c>
      <x:c r="AA242" s="74" t="str">
        <x:v>0</x:v>
      </x:c>
      <x:c r="AB242" s="74" t="str">
        <x:v>1</x:v>
      </x:c>
      <x:c r="AC242" s="74" t="str">
        <x:v>1</x:v>
      </x:c>
      <x:c r="AD242" s="74" t="str">
        <x:v>0</x:v>
      </x:c>
      <x:c r="AE242" s="74" t="str">
        <x:v>0</x:v>
      </x:c>
      <x:c r="AF242" s="74" t="str"/>
      <x:c r="AG242" s="74" t="str">
        <x:v>1</x:v>
      </x:c>
      <x:c r="AH242" s="74" t="str">
        <x:v>1</x:v>
      </x:c>
      <x:c r="AI242" s="74" t="str">
        <x:v>0</x:v>
      </x:c>
      <x:c r="AJ242" s="74" t="str">
        <x:v>0</x:v>
      </x:c>
      <x:c r="AK242" s="74" t="str">
        <x:v>1</x:v>
      </x:c>
      <x:c r="AL242" s="74" t="str">
        <x:v>0</x:v>
      </x:c>
      <x:c r="AM242" s="74" t="str">
        <x:v>0</x:v>
      </x:c>
      <x:c r="AN242" s="74" t="str">
        <x:v>0</x:v>
      </x:c>
      <x:c r="AO242" s="60" t="str">
        <x:v>0</x:v>
      </x:c>
      <x:c r="AP242" s="76" t="str">
        <x:v>Paid-demand technology detected; creative refresh hypothesis</x:v>
      </x:c>
      <x:c r="AQ242" s="76" t="str">
        <x:v>Google Ads tag; project/gallery proof; visible service offer</x:v>
      </x:c>
      <x:c r="AR242" s="76" t="str">
        <x:v>I was reviewing plumbing companies in Myrtle Beach, South Carolina and USA Plumbing looked like a strong fit for a creative test.</x:v>
      </x:c>
      <x:c r="AS242" s="76" t="str">
        <x:v>small symptom to prevented-emergency ad</x:v>
      </x:c>
      <x:c r="AT242" s="76" t="str">
        <x:v>USA Plumbing ad concept</x:v>
      </x:c>
      <x:c r="AU242" s="76" t="str">
        <x:v>Hi USA Plumbing — I was reviewing plumbing companies in Myrtle Beach, South Carolina and USA Plumbing looked like a strong fit for a creative test. I mapped a private 15-second small symptom to prevented-emergency ad for USA Plumbing using only public brand context—not for publishing, just to show the angle. We build three client-approved video ad concepts in seven days, then turn the winners into fresh variations. No filming day required. Worth sending the private sample?</x:v>
      </x:c>
      <x:c r="AV242" s="76" t="str">
        <x:v>Quick follow-up: the sample angle is a small symptom to prevented-emergency ad. If it misses the mark, no problem—I won't keep chasing. Should I send it?</x:v>
      </x:c>
      <x:c r="AW242" s="76" t="str">
        <x:v>Hi USA Plumbing, Ryan here. I was looking at USA Plumbing's public marketing and noticed: paid-demand technology detected; creative refresh hypothesis. I mapped one private small symptom to prevented-emergency ad as an example. Did I catch you with 30 seconds?</x:v>
      </x:c>
      <x:c r="AX242" s="60" t="str">
        <x:v>https://www.facebook.com/ads/library/?active_status=active&amp;ad_type=all&amp;country=US&amp;q=USA%20Plumbing&amp;search_type=keyword_unordered</x:v>
      </x:c>
      <x:c r="AY242" s="60" t="str">
        <x:v>ok:200</x:v>
      </x:c>
      <x:c r="AZ242" s="60" t="n">
        <x:v>46232.722858796296</x:v>
      </x:c>
      <x:c r="BA242" s="60" t="str">
        <x:v>Google Maps home-services export</x:v>
      </x:c>
      <x:c r="BB242" s="60" t="str">
        <x:v>https://maps.google.com/?cid=13897690333259971441&amp;g_mp=Cidnb29nbGUubWFwcy5wbGFjZXMudjEuUGxhY2VzLlNlYXJjaFRleHQQAhgEIAA | https://usaplumbingmb.com</x:v>
      </x:c>
      <x:c r="BC242" s="60" t="str"/>
    </x:row>
    <x:row r="243" ht="18" customHeight="1">
      <x:c r="A243" s="70" t="str">
        <x:v>242</x:v>
      </x:c>
      <x:c r="B243" s="70" t="str">
        <x:v>B - Strong</x:v>
      </x:c>
      <x:c r="C243" s="72" t="str">
        <x:v>58</x:v>
      </x:c>
      <x:c r="D243" s="60" t="str">
        <x:v>Coastal Paint Pros</x:v>
      </x:c>
      <x:c r="E243" s="60" t="str">
        <x:v>https://coastalpaintpros.com</x:v>
      </x:c>
      <x:c r="F243" s="60" t="str">
        <x:v>https://www.coastalpaintpros.com/</x:v>
      </x:c>
      <x:c r="G243" s="60" t="str">
        <x:v>Charleston</x:v>
      </x:c>
      <x:c r="H243" s="60" t="str">
        <x:v>South Carolina Metropolitan Area</x:v>
      </x:c>
      <x:c r="I243" s="60" t="str">
        <x:v>General Contractor</x:v>
      </x:c>
      <x:c r="J243" s="60" t="str">
        <x:v>Josh</x:v>
      </x:c>
      <x:c r="K243" s="60" t="str">
        <x:v>Garcia</x:v>
      </x:c>
      <x:c r="L243" s="60" t="str">
        <x:v>Co-Owner</x:v>
      </x:c>
      <x:c r="M243" s="60" t="str"/>
      <x:c r="N243" s="60" t="str"/>
      <x:c r="O243" s="60" t="str">
        <x:v>+505 8683 8811</x:v>
      </x:c>
      <x:c r="P243" s="60" t="str">
        <x:v>https://www.linkedin.com/in/joshgarciareed</x:v>
      </x:c>
      <x:c r="Q243" s="60" t="str">
        <x:v>2-10</x:v>
      </x:c>
      <x:c r="R243" s="60" t="str">
        <x:v>0-99999</x:v>
      </x:c>
      <x:c r="S243" s="60" t="str"/>
      <x:c r="T243" s="74" t="str">
        <x:v>0</x:v>
      </x:c>
      <x:c r="U243" s="60" t="str"/>
      <x:c r="V243" s="74" t="str">
        <x:v>20</x:v>
      </x:c>
      <x:c r="W243" s="74" t="str">
        <x:v>13</x:v>
      </x:c>
      <x:c r="X243" s="74" t="str">
        <x:v>12</x:v>
      </x:c>
      <x:c r="Y243" s="74" t="str">
        <x:v>8</x:v>
      </x:c>
      <x:c r="Z243" s="74" t="str">
        <x:v>5</x:v>
      </x:c>
      <x:c r="AA243" s="74" t="str">
        <x:v>0</x:v>
      </x:c>
      <x:c r="AB243" s="74" t="str">
        <x:v>1</x:v>
      </x:c>
      <x:c r="AC243" s="74" t="str">
        <x:v>1</x:v>
      </x:c>
      <x:c r="AD243" s="74" t="str">
        <x:v>0</x:v>
      </x:c>
      <x:c r="AE243" s="74" t="str">
        <x:v>0</x:v>
      </x:c>
      <x:c r="AF243" s="74" t="str"/>
      <x:c r="AG243" s="74" t="str">
        <x:v>0</x:v>
      </x:c>
      <x:c r="AH243" s="74" t="str">
        <x:v>1</x:v>
      </x:c>
      <x:c r="AI243" s="74" t="str">
        <x:v>0</x:v>
      </x:c>
      <x:c r="AJ243" s="74" t="str">
        <x:v>0</x:v>
      </x:c>
      <x:c r="AK243" s="74" t="str">
        <x:v>1</x:v>
      </x:c>
      <x:c r="AL243" s="74" t="str">
        <x:v>1</x:v>
      </x:c>
      <x:c r="AM243" s="74" t="str">
        <x:v>1</x:v>
      </x:c>
      <x:c r="AN243" s="74" t="str">
        <x:v>0</x:v>
      </x:c>
      <x:c r="AO243" s="60" t="str">
        <x:v>0</x:v>
      </x:c>
      <x:c r="AP243" s="76" t="str">
        <x:v>Google Ads tag detected; no embedded homepage video found</x:v>
      </x:c>
      <x:c r="AQ243" s="76" t="str">
        <x:v>Google Ads tag; project/gallery proof; visible service offer; no embedded homepage video detected</x:v>
      </x:c>
      <x:c r="AR243" s="76" t="str">
        <x:v>I noticed Coastal Paint Pros's site has a Google Ads tag installed, but I couldn't find an embedded video on the homepage.</x:v>
      </x:c>
      <x:c r="AS243" s="76" t="str">
        <x:v>project walkthrough with proof milestones</x:v>
      </x:c>
      <x:c r="AT243" s="76" t="str">
        <x:v>Coastal Paint Pros ad concept</x:v>
      </x:c>
      <x:c r="AU243" s="76" t="str">
        <x:v>Hi Josh — I noticed Coastal Paint Pros's site has a Google Ads tag installed, but I couldn't find an embedded video on the homepage. I mapped a private 15-second project walkthrough with proof milestones for Coastal Paint Pros using only public brand context—not for publishing, just to show the angle. We build three client-approved video ad concepts in seven days, then turn the winners into fresh variations. No filming day required. Worth sending the private sample?</x:v>
      </x:c>
      <x:c r="AV243" s="76" t="str">
        <x:v>Quick follow-up: the sample angle is a project walkthrough with proof milestones. If it misses the mark, no problem—I won't keep chasing. Should I send it?</x:v>
      </x:c>
      <x:c r="AW243" s="76" t="str">
        <x:v>Hi Josh, Ryan here. I was looking at Coastal Paint Pros's public marketing and noticed: google ads tag detected; no embedded homepage video found. I mapped one private project walkthrough with proof milestones as an example. Did I catch you with 30 seconds?</x:v>
      </x:c>
      <x:c r="AX243" s="60" t="str">
        <x:v>https://www.facebook.com/ads/library/?active_status=active&amp;ad_type=all&amp;country=US&amp;q=Coastal%20Paint%20Pros&amp;search_type=keyword_unordered</x:v>
      </x:c>
      <x:c r="AY243" s="60" t="str">
        <x:v>ok:200</x:v>
      </x:c>
      <x:c r="AZ243" s="60" t="n">
        <x:v>46232.722858796296</x:v>
      </x:c>
      <x:c r="BA243" s="60" t="str">
        <x:v>AI Ark SC trades export</x:v>
      </x:c>
      <x:c r="BB243" s="60" t="str">
        <x:v>https://coastalpaintpros.com | https://www.linkedin.com/company/coastalpaintpros</x:v>
      </x:c>
      <x:c r="BC243" s="60" t="str"/>
    </x:row>
    <x:row r="244" ht="18" customHeight="1">
      <x:c r="A244" s="70" t="str">
        <x:v>243</x:v>
      </x:c>
      <x:c r="B244" s="70" t="str">
        <x:v>B - Strong</x:v>
      </x:c>
      <x:c r="C244" s="72" t="str">
        <x:v>58</x:v>
      </x:c>
      <x:c r="D244" s="60" t="str">
        <x:v>United Electric Company</x:v>
      </x:c>
      <x:c r="E244" s="60" t="str">
        <x:v>https://ueco.com</x:v>
      </x:c>
      <x:c r="F244" s="60" t="str">
        <x:v>https://ueco.com</x:v>
      </x:c>
      <x:c r="G244" s="60" t="str">
        <x:v>Inman</x:v>
      </x:c>
      <x:c r="H244" s="60" t="str">
        <x:v>South Carolina</x:v>
      </x:c>
      <x:c r="I244" s="60" t="str">
        <x:v>General Contractor</x:v>
      </x:c>
      <x:c r="J244" s="60" t="str">
        <x:v>Pat</x:v>
      </x:c>
      <x:c r="K244" s="60" t="str">
        <x:v>Switzer</x:v>
      </x:c>
      <x:c r="L244" s="60" t="str">
        <x:v>Owner</x:v>
      </x:c>
      <x:c r="M244" s="60" t="str"/>
      <x:c r="N244" s="60" t="str"/>
      <x:c r="O244" s="60" t="str"/>
      <x:c r="P244" s="60" t="str">
        <x:v>https://www.linkedin.com/in/pat-switzer-1b7712303</x:v>
      </x:c>
      <x:c r="Q244" s="60" t="str">
        <x:v>51-200</x:v>
      </x:c>
      <x:c r="R244" s="60" t="str">
        <x:v>500000-999999</x:v>
      </x:c>
      <x:c r="S244" s="60" t="str"/>
      <x:c r="T244" s="74" t="str">
        <x:v>0</x:v>
      </x:c>
      <x:c r="U244" s="60" t="str"/>
      <x:c r="V244" s="74" t="str">
        <x:v>25</x:v>
      </x:c>
      <x:c r="W244" s="74" t="str">
        <x:v>12</x:v>
      </x:c>
      <x:c r="X244" s="74" t="str">
        <x:v>19</x:v>
      </x:c>
      <x:c r="Y244" s="74" t="str">
        <x:v>0</x:v>
      </x:c>
      <x:c r="Z244" s="74" t="str">
        <x:v>2</x:v>
      </x:c>
      <x:c r="AA244" s="74" t="str">
        <x:v>1</x:v>
      </x:c>
      <x:c r="AB244" s="74" t="str">
        <x:v>0</x:v>
      </x:c>
      <x:c r="AC244" s="74" t="str">
        <x:v>0</x:v>
      </x:c>
      <x:c r="AD244" s="74" t="str">
        <x:v>0</x:v>
      </x:c>
      <x:c r="AE244" s="74" t="str">
        <x:v>0</x:v>
      </x:c>
      <x:c r="AF244" s="74" t="str"/>
      <x:c r="AG244" s="74" t="str">
        <x:v>0</x:v>
      </x:c>
      <x:c r="AH244" s="74" t="str">
        <x:v>0</x:v>
      </x:c>
      <x:c r="AI244" s="74" t="str">
        <x:v>0</x:v>
      </x:c>
      <x:c r="AJ244" s="74" t="str">
        <x:v>0</x:v>
      </x:c>
      <x:c r="AK244" s="74" t="str">
        <x:v>0</x:v>
      </x:c>
      <x:c r="AL244" s="74" t="str">
        <x:v>0</x:v>
      </x:c>
      <x:c r="AM244" s="74" t="str">
        <x:v>0</x:v>
      </x:c>
      <x:c r="AN244" s="74" t="str">
        <x:v>0</x:v>
      </x:c>
      <x:c r="AO244" s="60" t="str">
        <x:v>2023</x:v>
      </x:c>
      <x:c r="AP244" s="76" t="str">
        <x:v>Meta tracking detected; no embedded homepage video found</x:v>
      </x:c>
      <x:c r="AQ244" s="76" t="str">
        <x:v>Meta Pixel; no embedded homepage video detected</x:v>
      </x:c>
      <x:c r="AR244" s="76" t="str">
        <x:v>I noticed United Electric Company's site has Meta tracking installed, but I couldn't find an embedded video on the homepage.</x:v>
      </x:c>
      <x:c r="AS244" s="76" t="str">
        <x:v>project walkthrough with proof milestones</x:v>
      </x:c>
      <x:c r="AT244" s="76" t="str">
        <x:v>United Electric Company ad concept</x:v>
      </x:c>
      <x:c r="AU244" s="76" t="str">
        <x:v>Hi Pat — I noticed United Electric Company's site has Meta tracking installed, but I couldn't find an embedded video on the homepage. I mapped a private 15-second project walkthrough with proof milestones for United Electric Company using only public brand context—not for publishing, just to show the angle. We build three client-approved video ad concepts in seven days, then turn the winners into fresh variations. No filming day required. Worth sending the private sample?</x:v>
      </x:c>
      <x:c r="AV244" s="76" t="str">
        <x:v>Quick follow-up: the sample angle is a project walkthrough with proof milestones. If it misses the mark, no problem—I won't keep chasing. Should I send it?</x:v>
      </x:c>
      <x:c r="AW244" s="76" t="str">
        <x:v>Hi Pat, Ryan here. I was looking at United Electric Company's public marketing and noticed: meta tracking detected; no embedded homepage video found. I mapped one private project walkthrough with proof milestones as an example. Did I catch you with 30 seconds?</x:v>
      </x:c>
      <x:c r="AX244" s="60" t="str">
        <x:v>https://www.facebook.com/ads/library/?active_status=active&amp;ad_type=all&amp;country=US&amp;q=United%20Electric%20Company&amp;search_type=keyword_unordered</x:v>
      </x:c>
      <x:c r="AY244" s="60" t="str">
        <x:v>ok:200</x:v>
      </x:c>
      <x:c r="AZ244" s="60" t="n">
        <x:v>46232.722858796296</x:v>
      </x:c>
      <x:c r="BA244" s="60" t="str">
        <x:v>AI Ark SC trades export</x:v>
      </x:c>
      <x:c r="BB244" s="60" t="str">
        <x:v>https://ueco.com | https://www.linkedin.com/company/united-electric-company</x:v>
      </x:c>
      <x:c r="BC244" s="60" t="str"/>
    </x:row>
    <x:row r="245" ht="18" customHeight="1">
      <x:c r="A245" s="70" t="str">
        <x:v>244</x:v>
      </x:c>
      <x:c r="B245" s="70" t="str">
        <x:v>B - Strong</x:v>
      </x:c>
      <x:c r="C245" s="72" t="str">
        <x:v>58</x:v>
      </x:c>
      <x:c r="D245" s="60" t="str">
        <x:v>Village Restoration &amp; Custom Homes</x:v>
      </x:c>
      <x:c r="E245" s="60" t="str">
        <x:v>https://villagerestoration.net</x:v>
      </x:c>
      <x:c r="F245" s="60" t="str">
        <x:v>https://villagerestoration.net</x:v>
      </x:c>
      <x:c r="G245" s="60" t="str">
        <x:v>Mount Pleasant</x:v>
      </x:c>
      <x:c r="H245" s="60" t="str">
        <x:v>South Carolina</x:v>
      </x:c>
      <x:c r="I245" s="60" t="str">
        <x:v>Restoration</x:v>
      </x:c>
      <x:c r="J245" s="60" t="str">
        <x:v>Brent</x:v>
      </x:c>
      <x:c r="K245" s="60" t="str">
        <x:v>Lindley</x:v>
      </x:c>
      <x:c r="L245" s="60" t="str">
        <x:v>Business Owner</x:v>
      </x:c>
      <x:c r="M245" s="60" t="str">
        <x:v>brent@villagerestoration.net</x:v>
      </x:c>
      <x:c r="N245" s="60" t="str">
        <x:v>Verified with BounceBan on 08 Jun 26 12:06</x:v>
      </x:c>
      <x:c r="O245" s="60" t="str">
        <x:v>+1 843 971 5974</x:v>
      </x:c>
      <x:c r="P245" s="60" t="str">
        <x:v>https://www.linkedin.com/in/brent-lindley-873b254a</x:v>
      </x:c>
      <x:c r="Q245" s="60" t="str">
        <x:v>2-10</x:v>
      </x:c>
      <x:c r="R245" s="60" t="str">
        <x:v>100000-499999</x:v>
      </x:c>
      <x:c r="S245" s="60" t="str"/>
      <x:c r="T245" s="74" t="str">
        <x:v>0</x:v>
      </x:c>
      <x:c r="U245" s="60" t="str"/>
      <x:c r="V245" s="74" t="str">
        <x:v>28</x:v>
      </x:c>
      <x:c r="W245" s="74" t="str">
        <x:v>11</x:v>
      </x:c>
      <x:c r="X245" s="74" t="str">
        <x:v>0</x:v>
      </x:c>
      <x:c r="Y245" s="74" t="str">
        <x:v>9</x:v>
      </x:c>
      <x:c r="Z245" s="74" t="str">
        <x:v>10</x:v>
      </x:c>
      <x:c r="AA245" s="74" t="str">
        <x:v>0</x:v>
      </x:c>
      <x:c r="AB245" s="74" t="str">
        <x:v>0</x:v>
      </x:c>
      <x:c r="AC245" s="74" t="str">
        <x:v>1</x:v>
      </x:c>
      <x:c r="AD245" s="74" t="str">
        <x:v>0</x:v>
      </x:c>
      <x:c r="AE245" s="74" t="str">
        <x:v>1</x:v>
      </x:c>
      <x:c r="AF245" s="74" t="str"/>
      <x:c r="AG245" s="74" t="str">
        <x:v>1</x:v>
      </x:c>
      <x:c r="AH245" s="74" t="str">
        <x:v>1</x:v>
      </x:c>
      <x:c r="AI245" s="74" t="str">
        <x:v>1</x:v>
      </x:c>
      <x:c r="AJ245" s="74" t="str">
        <x:v>0</x:v>
      </x:c>
      <x:c r="AK245" s="74" t="str">
        <x:v>0</x:v>
      </x:c>
      <x:c r="AL245" s="74" t="str">
        <x:v>1</x:v>
      </x:c>
      <x:c r="AM245" s="74" t="str">
        <x:v>0</x:v>
      </x:c>
      <x:c r="AN245" s="74" t="str">
        <x:v>0</x:v>
      </x:c>
      <x:c r="AO245" s="60" t="str">
        <x:v>2026</x:v>
      </x:c>
      <x:c r="AP245" s="76" t="str">
        <x:v>Paid-demand technology detected; creative refresh hypothesis</x:v>
      </x:c>
      <x:c r="AQ245" s="76" t="str">
        <x:v>call tracking; project/gallery proof; testimonials</x:v>
      </x:c>
      <x:c r="AR245" s="76" t="str">
        <x:v>I was reviewing restoration companies in Mount Pleasant, South Carolina and Village Restoration &amp; Custom Homes looked like a strong fit for a creative test.</x:v>
      </x:c>
      <x:c r="AS245" s="76" t="str">
        <x:v>first-24-hours emergency-response ad</x:v>
      </x:c>
      <x:c r="AT245" s="76" t="str">
        <x:v>Village Restoration &amp; Custom Homes ad concept</x:v>
      </x:c>
      <x:c r="AU245" s="76" t="str">
        <x:v>Hi Brent — I was reviewing restoration companies in Mount Pleasant, South Carolina and Village Restoration &amp; Custom Homes looked like a strong fit for a creative test. I mapped a private 15-second first-24-hours emergency-response ad for Village Restoration &amp; Custom Homes using only public brand context—not for publishing, just to show the angle. We build three client-approved video ad concepts in seven days, then turn the winners into fresh variations. No filming day required. Worth sending the private sample?</x:v>
      </x:c>
      <x:c r="AV245" s="76" t="str">
        <x:v>Quick follow-up: the sample angle is a first-24-hours emergency-response ad. If it misses the mark, no problem—I won't keep chasing. Should I send it?</x:v>
      </x:c>
      <x:c r="AW245" s="76" t="str">
        <x:v>Hi Brent, Ryan here. I was looking at Village Restoration &amp; Custom Homes's public marketing and noticed: paid-demand technology detected; creative refresh hypothesis. I mapped one private first-24-hours emergency-response ad as an example. Did I catch you with 30 seconds?</x:v>
      </x:c>
      <x:c r="AX245" s="60" t="str">
        <x:v>https://www.facebook.com/ads/library/?active_status=active&amp;ad_type=all&amp;country=US&amp;q=Village%20Restoration%20%26%20Custom%20Homes&amp;search_type=keyword_unordered</x:v>
      </x:c>
      <x:c r="AY245" s="60" t="str">
        <x:v>ok:200</x:v>
      </x:c>
      <x:c r="AZ245" s="60" t="n">
        <x:v>46232.722858796296</x:v>
      </x:c>
      <x:c r="BA245" s="60" t="str">
        <x:v>AI Ark SC trades export</x:v>
      </x:c>
      <x:c r="BB245" s="60" t="str">
        <x:v>https://villagerestoration.net | https://www.linkedin.com/company/village-restoration-custom-homes</x:v>
      </x:c>
      <x:c r="BC245" s="60" t="str"/>
    </x:row>
    <x:row r="246" ht="18" customHeight="1">
      <x:c r="A246" s="70" t="str">
        <x:v>245</x:v>
      </x:c>
      <x:c r="B246" s="70" t="str">
        <x:v>B - Strong</x:v>
      </x:c>
      <x:c r="C246" s="72" t="str">
        <x:v>58</x:v>
      </x:c>
      <x:c r="D246" s="60" t="str">
        <x:v>Get A Grip Resurfacing</x:v>
      </x:c>
      <x:c r="E246" s="60" t="str">
        <x:v>https://getagrip.com</x:v>
      </x:c>
      <x:c r="F246" s="60" t="str">
        <x:v>https://getagrip.com</x:v>
      </x:c>
      <x:c r="G246" s="60" t="str">
        <x:v>Myrtle Beach</x:v>
      </x:c>
      <x:c r="H246" s="60" t="str">
        <x:v>South Carolina</x:v>
      </x:c>
      <x:c r="I246" s="60" t="str">
        <x:v>Restoration</x:v>
      </x:c>
      <x:c r="J246" s="60" t="str">
        <x:v>Get a Grip</x:v>
      </x:c>
      <x:c r="K246" s="60" t="str">
        <x:v>LLC</x:v>
      </x:c>
      <x:c r="L246" s="60" t="str">
        <x:v>owner operator</x:v>
      </x:c>
      <x:c r="M246" s="60" t="str"/>
      <x:c r="N246" s="60" t="str"/>
      <x:c r="O246" s="60" t="str"/>
      <x:c r="P246" s="60" t="str">
        <x:v>https://www.linkedin.com/in/get-a-grip-llc-bab7a6b3</x:v>
      </x:c>
      <x:c r="Q246" s="60" t="str">
        <x:v>11-50</x:v>
      </x:c>
      <x:c r="R246" s="60" t="str">
        <x:v>1000000-4999999</x:v>
      </x:c>
      <x:c r="S246" s="60" t="str"/>
      <x:c r="T246" s="74" t="str">
        <x:v>0</x:v>
      </x:c>
      <x:c r="U246" s="60" t="str"/>
      <x:c r="V246" s="74" t="str">
        <x:v>30</x:v>
      </x:c>
      <x:c r="W246" s="74" t="str">
        <x:v>11</x:v>
      </x:c>
      <x:c r="X246" s="74" t="str">
        <x:v>12</x:v>
      </x:c>
      <x:c r="Y246" s="74" t="str">
        <x:v>3</x:v>
      </x:c>
      <x:c r="Z246" s="74" t="str">
        <x:v>2</x:v>
      </x:c>
      <x:c r="AA246" s="74" t="str">
        <x:v>0</x:v>
      </x:c>
      <x:c r="AB246" s="74" t="str">
        <x:v>0</x:v>
      </x:c>
      <x:c r="AC246" s="74" t="str">
        <x:v>1</x:v>
      </x:c>
      <x:c r="AD246" s="74" t="str">
        <x:v>0</x:v>
      </x:c>
      <x:c r="AE246" s="74" t="str">
        <x:v>1</x:v>
      </x:c>
      <x:c r="AF246" s="74" t="str"/>
      <x:c r="AG246" s="74" t="str">
        <x:v>0</x:v>
      </x:c>
      <x:c r="AH246" s="74" t="str">
        <x:v>0</x:v>
      </x:c>
      <x:c r="AI246" s="74" t="str">
        <x:v>0</x:v>
      </x:c>
      <x:c r="AJ246" s="74" t="str">
        <x:v>0</x:v>
      </x:c>
      <x:c r="AK246" s="74" t="str">
        <x:v>1</x:v>
      </x:c>
      <x:c r="AL246" s="74" t="str">
        <x:v>1</x:v>
      </x:c>
      <x:c r="AM246" s="74" t="str">
        <x:v>1</x:v>
      </x:c>
      <x:c r="AN246" s="74" t="str">
        <x:v>1</x:v>
      </x:c>
      <x:c r="AO246" s="60" t="str">
        <x:v>2026</x:v>
      </x:c>
      <x:c r="AP246" s="76" t="str">
        <x:v>Call-tracking stack detected; no embedded homepage video found</x:v>
      </x:c>
      <x:c r="AQ246" s="76" t="str">
        <x:v>call tracking; visible service offer; no embedded homepage video detected</x:v>
      </x:c>
      <x:c r="AR246" s="76" t="str">
        <x:v>I noticed Get A Grip Resurfacing has call tracking in place, but I couldn't find an embedded video on the homepage.</x:v>
      </x:c>
      <x:c r="AS246" s="76" t="str">
        <x:v>first-24-hours emergency-response ad</x:v>
      </x:c>
      <x:c r="AT246" s="76" t="str">
        <x:v>Get A Grip Resurfacing ad concept</x:v>
      </x:c>
      <x:c r="AU246" s="76" t="str">
        <x:v>Hi Get a Grip — I noticed Get A Grip Resurfacing has call tracking in place, but I couldn't find an embedded video on the homepage. I mapped a private 15-second first-24-hours emergency-response ad for Get A Grip Resurfacing using only public brand context—not for publishing, just to show the angle. We build three client-approved video ad concepts in seven days, then turn the winners into fresh variations. No filming day required. Worth sending the private sample?</x:v>
      </x:c>
      <x:c r="AV246" s="76" t="str">
        <x:v>Quick follow-up: the sample angle is a first-24-hours emergency-response ad. If it misses the mark, no problem—I won't keep chasing. Should I send it?</x:v>
      </x:c>
      <x:c r="AW246" s="76" t="str">
        <x:v>Hi Get a Grip, Ryan here. I was looking at Get A Grip Resurfacing's public marketing and noticed: call-tracking stack detected; no embedded homepage video found. I mapped one private first-24-hours emergency-response ad as an example. Did I catch you with 30 seconds?</x:v>
      </x:c>
      <x:c r="AX246" s="60" t="str">
        <x:v>https://www.facebook.com/ads/library/?active_status=active&amp;ad_type=all&amp;country=US&amp;q=Get%20A%20Grip%20Resurfacing&amp;search_type=keyword_unordered</x:v>
      </x:c>
      <x:c r="AY246" s="60" t="str">
        <x:v>ok:200</x:v>
      </x:c>
      <x:c r="AZ246" s="60" t="n">
        <x:v>46232.722858796296</x:v>
      </x:c>
      <x:c r="BA246" s="60" t="str">
        <x:v>AI Ark SC trades export</x:v>
      </x:c>
      <x:c r="BB246" s="60" t="str">
        <x:v>https://getagrip.com | https://www.linkedin.com/company/get-a-grip-inc.-resurfacing</x:v>
      </x:c>
      <x:c r="BC246" s="60" t="str"/>
    </x:row>
    <x:row r="247" ht="18" customHeight="1">
      <x:c r="A247" s="70" t="str">
        <x:v>246</x:v>
      </x:c>
      <x:c r="B247" s="70" t="str">
        <x:v>B - Strong</x:v>
      </x:c>
      <x:c r="C247" s="72" t="str">
        <x:v>58</x:v>
      </x:c>
      <x:c r="D247" s="60" t="str">
        <x:v>Boykin Air Conditioning Services</x:v>
      </x:c>
      <x:c r="E247" s="60" t="str">
        <x:v>https://boykinacs.com</x:v>
      </x:c>
      <x:c r="F247" s="60" t="str">
        <x:v>https://www.boykinacs.com/</x:v>
      </x:c>
      <x:c r="G247" s="60" t="str">
        <x:v>Sumter</x:v>
      </x:c>
      <x:c r="H247" s="60" t="str">
        <x:v>South Carolina</x:v>
      </x:c>
      <x:c r="I247" s="60" t="str">
        <x:v>HVAC</x:v>
      </x:c>
      <x:c r="J247" s="60" t="str">
        <x:v>Boykin Air Conditioning Services</x:v>
      </x:c>
      <x:c r="K247" s="60" t="str"/>
      <x:c r="L247" s="60" t="str">
        <x:v>Owner / decision maker to verify</x:v>
      </x:c>
      <x:c r="M247" s="60" t="str"/>
      <x:c r="N247" s="60" t="str"/>
      <x:c r="O247" s="60" t="str">
        <x:v>(803) 778-1937</x:v>
      </x:c>
      <x:c r="P247" s="60" t="str"/>
      <x:c r="Q247" s="60" t="str"/>
      <x:c r="R247" s="60" t="str"/>
      <x:c r="S247" s="60" t="str">
        <x:v>4.9</x:v>
      </x:c>
      <x:c r="T247" s="74" t="str">
        <x:v>541</x:v>
      </x:c>
      <x:c r="U247" s="60" t="str"/>
      <x:c r="V247" s="74" t="str">
        <x:v>29</x:v>
      </x:c>
      <x:c r="W247" s="74" t="str">
        <x:v>6</x:v>
      </x:c>
      <x:c r="X247" s="74" t="str">
        <x:v>3</x:v>
      </x:c>
      <x:c r="Y247" s="74" t="str">
        <x:v>15</x:v>
      </x:c>
      <x:c r="Z247" s="74" t="str">
        <x:v>5</x:v>
      </x:c>
      <x:c r="AA247" s="74" t="str">
        <x:v>0</x:v>
      </x:c>
      <x:c r="AB247" s="74" t="str">
        <x:v>0</x:v>
      </x:c>
      <x:c r="AC247" s="74" t="str">
        <x:v>1</x:v>
      </x:c>
      <x:c r="AD247" s="74" t="str">
        <x:v>0</x:v>
      </x:c>
      <x:c r="AE247" s="74" t="str">
        <x:v>0</x:v>
      </x:c>
      <x:c r="AF247" s="74" t="str">
        <x:v>podium</x:v>
      </x:c>
      <x:c r="AG247" s="74" t="str">
        <x:v>1</x:v>
      </x:c>
      <x:c r="AH247" s="74" t="str">
        <x:v>1</x:v>
      </x:c>
      <x:c r="AI247" s="74" t="str">
        <x:v>1</x:v>
      </x:c>
      <x:c r="AJ247" s="74" t="str">
        <x:v>0</x:v>
      </x:c>
      <x:c r="AK247" s="74" t="str">
        <x:v>1</x:v>
      </x:c>
      <x:c r="AL247" s="74" t="str">
        <x:v>0</x:v>
      </x:c>
      <x:c r="AM247" s="74" t="str">
        <x:v>1</x:v>
      </x:c>
      <x:c r="AN247" s="74" t="str">
        <x:v>1</x:v>
      </x:c>
      <x:c r="AO247" s="60" t="str">
        <x:v>2019</x:v>
      </x:c>
      <x:c r="AP247" s="76" t="str">
        <x:v>ICP fit; paid-demand need requires manual verification</x:v>
      </x:c>
      <x:c r="AQ247" s="76" t="str">
        <x:v>project/gallery proof; testimonials; visible service offer</x:v>
      </x:c>
      <x:c r="AR247" s="76" t="str">
        <x:v>I was reviewing hvac companies in Sumter, South Carolina and Boykin Air Conditioning Services looked like a strong fit for a creative test.</x:v>
      </x:c>
      <x:c r="AS247" s="76" t="str">
        <x:v>no-cool-call to same-day comfort ad</x:v>
      </x:c>
      <x:c r="AT247" s="76" t="str">
        <x:v>Boykin Air Conditioning Services ad concept</x:v>
      </x:c>
      <x:c r="AU247" s="76" t="str">
        <x:v>Hi Boykin Air Conditioning Services — I was reviewing hvac companies in Sumter, South Carolina and Boykin Air Conditioning Services looked like a strong fit for a creative test. I mapped a private 15-second no-cool-call to same-day comfort ad for Boykin Air Conditioning Services using only public brand context—not for publishing, just to show the angle. We build three client-approved video ad concepts in seven days, then turn the winners into fresh variations. No filming day required. Worth sending the private sample?</x:v>
      </x:c>
      <x:c r="AV247" s="76" t="str">
        <x:v>Quick follow-up: the sample angle is a no-cool-call to same-day comfort ad. If it misses the mark, no problem—I won't keep chasing. Should I send it?</x:v>
      </x:c>
      <x:c r="AW247" s="76" t="str">
        <x:v>Hi Boykin Air Conditioning Services, Ryan here. I was looking at Boykin Air Conditioning Services's public marketing and noticed: icp fit; paid-demand need requires manual verification. I mapped one private no-cool-call to same-day comfort ad as an example. Did I catch you with 30 seconds?</x:v>
      </x:c>
      <x:c r="AX247" s="60" t="str">
        <x:v>https://www.facebook.com/ads/library/?active_status=active&amp;ad_type=all&amp;country=US&amp;q=Boykin%20Air%20Conditioning%20Services&amp;search_type=keyword_unordered</x:v>
      </x:c>
      <x:c r="AY247" s="60" t="str">
        <x:v>ok:200</x:v>
      </x:c>
      <x:c r="AZ247" s="60" t="n">
        <x:v>46232.722858796296</x:v>
      </x:c>
      <x:c r="BA247" s="60" t="str">
        <x:v>Google Maps home-services export</x:v>
      </x:c>
      <x:c r="BB247" s="60" t="str">
        <x:v>https://boykinacs.com | https://maps.google.com/?cid=3235636298885077329&amp;g_mp=Cidnb29nbGUubWFwcy5wbGFjZXMudjEuUGxhY2VzLlNlYXJjaFRleHQQAhgEIAA</x:v>
      </x:c>
      <x:c r="BC247" s="60" t="str"/>
    </x:row>
    <x:row r="248" ht="18" customHeight="1">
      <x:c r="A248" s="70" t="str">
        <x:v>247</x:v>
      </x:c>
      <x:c r="B248" s="70" t="str">
        <x:v>B - Strong</x:v>
      </x:c>
      <x:c r="C248" s="72" t="str">
        <x:v>58</x:v>
      </x:c>
      <x:c r="D248" s="60" t="str">
        <x:v>ALL Plumbing Company | Charleston Plumbers</x:v>
      </x:c>
      <x:c r="E248" s="60" t="str">
        <x:v>https://allplumbingcompany.com</x:v>
      </x:c>
      <x:c r="F248" s="60" t="str">
        <x:v>https://allplumbingcompany.com</x:v>
      </x:c>
      <x:c r="G248" s="60" t="str">
        <x:v>Charleston</x:v>
      </x:c>
      <x:c r="H248" s="60" t="str">
        <x:v>South Carolina</x:v>
      </x:c>
      <x:c r="I248" s="60" t="str">
        <x:v>Plumbing</x:v>
      </x:c>
      <x:c r="J248" s="60" t="str">
        <x:v>ALL Plumbing Company | Charleston Plumbers</x:v>
      </x:c>
      <x:c r="K248" s="60" t="str"/>
      <x:c r="L248" s="60" t="str">
        <x:v>Owner / decision maker to verify</x:v>
      </x:c>
      <x:c r="M248" s="60" t="str"/>
      <x:c r="N248" s="60" t="str"/>
      <x:c r="O248" s="60" t="str">
        <x:v>(843) 761-8002</x:v>
      </x:c>
      <x:c r="P248" s="60" t="str"/>
      <x:c r="Q248" s="60" t="str"/>
      <x:c r="R248" s="60" t="str"/>
      <x:c r="S248" s="60" t="str">
        <x:v>4.6</x:v>
      </x:c>
      <x:c r="T248" s="74" t="str">
        <x:v>178</x:v>
      </x:c>
      <x:c r="U248" s="60" t="str">
        <x:v>no_show</x:v>
      </x:c>
      <x:c r="V248" s="74" t="str">
        <x:v>24</x:v>
      </x:c>
      <x:c r="W248" s="74" t="str">
        <x:v>6</x:v>
      </x:c>
      <x:c r="X248" s="74" t="str">
        <x:v>12</x:v>
      </x:c>
      <x:c r="Y248" s="74" t="str">
        <x:v>11</x:v>
      </x:c>
      <x:c r="Z248" s="74" t="str">
        <x:v>5</x:v>
      </x:c>
      <x:c r="AA248" s="74" t="str">
        <x:v>0</x:v>
      </x:c>
      <x:c r="AB248" s="74" t="str">
        <x:v>0</x:v>
      </x:c>
      <x:c r="AC248" s="74" t="str">
        <x:v>1</x:v>
      </x:c>
      <x:c r="AD248" s="74" t="str">
        <x:v>0</x:v>
      </x:c>
      <x:c r="AE248" s="74" t="str">
        <x:v>0</x:v>
      </x:c>
      <x:c r="AF248" s="74" t="str">
        <x:v>servicetitan</x:v>
      </x:c>
      <x:c r="AG248" s="74" t="str">
        <x:v>0</x:v>
      </x:c>
      <x:c r="AH248" s="74" t="str">
        <x:v>1</x:v>
      </x:c>
      <x:c r="AI248" s="74" t="str">
        <x:v>0</x:v>
      </x:c>
      <x:c r="AJ248" s="74" t="str">
        <x:v>0</x:v>
      </x:c>
      <x:c r="AK248" s="74" t="str">
        <x:v>1</x:v>
      </x:c>
      <x:c r="AL248" s="74" t="str">
        <x:v>0</x:v>
      </x:c>
      <x:c r="AM248" s="74" t="str">
        <x:v>1</x:v>
      </x:c>
      <x:c r="AN248" s="74" t="str">
        <x:v>0</x:v>
      </x:c>
      <x:c r="AO248" s="60" t="str">
        <x:v>0</x:v>
      </x:c>
      <x:c r="AP248" s="76" t="str">
        <x:v>Project/gallery proof found; no embedded homepage video found</x:v>
      </x:c>
      <x:c r="AQ248" s="76" t="str">
        <x:v>project/gallery proof; visible service offer; no embedded homepage video detected</x:v>
      </x:c>
      <x:c r="AR248" s="76" t="str">
        <x:v>I found project/gallery proof on ALL Plumbing Company | Charleston Plumbers's site that could be repackaged into short-form ad concepts.</x:v>
      </x:c>
      <x:c r="AS248" s="76" t="str">
        <x:v>small symptom to prevented-emergency ad</x:v>
      </x:c>
      <x:c r="AT248" s="76" t="str">
        <x:v>ALL Plumbing Company | Charleston Plumbers ad concept</x:v>
      </x:c>
      <x:c r="AU248" s="76" t="str">
        <x:v>Hi ALL Plumbing Company | Charleston Plumbers — I found project/gallery proof on ALL Plumbing Company | Charleston Plumbers's site that could be repackaged into short-form ad concepts. I mapped a private 15-second small symptom to prevented-emergency ad for ALL Plumbing Company | Charleston Plumbers using only public brand context—not for publishing, just to show the angle. We build three client-approved video ad concepts in seven days, then turn the winners into fresh variations. No filming day required. Worth sending the private sample?</x:v>
      </x:c>
      <x:c r="AV248" s="76" t="str">
        <x:v>Quick follow-up: the sample angle is a small symptom to prevented-emergency ad. If it misses the mark, no problem—I won't keep chasing. Should I send it?</x:v>
      </x:c>
      <x:c r="AW248" s="76" t="str">
        <x:v>Hi ALL Plumbing Company | Charleston Plumbers, Ryan here. I was looking at ALL Plumbing Company | Charleston Plumbers's public marketing and noticed: project/gallery proof found; no embedded homepage video found. I mapped one private small symptom to prevented-emergency ad as an example. Did I catch you with 30 seconds?</x:v>
      </x:c>
      <x:c r="AX248" s="60" t="str">
        <x:v>https://www.facebook.com/ads/library/?active_status=active&amp;ad_type=all&amp;country=US&amp;q=ALL%20Plumbing%20Company%20%7C%20Charleston%20Plumbers&amp;search_type=keyword_unordered</x:v>
      </x:c>
      <x:c r="AY248" s="60" t="str">
        <x:v>ok:200</x:v>
      </x:c>
      <x:c r="AZ248" s="60" t="n">
        <x:v>46232.722858796296</x:v>
      </x:c>
      <x:c r="BA248" s="60" t="str">
        <x:v>Google Maps home-services export</x:v>
      </x:c>
      <x:c r="BB248" s="60" t="str">
        <x:v>https://allplumbingcompany.com | https://maps.google.com/?cid=16769825555856582859&amp;g_mp=Cidnb29nbGUubWFwcy5wbGFjZXMudjEuUGxhY2VzLlNlYXJjaFRleHQQAhgEIAA</x:v>
      </x:c>
      <x:c r="BC248" s="60" t="str"/>
    </x:row>
    <x:row r="249" ht="18" customHeight="1">
      <x:c r="A249" s="70" t="str">
        <x:v>248</x:v>
      </x:c>
      <x:c r="B249" s="70" t="str">
        <x:v>B - Strong</x:v>
      </x:c>
      <x:c r="C249" s="72" t="str">
        <x:v>58</x:v>
      </x:c>
      <x:c r="D249" s="60" t="str">
        <x:v>Watkins Mechanical</x:v>
      </x:c>
      <x:c r="E249" s="60" t="str">
        <x:v>https://watkinsmechanical.net</x:v>
      </x:c>
      <x:c r="F249" s="60" t="str">
        <x:v>https://watkinsmechanical.net</x:v>
      </x:c>
      <x:c r="G249" s="60" t="str">
        <x:v>Beaufort</x:v>
      </x:c>
      <x:c r="H249" s="60" t="str">
        <x:v>South Carolina</x:v>
      </x:c>
      <x:c r="I249" s="60" t="str">
        <x:v>HVAC</x:v>
      </x:c>
      <x:c r="J249" s="60" t="str">
        <x:v>Watkins Mechanical</x:v>
      </x:c>
      <x:c r="K249" s="60" t="str"/>
      <x:c r="L249" s="60" t="str">
        <x:v>Owner / decision maker to verify</x:v>
      </x:c>
      <x:c r="M249" s="60" t="str"/>
      <x:c r="N249" s="60" t="str"/>
      <x:c r="O249" s="60" t="str">
        <x:v>(843) 476-6970</x:v>
      </x:c>
      <x:c r="P249" s="60" t="str"/>
      <x:c r="Q249" s="60" t="str"/>
      <x:c r="R249" s="60" t="str"/>
      <x:c r="S249" s="60" t="str">
        <x:v>4.9</x:v>
      </x:c>
      <x:c r="T249" s="74" t="str">
        <x:v>145</x:v>
      </x:c>
      <x:c r="U249" s="60" t="str"/>
      <x:c r="V249" s="74" t="str">
        <x:v>28</x:v>
      </x:c>
      <x:c r="W249" s="74" t="str">
        <x:v>6</x:v>
      </x:c>
      <x:c r="X249" s="74" t="str">
        <x:v>10</x:v>
      </x:c>
      <x:c r="Y249" s="74" t="str">
        <x:v>9</x:v>
      </x:c>
      <x:c r="Z249" s="74" t="str">
        <x:v>5</x:v>
      </x:c>
      <x:c r="AA249" s="74" t="str">
        <x:v>0</x:v>
      </x:c>
      <x:c r="AB249" s="74" t="str">
        <x:v>0</x:v>
      </x:c>
      <x:c r="AC249" s="74" t="str">
        <x:v>1</x:v>
      </x:c>
      <x:c r="AD249" s="74" t="str">
        <x:v>0</x:v>
      </x:c>
      <x:c r="AE249" s="74" t="str">
        <x:v>0</x:v>
      </x:c>
      <x:c r="AF249" s="74" t="str">
        <x:v>housecallpro</x:v>
      </x:c>
      <x:c r="AG249" s="74" t="str">
        <x:v>0</x:v>
      </x:c>
      <x:c r="AH249" s="74" t="str">
        <x:v>0</x:v>
      </x:c>
      <x:c r="AI249" s="74" t="str">
        <x:v>0</x:v>
      </x:c>
      <x:c r="AJ249" s="74" t="str">
        <x:v>1</x:v>
      </x:c>
      <x:c r="AK249" s="74" t="str">
        <x:v>1</x:v>
      </x:c>
      <x:c r="AL249" s="74" t="str">
        <x:v>0</x:v>
      </x:c>
      <x:c r="AM249" s="74" t="str">
        <x:v>0</x:v>
      </x:c>
      <x:c r="AN249" s="74" t="str">
        <x:v>0</x:v>
      </x:c>
      <x:c r="AO249" s="60" t="str">
        <x:v>2026</x:v>
      </x:c>
      <x:c r="AP249" s="76" t="str">
        <x:v>145 Google reviews; no embedded homepage video found</x:v>
      </x:c>
      <x:c r="AQ249" s="76" t="str">
        <x:v>financing; visible service offer; no embedded homepage video detected</x:v>
      </x:c>
      <x:c r="AR249" s="76" t="str">
        <x:v>Watkins Mechanical has 145 Google reviews—strong proof that could be turned into short-form ad concepts.</x:v>
      </x:c>
      <x:c r="AS249" s="76" t="str">
        <x:v>no-cool-call to same-day comfort ad</x:v>
      </x:c>
      <x:c r="AT249" s="76" t="str">
        <x:v>Watkins Mechanical ad concept</x:v>
      </x:c>
      <x:c r="AU249" s="76" t="str">
        <x:v>Hi Watkins Mechanical — Watkins Mechanical has 145 Google reviews—strong proof that could be turned into short-form ad concepts. I mapped a private 15-second no-cool-call to same-day comfort ad for Watkins Mechanical using only public brand context—not for publishing, just to show the angle. We build three client-approved video ad concepts in seven days, then turn the winners into fresh variations. No filming day required. Worth sending the private sample?</x:v>
      </x:c>
      <x:c r="AV249" s="76" t="str">
        <x:v>Quick follow-up: the sample angle is a no-cool-call to same-day comfort ad. If it misses the mark, no problem—I won't keep chasing. Should I send it?</x:v>
      </x:c>
      <x:c r="AW249" s="76" t="str">
        <x:v>Hi Watkins Mechanical, Ryan here. I was looking at Watkins Mechanical's public marketing and noticed: 145 google reviews; no embedded homepage video found. I mapped one private no-cool-call to same-day comfort ad as an example. Did I catch you with 30 seconds?</x:v>
      </x:c>
      <x:c r="AX249" s="60" t="str">
        <x:v>https://www.facebook.com/ads/library/?active_status=active&amp;ad_type=all&amp;country=US&amp;q=Watkins%20Mechanical&amp;search_type=keyword_unordered</x:v>
      </x:c>
      <x:c r="AY249" s="60" t="str">
        <x:v>ok:200</x:v>
      </x:c>
      <x:c r="AZ249" s="60" t="n">
        <x:v>46232.722858796296</x:v>
      </x:c>
      <x:c r="BA249" s="60" t="str">
        <x:v>Google Maps home-services export</x:v>
      </x:c>
      <x:c r="BB249" s="60" t="str">
        <x:v>https://maps.google.com/?cid=9024555912804296914&amp;g_mp=Cidnb29nbGUubWFwcy5wbGFjZXMudjEuUGxhY2VzLlNlYXJjaFRleHQQAhgEIAA | https://watkinsmechanical.net</x:v>
      </x:c>
      <x:c r="BC249" s="60" t="str"/>
    </x:row>
    <x:row r="250" ht="18" customHeight="1">
      <x:c r="A250" s="70" t="str">
        <x:v>249</x:v>
      </x:c>
      <x:c r="B250" s="70" t="str">
        <x:v>B - Strong</x:v>
      </x:c>
      <x:c r="C250" s="72" t="str">
        <x:v>58</x:v>
      </x:c>
      <x:c r="D250" s="60" t="str">
        <x:v>Pointer Cooling and Heating</x:v>
      </x:c>
      <x:c r="E250" s="60" t="str">
        <x:v>https://pointercoolingandheating.com</x:v>
      </x:c>
      <x:c r="F250" s="60" t="str">
        <x:v>https://pointercoolingandheating.com</x:v>
      </x:c>
      <x:c r="G250" s="60" t="str">
        <x:v>Goose Creek</x:v>
      </x:c>
      <x:c r="H250" s="60" t="str">
        <x:v>South Carolina</x:v>
      </x:c>
      <x:c r="I250" s="60" t="str">
        <x:v>HVAC</x:v>
      </x:c>
      <x:c r="J250" s="60" t="str">
        <x:v>Pointer Cooling and Heating</x:v>
      </x:c>
      <x:c r="K250" s="60" t="str"/>
      <x:c r="L250" s="60" t="str">
        <x:v>Owner / decision maker to verify</x:v>
      </x:c>
      <x:c r="M250" s="60" t="str"/>
      <x:c r="N250" s="60" t="str"/>
      <x:c r="O250" s="60" t="str">
        <x:v>(843) 499-1805</x:v>
      </x:c>
      <x:c r="P250" s="60" t="str"/>
      <x:c r="Q250" s="60" t="str"/>
      <x:c r="R250" s="60" t="str"/>
      <x:c r="S250" s="60" t="str">
        <x:v>5</x:v>
      </x:c>
      <x:c r="T250" s="74" t="str">
        <x:v>245</x:v>
      </x:c>
      <x:c r="U250" s="60" t="str"/>
      <x:c r="V250" s="74" t="str">
        <x:v>28</x:v>
      </x:c>
      <x:c r="W250" s="74" t="str">
        <x:v>6</x:v>
      </x:c>
      <x:c r="X250" s="74" t="str">
        <x:v>10</x:v>
      </x:c>
      <x:c r="Y250" s="74" t="str">
        <x:v>9</x:v>
      </x:c>
      <x:c r="Z250" s="74" t="str">
        <x:v>5</x:v>
      </x:c>
      <x:c r="AA250" s="74" t="str">
        <x:v>0</x:v>
      </x:c>
      <x:c r="AB250" s="74" t="str">
        <x:v>0</x:v>
      </x:c>
      <x:c r="AC250" s="74" t="str">
        <x:v>1</x:v>
      </x:c>
      <x:c r="AD250" s="74" t="str">
        <x:v>0</x:v>
      </x:c>
      <x:c r="AE250" s="74" t="str">
        <x:v>0</x:v>
      </x:c>
      <x:c r="AF250" s="74" t="str">
        <x:v>housecallpro</x:v>
      </x:c>
      <x:c r="AG250" s="74" t="str">
        <x:v>0</x:v>
      </x:c>
      <x:c r="AH250" s="74" t="str">
        <x:v>0</x:v>
      </x:c>
      <x:c r="AI250" s="74" t="str">
        <x:v>0</x:v>
      </x:c>
      <x:c r="AJ250" s="74" t="str">
        <x:v>1</x:v>
      </x:c>
      <x:c r="AK250" s="74" t="str">
        <x:v>1</x:v>
      </x:c>
      <x:c r="AL250" s="74" t="str">
        <x:v>0</x:v>
      </x:c>
      <x:c r="AM250" s="74" t="str">
        <x:v>1</x:v>
      </x:c>
      <x:c r="AN250" s="74" t="str">
        <x:v>0</x:v>
      </x:c>
      <x:c r="AO250" s="60" t="str">
        <x:v>2025</x:v>
      </x:c>
      <x:c r="AP250" s="76" t="str">
        <x:v>245 Google reviews; no embedded homepage video found</x:v>
      </x:c>
      <x:c r="AQ250" s="76" t="str">
        <x:v>financing; visible service offer; no embedded homepage video detected</x:v>
      </x:c>
      <x:c r="AR250" s="76" t="str">
        <x:v>Pointer Cooling and Heating has 245 Google reviews—strong proof that could be turned into short-form ad concepts.</x:v>
      </x:c>
      <x:c r="AS250" s="76" t="str">
        <x:v>no-cool-call to same-day comfort ad</x:v>
      </x:c>
      <x:c r="AT250" s="76" t="str">
        <x:v>Pointer Cooling and Heating ad concept</x:v>
      </x:c>
      <x:c r="AU250" s="76" t="str">
        <x:v>Hi Pointer Cooling and Heating — Pointer Cooling and Heating has 245 Google reviews—strong proof that could be turned into short-form ad concepts. I mapped a private 15-second no-cool-call to same-day comfort ad for Pointer Cooling and Heating using only public brand context—not for publishing, just to show the angle. We build three client-approved video ad concepts in seven days, then turn the winners into fresh variations. No filming day required. Worth sending the private sample?</x:v>
      </x:c>
      <x:c r="AV250" s="76" t="str">
        <x:v>Quick follow-up: the sample angle is a no-cool-call to same-day comfort ad. If it misses the mark, no problem—I won't keep chasing. Should I send it?</x:v>
      </x:c>
      <x:c r="AW250" s="76" t="str">
        <x:v>Hi Pointer Cooling and Heating, Ryan here. I was looking at Pointer Cooling and Heating's public marketing and noticed: 245 google reviews; no embedded homepage video found. I mapped one private no-cool-call to same-day comfort ad as an example. Did I catch you with 30 seconds?</x:v>
      </x:c>
      <x:c r="AX250" s="60" t="str">
        <x:v>https://www.facebook.com/ads/library/?active_status=active&amp;ad_type=all&amp;country=US&amp;q=Pointer%20Cooling%20and%20Heating&amp;search_type=keyword_unordered</x:v>
      </x:c>
      <x:c r="AY250" s="60" t="str">
        <x:v>ok:200</x:v>
      </x:c>
      <x:c r="AZ250" s="60" t="n">
        <x:v>46232.722858796296</x:v>
      </x:c>
      <x:c r="BA250" s="60" t="str">
        <x:v>Google Maps home-services export</x:v>
      </x:c>
      <x:c r="BB250" s="60" t="str">
        <x:v>https://maps.google.com/?cid=9177790569078649681&amp;g_mp=Cidnb29nbGUubWFwcy5wbGFjZXMudjEuUGxhY2VzLlNlYXJjaFRleHQQAhgEIAA | https://pointercoolingandheating.com</x:v>
      </x:c>
      <x:c r="BC250" s="60" t="str"/>
    </x:row>
    <x:row r="251" ht="18" customHeight="1">
      <x:c r="A251" s="70" t="str">
        <x:v>250</x:v>
      </x:c>
      <x:c r="B251" s="70" t="str">
        <x:v>B - Strong</x:v>
      </x:c>
      <x:c r="C251" s="72" t="str">
        <x:v>58</x:v>
      </x:c>
      <x:c r="D251" s="60" t="str">
        <x:v>Tides Team</x:v>
      </x:c>
      <x:c r="E251" s="60" t="str">
        <x:v>https://tidesteam.com</x:v>
      </x:c>
      <x:c r="F251" s="60" t="str">
        <x:v>https://tidesteam.com</x:v>
      </x:c>
      <x:c r="G251" s="60" t="str">
        <x:v>Summerville</x:v>
      </x:c>
      <x:c r="H251" s="60" t="str">
        <x:v>South Carolina</x:v>
      </x:c>
      <x:c r="I251" s="60" t="str">
        <x:v>Roofing</x:v>
      </x:c>
      <x:c r="J251" s="60" t="str">
        <x:v>Tides Team</x:v>
      </x:c>
      <x:c r="K251" s="60" t="str"/>
      <x:c r="L251" s="60" t="str">
        <x:v>Owner / decision maker to verify</x:v>
      </x:c>
      <x:c r="M251" s="60" t="str"/>
      <x:c r="N251" s="60" t="str"/>
      <x:c r="O251" s="60" t="str">
        <x:v>(843) 252-4610</x:v>
      </x:c>
      <x:c r="P251" s="60" t="str"/>
      <x:c r="Q251" s="60" t="str"/>
      <x:c r="R251" s="60" t="str"/>
      <x:c r="S251" s="60" t="str">
        <x:v>4.9</x:v>
      </x:c>
      <x:c r="T251" s="74" t="str">
        <x:v>108</x:v>
      </x:c>
      <x:c r="U251" s="60" t="str"/>
      <x:c r="V251" s="74" t="str">
        <x:v>29</x:v>
      </x:c>
      <x:c r="W251" s="74" t="str">
        <x:v>3</x:v>
      </x:c>
      <x:c r="X251" s="74" t="str">
        <x:v>6</x:v>
      </x:c>
      <x:c r="Y251" s="74" t="str">
        <x:v>15</x:v>
      </x:c>
      <x:c r="Z251" s="74" t="str">
        <x:v>5</x:v>
      </x:c>
      <x:c r="AA251" s="74" t="str">
        <x:v>0</x:v>
      </x:c>
      <x:c r="AB251" s="74" t="str">
        <x:v>0</x:v>
      </x:c>
      <x:c r="AC251" s="74" t="str">
        <x:v>1</x:v>
      </x:c>
      <x:c r="AD251" s="74" t="str">
        <x:v>0</x:v>
      </x:c>
      <x:c r="AE251" s="74" t="str">
        <x:v>0</x:v>
      </x:c>
      <x:c r="AF251" s="74" t="str"/>
      <x:c r="AG251" s="74" t="str">
        <x:v>0</x:v>
      </x:c>
      <x:c r="AH251" s="74" t="str">
        <x:v>1</x:v>
      </x:c>
      <x:c r="AI251" s="74" t="str">
        <x:v>1</x:v>
      </x:c>
      <x:c r="AJ251" s="74" t="str">
        <x:v>1</x:v>
      </x:c>
      <x:c r="AK251" s="74" t="str">
        <x:v>1</x:v>
      </x:c>
      <x:c r="AL251" s="74" t="str">
        <x:v>1</x:v>
      </x:c>
      <x:c r="AM251" s="74" t="str">
        <x:v>1</x:v>
      </x:c>
      <x:c r="AN251" s="74" t="str">
        <x:v>0</x:v>
      </x:c>
      <x:c r="AO251" s="60" t="str">
        <x:v>2026</x:v>
      </x:c>
      <x:c r="AP251" s="76" t="str">
        <x:v>Project/gallery proof found; no embedded homepage video found</x:v>
      </x:c>
      <x:c r="AQ251" s="76" t="str">
        <x:v>project/gallery proof; testimonials; financing; visible service offer; no embedded homepage video detected</x:v>
      </x:c>
      <x:c r="AR251" s="76" t="str">
        <x:v>I found project/gallery proof on Tides Team's site that could be repackaged into short-form ad concepts.</x:v>
      </x:c>
      <x:c r="AS251" s="76" t="str">
        <x:v>storm-to-inspection before/after ad</x:v>
      </x:c>
      <x:c r="AT251" s="76" t="str">
        <x:v>Tides Team ad concept</x:v>
      </x:c>
      <x:c r="AU251" s="76" t="str">
        <x:v>Hi Tides Team — I found project/gallery proof on Tides Team's site that could be repackaged into short-form ad concepts. I mapped a private 15-second storm-to-inspection before/after ad for Tides Team using only public brand context—not for publishing, just to show the angle. We build three client-approved video ad concepts in seven days, then turn the winners into fresh variations. No filming day required. Worth sending the private sample?</x:v>
      </x:c>
      <x:c r="AV251" s="76" t="str">
        <x:v>Quick follow-up: the sample angle is a storm-to-inspection before/after ad. If it misses the mark, no problem—I won't keep chasing. Should I send it?</x:v>
      </x:c>
      <x:c r="AW251" s="76" t="str">
        <x:v>Hi Tides Team, Ryan here. I was looking at Tides Team's public marketing and noticed: project/gallery proof found; no embedded homepage video found. I mapped one private storm-to-inspection before/after ad as an example. Did I catch you with 30 seconds?</x:v>
      </x:c>
      <x:c r="AX251" s="60" t="str">
        <x:v>https://www.facebook.com/ads/library/?active_status=active&amp;ad_type=all&amp;country=US&amp;q=Tides%20Team&amp;search_type=keyword_unordered</x:v>
      </x:c>
      <x:c r="AY251" s="60" t="str">
        <x:v>ok:200</x:v>
      </x:c>
      <x:c r="AZ251" s="60" t="n">
        <x:v>46232.722858796296</x:v>
      </x:c>
      <x:c r="BA251" s="60" t="str">
        <x:v>Google Maps home-services export</x:v>
      </x:c>
      <x:c r="BB251" s="60" t="str">
        <x:v>https://maps.google.com/?cid=6112105210482701332&amp;g_mp=Cidnb29nbGUubWFwcy5wbGFjZXMudjEuUGxhY2VzLlNlYXJjaFRleHQQAhgEIAA | https://tidesteam.com</x:v>
      </x:c>
      <x:c r="BC251" s="60" t="str"/>
    </x:row>
    <x:row r="252" ht="18" customHeight="1">
      <x:c r="A252" s="70" t="str">
        <x:v>251</x:v>
      </x:c>
      <x:c r="B252" s="70" t="str">
        <x:v>B - Strong</x:v>
      </x:c>
      <x:c r="C252" s="72" t="str">
        <x:v>58</x:v>
      </x:c>
      <x:c r="D252" s="60" t="str">
        <x:v>Turner Heating &amp; Cooling, Inc.</x:v>
      </x:c>
      <x:c r="E252" s="60" t="str">
        <x:v>https://turnerheatingandcoolingsc.com</x:v>
      </x:c>
      <x:c r="F252" s="60" t="str">
        <x:v>https://www.turnerheatingandcoolingsc.com/</x:v>
      </x:c>
      <x:c r="G252" s="60" t="str">
        <x:v>Summerville</x:v>
      </x:c>
      <x:c r="H252" s="60" t="str">
        <x:v>South Carolina</x:v>
      </x:c>
      <x:c r="I252" s="60" t="str">
        <x:v>HVAC</x:v>
      </x:c>
      <x:c r="J252" s="60" t="str">
        <x:v>Turner Heating &amp; Cooling, Inc.</x:v>
      </x:c>
      <x:c r="K252" s="60" t="str"/>
      <x:c r="L252" s="60" t="str">
        <x:v>Owner / decision maker to verify</x:v>
      </x:c>
      <x:c r="M252" s="60" t="str"/>
      <x:c r="N252" s="60" t="str"/>
      <x:c r="O252" s="60" t="str">
        <x:v>(843) 851-2288</x:v>
      </x:c>
      <x:c r="P252" s="60" t="str"/>
      <x:c r="Q252" s="60" t="str"/>
      <x:c r="R252" s="60" t="str"/>
      <x:c r="S252" s="60" t="str">
        <x:v>4.9</x:v>
      </x:c>
      <x:c r="T252" s="74" t="str">
        <x:v>92</x:v>
      </x:c>
      <x:c r="U252" s="60" t="str"/>
      <x:c r="V252" s="74" t="str">
        <x:v>26</x:v>
      </x:c>
      <x:c r="W252" s="74" t="str">
        <x:v>3</x:v>
      </x:c>
      <x:c r="X252" s="74" t="str">
        <x:v>10</x:v>
      </x:c>
      <x:c r="Y252" s="74" t="str">
        <x:v>14</x:v>
      </x:c>
      <x:c r="Z252" s="74" t="str">
        <x:v>5</x:v>
      </x:c>
      <x:c r="AA252" s="74" t="str">
        <x:v>0</x:v>
      </x:c>
      <x:c r="AB252" s="74" t="str">
        <x:v>0</x:v>
      </x:c>
      <x:c r="AC252" s="74" t="str">
        <x:v>1</x:v>
      </x:c>
      <x:c r="AD252" s="74" t="str">
        <x:v>0</x:v>
      </x:c>
      <x:c r="AE252" s="74" t="str">
        <x:v>0</x:v>
      </x:c>
      <x:c r="AF252" s="74" t="str"/>
      <x:c r="AG252" s="74" t="str">
        <x:v>0</x:v>
      </x:c>
      <x:c r="AH252" s="74" t="str">
        <x:v>1</x:v>
      </x:c>
      <x:c r="AI252" s="74" t="str">
        <x:v>1</x:v>
      </x:c>
      <x:c r="AJ252" s="74" t="str">
        <x:v>0</x:v>
      </x:c>
      <x:c r="AK252" s="74" t="str">
        <x:v>1</x:v>
      </x:c>
      <x:c r="AL252" s="74" t="str">
        <x:v>0</x:v>
      </x:c>
      <x:c r="AM252" s="74" t="str">
        <x:v>1</x:v>
      </x:c>
      <x:c r="AN252" s="74" t="str">
        <x:v>0</x:v>
      </x:c>
      <x:c r="AO252" s="60" t="str">
        <x:v>2026</x:v>
      </x:c>
      <x:c r="AP252" s="76" t="str">
        <x:v>Project/gallery proof found; no embedded homepage video found</x:v>
      </x:c>
      <x:c r="AQ252" s="76" t="str">
        <x:v>project/gallery proof; testimonials; visible service offer; no embedded homepage video detected</x:v>
      </x:c>
      <x:c r="AR252" s="76" t="str">
        <x:v>I found project/gallery proof on Turner Heating &amp; Cooling, Inc.'s site that could be repackaged into short-form ad concepts.</x:v>
      </x:c>
      <x:c r="AS252" s="76" t="str">
        <x:v>no-cool-call to same-day comfort ad</x:v>
      </x:c>
      <x:c r="AT252" s="76" t="str">
        <x:v>Turner Heating &amp; Cooling, Inc. ad concept</x:v>
      </x:c>
      <x:c r="AU252" s="76" t="str">
        <x:v>Hi Turner Heating &amp; Cooling, Inc. — I found project/gallery proof on Turner Heating &amp; Cooling, Inc.'s site that could be repackaged into short-form ad concepts. I mapped a private 15-second no-cool-call to same-day comfort ad for Turner Heating &amp; Cooling, Inc. using only public brand context—not for publishing, just to show the angle. We build three client-approved video ad concepts in seven days, then turn the winners into fresh variations. No filming day required. Worth sending the private sample?</x:v>
      </x:c>
      <x:c r="AV252" s="76" t="str">
        <x:v>Quick follow-up: the sample angle is a no-cool-call to same-day comfort ad. If it misses the mark, no problem—I won't keep chasing. Should I send it?</x:v>
      </x:c>
      <x:c r="AW252" s="76" t="str">
        <x:v>Hi Turner Heating &amp; Cooling, Inc., Ryan here. I was looking at Turner Heating &amp; Cooling, Inc.'s public marketing and noticed: project/gallery proof found; no embedded homepage video found. I mapped one private no-cool-call to same-day comfort ad as an example. Did I catch you with 30 seconds?</x:v>
      </x:c>
      <x:c r="AX252" s="60" t="str">
        <x:v>https://www.facebook.com/ads/library/?active_status=active&amp;ad_type=all&amp;country=US&amp;q=Turner%20Heating%20%26%20Cooling%2C%20Inc.&amp;search_type=keyword_unordered</x:v>
      </x:c>
      <x:c r="AY252" s="60" t="str">
        <x:v>ok:200</x:v>
      </x:c>
      <x:c r="AZ252" s="60" t="n">
        <x:v>46232.722858796296</x:v>
      </x:c>
      <x:c r="BA252" s="60" t="str">
        <x:v>Google Maps home-services export</x:v>
      </x:c>
      <x:c r="BB252" s="60" t="str">
        <x:v>https://maps.google.com/?cid=15354746332459177837&amp;g_mp=Cidnb29nbGUubWFwcy5wbGFjZXMudjEuUGxhY2VzLlNlYXJjaFRleHQQAhgEIAA | https://turnerheatingandcoolingsc.com</x:v>
      </x:c>
      <x:c r="BC252" s="60" t="str"/>
    </x:row>
    <x:row r="253" ht="18" customHeight="1">
      <x:c r="A253" s="70" t="str">
        <x:v>252</x:v>
      </x:c>
      <x:c r="B253" s="70" t="str">
        <x:v>B - Strong</x:v>
      </x:c>
      <x:c r="C253" s="72" t="str">
        <x:v>58</x:v>
      </x:c>
      <x:c r="D253" s="60" t="str">
        <x:v>Gibraltar Cleaning Services</x:v>
      </x:c>
      <x:c r="E253" s="60" t="str">
        <x:v>https://gibraltarclean.com</x:v>
      </x:c>
      <x:c r="F253" s="60" t="str">
        <x:v>https://gibraltarclean.com</x:v>
      </x:c>
      <x:c r="G253" s="60" t="str">
        <x:v>West Columbia</x:v>
      </x:c>
      <x:c r="H253" s="60" t="str">
        <x:v>South Carolina</x:v>
      </x:c>
      <x:c r="I253" s="60" t="str">
        <x:v>Windows &amp; Doors</x:v>
      </x:c>
      <x:c r="J253" s="60" t="str">
        <x:v>Paulino</x:v>
      </x:c>
      <x:c r="K253" s="60" t="str">
        <x:v>Bello</x:v>
      </x:c>
      <x:c r="L253" s="60" t="str">
        <x:v>Business Owner</x:v>
      </x:c>
      <x:c r="M253" s="60" t="str">
        <x:v>paulino.bello@gcscleans.com</x:v>
      </x:c>
      <x:c r="N253" s="60" t="str">
        <x:v>Verified with BounceBan on 08 Jun 26 12:06</x:v>
      </x:c>
      <x:c r="O253" s="60" t="str"/>
      <x:c r="P253" s="60" t="str">
        <x:v>https://www.linkedin.com/in/paulino-bello-309844349</x:v>
      </x:c>
      <x:c r="Q253" s="60" t="str">
        <x:v>2-10</x:v>
      </x:c>
      <x:c r="R253" s="60" t="str">
        <x:v>0-99999</x:v>
      </x:c>
      <x:c r="S253" s="60" t="str"/>
      <x:c r="T253" s="74" t="str">
        <x:v>0</x:v>
      </x:c>
      <x:c r="U253" s="60" t="str"/>
      <x:c r="V253" s="74" t="str">
        <x:v>26</x:v>
      </x:c>
      <x:c r="W253" s="74" t="str">
        <x:v>3</x:v>
      </x:c>
      <x:c r="X253" s="74" t="str">
        <x:v>10</x:v>
      </x:c>
      <x:c r="Y253" s="74" t="str">
        <x:v>12</x:v>
      </x:c>
      <x:c r="Z253" s="74" t="str">
        <x:v>7</x:v>
      </x:c>
      <x:c r="AA253" s="74" t="str">
        <x:v>0</x:v>
      </x:c>
      <x:c r="AB253" s="74" t="str">
        <x:v>0</x:v>
      </x:c>
      <x:c r="AC253" s="74" t="str">
        <x:v>1</x:v>
      </x:c>
      <x:c r="AD253" s="74" t="str">
        <x:v>0</x:v>
      </x:c>
      <x:c r="AE253" s="74" t="str">
        <x:v>0</x:v>
      </x:c>
      <x:c r="AF253" s="74" t="str"/>
      <x:c r="AG253" s="74" t="str">
        <x:v>0</x:v>
      </x:c>
      <x:c r="AH253" s="74" t="str">
        <x:v>1</x:v>
      </x:c>
      <x:c r="AI253" s="74" t="str">
        <x:v>1</x:v>
      </x:c>
      <x:c r="AJ253" s="74" t="str">
        <x:v>0</x:v>
      </x:c>
      <x:c r="AK253" s="74" t="str">
        <x:v>1</x:v>
      </x:c>
      <x:c r="AL253" s="74" t="str">
        <x:v>0</x:v>
      </x:c>
      <x:c r="AM253" s="74" t="str">
        <x:v>1</x:v>
      </x:c>
      <x:c r="AN253" s="74" t="str">
        <x:v>0</x:v>
      </x:c>
      <x:c r="AO253" s="60" t="str">
        <x:v>0</x:v>
      </x:c>
      <x:c r="AP253" s="76" t="str">
        <x:v>Project/gallery proof found; no embedded homepage video found</x:v>
      </x:c>
      <x:c r="AQ253" s="76" t="str">
        <x:v>project/gallery proof; testimonials; visible service offer; no embedded homepage video detected</x:v>
      </x:c>
      <x:c r="AR253" s="76" t="str">
        <x:v>I found project/gallery proof on Gibraltar Cleaning Services's site that could be repackaged into short-form ad concepts.</x:v>
      </x:c>
      <x:c r="AS253" s="76" t="str">
        <x:v>energy-loss to installed-window transformation ad</x:v>
      </x:c>
      <x:c r="AT253" s="76" t="str">
        <x:v>Gibraltar Cleaning Services ad concept</x:v>
      </x:c>
      <x:c r="AU253" s="76" t="str">
        <x:v>Hi Paulino — I found project/gallery proof on Gibraltar Cleaning Services's site that could be repackaged into short-form ad concepts. I mapped a private 15-second energy-loss to installed-window transformation ad for Gibraltar Cleaning Services using only public brand context—not for publishing, just to show the angle. We build three client-approved video ad concepts in seven days, then turn the winners into fresh variations. No filming day required. Worth sending the private sample?</x:v>
      </x:c>
      <x:c r="AV253" s="76" t="str">
        <x:v>Quick follow-up: the sample angle is a energy-loss to installed-window transformation ad. If it misses the mark, no problem—I won't keep chasing. Should I send it?</x:v>
      </x:c>
      <x:c r="AW253" s="76" t="str">
        <x:v>Hi Paulino, Ryan here. I was looking at Gibraltar Cleaning Services's public marketing and noticed: project/gallery proof found; no embedded homepage video found. I mapped one private energy-loss to installed-window transformation ad as an example. Did I catch you with 30 seconds?</x:v>
      </x:c>
      <x:c r="AX253" s="60" t="str">
        <x:v>https://www.facebook.com/ads/library/?active_status=active&amp;ad_type=all&amp;country=US&amp;q=Gibraltar%20Cleaning%20Services&amp;search_type=keyword_unordered</x:v>
      </x:c>
      <x:c r="AY253" s="60" t="str">
        <x:v>ok:200</x:v>
      </x:c>
      <x:c r="AZ253" s="60" t="n">
        <x:v>46232.722858796296</x:v>
      </x:c>
      <x:c r="BA253" s="60" t="str">
        <x:v>AI Ark SC trades export</x:v>
      </x:c>
      <x:c r="BB253" s="60" t="str">
        <x:v>https://gibraltarclean.com | https://www.linkedin.com/company/gibraltar-cleaning-services</x:v>
      </x:c>
      <x:c r="BC253" s="60" t="str"/>
    </x:row>
    <x:row r="254" ht="18" customHeight="1">
      <x:c r="A254" s="70" t="str">
        <x:v>253</x:v>
      </x:c>
      <x:c r="B254" s="70" t="str">
        <x:v>B - Strong</x:v>
      </x:c>
      <x:c r="C254" s="72" t="str">
        <x:v>58</x:v>
      </x:c>
      <x:c r="D254" s="60" t="str">
        <x:v>Oberle Roofing</x:v>
      </x:c>
      <x:c r="E254" s="60" t="str">
        <x:v>https://oberleroofing.com</x:v>
      </x:c>
      <x:c r="F254" s="60" t="str">
        <x:v>https://oberleroofing.com</x:v>
      </x:c>
      <x:c r="G254" s="60" t="str">
        <x:v>North Charleston</x:v>
      </x:c>
      <x:c r="H254" s="60" t="str">
        <x:v>South Carolina</x:v>
      </x:c>
      <x:c r="I254" s="60" t="str">
        <x:v>Roofing</x:v>
      </x:c>
      <x:c r="J254" s="60" t="str">
        <x:v>Oberle Roofing</x:v>
      </x:c>
      <x:c r="K254" s="60" t="str"/>
      <x:c r="L254" s="60" t="str">
        <x:v>Owner / decision maker to verify</x:v>
      </x:c>
      <x:c r="M254" s="60" t="str"/>
      <x:c r="N254" s="60" t="str"/>
      <x:c r="O254" s="60" t="str">
        <x:v>(843) 870-4314</x:v>
      </x:c>
      <x:c r="P254" s="60" t="str"/>
      <x:c r="Q254" s="60" t="str"/>
      <x:c r="R254" s="60" t="str"/>
      <x:c r="S254" s="60" t="str">
        <x:v>5</x:v>
      </x:c>
      <x:c r="T254" s="74" t="str">
        <x:v>225</x:v>
      </x:c>
      <x:c r="U254" s="60" t="str"/>
      <x:c r="V254" s="74" t="str">
        <x:v>29</x:v>
      </x:c>
      <x:c r="W254" s="74" t="str">
        <x:v>3</x:v>
      </x:c>
      <x:c r="X254" s="74" t="str">
        <x:v>10</x:v>
      </x:c>
      <x:c r="Y254" s="74" t="str">
        <x:v>11</x:v>
      </x:c>
      <x:c r="Z254" s="74" t="str">
        <x:v>5</x:v>
      </x:c>
      <x:c r="AA254" s="74" t="str">
        <x:v>0</x:v>
      </x:c>
      <x:c r="AB254" s="74" t="str">
        <x:v>0</x:v>
      </x:c>
      <x:c r="AC254" s="74" t="str">
        <x:v>1</x:v>
      </x:c>
      <x:c r="AD254" s="74" t="str">
        <x:v>0</x:v>
      </x:c>
      <x:c r="AE254" s="74" t="str">
        <x:v>0</x:v>
      </x:c>
      <x:c r="AF254" s="74" t="str"/>
      <x:c r="AG254" s="74" t="str">
        <x:v>0</x:v>
      </x:c>
      <x:c r="AH254" s="74" t="str">
        <x:v>1</x:v>
      </x:c>
      <x:c r="AI254" s="74" t="str">
        <x:v>0</x:v>
      </x:c>
      <x:c r="AJ254" s="74" t="str">
        <x:v>0</x:v>
      </x:c>
      <x:c r="AK254" s="74" t="str">
        <x:v>1</x:v>
      </x:c>
      <x:c r="AL254" s="74" t="str">
        <x:v>0</x:v>
      </x:c>
      <x:c r="AM254" s="74" t="str">
        <x:v>0</x:v>
      </x:c>
      <x:c r="AN254" s="74" t="str">
        <x:v>0</x:v>
      </x:c>
      <x:c r="AO254" s="60" t="str">
        <x:v>0</x:v>
      </x:c>
      <x:c r="AP254" s="76" t="str">
        <x:v>Project/gallery proof found; no embedded homepage video found</x:v>
      </x:c>
      <x:c r="AQ254" s="76" t="str">
        <x:v>project/gallery proof; visible service offer; no embedded homepage video detected</x:v>
      </x:c>
      <x:c r="AR254" s="76" t="str">
        <x:v>I found project/gallery proof on Oberle Roofing's site that could be repackaged into short-form ad concepts.</x:v>
      </x:c>
      <x:c r="AS254" s="76" t="str">
        <x:v>storm-to-inspection before/after ad</x:v>
      </x:c>
      <x:c r="AT254" s="76" t="str">
        <x:v>Oberle Roofing ad concept</x:v>
      </x:c>
      <x:c r="AU254" s="76" t="str">
        <x:v>Hi Oberle Roofing — I found project/gallery proof on Oberle Roofing's site that could be repackaged into short-form ad concepts. I mapped a private 15-second storm-to-inspection before/after ad for Oberle Roofing using only public brand context—not for publishing, just to show the angle. We build three client-approved video ad concepts in seven days, then turn the winners into fresh variations. No filming day required. Worth sending the private sample?</x:v>
      </x:c>
      <x:c r="AV254" s="76" t="str">
        <x:v>Quick follow-up: the sample angle is a storm-to-inspection before/after ad. If it misses the mark, no problem—I won't keep chasing. Should I send it?</x:v>
      </x:c>
      <x:c r="AW254" s="76" t="str">
        <x:v>Hi Oberle Roofing, Ryan here. I was looking at Oberle Roofing's public marketing and noticed: project/gallery proof found; no embedded homepage video found. I mapped one private storm-to-inspection before/after ad as an example. Did I catch you with 30 seconds?</x:v>
      </x:c>
      <x:c r="AX254" s="60" t="str">
        <x:v>https://www.facebook.com/ads/library/?active_status=active&amp;ad_type=all&amp;country=US&amp;q=Oberle%20Roofing&amp;search_type=keyword_unordered</x:v>
      </x:c>
      <x:c r="AY254" s="60" t="str">
        <x:v>ok:200</x:v>
      </x:c>
      <x:c r="AZ254" s="60" t="n">
        <x:v>46232.722858796296</x:v>
      </x:c>
      <x:c r="BA254" s="60" t="str">
        <x:v>Google Maps home-services export</x:v>
      </x:c>
      <x:c r="BB254" s="60" t="str">
        <x:v>https://maps.google.com/?cid=5915831809809972062&amp;g_mp=Cidnb29nbGUubWFwcy5wbGFjZXMudjEuUGxhY2VzLlNlYXJjaFRleHQQAhgEIAA | https://oberleroofing.com</x:v>
      </x:c>
      <x:c r="BC254" s="60" t="str"/>
    </x:row>
    <x:row r="255" ht="18" customHeight="1">
      <x:c r="A255" s="70" t="str">
        <x:v>254</x:v>
      </x:c>
      <x:c r="B255" s="70" t="str">
        <x:v>B - Strong</x:v>
      </x:c>
      <x:c r="C255" s="72" t="str">
        <x:v>58</x:v>
      </x:c>
      <x:c r="D255" s="60" t="str">
        <x:v>CMS Roofing</x:v>
      </x:c>
      <x:c r="E255" s="60" t="str">
        <x:v>https://cmsofsc.com</x:v>
      </x:c>
      <x:c r="F255" s="60" t="str">
        <x:v>https://cmsroofingsc.com/</x:v>
      </x:c>
      <x:c r="G255" s="60" t="str">
        <x:v>Columbia</x:v>
      </x:c>
      <x:c r="H255" s="60" t="str">
        <x:v>South Carolina</x:v>
      </x:c>
      <x:c r="I255" s="60" t="str">
        <x:v>Roofing</x:v>
      </x:c>
      <x:c r="J255" s="60" t="str">
        <x:v>CMS Roofing</x:v>
      </x:c>
      <x:c r="K255" s="60" t="str"/>
      <x:c r="L255" s="60" t="str">
        <x:v>Owner / decision maker to verify</x:v>
      </x:c>
      <x:c r="M255" s="60" t="str"/>
      <x:c r="N255" s="60" t="str"/>
      <x:c r="O255" s="60" t="str">
        <x:v>(803) 732-5558</x:v>
      </x:c>
      <x:c r="P255" s="60" t="str"/>
      <x:c r="Q255" s="60" t="str"/>
      <x:c r="R255" s="60" t="str"/>
      <x:c r="S255" s="60" t="str">
        <x:v>4.8</x:v>
      </x:c>
      <x:c r="T255" s="74" t="str">
        <x:v>129</x:v>
      </x:c>
      <x:c r="U255" s="60" t="str"/>
      <x:c r="V255" s="74" t="str">
        <x:v>29</x:v>
      </x:c>
      <x:c r="W255" s="74" t="str">
        <x:v>3</x:v>
      </x:c>
      <x:c r="X255" s="74" t="str">
        <x:v>10</x:v>
      </x:c>
      <x:c r="Y255" s="74" t="str">
        <x:v>11</x:v>
      </x:c>
      <x:c r="Z255" s="74" t="str">
        <x:v>5</x:v>
      </x:c>
      <x:c r="AA255" s="74" t="str">
        <x:v>0</x:v>
      </x:c>
      <x:c r="AB255" s="74" t="str">
        <x:v>0</x:v>
      </x:c>
      <x:c r="AC255" s="74" t="str">
        <x:v>1</x:v>
      </x:c>
      <x:c r="AD255" s="74" t="str">
        <x:v>0</x:v>
      </x:c>
      <x:c r="AE255" s="74" t="str">
        <x:v>0</x:v>
      </x:c>
      <x:c r="AF255" s="74" t="str"/>
      <x:c r="AG255" s="74" t="str">
        <x:v>0</x:v>
      </x:c>
      <x:c r="AH255" s="74" t="str">
        <x:v>1</x:v>
      </x:c>
      <x:c r="AI255" s="74" t="str">
        <x:v>0</x:v>
      </x:c>
      <x:c r="AJ255" s="74" t="str">
        <x:v>0</x:v>
      </x:c>
      <x:c r="AK255" s="74" t="str">
        <x:v>1</x:v>
      </x:c>
      <x:c r="AL255" s="74" t="str">
        <x:v>0</x:v>
      </x:c>
      <x:c r="AM255" s="74" t="str">
        <x:v>1</x:v>
      </x:c>
      <x:c r="AN255" s="74" t="str">
        <x:v>0</x:v>
      </x:c>
      <x:c r="AO255" s="60" t="str">
        <x:v>0</x:v>
      </x:c>
      <x:c r="AP255" s="76" t="str">
        <x:v>Project/gallery proof found; no embedded homepage video found</x:v>
      </x:c>
      <x:c r="AQ255" s="76" t="str">
        <x:v>project/gallery proof; visible service offer; no embedded homepage video detected</x:v>
      </x:c>
      <x:c r="AR255" s="76" t="str">
        <x:v>I found project/gallery proof on CMS Roofing's site that could be repackaged into short-form ad concepts.</x:v>
      </x:c>
      <x:c r="AS255" s="76" t="str">
        <x:v>storm-to-inspection before/after ad</x:v>
      </x:c>
      <x:c r="AT255" s="76" t="str">
        <x:v>CMS Roofing ad concept</x:v>
      </x:c>
      <x:c r="AU255" s="76" t="str">
        <x:v>Hi CMS Roofing — I found project/gallery proof on CMS Roofing's site that could be repackaged into short-form ad concepts. I mapped a private 15-second storm-to-inspection before/after ad for CMS Roofing using only public brand context—not for publishing, just to show the angle. We build three client-approved video ad concepts in seven days, then turn the winners into fresh variations. No filming day required. Worth sending the private sample?</x:v>
      </x:c>
      <x:c r="AV255" s="76" t="str">
        <x:v>Quick follow-up: the sample angle is a storm-to-inspection before/after ad. If it misses the mark, no problem—I won't keep chasing. Should I send it?</x:v>
      </x:c>
      <x:c r="AW255" s="76" t="str">
        <x:v>Hi CMS Roofing, Ryan here. I was looking at CMS Roofing's public marketing and noticed: project/gallery proof found; no embedded homepage video found. I mapped one private storm-to-inspection before/after ad as an example. Did I catch you with 30 seconds?</x:v>
      </x:c>
      <x:c r="AX255" s="60" t="str">
        <x:v>https://www.facebook.com/ads/library/?active_status=active&amp;ad_type=all&amp;country=US&amp;q=CMS%20Roofing&amp;search_type=keyword_unordered</x:v>
      </x:c>
      <x:c r="AY255" s="60" t="str">
        <x:v>ok:200</x:v>
      </x:c>
      <x:c r="AZ255" s="60" t="n">
        <x:v>46232.722858796296</x:v>
      </x:c>
      <x:c r="BA255" s="60" t="str">
        <x:v>Google Maps home-services export</x:v>
      </x:c>
      <x:c r="BB255" s="60" t="str">
        <x:v>https://cmsofsc.com | https://maps.google.com/?cid=11765052216941748682&amp;g_mp=Cidnb29nbGUubWFwcy5wbGFjZXMudjEuUGxhY2VzLlNlYXJjaFRleHQQAhgEIAA | https://maps.google.com/?cid=18251162511348298940&amp;g_mp=Cidnb29nbGUubWFwcy5wbGFjZXMudjEuUGxhY2VzLlNlYXJjaFRleHQQAhgEIAA</x:v>
      </x:c>
      <x:c r="BC255" s="60" t="str"/>
    </x:row>
    <x:row r="256" ht="18" customHeight="1">
      <x:c r="A256" s="70" t="str">
        <x:v>255</x:v>
      </x:c>
      <x:c r="B256" s="70" t="str">
        <x:v>B - Strong</x:v>
      </x:c>
      <x:c r="C256" s="72" t="str">
        <x:v>58</x:v>
      </x:c>
      <x:c r="D256" s="60" t="str">
        <x:v>Apex Carpet Care, LLC</x:v>
      </x:c>
      <x:c r="E256" s="60" t="str">
        <x:v>https://apexcarpets.com</x:v>
      </x:c>
      <x:c r="F256" s="60" t="str">
        <x:v>https://apexcarpets.com</x:v>
      </x:c>
      <x:c r="G256" s="60" t="str">
        <x:v>Summerville</x:v>
      </x:c>
      <x:c r="H256" s="60" t="str">
        <x:v>South Carolina</x:v>
      </x:c>
      <x:c r="I256" s="60" t="str">
        <x:v>Restoration</x:v>
      </x:c>
      <x:c r="J256" s="60" t="str">
        <x:v>Gigi</x:v>
      </x:c>
      <x:c r="K256" s="60" t="str">
        <x:v>Spires</x:v>
      </x:c>
      <x:c r="L256" s="60" t="str">
        <x:v>Regional Manager/Owner</x:v>
      </x:c>
      <x:c r="M256" s="60" t="str">
        <x:v>gigi@apexcarpets.com</x:v>
      </x:c>
      <x:c r="N256" s="60" t="str">
        <x:v>Verified with BounceBan on 08 Jun 26 12:08</x:v>
      </x:c>
      <x:c r="O256" s="60" t="str">
        <x:v>+1 843 906 6197</x:v>
      </x:c>
      <x:c r="P256" s="60" t="str">
        <x:v>https://www.linkedin.com/in/gigi-spires-11972117</x:v>
      </x:c>
      <x:c r="Q256" s="60" t="str">
        <x:v>2-10</x:v>
      </x:c>
      <x:c r="R256" s="60" t="str">
        <x:v>100000-499999</x:v>
      </x:c>
      <x:c r="S256" s="60" t="str"/>
      <x:c r="T256" s="74" t="str">
        <x:v>0</x:v>
      </x:c>
      <x:c r="U256" s="60" t="str"/>
      <x:c r="V256" s="74" t="str">
        <x:v>28</x:v>
      </x:c>
      <x:c r="W256" s="74" t="str">
        <x:v>3</x:v>
      </x:c>
      <x:c r="X256" s="74" t="str">
        <x:v>10</x:v>
      </x:c>
      <x:c r="Y256" s="74" t="str">
        <x:v>7</x:v>
      </x:c>
      <x:c r="Z256" s="74" t="str">
        <x:v>10</x:v>
      </x:c>
      <x:c r="AA256" s="74" t="str">
        <x:v>0</x:v>
      </x:c>
      <x:c r="AB256" s="74" t="str">
        <x:v>0</x:v>
      </x:c>
      <x:c r="AC256" s="74" t="str">
        <x:v>1</x:v>
      </x:c>
      <x:c r="AD256" s="74" t="str">
        <x:v>0</x:v>
      </x:c>
      <x:c r="AE256" s="74" t="str">
        <x:v>0</x:v>
      </x:c>
      <x:c r="AF256" s="74" t="str"/>
      <x:c r="AG256" s="74" t="str">
        <x:v>0</x:v>
      </x:c>
      <x:c r="AH256" s="74" t="str">
        <x:v>0</x:v>
      </x:c>
      <x:c r="AI256" s="74" t="str">
        <x:v>1</x:v>
      </x:c>
      <x:c r="AJ256" s="74" t="str">
        <x:v>0</x:v>
      </x:c>
      <x:c r="AK256" s="74" t="str">
        <x:v>1</x:v>
      </x:c>
      <x:c r="AL256" s="74" t="str">
        <x:v>0</x:v>
      </x:c>
      <x:c r="AM256" s="74" t="str">
        <x:v>0</x:v>
      </x:c>
      <x:c r="AN256" s="74" t="str">
        <x:v>0</x:v>
      </x:c>
      <x:c r="AO256" s="60" t="str">
        <x:v>2026</x:v>
      </x:c>
      <x:c r="AP256" s="76" t="str">
        <x:v>ICP fit; paid-demand need requires manual verification</x:v>
      </x:c>
      <x:c r="AQ256" s="76" t="str">
        <x:v>testimonials; visible service offer; no embedded homepage video detected</x:v>
      </x:c>
      <x:c r="AR256" s="76" t="str">
        <x:v>I was reviewing restoration companies in Summerville, South Carolina and Apex Carpet Care, LLC looked like a strong fit for a creative test.</x:v>
      </x:c>
      <x:c r="AS256" s="76" t="str">
        <x:v>first-24-hours emergency-response ad</x:v>
      </x:c>
      <x:c r="AT256" s="76" t="str">
        <x:v>Apex Carpet Care, LLC ad concept</x:v>
      </x:c>
      <x:c r="AU256" s="76" t="str">
        <x:v>Hi Gigi — I was reviewing restoration companies in Summerville, South Carolina and Apex Carpet Care, LLC looked like a strong fit for a creative test. I mapped a private 15-second first-24-hours emergency-response ad for Apex Carpet Care, LLC using only public brand context—not for publishing, just to show the angle. We build three client-approved video ad concepts in seven days, then turn the winners into fresh variations. No filming day required. Worth sending the private sample?</x:v>
      </x:c>
      <x:c r="AV256" s="76" t="str">
        <x:v>Quick follow-up: the sample angle is a first-24-hours emergency-response ad. If it misses the mark, no problem—I won't keep chasing. Should I send it?</x:v>
      </x:c>
      <x:c r="AW256" s="76" t="str">
        <x:v>Hi Gigi, Ryan here. I was looking at Apex Carpet Care, LLC's public marketing and noticed: icp fit; paid-demand need requires manual verification. I mapped one private first-24-hours emergency-response ad as an example. Did I catch you with 30 seconds?</x:v>
      </x:c>
      <x:c r="AX256" s="60" t="str">
        <x:v>https://www.facebook.com/ads/library/?active_status=active&amp;ad_type=all&amp;country=US&amp;q=Apex%20Carpet%20Care%2C%20LLC&amp;search_type=keyword_unordered</x:v>
      </x:c>
      <x:c r="AY256" s="60" t="str">
        <x:v>ok:200</x:v>
      </x:c>
      <x:c r="AZ256" s="60" t="n">
        <x:v>46232.722858796296</x:v>
      </x:c>
      <x:c r="BA256" s="60" t="str">
        <x:v>AI Ark SC trades export</x:v>
      </x:c>
      <x:c r="BB256" s="60" t="str">
        <x:v>https://apexcarpets.com | https://www.linkedin.com/company/apex-carpet-care-llc</x:v>
      </x:c>
      <x:c r="BC256" s="60" t="str"/>
    </x:row>
    <x:row r="257" ht="18" customHeight="1">
      <x:c r="A257" s="70" t="str">
        <x:v>256</x:v>
      </x:c>
      <x:c r="B257" s="70" t="str">
        <x:v>B - Strong</x:v>
      </x:c>
      <x:c r="C257" s="72" t="str">
        <x:v>58</x:v>
      </x:c>
      <x:c r="D257" s="60" t="str">
        <x:v>Beaver Roofing &amp; Gutters</x:v>
      </x:c>
      <x:c r="E257" s="60" t="str">
        <x:v>https://beaverroofing.com</x:v>
      </x:c>
      <x:c r="F257" s="60" t="str">
        <x:v>https://beaverroofing.com</x:v>
      </x:c>
      <x:c r="G257" s="60" t="str">
        <x:v>Columbia</x:v>
      </x:c>
      <x:c r="H257" s="60" t="str">
        <x:v>South Carolina</x:v>
      </x:c>
      <x:c r="I257" s="60" t="str">
        <x:v>Roofing</x:v>
      </x:c>
      <x:c r="J257" s="60" t="str">
        <x:v>Beaver Roofing &amp; Gutters</x:v>
      </x:c>
      <x:c r="K257" s="60" t="str"/>
      <x:c r="L257" s="60" t="str">
        <x:v>Owner / decision maker to verify</x:v>
      </x:c>
      <x:c r="M257" s="60" t="str"/>
      <x:c r="N257" s="60" t="str"/>
      <x:c r="O257" s="60" t="str">
        <x:v>(803) 991-7663</x:v>
      </x:c>
      <x:c r="P257" s="60" t="str"/>
      <x:c r="Q257" s="60" t="str"/>
      <x:c r="R257" s="60" t="str"/>
      <x:c r="S257" s="60" t="str">
        <x:v>4.9</x:v>
      </x:c>
      <x:c r="T257" s="74" t="str">
        <x:v>429</x:v>
      </x:c>
      <x:c r="U257" s="60" t="str"/>
      <x:c r="V257" s="74" t="str">
        <x:v>30</x:v>
      </x:c>
      <x:c r="W257" s="74" t="str">
        <x:v>3</x:v>
      </x:c>
      <x:c r="X257" s="74" t="str">
        <x:v>13</x:v>
      </x:c>
      <x:c r="Y257" s="74" t="str">
        <x:v>7</x:v>
      </x:c>
      <x:c r="Z257" s="74" t="str">
        <x:v>5</x:v>
      </x:c>
      <x:c r="AA257" s="74" t="str">
        <x:v>0</x:v>
      </x:c>
      <x:c r="AB257" s="74" t="str">
        <x:v>0</x:v>
      </x:c>
      <x:c r="AC257" s="74" t="str">
        <x:v>1</x:v>
      </x:c>
      <x:c r="AD257" s="74" t="str">
        <x:v>0</x:v>
      </x:c>
      <x:c r="AE257" s="74" t="str">
        <x:v>0</x:v>
      </x:c>
      <x:c r="AF257" s="74" t="str"/>
      <x:c r="AG257" s="74" t="str">
        <x:v>0</x:v>
      </x:c>
      <x:c r="AH257" s="74" t="str">
        <x:v>0</x:v>
      </x:c>
      <x:c r="AI257" s="74" t="str">
        <x:v>1</x:v>
      </x:c>
      <x:c r="AJ257" s="74" t="str">
        <x:v>0</x:v>
      </x:c>
      <x:c r="AK257" s="74" t="str">
        <x:v>0</x:v>
      </x:c>
      <x:c r="AL257" s="74" t="str">
        <x:v>0</x:v>
      </x:c>
      <x:c r="AM257" s="74" t="str">
        <x:v>1</x:v>
      </x:c>
      <x:c r="AN257" s="74" t="str">
        <x:v>0</x:v>
      </x:c>
      <x:c r="AO257" s="60" t="str">
        <x:v>2023</x:v>
      </x:c>
      <x:c r="AP257" s="76" t="str">
        <x:v>429 Google reviews; no embedded homepage video found</x:v>
      </x:c>
      <x:c r="AQ257" s="76" t="str">
        <x:v>testimonials; no embedded homepage video detected</x:v>
      </x:c>
      <x:c r="AR257" s="76" t="str">
        <x:v>Beaver Roofing &amp; Gutters has 429 Google reviews—strong proof that could be turned into short-form ad concepts.</x:v>
      </x:c>
      <x:c r="AS257" s="76" t="str">
        <x:v>storm-to-inspection before/after ad</x:v>
      </x:c>
      <x:c r="AT257" s="76" t="str">
        <x:v>Beaver Roofing &amp; Gutters ad concept</x:v>
      </x:c>
      <x:c r="AU257" s="76" t="str">
        <x:v>Hi Beaver Roofing &amp; Gutters — Beaver Roofing &amp; Gutters has 429 Google reviews—strong proof that could be turned into short-form ad concepts. I mapped a private 15-second storm-to-inspection before/after ad for Beaver Roofing &amp; Gutters using only public brand context—not for publishing, just to show the angle. We build three client-approved video ad concepts in seven days, then turn the winners into fresh variations. No filming day required. Worth sending the private sample?</x:v>
      </x:c>
      <x:c r="AV257" s="76" t="str">
        <x:v>Quick follow-up: the sample angle is a storm-to-inspection before/after ad. If it misses the mark, no problem—I won't keep chasing. Should I send it?</x:v>
      </x:c>
      <x:c r="AW257" s="76" t="str">
        <x:v>Hi Beaver Roofing &amp; Gutters, Ryan here. I was looking at Beaver Roofing &amp; Gutters's public marketing and noticed: 429 google reviews; no embedded homepage video found. I mapped one private storm-to-inspection before/after ad as an example. Did I catch you with 30 seconds?</x:v>
      </x:c>
      <x:c r="AX257" s="60" t="str">
        <x:v>https://www.facebook.com/ads/library/?active_status=active&amp;ad_type=all&amp;country=US&amp;q=Beaver%20Roofing%20%26%20Gutters&amp;search_type=keyword_unordered</x:v>
      </x:c>
      <x:c r="AY257" s="60" t="str">
        <x:v>ok:200</x:v>
      </x:c>
      <x:c r="AZ257" s="60" t="n">
        <x:v>46232.722858796296</x:v>
      </x:c>
      <x:c r="BA257" s="60" t="str">
        <x:v>Google Maps home-services export</x:v>
      </x:c>
      <x:c r="BB257" s="60" t="str">
        <x:v>https://beaverroofing.com | https://maps.google.com/?cid=13938189803026041815&amp;g_mp=Cidnb29nbGUubWFwcy5wbGFjZXMudjEuUGxhY2VzLlNlYXJjaFRleHQQAhgEIAA</x:v>
      </x:c>
      <x:c r="BC257" s="60" t="str"/>
    </x:row>
    <x:row r="258" ht="18" customHeight="1">
      <x:c r="A258" s="70" t="str">
        <x:v>257</x:v>
      </x:c>
      <x:c r="B258" s="70" t="str">
        <x:v>B - Strong</x:v>
      </x:c>
      <x:c r="C258" s="72" t="str">
        <x:v>57</x:v>
      </x:c>
      <x:c r="D258" s="60" t="str">
        <x:v>Jenkins Plumbing Co, LC</x:v>
      </x:c>
      <x:c r="E258" s="60" t="str">
        <x:v>https://jenkinsplumbing.com</x:v>
      </x:c>
      <x:c r="F258" s="60" t="str">
        <x:v>https://www.jenkinsplumbing.com/</x:v>
      </x:c>
      <x:c r="G258" s="60" t="str">
        <x:v>Summerville</x:v>
      </x:c>
      <x:c r="H258" s="60" t="str">
        <x:v>South Carolina</x:v>
      </x:c>
      <x:c r="I258" s="60" t="str">
        <x:v>Plumbing</x:v>
      </x:c>
      <x:c r="J258" s="60" t="str">
        <x:v>Jenkins Plumbing Co, LC</x:v>
      </x:c>
      <x:c r="K258" s="60" t="str"/>
      <x:c r="L258" s="60" t="str">
        <x:v>Owner / decision maker to verify</x:v>
      </x:c>
      <x:c r="M258" s="60" t="str"/>
      <x:c r="N258" s="60" t="str"/>
      <x:c r="O258" s="60" t="str">
        <x:v>(843) 832-4295</x:v>
      </x:c>
      <x:c r="P258" s="60" t="str"/>
      <x:c r="Q258" s="60" t="str"/>
      <x:c r="R258" s="60" t="str"/>
      <x:c r="S258" s="60" t="str">
        <x:v>3</x:v>
      </x:c>
      <x:c r="T258" s="74" t="str">
        <x:v>25</x:v>
      </x:c>
      <x:c r="U258" s="60" t="str">
        <x:v>missed_calls, communication</x:v>
      </x:c>
      <x:c r="V258" s="74" t="str">
        <x:v>20</x:v>
      </x:c>
      <x:c r="W258" s="74" t="str">
        <x:v>15</x:v>
      </x:c>
      <x:c r="X258" s="74" t="str">
        <x:v>14</x:v>
      </x:c>
      <x:c r="Y258" s="74" t="str">
        <x:v>3</x:v>
      </x:c>
      <x:c r="Z258" s="74" t="str">
        <x:v>5</x:v>
      </x:c>
      <x:c r="AA258" s="74" t="str">
        <x:v>1</x:v>
      </x:c>
      <x:c r="AB258" s="74" t="str">
        <x:v>0</x:v>
      </x:c>
      <x:c r="AC258" s="74" t="str">
        <x:v>1</x:v>
      </x:c>
      <x:c r="AD258" s="74" t="str">
        <x:v>0</x:v>
      </x:c>
      <x:c r="AE258" s="74" t="str">
        <x:v>0</x:v>
      </x:c>
      <x:c r="AF258" s="74" t="str"/>
      <x:c r="AG258" s="74" t="str">
        <x:v>0</x:v>
      </x:c>
      <x:c r="AH258" s="74" t="str">
        <x:v>0</x:v>
      </x:c>
      <x:c r="AI258" s="74" t="str">
        <x:v>0</x:v>
      </x:c>
      <x:c r="AJ258" s="74" t="str">
        <x:v>0</x:v>
      </x:c>
      <x:c r="AK258" s="74" t="str">
        <x:v>1</x:v>
      </x:c>
      <x:c r="AL258" s="74" t="str">
        <x:v>1</x:v>
      </x:c>
      <x:c r="AM258" s="74" t="str">
        <x:v>1</x:v>
      </x:c>
      <x:c r="AN258" s="74" t="str">
        <x:v>0</x:v>
      </x:c>
      <x:c r="AO258" s="60" t="str">
        <x:v>2026</x:v>
      </x:c>
      <x:c r="AP258" s="76" t="str">
        <x:v>Meta tracking detected; no embedded homepage video found</x:v>
      </x:c>
      <x:c r="AQ258" s="76" t="str">
        <x:v>Meta Pixel; visible service offer; no embedded homepage video detected</x:v>
      </x:c>
      <x:c r="AR258" s="76" t="str">
        <x:v>I noticed Jenkins Plumbing Co, LC's site has Meta tracking installed, but I couldn't find an embedded video on the homepage.</x:v>
      </x:c>
      <x:c r="AS258" s="76" t="str">
        <x:v>small symptom to prevented-emergency ad</x:v>
      </x:c>
      <x:c r="AT258" s="76" t="str">
        <x:v>Jenkins Plumbing Co, LC ad concept</x:v>
      </x:c>
      <x:c r="AU258" s="76" t="str">
        <x:v>Hi Jenkins Plumbing Co, LC — I noticed Jenkins Plumbing Co, LC's site has Meta tracking installed, but I couldn't find an embedded video on the homepage. I mapped a private 15-second small symptom to prevented-emergency ad for Jenkins Plumbing Co, LC using only public brand context—not for publishing, just to show the angle. We build three client-approved video ad concepts in seven days, then turn the winners into fresh variations. No filming day required. Worth sending the private sample?</x:v>
      </x:c>
      <x:c r="AV258" s="76" t="str">
        <x:v>Quick follow-up: the sample angle is a small symptom to prevented-emergency ad. If it misses the mark, no problem—I won't keep chasing. Should I send it?</x:v>
      </x:c>
      <x:c r="AW258" s="76" t="str">
        <x:v>Hi Jenkins Plumbing Co, LC, Ryan here. I was looking at Jenkins Plumbing Co, LC's public marketing and noticed: meta tracking detected; no embedded homepage video found. I mapped one private small symptom to prevented-emergency ad as an example. Did I catch you with 30 seconds?</x:v>
      </x:c>
      <x:c r="AX258" s="60" t="str">
        <x:v>https://www.facebook.com/ads/library/?active_status=active&amp;ad_type=all&amp;country=US&amp;q=Jenkins%20Plumbing%20Co%2C%20LC&amp;search_type=keyword_unordered</x:v>
      </x:c>
      <x:c r="AY258" s="60" t="str">
        <x:v>ok:200</x:v>
      </x:c>
      <x:c r="AZ258" s="60" t="n">
        <x:v>46232.722858796296</x:v>
      </x:c>
      <x:c r="BA258" s="60" t="str">
        <x:v>Google Maps home-services export</x:v>
      </x:c>
      <x:c r="BB258" s="60" t="str">
        <x:v>https://jenkinsplumbing.com | https://maps.google.com/?cid=2988437129338627508&amp;g_mp=Cidnb29nbGUubWFwcy5wbGFjZXMudjEuUGxhY2VzLlNlYXJjaFRleHQQAhgEIAA</x:v>
      </x:c>
      <x:c r="BC258" s="60" t="str"/>
    </x:row>
    <x:row r="259" ht="18" customHeight="1">
      <x:c r="A259" s="70" t="str">
        <x:v>258</x:v>
      </x:c>
      <x:c r="B259" s="70" t="str">
        <x:v>B - Strong</x:v>
      </x:c>
      <x:c r="C259" s="72" t="str">
        <x:v>57</x:v>
      </x:c>
      <x:c r="D259" s="60" t="str">
        <x:v>Southeastern Walk In Tubs and Showers</x:v>
      </x:c>
      <x:c r="E259" s="60" t="str">
        <x:v>https://southeasternwalkintubs.com</x:v>
      </x:c>
      <x:c r="F259" s="60" t="str">
        <x:v>https://southeasternwalkintubs.com</x:v>
      </x:c>
      <x:c r="G259" s="60" t="str">
        <x:v>Johns Island</x:v>
      </x:c>
      <x:c r="H259" s="60" t="str">
        <x:v>South Carolina</x:v>
      </x:c>
      <x:c r="I259" s="60" t="str">
        <x:v>Remodeling</x:v>
      </x:c>
      <x:c r="J259" s="60" t="str">
        <x:v>Stuart</x:v>
      </x:c>
      <x:c r="K259" s="60" t="str">
        <x:v>Brown</x:v>
      </x:c>
      <x:c r="L259" s="60" t="str">
        <x:v>Business Owner</x:v>
      </x:c>
      <x:c r="M259" s="60" t="str"/>
      <x:c r="N259" s="60" t="str"/>
      <x:c r="O259" s="60" t="str">
        <x:v>+1 317 755 8733</x:v>
      </x:c>
      <x:c r="P259" s="60" t="str">
        <x:v>https://www.linkedin.com/in/stuart-brown1976</x:v>
      </x:c>
      <x:c r="Q259" s="60" t="str">
        <x:v>2-10</x:v>
      </x:c>
      <x:c r="R259" s="60" t="str">
        <x:v>0-99999</x:v>
      </x:c>
      <x:c r="S259" s="60" t="str"/>
      <x:c r="T259" s="74" t="str">
        <x:v>0</x:v>
      </x:c>
      <x:c r="U259" s="60" t="str"/>
      <x:c r="V259" s="74" t="str">
        <x:v>25</x:v>
      </x:c>
      <x:c r="W259" s="74" t="str">
        <x:v>15</x:v>
      </x:c>
      <x:c r="X259" s="74" t="str">
        <x:v>12</x:v>
      </x:c>
      <x:c r="Y259" s="74" t="str">
        <x:v>0</x:v>
      </x:c>
      <x:c r="Z259" s="74" t="str">
        <x:v>5</x:v>
      </x:c>
      <x:c r="AA259" s="74" t="str">
        <x:v>1</x:v>
      </x:c>
      <x:c r="AB259" s="74" t="str">
        <x:v>0</x:v>
      </x:c>
      <x:c r="AC259" s="74" t="str">
        <x:v>1</x:v>
      </x:c>
      <x:c r="AD259" s="74" t="str">
        <x:v>0</x:v>
      </x:c>
      <x:c r="AE259" s="74" t="str">
        <x:v>0</x:v>
      </x:c>
      <x:c r="AF259" s="74" t="str"/>
      <x:c r="AG259" s="74" t="str">
        <x:v>0</x:v>
      </x:c>
      <x:c r="AH259" s="74" t="str">
        <x:v>0</x:v>
      </x:c>
      <x:c r="AI259" s="74" t="str">
        <x:v>0</x:v>
      </x:c>
      <x:c r="AJ259" s="74" t="str">
        <x:v>0</x:v>
      </x:c>
      <x:c r="AK259" s="74" t="str">
        <x:v>0</x:v>
      </x:c>
      <x:c r="AL259" s="74" t="str">
        <x:v>1</x:v>
      </x:c>
      <x:c r="AM259" s="74" t="str">
        <x:v>1</x:v>
      </x:c>
      <x:c r="AN259" s="74" t="str">
        <x:v>0</x:v>
      </x:c>
      <x:c r="AO259" s="60" t="str">
        <x:v>0</x:v>
      </x:c>
      <x:c r="AP259" s="76" t="str">
        <x:v>Meta tracking detected; no embedded homepage video found</x:v>
      </x:c>
      <x:c r="AQ259" s="76" t="str">
        <x:v>Meta Pixel; no embedded homepage video detected</x:v>
      </x:c>
      <x:c r="AR259" s="76" t="str">
        <x:v>I noticed Southeastern Walk In Tubs and Showers's site has Meta tracking installed, but I couldn't find an embedded video on the homepage.</x:v>
      </x:c>
      <x:c r="AS259" s="76" t="str">
        <x:v>project reveal with budget-and-timeline proof</x:v>
      </x:c>
      <x:c r="AT259" s="76" t="str">
        <x:v>Southeastern Walk In Tubs and Showers ad concept</x:v>
      </x:c>
      <x:c r="AU259" s="76" t="str">
        <x:v>Hi Stuart — I noticed Southeastern Walk In Tubs and Showers's site has Meta tracking installed, but I couldn't find an embedded video on the homepage. I mapped a private 15-second project reveal with budget-and-timeline proof for Southeastern Walk In Tubs and Showers using only public brand context—not for publishing, just to show the angle. We build three client-approved video ad concepts in seven days, then turn the winners into fresh variations. No filming day required. Worth sending the private sample?</x:v>
      </x:c>
      <x:c r="AV259" s="76" t="str">
        <x:v>Quick follow-up: the sample angle is a project reveal with budget-and-timeline proof. If it misses the mark, no problem—I won't keep chasing. Should I send it?</x:v>
      </x:c>
      <x:c r="AW259" s="76" t="str">
        <x:v>Hi Stuart, Ryan here. I was looking at Southeastern Walk In Tubs and Showers's public marketing and noticed: meta tracking detected; no embedded homepage video found. I mapped one private project reveal with budget-and-timeline proof as an example. Did I catch you with 30 seconds?</x:v>
      </x:c>
      <x:c r="AX259" s="60" t="str">
        <x:v>https://www.facebook.com/ads/library/?active_status=active&amp;ad_type=all&amp;country=US&amp;q=Southeastern%20Walk%20In%20Tubs%20and%20Showers&amp;search_type=keyword_unordered</x:v>
      </x:c>
      <x:c r="AY259" s="60" t="str">
        <x:v>ok:200</x:v>
      </x:c>
      <x:c r="AZ259" s="60" t="n">
        <x:v>46232.722858796296</x:v>
      </x:c>
      <x:c r="BA259" s="60" t="str">
        <x:v>AI Ark SC trades export</x:v>
      </x:c>
      <x:c r="BB259" s="60" t="str">
        <x:v>https://southeasternwalkintubs.com | https://www.linkedin.com/company/southeastern-walk-in-tubs-and-showers</x:v>
      </x:c>
      <x:c r="BC259" s="60" t="str"/>
    </x:row>
    <x:row r="260" ht="18" customHeight="1">
      <x:c r="A260" s="70" t="str">
        <x:v>259</x:v>
      </x:c>
      <x:c r="B260" s="70" t="str">
        <x:v>B - Strong</x:v>
      </x:c>
      <x:c r="C260" s="72" t="str">
        <x:v>57</x:v>
      </x:c>
      <x:c r="D260" s="60" t="str">
        <x:v>Air Mechanical</x:v>
      </x:c>
      <x:c r="E260" s="60" t="str">
        <x:v>https://airmechanicalmb.com</x:v>
      </x:c>
      <x:c r="F260" s="60" t="str">
        <x:v>https://airmechanicalmb.com</x:v>
      </x:c>
      <x:c r="G260" s="60" t="str">
        <x:v>Myrtle Beach</x:v>
      </x:c>
      <x:c r="H260" s="60" t="str">
        <x:v>South Carolina</x:v>
      </x:c>
      <x:c r="I260" s="60" t="str">
        <x:v>HVAC</x:v>
      </x:c>
      <x:c r="J260" s="60" t="str">
        <x:v>Air Mechanical</x:v>
      </x:c>
      <x:c r="K260" s="60" t="str"/>
      <x:c r="L260" s="60" t="str">
        <x:v>Owner / decision maker to verify</x:v>
      </x:c>
      <x:c r="M260" s="60" t="str"/>
      <x:c r="N260" s="60" t="str"/>
      <x:c r="O260" s="60" t="str">
        <x:v>(843) 293-2052</x:v>
      </x:c>
      <x:c r="P260" s="60" t="str"/>
      <x:c r="Q260" s="60" t="str"/>
      <x:c r="R260" s="60" t="str"/>
      <x:c r="S260" s="60" t="str">
        <x:v>4.8</x:v>
      </x:c>
      <x:c r="T260" s="74" t="str">
        <x:v>522</x:v>
      </x:c>
      <x:c r="U260" s="60" t="str"/>
      <x:c r="V260" s="74" t="str">
        <x:v>29</x:v>
      </x:c>
      <x:c r="W260" s="74" t="str">
        <x:v>14</x:v>
      </x:c>
      <x:c r="X260" s="74" t="str">
        <x:v>0</x:v>
      </x:c>
      <x:c r="Y260" s="74" t="str">
        <x:v>9</x:v>
      </x:c>
      <x:c r="Z260" s="74" t="str">
        <x:v>5</x:v>
      </x:c>
      <x:c r="AA260" s="74" t="str">
        <x:v>0</x:v>
      </x:c>
      <x:c r="AB260" s="74" t="str">
        <x:v>0</x:v>
      </x:c>
      <x:c r="AC260" s="74" t="str">
        <x:v>1</x:v>
      </x:c>
      <x:c r="AD260" s="74" t="str">
        <x:v>0</x:v>
      </x:c>
      <x:c r="AE260" s="74" t="str">
        <x:v>1</x:v>
      </x:c>
      <x:c r="AF260" s="74" t="str">
        <x:v>podium</x:v>
      </x:c>
      <x:c r="AG260" s="74" t="str">
        <x:v>1</x:v>
      </x:c>
      <x:c r="AH260" s="74" t="str">
        <x:v>0</x:v>
      </x:c>
      <x:c r="AI260" s="74" t="str">
        <x:v>0</x:v>
      </x:c>
      <x:c r="AJ260" s="74" t="str">
        <x:v>1</x:v>
      </x:c>
      <x:c r="AK260" s="74" t="str">
        <x:v>1</x:v>
      </x:c>
      <x:c r="AL260" s="74" t="str">
        <x:v>0</x:v>
      </x:c>
      <x:c r="AM260" s="74" t="str">
        <x:v>1</x:v>
      </x:c>
      <x:c r="AN260" s="74" t="str">
        <x:v>1</x:v>
      </x:c>
      <x:c r="AO260" s="60" t="str">
        <x:v>2026</x:v>
      </x:c>
      <x:c r="AP260" s="76" t="str">
        <x:v>Paid-demand technology detected; creative refresh hypothesis</x:v>
      </x:c>
      <x:c r="AQ260" s="76" t="str">
        <x:v>call tracking; financing; visible service offer</x:v>
      </x:c>
      <x:c r="AR260" s="76" t="str">
        <x:v>I was reviewing hvac companies in Myrtle Beach, South Carolina and Air Mechanical looked like a strong fit for a creative test.</x:v>
      </x:c>
      <x:c r="AS260" s="76" t="str">
        <x:v>no-cool-call to same-day comfort ad</x:v>
      </x:c>
      <x:c r="AT260" s="76" t="str">
        <x:v>Air Mechanical ad concept</x:v>
      </x:c>
      <x:c r="AU260" s="76" t="str">
        <x:v>Hi Air Mechanical — I was reviewing hvac companies in Myrtle Beach, South Carolina and Air Mechanical looked like a strong fit for a creative test. I mapped a private 15-second no-cool-call to same-day comfort ad for Air Mechanical using only public brand context—not for publishing, just to show the angle. We build three client-approved video ad concepts in seven days, then turn the winners into fresh variations. No filming day required. Worth sending the private sample?</x:v>
      </x:c>
      <x:c r="AV260" s="76" t="str">
        <x:v>Quick follow-up: the sample angle is a no-cool-call to same-day comfort ad. If it misses the mark, no problem—I won't keep chasing. Should I send it?</x:v>
      </x:c>
      <x:c r="AW260" s="76" t="str">
        <x:v>Hi Air Mechanical, Ryan here. I was looking at Air Mechanical's public marketing and noticed: paid-demand technology detected; creative refresh hypothesis. I mapped one private no-cool-call to same-day comfort ad as an example. Did I catch you with 30 seconds?</x:v>
      </x:c>
      <x:c r="AX260" s="60" t="str">
        <x:v>https://www.facebook.com/ads/library/?active_status=active&amp;ad_type=all&amp;country=US&amp;q=Air%20Mechanical&amp;search_type=keyword_unordered</x:v>
      </x:c>
      <x:c r="AY260" s="60" t="str">
        <x:v>ok:200</x:v>
      </x:c>
      <x:c r="AZ260" s="60" t="n">
        <x:v>46232.722858796296</x:v>
      </x:c>
      <x:c r="BA260" s="60" t="str">
        <x:v>Google Maps home-services export</x:v>
      </x:c>
      <x:c r="BB260" s="60" t="str">
        <x:v>https://airmechanicalmb.com | https://maps.google.com/?cid=1326528430340275380&amp;g_mp=Cidnb29nbGUubWFwcy5wbGFjZXMudjEuUGxhY2VzLlNlYXJjaFRleHQQAhgEIAA</x:v>
      </x:c>
      <x:c r="BC260" s="60" t="str"/>
    </x:row>
    <x:row r="261" ht="18" customHeight="1">
      <x:c r="A261" s="70" t="str">
        <x:v>260</x:v>
      </x:c>
      <x:c r="B261" s="70" t="str">
        <x:v>B - Strong</x:v>
      </x:c>
      <x:c r="C261" s="72" t="str">
        <x:v>57</x:v>
      </x:c>
      <x:c r="D261" s="60" t="str">
        <x:v>North West Exteriors</x:v>
      </x:c>
      <x:c r="E261" s="60" t="str">
        <x:v>https://northwestexteriors.com</x:v>
      </x:c>
      <x:c r="F261" s="60" t="str">
        <x:v>https://northwestexteriors.com</x:v>
      </x:c>
      <x:c r="G261" s="60" t="str">
        <x:v>Greenwood</x:v>
      </x:c>
      <x:c r="H261" s="60" t="str">
        <x:v>South Carolina</x:v>
      </x:c>
      <x:c r="I261" s="60" t="str">
        <x:v>General Contractor</x:v>
      </x:c>
      <x:c r="J261" s="60" t="str">
        <x:v>Trent</x:v>
      </x:c>
      <x:c r="K261" s="60" t="str">
        <x:v>Field</x:v>
      </x:c>
      <x:c r="L261" s="60" t="str">
        <x:v>Small Business Owner</x:v>
      </x:c>
      <x:c r="M261" s="60" t="str"/>
      <x:c r="N261" s="60" t="str"/>
      <x:c r="O261" s="60" t="str"/>
      <x:c r="P261" s="60" t="str">
        <x:v>https://www.linkedin.com/in/trent-field-9a6645292</x:v>
      </x:c>
      <x:c r="Q261" s="60" t="str">
        <x:v>2-10</x:v>
      </x:c>
      <x:c r="R261" s="60" t="str">
        <x:v>100000-499999</x:v>
      </x:c>
      <x:c r="S261" s="60" t="str"/>
      <x:c r="T261" s="74" t="str">
        <x:v>0</x:v>
      </x:c>
      <x:c r="U261" s="60" t="str"/>
      <x:c r="V261" s="74" t="str">
        <x:v>20</x:v>
      </x:c>
      <x:c r="W261" s="74" t="str">
        <x:v>11</x:v>
      </x:c>
      <x:c r="X261" s="74" t="str">
        <x:v>12</x:v>
      </x:c>
      <x:c r="Y261" s="74" t="str">
        <x:v>12</x:v>
      </x:c>
      <x:c r="Z261" s="74" t="str">
        <x:v>2</x:v>
      </x:c>
      <x:c r="AA261" s="74" t="str">
        <x:v>0</x:v>
      </x:c>
      <x:c r="AB261" s="74" t="str">
        <x:v>0</x:v>
      </x:c>
      <x:c r="AC261" s="74" t="str">
        <x:v>1</x:v>
      </x:c>
      <x:c r="AD261" s="74" t="str">
        <x:v>0</x:v>
      </x:c>
      <x:c r="AE261" s="74" t="str">
        <x:v>1</x:v>
      </x:c>
      <x:c r="AF261" s="74" t="str"/>
      <x:c r="AG261" s="74" t="str">
        <x:v>0</x:v>
      </x:c>
      <x:c r="AH261" s="74" t="str">
        <x:v>1</x:v>
      </x:c>
      <x:c r="AI261" s="74" t="str">
        <x:v>1</x:v>
      </x:c>
      <x:c r="AJ261" s="74" t="str">
        <x:v>0</x:v>
      </x:c>
      <x:c r="AK261" s="74" t="str">
        <x:v>1</x:v>
      </x:c>
      <x:c r="AL261" s="74" t="str">
        <x:v>1</x:v>
      </x:c>
      <x:c r="AM261" s="74" t="str">
        <x:v>1</x:v>
      </x:c>
      <x:c r="AN261" s="74" t="str">
        <x:v>1</x:v>
      </x:c>
      <x:c r="AO261" s="60" t="str">
        <x:v>2026</x:v>
      </x:c>
      <x:c r="AP261" s="76" t="str">
        <x:v>Call-tracking stack detected; no embedded homepage video found</x:v>
      </x:c>
      <x:c r="AQ261" s="76" t="str">
        <x:v>call tracking; project/gallery proof; testimonials; visible service offer; no embedded homepage video detected</x:v>
      </x:c>
      <x:c r="AR261" s="76" t="str">
        <x:v>I noticed North West Exteriors has call tracking in place, but I couldn't find an embedded video on the homepage.</x:v>
      </x:c>
      <x:c r="AS261" s="76" t="str">
        <x:v>project walkthrough with proof milestones</x:v>
      </x:c>
      <x:c r="AT261" s="76" t="str">
        <x:v>North West Exteriors ad concept</x:v>
      </x:c>
      <x:c r="AU261" s="76" t="str">
        <x:v>Hi Trent — I noticed North West Exteriors has call tracking in place, but I couldn't find an embedded video on the homepage. I mapped a private 15-second project walkthrough with proof milestones for North West Exteriors using only public brand context—not for publishing, just to show the angle. We build three client-approved video ad concepts in seven days, then turn the winners into fresh variations. No filming day required. Worth sending the private sample?</x:v>
      </x:c>
      <x:c r="AV261" s="76" t="str">
        <x:v>Quick follow-up: the sample angle is a project walkthrough with proof milestones. If it misses the mark, no problem—I won't keep chasing. Should I send it?</x:v>
      </x:c>
      <x:c r="AW261" s="76" t="str">
        <x:v>Hi Trent, Ryan here. I was looking at North West Exteriors's public marketing and noticed: call-tracking stack detected; no embedded homepage video found. I mapped one private project walkthrough with proof milestones as an example. Did I catch you with 30 seconds?</x:v>
      </x:c>
      <x:c r="AX261" s="60" t="str">
        <x:v>https://www.facebook.com/ads/library/?active_status=active&amp;ad_type=all&amp;country=US&amp;q=North%20West%20Exteriors&amp;search_type=keyword_unordered</x:v>
      </x:c>
      <x:c r="AY261" s="60" t="str">
        <x:v>ok:200</x:v>
      </x:c>
      <x:c r="AZ261" s="60" t="n">
        <x:v>46232.722858796296</x:v>
      </x:c>
      <x:c r="BA261" s="60" t="str">
        <x:v>AI Ark SC trades export</x:v>
      </x:c>
      <x:c r="BB261" s="60" t="str">
        <x:v>https://northwestexteriors.com | https://www.linkedin.com/company/north-west-exteriors</x:v>
      </x:c>
      <x:c r="BC261" s="60" t="str"/>
    </x:row>
    <x:row r="262" ht="18" customHeight="1">
      <x:c r="A262" s="70" t="str">
        <x:v>261</x:v>
      </x:c>
      <x:c r="B262" s="70" t="str">
        <x:v>B - Strong</x:v>
      </x:c>
      <x:c r="C262" s="72" t="str">
        <x:v>57</x:v>
      </x:c>
      <x:c r="D262" s="60" t="str">
        <x:v>Polk Electric LLC</x:v>
      </x:c>
      <x:c r="E262" s="60" t="str">
        <x:v>https://polkelectric.com</x:v>
      </x:c>
      <x:c r="F262" s="60" t="str">
        <x:v>https://www.polkelectric.com/</x:v>
      </x:c>
      <x:c r="G262" s="60" t="str">
        <x:v>Rock Hill</x:v>
      </x:c>
      <x:c r="H262" s="60" t="str">
        <x:v>South Carolina</x:v>
      </x:c>
      <x:c r="I262" s="60" t="str">
        <x:v>Electrical</x:v>
      </x:c>
      <x:c r="J262" s="60" t="str">
        <x:v>Polk Electric LLC</x:v>
      </x:c>
      <x:c r="K262" s="60" t="str"/>
      <x:c r="L262" s="60" t="str">
        <x:v>Owner / decision maker to verify</x:v>
      </x:c>
      <x:c r="M262" s="60" t="str"/>
      <x:c r="N262" s="60" t="str"/>
      <x:c r="O262" s="60" t="str">
        <x:v>(803) 324-5000</x:v>
      </x:c>
      <x:c r="P262" s="60" t="str"/>
      <x:c r="Q262" s="60" t="str"/>
      <x:c r="R262" s="60" t="str"/>
      <x:c r="S262" s="60" t="str">
        <x:v>4.3</x:v>
      </x:c>
      <x:c r="T262" s="74" t="str">
        <x:v>70</x:v>
      </x:c>
      <x:c r="U262" s="60" t="str">
        <x:v>slow_response, communication</x:v>
      </x:c>
      <x:c r="V262" s="74" t="str">
        <x:v>21</x:v>
      </x:c>
      <x:c r="W262" s="74" t="str">
        <x:v>11</x:v>
      </x:c>
      <x:c r="X262" s="74" t="str">
        <x:v>18</x:v>
      </x:c>
      <x:c r="Y262" s="74" t="str">
        <x:v>2</x:v>
      </x:c>
      <x:c r="Z262" s="74" t="str">
        <x:v>5</x:v>
      </x:c>
      <x:c r="AA262" s="74" t="str">
        <x:v>0</x:v>
      </x:c>
      <x:c r="AB262" s="74" t="str">
        <x:v>0</x:v>
      </x:c>
      <x:c r="AC262" s="74" t="str">
        <x:v>1</x:v>
      </x:c>
      <x:c r="AD262" s="74" t="str">
        <x:v>0</x:v>
      </x:c>
      <x:c r="AE262" s="74" t="str">
        <x:v>1</x:v>
      </x:c>
      <x:c r="AF262" s="74" t="str"/>
      <x:c r="AG262" s="74" t="str">
        <x:v>0</x:v>
      </x:c>
      <x:c r="AH262" s="74" t="str">
        <x:v>0</x:v>
      </x:c>
      <x:c r="AI262" s="74" t="str">
        <x:v>0</x:v>
      </x:c>
      <x:c r="AJ262" s="74" t="str">
        <x:v>0</x:v>
      </x:c>
      <x:c r="AK262" s="74" t="str">
        <x:v>0</x:v>
      </x:c>
      <x:c r="AL262" s="74" t="str">
        <x:v>0</x:v>
      </x:c>
      <x:c r="AM262" s="74" t="str">
        <x:v>1</x:v>
      </x:c>
      <x:c r="AN262" s="74" t="str">
        <x:v>0</x:v>
      </x:c>
      <x:c r="AO262" s="60" t="str">
        <x:v>2026</x:v>
      </x:c>
      <x:c r="AP262" s="76" t="str">
        <x:v>Call-tracking stack detected; no embedded homepage video found</x:v>
      </x:c>
      <x:c r="AQ262" s="76" t="str">
        <x:v>call tracking; no embedded homepage video detected</x:v>
      </x:c>
      <x:c r="AR262" s="76" t="str">
        <x:v>I noticed Polk Electric LLC has call tracking in place, but I couldn't find an embedded video on the homepage.</x:v>
      </x:c>
      <x:c r="AS262" s="76" t="str">
        <x:v>safety inspection problem/solution ad</x:v>
      </x:c>
      <x:c r="AT262" s="76" t="str">
        <x:v>Polk Electric LLC ad concept</x:v>
      </x:c>
      <x:c r="AU262" s="76" t="str">
        <x:v>Hi Polk Electric LLC — I noticed Polk Electric LLC has call tracking in place, but I couldn't find an embedded video on the homepage. I mapped a private 15-second safety inspection problem/solution ad for Polk Electric LLC using only public brand context—not for publishing, just to show the angle. We build three client-approved video ad concepts in seven days, then turn the winners into fresh variations. No filming day required. Worth sending the private sample?</x:v>
      </x:c>
      <x:c r="AV262" s="76" t="str">
        <x:v>Quick follow-up: the sample angle is a safety inspection problem/solution ad. If it misses the mark, no problem—I won't keep chasing. Should I send it?</x:v>
      </x:c>
      <x:c r="AW262" s="76" t="str">
        <x:v>Hi Polk Electric LLC, Ryan here. I was looking at Polk Electric LLC's public marketing and noticed: call-tracking stack detected; no embedded homepage video found. I mapped one private safety inspection problem/solution ad as an example. Did I catch you with 30 seconds?</x:v>
      </x:c>
      <x:c r="AX262" s="60" t="str">
        <x:v>https://www.facebook.com/ads/library/?active_status=active&amp;ad_type=all&amp;country=US&amp;q=Polk%20Electric%20LLC&amp;search_type=keyword_unordered</x:v>
      </x:c>
      <x:c r="AY262" s="60" t="str">
        <x:v>ok:200</x:v>
      </x:c>
      <x:c r="AZ262" s="60" t="n">
        <x:v>46232.722858796296</x:v>
      </x:c>
      <x:c r="BA262" s="60" t="str">
        <x:v>Google Maps home-services export</x:v>
      </x:c>
      <x:c r="BB262" s="60" t="str">
        <x:v>https://maps.google.com/?cid=8098898521789163685&amp;g_mp=Cidnb29nbGUubWFwcy5wbGFjZXMudjEuUGxhY2VzLlNlYXJjaFRleHQQAhgEIAA | https://polkelectric.com</x:v>
      </x:c>
      <x:c r="BC262" s="60" t="str"/>
    </x:row>
    <x:row r="263" ht="18" customHeight="1">
      <x:c r="A263" s="70" t="str">
        <x:v>262</x:v>
      </x:c>
      <x:c r="B263" s="70" t="str">
        <x:v>B - Strong</x:v>
      </x:c>
      <x:c r="C263" s="72" t="str">
        <x:v>57</x:v>
      </x:c>
      <x:c r="D263" s="60" t="str">
        <x:v>One Call HVAC</x:v>
      </x:c>
      <x:c r="E263" s="60" t="str">
        <x:v>https://onecallhvacsc.com</x:v>
      </x:c>
      <x:c r="F263" s="60" t="str">
        <x:v>https://onecallhvacsc.com</x:v>
      </x:c>
      <x:c r="G263" s="60" t="str">
        <x:v>Spartanburg</x:v>
      </x:c>
      <x:c r="H263" s="60" t="str">
        <x:v>South Carolina</x:v>
      </x:c>
      <x:c r="I263" s="60" t="str">
        <x:v>HVAC</x:v>
      </x:c>
      <x:c r="J263" s="60" t="str">
        <x:v>One Call HVAC</x:v>
      </x:c>
      <x:c r="K263" s="60" t="str"/>
      <x:c r="L263" s="60" t="str">
        <x:v>Owner / decision maker to verify</x:v>
      </x:c>
      <x:c r="M263" s="60" t="str"/>
      <x:c r="N263" s="60" t="str"/>
      <x:c r="O263" s="60" t="str">
        <x:v>(864) 362-8810</x:v>
      </x:c>
      <x:c r="P263" s="60" t="str"/>
      <x:c r="Q263" s="60" t="str"/>
      <x:c r="R263" s="60" t="str"/>
      <x:c r="S263" s="60" t="str">
        <x:v>5</x:v>
      </x:c>
      <x:c r="T263" s="74" t="str">
        <x:v>18</x:v>
      </x:c>
      <x:c r="U263" s="60" t="str"/>
      <x:c r="V263" s="74" t="str">
        <x:v>24</x:v>
      </x:c>
      <x:c r="W263" s="74" t="str">
        <x:v>6</x:v>
      </x:c>
      <x:c r="X263" s="74" t="str">
        <x:v>10</x:v>
      </x:c>
      <x:c r="Y263" s="74" t="str">
        <x:v>12</x:v>
      </x:c>
      <x:c r="Z263" s="74" t="str">
        <x:v>5</x:v>
      </x:c>
      <x:c r="AA263" s="74" t="str">
        <x:v>0</x:v>
      </x:c>
      <x:c r="AB263" s="74" t="str">
        <x:v>0</x:v>
      </x:c>
      <x:c r="AC263" s="74" t="str">
        <x:v>1</x:v>
      </x:c>
      <x:c r="AD263" s="74" t="str">
        <x:v>0</x:v>
      </x:c>
      <x:c r="AE263" s="74" t="str">
        <x:v>0</x:v>
      </x:c>
      <x:c r="AF263" s="74" t="str">
        <x:v>servicetitan</x:v>
      </x:c>
      <x:c r="AG263" s="74" t="str">
        <x:v>0</x:v>
      </x:c>
      <x:c r="AH263" s="74" t="str">
        <x:v>1</x:v>
      </x:c>
      <x:c r="AI263" s="74" t="str">
        <x:v>1</x:v>
      </x:c>
      <x:c r="AJ263" s="74" t="str">
        <x:v>0</x:v>
      </x:c>
      <x:c r="AK263" s="74" t="str">
        <x:v>1</x:v>
      </x:c>
      <x:c r="AL263" s="74" t="str">
        <x:v>0</x:v>
      </x:c>
      <x:c r="AM263" s="74" t="str">
        <x:v>0</x:v>
      </x:c>
      <x:c r="AN263" s="74" t="str">
        <x:v>0</x:v>
      </x:c>
      <x:c r="AO263" s="60" t="str">
        <x:v>2026</x:v>
      </x:c>
      <x:c r="AP263" s="76" t="str">
        <x:v>Project/gallery proof found; no embedded homepage video found</x:v>
      </x:c>
      <x:c r="AQ263" s="76" t="str">
        <x:v>project/gallery proof; testimonials; visible service offer; no embedded homepage video detected</x:v>
      </x:c>
      <x:c r="AR263" s="76" t="str">
        <x:v>I found project/gallery proof on One Call HVAC's site that could be repackaged into short-form ad concepts.</x:v>
      </x:c>
      <x:c r="AS263" s="76" t="str">
        <x:v>no-cool-call to same-day comfort ad</x:v>
      </x:c>
      <x:c r="AT263" s="76" t="str">
        <x:v>One Call HVAC ad concept</x:v>
      </x:c>
      <x:c r="AU263" s="76" t="str">
        <x:v>Hi One Call HVAC — I found project/gallery proof on One Call HVAC's site that could be repackaged into short-form ad concepts. I mapped a private 15-second no-cool-call to same-day comfort ad for One Call HVAC using only public brand context—not for publishing, just to show the angle. We build three client-approved video ad concepts in seven days, then turn the winners into fresh variations. No filming day required. Worth sending the private sample?</x:v>
      </x:c>
      <x:c r="AV263" s="76" t="str">
        <x:v>Quick follow-up: the sample angle is a no-cool-call to same-day comfort ad. If it misses the mark, no problem—I won't keep chasing. Should I send it?</x:v>
      </x:c>
      <x:c r="AW263" s="76" t="str">
        <x:v>Hi One Call HVAC, Ryan here. I was looking at One Call HVAC's public marketing and noticed: project/gallery proof found; no embedded homepage video found. I mapped one private no-cool-call to same-day comfort ad as an example. Did I catch you with 30 seconds?</x:v>
      </x:c>
      <x:c r="AX263" s="60" t="str">
        <x:v>https://www.facebook.com/ads/library/?active_status=active&amp;ad_type=all&amp;country=US&amp;q=One%20Call%20HVAC&amp;search_type=keyword_unordered</x:v>
      </x:c>
      <x:c r="AY263" s="60" t="str">
        <x:v>ok:200</x:v>
      </x:c>
      <x:c r="AZ263" s="60" t="n">
        <x:v>46232.722858796296</x:v>
      </x:c>
      <x:c r="BA263" s="60" t="str">
        <x:v>Google Maps home-services export</x:v>
      </x:c>
      <x:c r="BB263" s="60" t="str">
        <x:v>https://maps.google.com/?cid=5265096850313906847&amp;g_mp=Cidnb29nbGUubWFwcy5wbGFjZXMudjEuUGxhY2VzLlNlYXJjaFRleHQQAhgEIAA | https://onecallhvacsc.com</x:v>
      </x:c>
      <x:c r="BC263" s="60" t="str"/>
    </x:row>
    <x:row r="264" ht="18" customHeight="1">
      <x:c r="A264" s="70" t="str">
        <x:v>263</x:v>
      </x:c>
      <x:c r="B264" s="70" t="str">
        <x:v>B - Strong</x:v>
      </x:c>
      <x:c r="C264" s="72" t="str">
        <x:v>57</x:v>
      </x:c>
      <x:c r="D264" s="60" t="str">
        <x:v>Elite Overhead Garage Doors</x:v>
      </x:c>
      <x:c r="E264" s="60" t="str">
        <x:v>https://elitegaragedoorsgreenville.com</x:v>
      </x:c>
      <x:c r="F264" s="60" t="str">
        <x:v>https://elitegaragedoorsgreenville.com</x:v>
      </x:c>
      <x:c r="G264" s="60" t="str">
        <x:v>Greenville</x:v>
      </x:c>
      <x:c r="H264" s="60" t="str">
        <x:v>South Carolina</x:v>
      </x:c>
      <x:c r="I264" s="60" t="str">
        <x:v>Garage Doors</x:v>
      </x:c>
      <x:c r="J264" s="60" t="str">
        <x:v>Elite Overhead Garage Doors</x:v>
      </x:c>
      <x:c r="K264" s="60" t="str"/>
      <x:c r="L264" s="60" t="str">
        <x:v>Owner / decision maker to verify</x:v>
      </x:c>
      <x:c r="M264" s="60" t="str"/>
      <x:c r="N264" s="60" t="str"/>
      <x:c r="O264" s="60" t="str">
        <x:v>(864) 907-6468</x:v>
      </x:c>
      <x:c r="P264" s="60" t="str"/>
      <x:c r="Q264" s="60" t="str"/>
      <x:c r="R264" s="60" t="str"/>
      <x:c r="S264" s="60" t="str">
        <x:v>4.9</x:v>
      </x:c>
      <x:c r="T264" s="74" t="str">
        <x:v>341</x:v>
      </x:c>
      <x:c r="U264" s="60" t="str"/>
      <x:c r="V264" s="74" t="str">
        <x:v>25</x:v>
      </x:c>
      <x:c r="W264" s="74" t="str">
        <x:v>6</x:v>
      </x:c>
      <x:c r="X264" s="74" t="str">
        <x:v>10</x:v>
      </x:c>
      <x:c r="Y264" s="74" t="str">
        <x:v>11</x:v>
      </x:c>
      <x:c r="Z264" s="74" t="str">
        <x:v>5</x:v>
      </x:c>
      <x:c r="AA264" s="74" t="str">
        <x:v>0</x:v>
      </x:c>
      <x:c r="AB264" s="74" t="str">
        <x:v>0</x:v>
      </x:c>
      <x:c r="AC264" s="74" t="str">
        <x:v>1</x:v>
      </x:c>
      <x:c r="AD264" s="74" t="str">
        <x:v>0</x:v>
      </x:c>
      <x:c r="AE264" s="74" t="str">
        <x:v>0</x:v>
      </x:c>
      <x:c r="AF264" s="74" t="str">
        <x:v>housecallpro</x:v>
      </x:c>
      <x:c r="AG264" s="74" t="str">
        <x:v>0</x:v>
      </x:c>
      <x:c r="AH264" s="74" t="str">
        <x:v>1</x:v>
      </x:c>
      <x:c r="AI264" s="74" t="str">
        <x:v>0</x:v>
      </x:c>
      <x:c r="AJ264" s="74" t="str">
        <x:v>0</x:v>
      </x:c>
      <x:c r="AK264" s="74" t="str">
        <x:v>1</x:v>
      </x:c>
      <x:c r="AL264" s="74" t="str">
        <x:v>0</x:v>
      </x:c>
      <x:c r="AM264" s="74" t="str">
        <x:v>1</x:v>
      </x:c>
      <x:c r="AN264" s="74" t="str">
        <x:v>0</x:v>
      </x:c>
      <x:c r="AO264" s="60" t="str">
        <x:v>2025</x:v>
      </x:c>
      <x:c r="AP264" s="76" t="str">
        <x:v>Project/gallery proof found; no embedded homepage video found</x:v>
      </x:c>
      <x:c r="AQ264" s="76" t="str">
        <x:v>project/gallery proof; visible service offer; no embedded homepage video detected</x:v>
      </x:c>
      <x:c r="AR264" s="76" t="str">
        <x:v>I found project/gallery proof on Elite Overhead Garage Doors's site that could be repackaged into short-form ad concepts.</x:v>
      </x:c>
      <x:c r="AS264" s="76" t="str">
        <x:v>curb-appeal transformation ad</x:v>
      </x:c>
      <x:c r="AT264" s="76" t="str">
        <x:v>Elite Overhead Garage Doors ad concept</x:v>
      </x:c>
      <x:c r="AU264" s="76" t="str">
        <x:v>Hi Elite Overhead Garage Doors — I found project/gallery proof on Elite Overhead Garage Doors's site that could be repackaged into short-form ad concepts. I mapped a private 15-second curb-appeal transformation ad for Elite Overhead Garage Doors using only public brand context—not for publishing, just to show the angle. We build three client-approved video ad concepts in seven days, then turn the winners into fresh variations. No filming day required. Worth sending the private sample?</x:v>
      </x:c>
      <x:c r="AV264" s="76" t="str">
        <x:v>Quick follow-up: the sample angle is a curb-appeal transformation ad. If it misses the mark, no problem—I won't keep chasing. Should I send it?</x:v>
      </x:c>
      <x:c r="AW264" s="76" t="str">
        <x:v>Hi Elite Overhead Garage Doors, Ryan here. I was looking at Elite Overhead Garage Doors's public marketing and noticed: project/gallery proof found; no embedded homepage video found. I mapped one private curb-appeal transformation ad as an example. Did I catch you with 30 seconds?</x:v>
      </x:c>
      <x:c r="AX264" s="60" t="str">
        <x:v>https://www.facebook.com/ads/library/?active_status=active&amp;ad_type=all&amp;country=US&amp;q=Elite%20Overhead%20Garage%20Doors&amp;search_type=keyword_unordered</x:v>
      </x:c>
      <x:c r="AY264" s="60" t="str">
        <x:v>ok:200</x:v>
      </x:c>
      <x:c r="AZ264" s="60" t="n">
        <x:v>46232.722858796296</x:v>
      </x:c>
      <x:c r="BA264" s="60" t="str">
        <x:v>Google Maps home-services export</x:v>
      </x:c>
      <x:c r="BB264" s="60" t="str">
        <x:v>https://elitegaragedoorsgreenville.com | https://maps.google.com/?cid=13043254416849007327&amp;g_mp=Cidnb29nbGUubWFwcy5wbGFjZXMudjEuUGxhY2VzLlNlYXJjaFRleHQQAhgEIAA</x:v>
      </x:c>
      <x:c r="BC264" s="60" t="str"/>
    </x:row>
    <x:row r="265" ht="18" customHeight="1">
      <x:c r="A265" s="70" t="str">
        <x:v>264</x:v>
      </x:c>
      <x:c r="B265" s="70" t="str">
        <x:v>B - Strong</x:v>
      </x:c>
      <x:c r="C265" s="72" t="str">
        <x:v>57</x:v>
      </x:c>
      <x:c r="D265" s="60" t="str">
        <x:v>Greymen's Plumbing</x:v>
      </x:c>
      <x:c r="E265" s="60" t="str">
        <x:v>https://greymensplumbing.com</x:v>
      </x:c>
      <x:c r="F265" s="60" t="str">
        <x:v>https://www.greymensplumbing.com/</x:v>
      </x:c>
      <x:c r="G265" s="60" t="str">
        <x:v>Rock Hill</x:v>
      </x:c>
      <x:c r="H265" s="60" t="str">
        <x:v>South Carolina</x:v>
      </x:c>
      <x:c r="I265" s="60" t="str">
        <x:v>Plumbing</x:v>
      </x:c>
      <x:c r="J265" s="60" t="str">
        <x:v>Greymen's Plumbing</x:v>
      </x:c>
      <x:c r="K265" s="60" t="str"/>
      <x:c r="L265" s="60" t="str">
        <x:v>Owner / decision maker to verify</x:v>
      </x:c>
      <x:c r="M265" s="60" t="str"/>
      <x:c r="N265" s="60" t="str"/>
      <x:c r="O265" s="60" t="str">
        <x:v>(803) 524-6126</x:v>
      </x:c>
      <x:c r="P265" s="60" t="str"/>
      <x:c r="Q265" s="60" t="str"/>
      <x:c r="R265" s="60" t="str"/>
      <x:c r="S265" s="60" t="str">
        <x:v>4.9</x:v>
      </x:c>
      <x:c r="T265" s="74" t="str">
        <x:v>311</x:v>
      </x:c>
      <x:c r="U265" s="60" t="str">
        <x:v>scheduling, no_show</x:v>
      </x:c>
      <x:c r="V265" s="74" t="str">
        <x:v>25</x:v>
      </x:c>
      <x:c r="W265" s="74" t="str">
        <x:v>6</x:v>
      </x:c>
      <x:c r="X265" s="74" t="str">
        <x:v>12</x:v>
      </x:c>
      <x:c r="Y265" s="74" t="str">
        <x:v>9</x:v>
      </x:c>
      <x:c r="Z265" s="74" t="str">
        <x:v>5</x:v>
      </x:c>
      <x:c r="AA265" s="74" t="str">
        <x:v>0</x:v>
      </x:c>
      <x:c r="AB265" s="74" t="str">
        <x:v>0</x:v>
      </x:c>
      <x:c r="AC265" s="74" t="str">
        <x:v>1</x:v>
      </x:c>
      <x:c r="AD265" s="74" t="str">
        <x:v>0</x:v>
      </x:c>
      <x:c r="AE265" s="74" t="str">
        <x:v>0</x:v>
      </x:c>
      <x:c r="AF265" s="74" t="str">
        <x:v>housecallpro</x:v>
      </x:c>
      <x:c r="AG265" s="74" t="str">
        <x:v>0</x:v>
      </x:c>
      <x:c r="AH265" s="74" t="str">
        <x:v>0</x:v>
      </x:c>
      <x:c r="AI265" s="74" t="str">
        <x:v>0</x:v>
      </x:c>
      <x:c r="AJ265" s="74" t="str">
        <x:v>1</x:v>
      </x:c>
      <x:c r="AK265" s="74" t="str">
        <x:v>1</x:v>
      </x:c>
      <x:c r="AL265" s="74" t="str">
        <x:v>0</x:v>
      </x:c>
      <x:c r="AM265" s="74" t="str">
        <x:v>0</x:v>
      </x:c>
      <x:c r="AN265" s="74" t="str">
        <x:v>0</x:v>
      </x:c>
      <x:c r="AO265" s="60" t="str">
        <x:v>0</x:v>
      </x:c>
      <x:c r="AP265" s="76" t="str">
        <x:v>311 Google reviews; no embedded homepage video found</x:v>
      </x:c>
      <x:c r="AQ265" s="76" t="str">
        <x:v>financing; visible service offer; no embedded homepage video detected</x:v>
      </x:c>
      <x:c r="AR265" s="76" t="str">
        <x:v>Greymen's Plumbing has 311 Google reviews—strong proof that could be turned into short-form ad concepts.</x:v>
      </x:c>
      <x:c r="AS265" s="76" t="str">
        <x:v>small symptom to prevented-emergency ad</x:v>
      </x:c>
      <x:c r="AT265" s="76" t="str">
        <x:v>Greymen's Plumbing ad concept</x:v>
      </x:c>
      <x:c r="AU265" s="76" t="str">
        <x:v>Hi Greymen's Plumbing — Greymen's Plumbing has 311 Google reviews—strong proof that could be turned into short-form ad concepts. I mapped a private 15-second small symptom to prevented-emergency ad for Greymen's Plumbing using only public brand context—not for publishing, just to show the angle. We build three client-approved video ad concepts in seven days, then turn the winners into fresh variations. No filming day required. Worth sending the private sample?</x:v>
      </x:c>
      <x:c r="AV265" s="76" t="str">
        <x:v>Quick follow-up: the sample angle is a small symptom to prevented-emergency ad. If it misses the mark, no problem—I won't keep chasing. Should I send it?</x:v>
      </x:c>
      <x:c r="AW265" s="76" t="str">
        <x:v>Hi Greymen's Plumbing, Ryan here. I was looking at Greymen's Plumbing's public marketing and noticed: 311 google reviews; no embedded homepage video found. I mapped one private small symptom to prevented-emergency ad as an example. Did I catch you with 30 seconds?</x:v>
      </x:c>
      <x:c r="AX265" s="60" t="str">
        <x:v>https://www.facebook.com/ads/library/?active_status=active&amp;ad_type=all&amp;country=US&amp;q=Greymen%27s%20Plumbing&amp;search_type=keyword_unordered</x:v>
      </x:c>
      <x:c r="AY265" s="60" t="str">
        <x:v>ok:200</x:v>
      </x:c>
      <x:c r="AZ265" s="60" t="n">
        <x:v>46232.722858796296</x:v>
      </x:c>
      <x:c r="BA265" s="60" t="str">
        <x:v>Google Maps home-services export</x:v>
      </x:c>
      <x:c r="BB265" s="60" t="str">
        <x:v>https://greymensplumbing.com | https://maps.google.com/?cid=4085262575998571926&amp;g_mp=Cidnb29nbGUubWFwcy5wbGFjZXMudjEuUGxhY2VzLlNlYXJjaFRleHQQAhgEIAA</x:v>
      </x:c>
      <x:c r="BC265" s="60" t="str"/>
    </x:row>
    <x:row r="266" ht="18" customHeight="1">
      <x:c r="A266" s="70" t="str">
        <x:v>265</x:v>
      </x:c>
      <x:c r="B266" s="70" t="str">
        <x:v>B - Strong</x:v>
      </x:c>
      <x:c r="C266" s="72" t="str">
        <x:v>57</x:v>
      </x:c>
      <x:c r="D266" s="60" t="str">
        <x:v>Superior Roofing TN Co</x:v>
      </x:c>
      <x:c r="E266" s="60" t="str">
        <x:v>https://superiorroofingllc.com</x:v>
      </x:c>
      <x:c r="F266" s="60" t="str">
        <x:v>https://superiorroofingllc.com</x:v>
      </x:c>
      <x:c r="G266" s="60" t="str">
        <x:v>Greenwood</x:v>
      </x:c>
      <x:c r="H266" s="60" t="str">
        <x:v>South Carolina</x:v>
      </x:c>
      <x:c r="I266" s="60" t="str">
        <x:v>Roofing</x:v>
      </x:c>
      <x:c r="J266" s="60" t="str">
        <x:v>Anthony</x:v>
      </x:c>
      <x:c r="K266" s="60" t="str">
        <x:v>Sellars</x:v>
      </x:c>
      <x:c r="L266" s="60" t="str">
        <x:v>Owner/President</x:v>
      </x:c>
      <x:c r="M266" s="60" t="str"/>
      <x:c r="N266" s="60" t="str"/>
      <x:c r="O266" s="60" t="str">
        <x:v>+1 864 941 6964</x:v>
      </x:c>
      <x:c r="P266" s="60" t="str">
        <x:v>https://www.linkedin.com/in/anthony-sellars-81196a80</x:v>
      </x:c>
      <x:c r="Q266" s="60" t="str">
        <x:v>2-10</x:v>
      </x:c>
      <x:c r="R266" s="60" t="str">
        <x:v>1000000-4999999</x:v>
      </x:c>
      <x:c r="S266" s="60" t="str"/>
      <x:c r="T266" s="74" t="str">
        <x:v>0</x:v>
      </x:c>
      <x:c r="U266" s="60" t="str"/>
      <x:c r="V266" s="74" t="str">
        <x:v>30</x:v>
      </x:c>
      <x:c r="W266" s="74" t="str">
        <x:v>6</x:v>
      </x:c>
      <x:c r="X266" s="74" t="str">
        <x:v>10</x:v>
      </x:c>
      <x:c r="Y266" s="74" t="str">
        <x:v>6</x:v>
      </x:c>
      <x:c r="Z266" s="74" t="str">
        <x:v>5</x:v>
      </x:c>
      <x:c r="AA266" s="74" t="str">
        <x:v>0</x:v>
      </x:c>
      <x:c r="AB266" s="74" t="str">
        <x:v>0</x:v>
      </x:c>
      <x:c r="AC266" s="74" t="str">
        <x:v>1</x:v>
      </x:c>
      <x:c r="AD266" s="74" t="str">
        <x:v>0</x:v>
      </x:c>
      <x:c r="AE266" s="74" t="str">
        <x:v>0</x:v>
      </x:c>
      <x:c r="AF266" s="74" t="str">
        <x:v>jobber</x:v>
      </x:c>
      <x:c r="AG266" s="74" t="str">
        <x:v>0</x:v>
      </x:c>
      <x:c r="AH266" s="74" t="str">
        <x:v>0</x:v>
      </x:c>
      <x:c r="AI266" s="74" t="str">
        <x:v>0</x:v>
      </x:c>
      <x:c r="AJ266" s="74" t="str">
        <x:v>1</x:v>
      </x:c>
      <x:c r="AK266" s="74" t="str">
        <x:v>1</x:v>
      </x:c>
      <x:c r="AL266" s="74" t="str">
        <x:v>0</x:v>
      </x:c>
      <x:c r="AM266" s="74" t="str">
        <x:v>1</x:v>
      </x:c>
      <x:c r="AN266" s="74" t="str">
        <x:v>0</x:v>
      </x:c>
      <x:c r="AO266" s="60" t="str">
        <x:v>2025</x:v>
      </x:c>
      <x:c r="AP266" s="76" t="str">
        <x:v>Financing language found; no embedded homepage video found</x:v>
      </x:c>
      <x:c r="AQ266" s="76" t="str">
        <x:v>financing; visible service offer; no embedded homepage video detected</x:v>
      </x:c>
      <x:c r="AR266" s="76" t="str">
        <x:v>I found financing language on Superior Roofing TN Co's site that could make a strong short-form offer angle.</x:v>
      </x:c>
      <x:c r="AS266" s="76" t="str">
        <x:v>storm-to-inspection before/after ad</x:v>
      </x:c>
      <x:c r="AT266" s="76" t="str">
        <x:v>Superior Roofing TN Co ad concept</x:v>
      </x:c>
      <x:c r="AU266" s="76" t="str">
        <x:v>Hi Anthony — I found financing language on Superior Roofing TN Co's site that could make a strong short-form offer angle. I mapped a private 15-second storm-to-inspection before/after ad for Superior Roofing TN Co using only public brand context—not for publishing, just to show the angle. We build three client-approved video ad concepts in seven days, then turn the winners into fresh variations. No filming day required. Worth sending the private sample?</x:v>
      </x:c>
      <x:c r="AV266" s="76" t="str">
        <x:v>Quick follow-up: the sample angle is a storm-to-inspection before/after ad. If it misses the mark, no problem—I won't keep chasing. Should I send it?</x:v>
      </x:c>
      <x:c r="AW266" s="76" t="str">
        <x:v>Hi Anthony, Ryan here. I was looking at Superior Roofing TN Co's public marketing and noticed: financing language found; no embedded homepage video found. I mapped one private storm-to-inspection before/after ad as an example. Did I catch you with 30 seconds?</x:v>
      </x:c>
      <x:c r="AX266" s="60" t="str">
        <x:v>https://www.facebook.com/ads/library/?active_status=active&amp;ad_type=all&amp;country=US&amp;q=Superior%20Roofing%20TN%20Co&amp;search_type=keyword_unordered</x:v>
      </x:c>
      <x:c r="AY266" s="60" t="str">
        <x:v>ok:200</x:v>
      </x:c>
      <x:c r="AZ266" s="60" t="n">
        <x:v>46232.722858796296</x:v>
      </x:c>
      <x:c r="BA266" s="60" t="str">
        <x:v>AI Ark SC trades export</x:v>
      </x:c>
      <x:c r="BB266" s="60" t="str">
        <x:v>https://superiorroofingllc.com | https://www.linkedin.com/company/superior-roofing-llc</x:v>
      </x:c>
      <x:c r="BC266" s="60" t="str"/>
    </x:row>
    <x:row r="267" ht="18" customHeight="1">
      <x:c r="A267" s="70" t="str">
        <x:v>266</x:v>
      </x:c>
      <x:c r="B267" s="70" t="str">
        <x:v>B - Strong</x:v>
      </x:c>
      <x:c r="C267" s="72" t="str">
        <x:v>57</x:v>
      </x:c>
      <x:c r="D267" s="60" t="str">
        <x:v>RickyJay Plumbing</x:v>
      </x:c>
      <x:c r="E267" s="60" t="str">
        <x:v>https://rickyjayplumbing.com</x:v>
      </x:c>
      <x:c r="F267" s="60" t="str">
        <x:v>https://www.rickyjayplumbing.com/</x:v>
      </x:c>
      <x:c r="G267" s="60" t="str">
        <x:v>Aiken</x:v>
      </x:c>
      <x:c r="H267" s="60" t="str">
        <x:v>South Carolina</x:v>
      </x:c>
      <x:c r="I267" s="60" t="str">
        <x:v>Plumbing</x:v>
      </x:c>
      <x:c r="J267" s="60" t="str">
        <x:v>RickyJay Plumbing</x:v>
      </x:c>
      <x:c r="K267" s="60" t="str"/>
      <x:c r="L267" s="60" t="str">
        <x:v>Owner / decision maker to verify</x:v>
      </x:c>
      <x:c r="M267" s="60" t="str"/>
      <x:c r="N267" s="60" t="str"/>
      <x:c r="O267" s="60" t="str">
        <x:v>(706) 399-5361</x:v>
      </x:c>
      <x:c r="P267" s="60" t="str"/>
      <x:c r="Q267" s="60" t="str"/>
      <x:c r="R267" s="60" t="str"/>
      <x:c r="S267" s="60" t="str">
        <x:v>4.9</x:v>
      </x:c>
      <x:c r="T267" s="74" t="str">
        <x:v>133</x:v>
      </x:c>
      <x:c r="U267" s="60" t="str"/>
      <x:c r="V267" s="74" t="str">
        <x:v>24</x:v>
      </x:c>
      <x:c r="W267" s="74" t="str">
        <x:v>3</x:v>
      </x:c>
      <x:c r="X267" s="74" t="str">
        <x:v>10</x:v>
      </x:c>
      <x:c r="Y267" s="74" t="str">
        <x:v>15</x:v>
      </x:c>
      <x:c r="Z267" s="74" t="str">
        <x:v>5</x:v>
      </x:c>
      <x:c r="AA267" s="74" t="str">
        <x:v>0</x:v>
      </x:c>
      <x:c r="AB267" s="74" t="str">
        <x:v>0</x:v>
      </x:c>
      <x:c r="AC267" s="74" t="str">
        <x:v>1</x:v>
      </x:c>
      <x:c r="AD267" s="74" t="str">
        <x:v>0</x:v>
      </x:c>
      <x:c r="AE267" s="74" t="str">
        <x:v>0</x:v>
      </x:c>
      <x:c r="AF267" s="74" t="str"/>
      <x:c r="AG267" s="74" t="str">
        <x:v>0</x:v>
      </x:c>
      <x:c r="AH267" s="74" t="str">
        <x:v>1</x:v>
      </x:c>
      <x:c r="AI267" s="74" t="str">
        <x:v>1</x:v>
      </x:c>
      <x:c r="AJ267" s="74" t="str">
        <x:v>0</x:v>
      </x:c>
      <x:c r="AK267" s="74" t="str">
        <x:v>1</x:v>
      </x:c>
      <x:c r="AL267" s="74" t="str">
        <x:v>0</x:v>
      </x:c>
      <x:c r="AM267" s="74" t="str">
        <x:v>1</x:v>
      </x:c>
      <x:c r="AN267" s="74" t="str">
        <x:v>0</x:v>
      </x:c>
      <x:c r="AO267" s="60" t="str">
        <x:v>0</x:v>
      </x:c>
      <x:c r="AP267" s="76" t="str">
        <x:v>Project/gallery proof found; no embedded homepage video found</x:v>
      </x:c>
      <x:c r="AQ267" s="76" t="str">
        <x:v>project/gallery proof; testimonials; visible service offer; no embedded homepage video detected</x:v>
      </x:c>
      <x:c r="AR267" s="76" t="str">
        <x:v>I found project/gallery proof on RickyJay Plumbing's site that could be repackaged into short-form ad concepts.</x:v>
      </x:c>
      <x:c r="AS267" s="76" t="str">
        <x:v>small symptom to prevented-emergency ad</x:v>
      </x:c>
      <x:c r="AT267" s="76" t="str">
        <x:v>RickyJay Plumbing ad concept</x:v>
      </x:c>
      <x:c r="AU267" s="76" t="str">
        <x:v>Hi RickyJay Plumbing — I found project/gallery proof on RickyJay Plumbing's site that could be repackaged into short-form ad concepts. I mapped a private 15-second small symptom to prevented-emergency ad for RickyJay Plumbing using only public brand context—not for publishing, just to show the angle. We build three client-approved video ad concepts in seven days, then turn the winners into fresh variations. No filming day required. Worth sending the private sample?</x:v>
      </x:c>
      <x:c r="AV267" s="76" t="str">
        <x:v>Quick follow-up: the sample angle is a small symptom to prevented-emergency ad. If it misses the mark, no problem—I won't keep chasing. Should I send it?</x:v>
      </x:c>
      <x:c r="AW267" s="76" t="str">
        <x:v>Hi RickyJay Plumbing, Ryan here. I was looking at RickyJay Plumbing's public marketing and noticed: project/gallery proof found; no embedded homepage video found. I mapped one private small symptom to prevented-emergency ad as an example. Did I catch you with 30 seconds?</x:v>
      </x:c>
      <x:c r="AX267" s="60" t="str">
        <x:v>https://www.facebook.com/ads/library/?active_status=active&amp;ad_type=all&amp;country=US&amp;q=RickyJay%20Plumbing&amp;search_type=keyword_unordered</x:v>
      </x:c>
      <x:c r="AY267" s="60" t="str">
        <x:v>ok:200</x:v>
      </x:c>
      <x:c r="AZ267" s="60" t="n">
        <x:v>46232.722858796296</x:v>
      </x:c>
      <x:c r="BA267" s="60" t="str">
        <x:v>Google Maps home-services export</x:v>
      </x:c>
      <x:c r="BB267" s="60" t="str">
        <x:v>https://maps.google.com/?cid=5264648095773718898&amp;g_mp=Cidnb29nbGUubWFwcy5wbGFjZXMudjEuUGxhY2VzLlNlYXJjaFRleHQQAhgEIAA | https://rickyjayplumbing.com</x:v>
      </x:c>
      <x:c r="BC267" s="60" t="str"/>
    </x:row>
    <x:row r="268" ht="18" customHeight="1">
      <x:c r="A268" s="70" t="str">
        <x:v>267</x:v>
      </x:c>
      <x:c r="B268" s="70" t="str">
        <x:v>B - Strong</x:v>
      </x:c>
      <x:c r="C268" s="72" t="str">
        <x:v>57</x:v>
      </x:c>
      <x:c r="D268" s="60" t="str">
        <x:v>Maximum Air Experts</x:v>
      </x:c>
      <x:c r="E268" s="60" t="str">
        <x:v>https://maximumairexperts.com</x:v>
      </x:c>
      <x:c r="F268" s="60" t="str">
        <x:v>https://maximumairexperts.com</x:v>
      </x:c>
      <x:c r="G268" s="60" t="str">
        <x:v>North Charleston</x:v>
      </x:c>
      <x:c r="H268" s="60" t="str">
        <x:v>South Carolina</x:v>
      </x:c>
      <x:c r="I268" s="60" t="str">
        <x:v>HVAC</x:v>
      </x:c>
      <x:c r="J268" s="60" t="str">
        <x:v>Maximum Air Experts</x:v>
      </x:c>
      <x:c r="K268" s="60" t="str"/>
      <x:c r="L268" s="60" t="str">
        <x:v>Owner / decision maker to verify</x:v>
      </x:c>
      <x:c r="M268" s="60" t="str"/>
      <x:c r="N268" s="60" t="str"/>
      <x:c r="O268" s="60" t="str">
        <x:v>(843) 599-3506</x:v>
      </x:c>
      <x:c r="P268" s="60" t="str"/>
      <x:c r="Q268" s="60" t="str"/>
      <x:c r="R268" s="60" t="str"/>
      <x:c r="S268" s="60" t="str">
        <x:v>5</x:v>
      </x:c>
      <x:c r="T268" s="74" t="str">
        <x:v>108</x:v>
      </x:c>
      <x:c r="U268" s="60" t="str"/>
      <x:c r="V268" s="74" t="str">
        <x:v>28</x:v>
      </x:c>
      <x:c r="W268" s="74" t="str">
        <x:v>3</x:v>
      </x:c>
      <x:c r="X268" s="74" t="str">
        <x:v>6</x:v>
      </x:c>
      <x:c r="Y268" s="74" t="str">
        <x:v>15</x:v>
      </x:c>
      <x:c r="Z268" s="74" t="str">
        <x:v>5</x:v>
      </x:c>
      <x:c r="AA268" s="74" t="str">
        <x:v>0</x:v>
      </x:c>
      <x:c r="AB268" s="74" t="str">
        <x:v>0</x:v>
      </x:c>
      <x:c r="AC268" s="74" t="str">
        <x:v>0</x:v>
      </x:c>
      <x:c r="AD268" s="74" t="str">
        <x:v>0</x:v>
      </x:c>
      <x:c r="AE268" s="74" t="str">
        <x:v>0</x:v>
      </x:c>
      <x:c r="AF268" s="74" t="str">
        <x:v>housecallpro</x:v>
      </x:c>
      <x:c r="AG268" s="74" t="str">
        <x:v>0</x:v>
      </x:c>
      <x:c r="AH268" s="74" t="str">
        <x:v>1</x:v>
      </x:c>
      <x:c r="AI268" s="74" t="str">
        <x:v>1</x:v>
      </x:c>
      <x:c r="AJ268" s="74" t="str">
        <x:v>1</x:v>
      </x:c>
      <x:c r="AK268" s="74" t="str">
        <x:v>1</x:v>
      </x:c>
      <x:c r="AL268" s="74" t="str">
        <x:v>1</x:v>
      </x:c>
      <x:c r="AM268" s="74" t="str">
        <x:v>1</x:v>
      </x:c>
      <x:c r="AN268" s="74" t="str">
        <x:v>0</x:v>
      </x:c>
      <x:c r="AO268" s="60" t="str">
        <x:v>2026</x:v>
      </x:c>
      <x:c r="AP268" s="76" t="str">
        <x:v>Project/gallery proof found; no embedded homepage video found</x:v>
      </x:c>
      <x:c r="AQ268" s="76" t="str">
        <x:v>project/gallery proof; testimonials; financing; visible service offer; no embedded homepage video detected</x:v>
      </x:c>
      <x:c r="AR268" s="76" t="str">
        <x:v>I found project/gallery proof on Maximum Air Experts's site that could be repackaged into short-form ad concepts.</x:v>
      </x:c>
      <x:c r="AS268" s="76" t="str">
        <x:v>no-cool-call to same-day comfort ad</x:v>
      </x:c>
      <x:c r="AT268" s="76" t="str">
        <x:v>Maximum Air Experts ad concept</x:v>
      </x:c>
      <x:c r="AU268" s="76" t="str">
        <x:v>Hi Maximum Air Experts — I found project/gallery proof on Maximum Air Experts's site that could be repackaged into short-form ad concepts. I mapped a private 15-second no-cool-call to same-day comfort ad for Maximum Air Experts using only public brand context—not for publishing, just to show the angle. We build three client-approved video ad concepts in seven days, then turn the winners into fresh variations. No filming day required. Worth sending the private sample?</x:v>
      </x:c>
      <x:c r="AV268" s="76" t="str">
        <x:v>Quick follow-up: the sample angle is a no-cool-call to same-day comfort ad. If it misses the mark, no problem—I won't keep chasing. Should I send it?</x:v>
      </x:c>
      <x:c r="AW268" s="76" t="str">
        <x:v>Hi Maximum Air Experts, Ryan here. I was looking at Maximum Air Experts's public marketing and noticed: project/gallery proof found; no embedded homepage video found. I mapped one private no-cool-call to same-day comfort ad as an example. Did I catch you with 30 seconds?</x:v>
      </x:c>
      <x:c r="AX268" s="60" t="str">
        <x:v>https://www.facebook.com/ads/library/?active_status=active&amp;ad_type=all&amp;country=US&amp;q=Maximum%20Air%20Experts&amp;search_type=keyword_unordered</x:v>
      </x:c>
      <x:c r="AY268" s="60" t="str">
        <x:v>ok:200</x:v>
      </x:c>
      <x:c r="AZ268" s="60" t="n">
        <x:v>46232.722858796296</x:v>
      </x:c>
      <x:c r="BA268" s="60" t="str">
        <x:v>Google Maps home-services export</x:v>
      </x:c>
      <x:c r="BB268" s="60" t="str">
        <x:v>https://maps.google.com/?cid=5982210562842304428&amp;g_mp=Cidnb29nbGUubWFwcy5wbGFjZXMudjEuUGxhY2VzLlNlYXJjaFRleHQQAhgEIAA | https://maximumairexperts.com</x:v>
      </x:c>
      <x:c r="BC268" s="60" t="str"/>
    </x:row>
    <x:row r="269" ht="18" customHeight="1">
      <x:c r="A269" s="70" t="str">
        <x:v>268</x:v>
      </x:c>
      <x:c r="B269" s="70" t="str">
        <x:v>B - Strong</x:v>
      </x:c>
      <x:c r="C269" s="72" t="str">
        <x:v>57</x:v>
      </x:c>
      <x:c r="D269" s="60" t="str">
        <x:v>All Star Heating &amp; Air Conditioning</x:v>
      </x:c>
      <x:c r="E269" s="60" t="str">
        <x:v>https://hvacrepaircharleston.com</x:v>
      </x:c>
      <x:c r="F269" s="60" t="str">
        <x:v>https://hvacrepaircharleston.com</x:v>
      </x:c>
      <x:c r="G269" s="60" t="str">
        <x:v>Summerville</x:v>
      </x:c>
      <x:c r="H269" s="60" t="str">
        <x:v>South Carolina</x:v>
      </x:c>
      <x:c r="I269" s="60" t="str">
        <x:v>HVAC</x:v>
      </x:c>
      <x:c r="J269" s="60" t="str">
        <x:v>All Star Heating &amp; Air Conditioning</x:v>
      </x:c>
      <x:c r="K269" s="60" t="str"/>
      <x:c r="L269" s="60" t="str">
        <x:v>Owner / decision maker to verify</x:v>
      </x:c>
      <x:c r="M269" s="60" t="str"/>
      <x:c r="N269" s="60" t="str"/>
      <x:c r="O269" s="60" t="str">
        <x:v>(843) 824-0000</x:v>
      </x:c>
      <x:c r="P269" s="60" t="str"/>
      <x:c r="Q269" s="60" t="str"/>
      <x:c r="R269" s="60" t="str"/>
      <x:c r="S269" s="60" t="str">
        <x:v>4.9</x:v>
      </x:c>
      <x:c r="T269" s="74" t="str">
        <x:v>153</x:v>
      </x:c>
      <x:c r="U269" s="60" t="str"/>
      <x:c r="V269" s="74" t="str">
        <x:v>28</x:v>
      </x:c>
      <x:c r="W269" s="74" t="str">
        <x:v>3</x:v>
      </x:c>
      <x:c r="X269" s="74" t="str">
        <x:v>6</x:v>
      </x:c>
      <x:c r="Y269" s="74" t="str">
        <x:v>15</x:v>
      </x:c>
      <x:c r="Z269" s="74" t="str">
        <x:v>5</x:v>
      </x:c>
      <x:c r="AA269" s="74" t="str">
        <x:v>0</x:v>
      </x:c>
      <x:c r="AB269" s="74" t="str">
        <x:v>0</x:v>
      </x:c>
      <x:c r="AC269" s="74" t="str">
        <x:v>1</x:v>
      </x:c>
      <x:c r="AD269" s="74" t="str">
        <x:v>0</x:v>
      </x:c>
      <x:c r="AE269" s="74" t="str">
        <x:v>0</x:v>
      </x:c>
      <x:c r="AF269" s="74" t="str"/>
      <x:c r="AG269" s="74" t="str">
        <x:v>0</x:v>
      </x:c>
      <x:c r="AH269" s="74" t="str">
        <x:v>1</x:v>
      </x:c>
      <x:c r="AI269" s="74" t="str">
        <x:v>1</x:v>
      </x:c>
      <x:c r="AJ269" s="74" t="str">
        <x:v>1</x:v>
      </x:c>
      <x:c r="AK269" s="74" t="str">
        <x:v>1</x:v>
      </x:c>
      <x:c r="AL269" s="74" t="str">
        <x:v>1</x:v>
      </x:c>
      <x:c r="AM269" s="74" t="str">
        <x:v>1</x:v>
      </x:c>
      <x:c r="AN269" s="74" t="str">
        <x:v>0</x:v>
      </x:c>
      <x:c r="AO269" s="60" t="str">
        <x:v>2026</x:v>
      </x:c>
      <x:c r="AP269" s="76" t="str">
        <x:v>Project/gallery proof found; no embedded homepage video found</x:v>
      </x:c>
      <x:c r="AQ269" s="76" t="str">
        <x:v>project/gallery proof; testimonials; financing; visible service offer; no embedded homepage video detected</x:v>
      </x:c>
      <x:c r="AR269" s="76" t="str">
        <x:v>I found project/gallery proof on All Star Heating &amp; Air Conditioning's site that could be repackaged into short-form ad concepts.</x:v>
      </x:c>
      <x:c r="AS269" s="76" t="str">
        <x:v>no-cool-call to same-day comfort ad</x:v>
      </x:c>
      <x:c r="AT269" s="76" t="str">
        <x:v>All Star Heating &amp; Air Conditioning ad concept</x:v>
      </x:c>
      <x:c r="AU269" s="76" t="str">
        <x:v>Hi All Star Heating &amp; Air Conditioning — I found project/gallery proof on All Star Heating &amp; Air Conditioning's site that could be repackaged into short-form ad concepts. I mapped a private 15-second no-cool-call to same-day comfort ad for All Star Heating &amp; Air Conditioning using only public brand context—not for publishing, just to show the angle. We build three client-approved video ad concepts in seven days, then turn the winners into fresh variations. No filming day required. Worth sending the private sample?</x:v>
      </x:c>
      <x:c r="AV269" s="76" t="str">
        <x:v>Quick follow-up: the sample angle is a no-cool-call to same-day comfort ad. If it misses the mark, no problem—I won't keep chasing. Should I send it?</x:v>
      </x:c>
      <x:c r="AW269" s="76" t="str">
        <x:v>Hi All Star Heating &amp; Air Conditioning, Ryan here. I was looking at All Star Heating &amp; Air Conditioning's public marketing and noticed: project/gallery proof found; no embedded homepage video found. I mapped one private no-cool-call to same-day comfort ad as an example. Did I catch you with 30 seconds?</x:v>
      </x:c>
      <x:c r="AX269" s="60" t="str">
        <x:v>https://www.facebook.com/ads/library/?active_status=active&amp;ad_type=all&amp;country=US&amp;q=All%20Star%20Heating%20%26%20Air%20Conditioning&amp;search_type=keyword_unordered</x:v>
      </x:c>
      <x:c r="AY269" s="60" t="str">
        <x:v>ok:200</x:v>
      </x:c>
      <x:c r="AZ269" s="60" t="n">
        <x:v>46232.722858796296</x:v>
      </x:c>
      <x:c r="BA269" s="60" t="str">
        <x:v>Google Maps home-services export</x:v>
      </x:c>
      <x:c r="BB269" s="60" t="str">
        <x:v>https://hvacrepaircharleston.com | https://maps.google.com/?cid=11472805038954325673&amp;g_mp=Cidnb29nbGUubWFwcy5wbGFjZXMudjEuUGxhY2VzLlNlYXJjaFRleHQQAhgEIAA</x:v>
      </x:c>
      <x:c r="BC269" s="60" t="str"/>
    </x:row>
    <x:row r="270" ht="18" customHeight="1">
      <x:c r="A270" s="70" t="str">
        <x:v>269</x:v>
      </x:c>
      <x:c r="B270" s="70" t="str">
        <x:v>B - Strong</x:v>
      </x:c>
      <x:c r="C270" s="72" t="str">
        <x:v>57</x:v>
      </x:c>
      <x:c r="D270" s="60" t="str">
        <x:v>Pleasant Air Conditioning and Electric</x:v>
      </x:c>
      <x:c r="E270" s="60" t="str">
        <x:v>https://pleasantairconditioning.com</x:v>
      </x:c>
      <x:c r="F270" s="60" t="str">
        <x:v>https://pleasantairconditioning.com</x:v>
      </x:c>
      <x:c r="G270" s="60" t="str">
        <x:v>Mount Pleasant</x:v>
      </x:c>
      <x:c r="H270" s="60" t="str">
        <x:v>South Carolina</x:v>
      </x:c>
      <x:c r="I270" s="60" t="str">
        <x:v>HVAC</x:v>
      </x:c>
      <x:c r="J270" s="60" t="str">
        <x:v>Pleasant Air Conditioning and Electric</x:v>
      </x:c>
      <x:c r="K270" s="60" t="str"/>
      <x:c r="L270" s="60" t="str">
        <x:v>Owner / decision maker to verify</x:v>
      </x:c>
      <x:c r="M270" s="60" t="str"/>
      <x:c r="N270" s="60" t="str"/>
      <x:c r="O270" s="60" t="str">
        <x:v>(843) 642-6646</x:v>
      </x:c>
      <x:c r="P270" s="60" t="str"/>
      <x:c r="Q270" s="60" t="str"/>
      <x:c r="R270" s="60" t="str"/>
      <x:c r="S270" s="60" t="str">
        <x:v>4.7</x:v>
      </x:c>
      <x:c r="T270" s="74" t="str">
        <x:v>92</x:v>
      </x:c>
      <x:c r="U270" s="60" t="str"/>
      <x:c r="V270" s="74" t="str">
        <x:v>26</x:v>
      </x:c>
      <x:c r="W270" s="74" t="str">
        <x:v>3</x:v>
      </x:c>
      <x:c r="X270" s="74" t="str">
        <x:v>9</x:v>
      </x:c>
      <x:c r="Y270" s="74" t="str">
        <x:v>14</x:v>
      </x:c>
      <x:c r="Z270" s="74" t="str">
        <x:v>5</x:v>
      </x:c>
      <x:c r="AA270" s="74" t="str">
        <x:v>0</x:v>
      </x:c>
      <x:c r="AB270" s="74" t="str">
        <x:v>0</x:v>
      </x:c>
      <x:c r="AC270" s="74" t="str">
        <x:v>1</x:v>
      </x:c>
      <x:c r="AD270" s="74" t="str">
        <x:v>0</x:v>
      </x:c>
      <x:c r="AE270" s="74" t="str">
        <x:v>0</x:v>
      </x:c>
      <x:c r="AF270" s="74" t="str"/>
      <x:c r="AG270" s="74" t="str">
        <x:v>0</x:v>
      </x:c>
      <x:c r="AH270" s="74" t="str">
        <x:v>1</x:v>
      </x:c>
      <x:c r="AI270" s="74" t="str">
        <x:v>1</x:v>
      </x:c>
      <x:c r="AJ270" s="74" t="str">
        <x:v>0</x:v>
      </x:c>
      <x:c r="AK270" s="74" t="str">
        <x:v>1</x:v>
      </x:c>
      <x:c r="AL270" s="74" t="str">
        <x:v>1</x:v>
      </x:c>
      <x:c r="AM270" s="74" t="str">
        <x:v>0</x:v>
      </x:c>
      <x:c r="AN270" s="74" t="str">
        <x:v>0</x:v>
      </x:c>
      <x:c r="AO270" s="60" t="str">
        <x:v>2018</x:v>
      </x:c>
      <x:c r="AP270" s="76" t="str">
        <x:v>Project/gallery proof found; no embedded homepage video found</x:v>
      </x:c>
      <x:c r="AQ270" s="76" t="str">
        <x:v>project/gallery proof; testimonials; visible service offer; no embedded homepage video detected</x:v>
      </x:c>
      <x:c r="AR270" s="76" t="str">
        <x:v>I found project/gallery proof on Pleasant Air Conditioning and Electric's site that could be repackaged into short-form ad concepts.</x:v>
      </x:c>
      <x:c r="AS270" s="76" t="str">
        <x:v>no-cool-call to same-day comfort ad</x:v>
      </x:c>
      <x:c r="AT270" s="76" t="str">
        <x:v>Pleasant Air Conditioning and Electric ad concept</x:v>
      </x:c>
      <x:c r="AU270" s="76" t="str">
        <x:v>Hi Pleasant Air Conditioning and Electric — I found project/gallery proof on Pleasant Air Conditioning and Electric's site that could be repackaged into short-form ad concepts. I mapped a private 15-second no-cool-call to same-day comfort ad for Pleasant Air Conditioning and Electric using only public brand context—not for publishing, just to show the angle. We build three client-approved video ad concepts in seven days, then turn the winners into fresh variations. No filming day required. Worth sending the private sample?</x:v>
      </x:c>
      <x:c r="AV270" s="76" t="str">
        <x:v>Quick follow-up: the sample angle is a no-cool-call to same-day comfort ad. If it misses the mark, no problem—I won't keep chasing. Should I send it?</x:v>
      </x:c>
      <x:c r="AW270" s="76" t="str">
        <x:v>Hi Pleasant Air Conditioning and Electric, Ryan here. I was looking at Pleasant Air Conditioning and Electric's public marketing and noticed: project/gallery proof found; no embedded homepage video found. I mapped one private no-cool-call to same-day comfort ad as an example. Did I catch you with 30 seconds?</x:v>
      </x:c>
      <x:c r="AX270" s="60" t="str">
        <x:v>https://www.facebook.com/ads/library/?active_status=active&amp;ad_type=all&amp;country=US&amp;q=Pleasant%20Air%20Conditioning%20and%20Electric&amp;search_type=keyword_unordered</x:v>
      </x:c>
      <x:c r="AY270" s="60" t="str">
        <x:v>ok:200</x:v>
      </x:c>
      <x:c r="AZ270" s="60" t="n">
        <x:v>46232.722858796296</x:v>
      </x:c>
      <x:c r="BA270" s="60" t="str">
        <x:v>Google Maps home-services export</x:v>
      </x:c>
      <x:c r="BB270" s="60" t="str">
        <x:v>https://maps.google.com/?cid=7067499725373742252&amp;g_mp=Cidnb29nbGUubWFwcy5wbGFjZXMudjEuUGxhY2VzLlNlYXJjaFRleHQQAhgEIAA | https://maps.google.com/?cid=9683572787314609536&amp;g_mp=Cidnb29nbGUubWFwcy5wbGFjZXMudjEuUGxhY2VzLlNlYXJjaFRleHQQAhgEIAA | https://maps.google.com/?cid=995498001573420932&amp;g_mp=Cidnb29nbGUubWFwcy5wbGFjZXMudjEuUGxhY2VzLlNlYXJjaFRleHQQAhgEIAA | https://pleasantairconditioning.com</x:v>
      </x:c>
      <x:c r="BC270" s="60" t="str"/>
    </x:row>
    <x:row r="271" ht="18" customHeight="1">
      <x:c r="A271" s="70" t="str">
        <x:v>270</x:v>
      </x:c>
      <x:c r="B271" s="70" t="str">
        <x:v>B - Strong</x:v>
      </x:c>
      <x:c r="C271" s="72" t="str">
        <x:v>57</x:v>
      </x:c>
      <x:c r="D271" s="60" t="str">
        <x:v>Roto-Rooter Plumbing and Drain Service</x:v>
      </x:c>
      <x:c r="E271" s="60" t="str">
        <x:v>https://rotorooter.com</x:v>
      </x:c>
      <x:c r="F271" s="60" t="str">
        <x:v>https://www.rotorooter.com/</x:v>
      </x:c>
      <x:c r="G271" s="60" t="str">
        <x:v>Roebuck</x:v>
      </x:c>
      <x:c r="H271" s="60" t="str">
        <x:v>South Carolina</x:v>
      </x:c>
      <x:c r="I271" s="60" t="str">
        <x:v>Restoration</x:v>
      </x:c>
      <x:c r="J271" s="60" t="str">
        <x:v>Brian</x:v>
      </x:c>
      <x:c r="K271" s="60" t="str">
        <x:v>Peters</x:v>
      </x:c>
      <x:c r="L271" s="60" t="str">
        <x:v>Contractor/owner</x:v>
      </x:c>
      <x:c r="M271" s="60" t="str"/>
      <x:c r="N271" s="60" t="str"/>
      <x:c r="O271" s="60" t="str">
        <x:v>+1 864 384 0888</x:v>
      </x:c>
      <x:c r="P271" s="60" t="str">
        <x:v>https://www.linkedin.com/in/brian-peters-4701239b</x:v>
      </x:c>
      <x:c r="Q271" s="60" t="str">
        <x:v>1001-5000</x:v>
      </x:c>
      <x:c r="R271" s="60" t="str">
        <x:v>100000000-499999999</x:v>
      </x:c>
      <x:c r="S271" s="60" t="str">
        <x:v>4.6</x:v>
      </x:c>
      <x:c r="T271" s="74" t="str">
        <x:v>105</x:v>
      </x:c>
      <x:c r="U271" s="60" t="str"/>
      <x:c r="V271" s="74" t="str">
        <x:v>30</x:v>
      </x:c>
      <x:c r="W271" s="74" t="str">
        <x:v>3</x:v>
      </x:c>
      <x:c r="X271" s="74" t="str">
        <x:v>6</x:v>
      </x:c>
      <x:c r="Y271" s="74" t="str">
        <x:v>13</x:v>
      </x:c>
      <x:c r="Z271" s="74" t="str">
        <x:v>5</x:v>
      </x:c>
      <x:c r="AA271" s="74" t="str">
        <x:v>0</x:v>
      </x:c>
      <x:c r="AB271" s="74" t="str">
        <x:v>0</x:v>
      </x:c>
      <x:c r="AC271" s="74" t="str">
        <x:v>1</x:v>
      </x:c>
      <x:c r="AD271" s="74" t="str">
        <x:v>0</x:v>
      </x:c>
      <x:c r="AE271" s="74" t="str">
        <x:v>0</x:v>
      </x:c>
      <x:c r="AF271" s="74" t="str"/>
      <x:c r="AG271" s="74" t="str">
        <x:v>0</x:v>
      </x:c>
      <x:c r="AH271" s="74" t="str">
        <x:v>0</x:v>
      </x:c>
      <x:c r="AI271" s="74" t="str">
        <x:v>1</x:v>
      </x:c>
      <x:c r="AJ271" s="74" t="str">
        <x:v>1</x:v>
      </x:c>
      <x:c r="AK271" s="74" t="str">
        <x:v>1</x:v>
      </x:c>
      <x:c r="AL271" s="74" t="str">
        <x:v>1</x:v>
      </x:c>
      <x:c r="AM271" s="74" t="str">
        <x:v>1</x:v>
      </x:c>
      <x:c r="AN271" s="74" t="str">
        <x:v>1</x:v>
      </x:c>
      <x:c r="AO271" s="60" t="str">
        <x:v>2026</x:v>
      </x:c>
      <x:c r="AP271" s="76" t="str">
        <x:v>105 Google reviews; no embedded homepage video found</x:v>
      </x:c>
      <x:c r="AQ271" s="76" t="str">
        <x:v>testimonials; financing; visible service offer; no embedded homepage video detected</x:v>
      </x:c>
      <x:c r="AR271" s="76" t="str">
        <x:v>Roto-Rooter Plumbing and Drain Service has 105 Google reviews—strong proof that could be turned into short-form ad concepts.</x:v>
      </x:c>
      <x:c r="AS271" s="76" t="str">
        <x:v>first-24-hours emergency-response ad</x:v>
      </x:c>
      <x:c r="AT271" s="76" t="str">
        <x:v>Roto-Rooter Plumbing and Drain Service ad concept</x:v>
      </x:c>
      <x:c r="AU271" s="76" t="str">
        <x:v>Hi Brian — Roto-Rooter Plumbing and Drain Service has 105 Google reviews—strong proof that could be turned into short-form ad concepts. I mapped a private 15-second first-24-hours emergency-response ad for Roto-Rooter Plumbing and Drain Service using only public brand context—not for publishing, just to show the angle. We build three client-approved video ad concepts in seven days, then turn the winners into fresh variations. No filming day required. Worth sending the private sample?</x:v>
      </x:c>
      <x:c r="AV271" s="76" t="str">
        <x:v>Quick follow-up: the sample angle is a first-24-hours emergency-response ad. If it misses the mark, no problem—I won't keep chasing. Should I send it?</x:v>
      </x:c>
      <x:c r="AW271" s="76" t="str">
        <x:v>Hi Brian, Ryan here. I was looking at Roto-Rooter Plumbing and Drain Service's public marketing and noticed: 105 google reviews; no embedded homepage video found. I mapped one private first-24-hours emergency-response ad as an example. Did I catch you with 30 seconds?</x:v>
      </x:c>
      <x:c r="AX271" s="60" t="str">
        <x:v>https://www.facebook.com/ads/library/?active_status=active&amp;ad_type=all&amp;country=US&amp;q=Roto-Rooter%20Plumbing%20and%20Drain%20Service&amp;search_type=keyword_unordered</x:v>
      </x:c>
      <x:c r="AY271" s="60" t="str">
        <x:v>ok:200</x:v>
      </x:c>
      <x:c r="AZ271" s="60" t="n">
        <x:v>46232.722858796296</x:v>
      </x:c>
      <x:c r="BA271" s="60" t="str">
        <x:v>AI Ark SC trades export | Google Maps home-services export</x:v>
      </x:c>
      <x:c r="BB271" s="60" t="str">
        <x:v>https://maps.google.com/?cid=14241422013255009871&amp;g_mp=Cidnb29nbGUubWFwcy5wbGFjZXMudjEuUGxhY2VzLlNlYXJjaFRleHQQAhgEIAA | https://maps.google.com/?cid=2827105539525834950&amp;g_mp=Cidnb29nbGUubWFwcy5wbGFjZXMudjEuUGxhY2VzLlNlYXJjaFRleHQQAhgEIAA | https://maps.google.com/?cid=4323808004382291108&amp;g_mp=Cidnb29nbGUubWFwcy5wbGFjZXMudjEuUGxhY2VzLlNlYXJjaFRleHQQAhgEIAA | https://maps.google.com/?cid=5818859126910979300&amp;g_mp=Cidnb29nbGUubWFwcy5wbGFjZXMudjEuUGxhY2VzLlNlYXJjaFRleHQQAhgEIAA | https://rotorooter.com | https://www.linkedin.com/company/roto-rooter</x:v>
      </x:c>
      <x:c r="BC271" s="60" t="str"/>
    </x:row>
    <x:row r="272" ht="18" customHeight="1">
      <x:c r="A272" s="70" t="str">
        <x:v>271</x:v>
      </x:c>
      <x:c r="B272" s="70" t="str">
        <x:v>B - Strong</x:v>
      </x:c>
      <x:c r="C272" s="72" t="str">
        <x:v>57</x:v>
      </x:c>
      <x:c r="D272" s="60" t="str">
        <x:v>Heritage Air Heating &amp; Cooling</x:v>
      </x:c>
      <x:c r="E272" s="60" t="str">
        <x:v>https://heritagecooling.com</x:v>
      </x:c>
      <x:c r="F272" s="60" t="str">
        <x:v>https://heritagecooling.com</x:v>
      </x:c>
      <x:c r="G272" s="60" t="str">
        <x:v>Beaufort</x:v>
      </x:c>
      <x:c r="H272" s="60" t="str">
        <x:v>South Carolina</x:v>
      </x:c>
      <x:c r="I272" s="60" t="str">
        <x:v>HVAC</x:v>
      </x:c>
      <x:c r="J272" s="60" t="str">
        <x:v>Heritage Air Heating &amp; Cooling</x:v>
      </x:c>
      <x:c r="K272" s="60" t="str"/>
      <x:c r="L272" s="60" t="str">
        <x:v>Owner / decision maker to verify</x:v>
      </x:c>
      <x:c r="M272" s="60" t="str"/>
      <x:c r="N272" s="60" t="str"/>
      <x:c r="O272" s="60" t="str">
        <x:v>(843) 505-0654</x:v>
      </x:c>
      <x:c r="P272" s="60" t="str"/>
      <x:c r="Q272" s="60" t="str"/>
      <x:c r="R272" s="60" t="str"/>
      <x:c r="S272" s="60" t="str">
        <x:v>4.9</x:v>
      </x:c>
      <x:c r="T272" s="74" t="str">
        <x:v>56</x:v>
      </x:c>
      <x:c r="U272" s="60" t="str"/>
      <x:c r="V272" s="74" t="str">
        <x:v>26</x:v>
      </x:c>
      <x:c r="W272" s="74" t="str">
        <x:v>3</x:v>
      </x:c>
      <x:c r="X272" s="74" t="str">
        <x:v>10</x:v>
      </x:c>
      <x:c r="Y272" s="74" t="str">
        <x:v>13</x:v>
      </x:c>
      <x:c r="Z272" s="74" t="str">
        <x:v>5</x:v>
      </x:c>
      <x:c r="AA272" s="74" t="str">
        <x:v>0</x:v>
      </x:c>
      <x:c r="AB272" s="74" t="str">
        <x:v>0</x:v>
      </x:c>
      <x:c r="AC272" s="74" t="str">
        <x:v>1</x:v>
      </x:c>
      <x:c r="AD272" s="74" t="str">
        <x:v>0</x:v>
      </x:c>
      <x:c r="AE272" s="74" t="str">
        <x:v>0</x:v>
      </x:c>
      <x:c r="AF272" s="74" t="str"/>
      <x:c r="AG272" s="74" t="str">
        <x:v>0</x:v>
      </x:c>
      <x:c r="AH272" s="74" t="str">
        <x:v>1</x:v>
      </x:c>
      <x:c r="AI272" s="74" t="str">
        <x:v>0</x:v>
      </x:c>
      <x:c r="AJ272" s="74" t="str">
        <x:v>1</x:v>
      </x:c>
      <x:c r="AK272" s="74" t="str">
        <x:v>1</x:v>
      </x:c>
      <x:c r="AL272" s="74" t="str">
        <x:v>0</x:v>
      </x:c>
      <x:c r="AM272" s="74" t="str">
        <x:v>1</x:v>
      </x:c>
      <x:c r="AN272" s="74" t="str">
        <x:v>0</x:v>
      </x:c>
      <x:c r="AO272" s="60" t="str">
        <x:v>2026</x:v>
      </x:c>
      <x:c r="AP272" s="76" t="str">
        <x:v>Project/gallery proof found; no embedded homepage video found</x:v>
      </x:c>
      <x:c r="AQ272" s="76" t="str">
        <x:v>project/gallery proof; financing; visible service offer; no embedded homepage video detected</x:v>
      </x:c>
      <x:c r="AR272" s="76" t="str">
        <x:v>I found project/gallery proof on Heritage Air Heating &amp; Cooling's site that could be repackaged into short-form ad concepts.</x:v>
      </x:c>
      <x:c r="AS272" s="76" t="str">
        <x:v>no-cool-call to same-day comfort ad</x:v>
      </x:c>
      <x:c r="AT272" s="76" t="str">
        <x:v>Heritage Air Heating &amp; Cooling ad concept</x:v>
      </x:c>
      <x:c r="AU272" s="76" t="str">
        <x:v>Hi Heritage Air Heating &amp; Cooling — I found project/gallery proof on Heritage Air Heating &amp; Cooling's site that could be repackaged into short-form ad concepts. I mapped a private 15-second no-cool-call to same-day comfort ad for Heritage Air Heating &amp; Cooling using only public brand context—not for publishing, just to show the angle. We build three client-approved video ad concepts in seven days, then turn the winners into fresh variations. No filming day required. Worth sending the private sample?</x:v>
      </x:c>
      <x:c r="AV272" s="76" t="str">
        <x:v>Quick follow-up: the sample angle is a no-cool-call to same-day comfort ad. If it misses the mark, no problem—I won't keep chasing. Should I send it?</x:v>
      </x:c>
      <x:c r="AW272" s="76" t="str">
        <x:v>Hi Heritage Air Heating &amp; Cooling, Ryan here. I was looking at Heritage Air Heating &amp; Cooling's public marketing and noticed: project/gallery proof found; no embedded homepage video found. I mapped one private no-cool-call to same-day comfort ad as an example. Did I catch you with 30 seconds?</x:v>
      </x:c>
      <x:c r="AX272" s="60" t="str">
        <x:v>https://www.facebook.com/ads/library/?active_status=active&amp;ad_type=all&amp;country=US&amp;q=Heritage%20Air%20Heating%20%26%20Cooling&amp;search_type=keyword_unordered</x:v>
      </x:c>
      <x:c r="AY272" s="60" t="str">
        <x:v>ok:200</x:v>
      </x:c>
      <x:c r="AZ272" s="60" t="n">
        <x:v>46232.722858796296</x:v>
      </x:c>
      <x:c r="BA272" s="60" t="str">
        <x:v>Google Maps home-services export</x:v>
      </x:c>
      <x:c r="BB272" s="60" t="str">
        <x:v>https://heritagecooling.com | https://maps.google.com/?cid=10150403761041182590&amp;g_mp=Cidnb29nbGUubWFwcy5wbGFjZXMudjEuUGxhY2VzLlNlYXJjaFRleHQQAhgEIAA</x:v>
      </x:c>
      <x:c r="BC272" s="60" t="str"/>
    </x:row>
    <x:row r="273" ht="18" customHeight="1">
      <x:c r="A273" s="70" t="str">
        <x:v>272</x:v>
      </x:c>
      <x:c r="B273" s="70" t="str">
        <x:v>B - Strong</x:v>
      </x:c>
      <x:c r="C273" s="72" t="str">
        <x:v>57</x:v>
      </x:c>
      <x:c r="D273" s="60" t="str">
        <x:v>A.A. Courier &amp; Sons Heating, Cooling and Generator Repair</x:v>
      </x:c>
      <x:c r="E273" s="60" t="str">
        <x:v>https://courierhvac.com</x:v>
      </x:c>
      <x:c r="F273" s="60" t="str">
        <x:v>https://courierhvac.com</x:v>
      </x:c>
      <x:c r="G273" s="60" t="str">
        <x:v>Spartanburg</x:v>
      </x:c>
      <x:c r="H273" s="60" t="str">
        <x:v>South Carolina</x:v>
      </x:c>
      <x:c r="I273" s="60" t="str">
        <x:v>HVAC</x:v>
      </x:c>
      <x:c r="J273" s="60" t="str">
        <x:v>A.A. Courier &amp; Sons Heating, Cooling and Generator Repair</x:v>
      </x:c>
      <x:c r="K273" s="60" t="str"/>
      <x:c r="L273" s="60" t="str">
        <x:v>Owner / decision maker to verify</x:v>
      </x:c>
      <x:c r="M273" s="60" t="str"/>
      <x:c r="N273" s="60" t="str"/>
      <x:c r="O273" s="60" t="str">
        <x:v>(864) 345-0335</x:v>
      </x:c>
      <x:c r="P273" s="60" t="str"/>
      <x:c r="Q273" s="60" t="str"/>
      <x:c r="R273" s="60" t="str"/>
      <x:c r="S273" s="60" t="str">
        <x:v>5</x:v>
      </x:c>
      <x:c r="T273" s="74" t="str">
        <x:v>184</x:v>
      </x:c>
      <x:c r="U273" s="60" t="str"/>
      <x:c r="V273" s="74" t="str">
        <x:v>28</x:v>
      </x:c>
      <x:c r="W273" s="74" t="str">
        <x:v>3</x:v>
      </x:c>
      <x:c r="X273" s="74" t="str">
        <x:v>9</x:v>
      </x:c>
      <x:c r="Y273" s="74" t="str">
        <x:v>12</x:v>
      </x:c>
      <x:c r="Z273" s="74" t="str">
        <x:v>5</x:v>
      </x:c>
      <x:c r="AA273" s="74" t="str">
        <x:v>0</x:v>
      </x:c>
      <x:c r="AB273" s="74" t="str">
        <x:v>0</x:v>
      </x:c>
      <x:c r="AC273" s="74" t="str">
        <x:v>0</x:v>
      </x:c>
      <x:c r="AD273" s="74" t="str">
        <x:v>0</x:v>
      </x:c>
      <x:c r="AE273" s="74" t="str">
        <x:v>0</x:v>
      </x:c>
      <x:c r="AF273" s="74" t="str">
        <x:v>housecallpro</x:v>
      </x:c>
      <x:c r="AG273" s="74" t="str">
        <x:v>0</x:v>
      </x:c>
      <x:c r="AH273" s="74" t="str">
        <x:v>1</x:v>
      </x:c>
      <x:c r="AI273" s="74" t="str">
        <x:v>1</x:v>
      </x:c>
      <x:c r="AJ273" s="74" t="str">
        <x:v>0</x:v>
      </x:c>
      <x:c r="AK273" s="74" t="str">
        <x:v>0</x:v>
      </x:c>
      <x:c r="AL273" s="74" t="str">
        <x:v>1</x:v>
      </x:c>
      <x:c r="AM273" s="74" t="str">
        <x:v>1</x:v>
      </x:c>
      <x:c r="AN273" s="74" t="str">
        <x:v>0</x:v>
      </x:c>
      <x:c r="AO273" s="60" t="str">
        <x:v>2019</x:v>
      </x:c>
      <x:c r="AP273" s="76" t="str">
        <x:v>Project/gallery proof found; no embedded homepage video found</x:v>
      </x:c>
      <x:c r="AQ273" s="76" t="str">
        <x:v>project/gallery proof; testimonials; no embedded homepage video detected</x:v>
      </x:c>
      <x:c r="AR273" s="76" t="str">
        <x:v>I found project/gallery proof on A.A. Courier &amp; Sons Heating, Cooling and Generator Repair's site that could be repackaged into short-form ad concepts.</x:v>
      </x:c>
      <x:c r="AS273" s="76" t="str">
        <x:v>no-cool-call to same-day comfort ad</x:v>
      </x:c>
      <x:c r="AT273" s="76" t="str">
        <x:v>A.A. Courier &amp; Sons Heating, Cooling and Generator Repair ad concept</x:v>
      </x:c>
      <x:c r="AU273" s="76" t="str">
        <x:v>Hi A.A. Courier &amp; Sons Heating, Cooling and Generator Repair — I found project/gallery proof on A.A. Courier &amp; Sons Heating, Cooling and Generator Repair's site that could be repackaged into short-form ad concepts. I mapped a private 15-second no-cool-call to same-day comfort ad for A.A. Courier &amp; Sons Heating, Cooling and Generator Repair using only public brand context—not for publishing, just to show the angle. We build three client-approved video ad concepts in seven days, then turn the winners into fresh variations. No filming day required. Worth sending the private sample?</x:v>
      </x:c>
      <x:c r="AV273" s="76" t="str">
        <x:v>Quick follow-up: the sample angle is a no-cool-call to same-day comfort ad. If it misses the mark, no problem—I won't keep chasing. Should I send it?</x:v>
      </x:c>
      <x:c r="AW273" s="76" t="str">
        <x:v>Hi A.A. Courier &amp; Sons Heating, Cooling and Generator Repair, Ryan here. I was looking at A.A. Courier &amp; Sons Heating, Cooling and Generator Repair's public marketing and noticed: project/gallery proof found; no embedded homepage video found. I mapped one private no-cool-call to same-day comfort ad as an example. Did I catch you with 30 seconds?</x:v>
      </x:c>
      <x:c r="AX273" s="60" t="str">
        <x:v>https://www.facebook.com/ads/library/?active_status=active&amp;ad_type=all&amp;country=US&amp;q=A.A.%20Courier%20%26%20Sons%20Heating%2C%20Cooling%20and%20Generator%20Repair&amp;search_type=keyword_unordered</x:v>
      </x:c>
      <x:c r="AY273" s="60" t="str">
        <x:v>ok:200</x:v>
      </x:c>
      <x:c r="AZ273" s="60" t="n">
        <x:v>46232.722858796296</x:v>
      </x:c>
      <x:c r="BA273" s="60" t="str">
        <x:v>Google Maps home-services export</x:v>
      </x:c>
      <x:c r="BB273" s="60" t="str">
        <x:v>https://courierhvac.com | https://maps.google.com/?cid=2569047254731327029&amp;g_mp=Cidnb29nbGUubWFwcy5wbGFjZXMudjEuUGxhY2VzLlNlYXJjaFRleHQQAhgEIAA</x:v>
      </x:c>
      <x:c r="BC273" s="60" t="str"/>
    </x:row>
    <x:row r="274" ht="18" customHeight="1">
      <x:c r="A274" s="70" t="str">
        <x:v>273</x:v>
      </x:c>
      <x:c r="B274" s="70" t="str">
        <x:v>B - Strong</x:v>
      </x:c>
      <x:c r="C274" s="72" t="str">
        <x:v>57</x:v>
      </x:c>
      <x:c r="D274" s="60" t="str">
        <x:v>Four Seasons Heating &amp; Cooling</x:v>
      </x:c>
      <x:c r="E274" s="60" t="str">
        <x:v>https://sayhellocomfort.com</x:v>
      </x:c>
      <x:c r="F274" s="60" t="str">
        <x:v>https://www.sayhellocomfort.com/</x:v>
      </x:c>
      <x:c r="G274" s="60" t="str">
        <x:v>Beaufort</x:v>
      </x:c>
      <x:c r="H274" s="60" t="str">
        <x:v>South Carolina</x:v>
      </x:c>
      <x:c r="I274" s="60" t="str">
        <x:v>HVAC</x:v>
      </x:c>
      <x:c r="J274" s="60" t="str">
        <x:v>Four Seasons Heating &amp; Cooling</x:v>
      </x:c>
      <x:c r="K274" s="60" t="str"/>
      <x:c r="L274" s="60" t="str">
        <x:v>Owner / decision maker to verify</x:v>
      </x:c>
      <x:c r="M274" s="60" t="str"/>
      <x:c r="N274" s="60" t="str"/>
      <x:c r="O274" s="60" t="str">
        <x:v>(252) 862-3495</x:v>
      </x:c>
      <x:c r="P274" s="60" t="str"/>
      <x:c r="Q274" s="60" t="str"/>
      <x:c r="R274" s="60" t="str"/>
      <x:c r="S274" s="60" t="str">
        <x:v>4.8</x:v>
      </x:c>
      <x:c r="T274" s="74" t="str">
        <x:v>555</x:v>
      </x:c>
      <x:c r="U274" s="60" t="str"/>
      <x:c r="V274" s="74" t="str">
        <x:v>29</x:v>
      </x:c>
      <x:c r="W274" s="74" t="str">
        <x:v>3</x:v>
      </x:c>
      <x:c r="X274" s="74" t="str">
        <x:v>10</x:v>
      </x:c>
      <x:c r="Y274" s="74" t="str">
        <x:v>10</x:v>
      </x:c>
      <x:c r="Z274" s="74" t="str">
        <x:v>5</x:v>
      </x:c>
      <x:c r="AA274" s="74" t="str">
        <x:v>0</x:v>
      </x:c>
      <x:c r="AB274" s="74" t="str">
        <x:v>0</x:v>
      </x:c>
      <x:c r="AC274" s="74" t="str">
        <x:v>1</x:v>
      </x:c>
      <x:c r="AD274" s="74" t="str">
        <x:v>0</x:v>
      </x:c>
      <x:c r="AE274" s="74" t="str">
        <x:v>0</x:v>
      </x:c>
      <x:c r="AF274" s="74" t="str"/>
      <x:c r="AG274" s="74" t="str">
        <x:v>0</x:v>
      </x:c>
      <x:c r="AH274" s="74" t="str">
        <x:v>0</x:v>
      </x:c>
      <x:c r="AI274" s="74" t="str">
        <x:v>1</x:v>
      </x:c>
      <x:c r="AJ274" s="74" t="str">
        <x:v>0</x:v>
      </x:c>
      <x:c r="AK274" s="74" t="str">
        <x:v>1</x:v>
      </x:c>
      <x:c r="AL274" s="74" t="str">
        <x:v>0</x:v>
      </x:c>
      <x:c r="AM274" s="74" t="str">
        <x:v>1</x:v>
      </x:c>
      <x:c r="AN274" s="74" t="str">
        <x:v>0</x:v>
      </x:c>
      <x:c r="AO274" s="60" t="str">
        <x:v>2026</x:v>
      </x:c>
      <x:c r="AP274" s="76" t="str">
        <x:v>555 Google reviews; no embedded homepage video found</x:v>
      </x:c>
      <x:c r="AQ274" s="76" t="str">
        <x:v>testimonials; visible service offer; no embedded homepage video detected</x:v>
      </x:c>
      <x:c r="AR274" s="76" t="str">
        <x:v>Four Seasons Heating &amp; Cooling has 555 Google reviews—strong proof that could be turned into short-form ad concepts.</x:v>
      </x:c>
      <x:c r="AS274" s="76" t="str">
        <x:v>no-cool-call to same-day comfort ad</x:v>
      </x:c>
      <x:c r="AT274" s="76" t="str">
        <x:v>Four Seasons Heating &amp; Cooling ad concept</x:v>
      </x:c>
      <x:c r="AU274" s="76" t="str">
        <x:v>Hi Four Seasons Heating &amp; Cooling — Four Seasons Heating &amp; Cooling has 555 Google reviews—strong proof that could be turned into short-form ad concepts. I mapped a private 15-second no-cool-call to same-day comfort ad for Four Seasons Heating &amp; Cooling using only public brand context—not for publishing, just to show the angle. We build three client-approved video ad concepts in seven days, then turn the winners into fresh variations. No filming day required. Worth sending the private sample?</x:v>
      </x:c>
      <x:c r="AV274" s="76" t="str">
        <x:v>Quick follow-up: the sample angle is a no-cool-call to same-day comfort ad. If it misses the mark, no problem—I won't keep chasing. Should I send it?</x:v>
      </x:c>
      <x:c r="AW274" s="76" t="str">
        <x:v>Hi Four Seasons Heating &amp; Cooling, Ryan here. I was looking at Four Seasons Heating &amp; Cooling's public marketing and noticed: 555 google reviews; no embedded homepage video found. I mapped one private no-cool-call to same-day comfort ad as an example. Did I catch you with 30 seconds?</x:v>
      </x:c>
      <x:c r="AX274" s="60" t="str">
        <x:v>https://www.facebook.com/ads/library/?active_status=active&amp;ad_type=all&amp;country=US&amp;q=Four%20Seasons%20Heating%20%26%20Cooling&amp;search_type=keyword_unordered</x:v>
      </x:c>
      <x:c r="AY274" s="60" t="str">
        <x:v>ok:200</x:v>
      </x:c>
      <x:c r="AZ274" s="60" t="n">
        <x:v>46232.722858796296</x:v>
      </x:c>
      <x:c r="BA274" s="60" t="str">
        <x:v>Google Maps home-services export</x:v>
      </x:c>
      <x:c r="BB274" s="60" t="str">
        <x:v>https://maps.google.com/?cid=1124577886776068436&amp;g_mp=Cidnb29nbGUubWFwcy5wbGFjZXMudjEuUGxhY2VzLlNlYXJjaFRleHQQAhgEIAA | https://sayhellocomfort.com</x:v>
      </x:c>
      <x:c r="BC274" s="60" t="str"/>
    </x:row>
    <x:row r="275" ht="18" customHeight="1">
      <x:c r="A275" s="70" t="str">
        <x:v>274</x:v>
      </x:c>
      <x:c r="B275" s="70" t="str">
        <x:v>B - Strong</x:v>
      </x:c>
      <x:c r="C275" s="72" t="str">
        <x:v>57</x:v>
      </x:c>
      <x:c r="D275" s="60" t="str">
        <x:v>Contract Exteriors</x:v>
      </x:c>
      <x:c r="E275" s="60" t="str">
        <x:v>https://contractexteriors.com</x:v>
      </x:c>
      <x:c r="F275" s="60" t="str">
        <x:v>https://www.contractexteriors.com/</x:v>
      </x:c>
      <x:c r="G275" s="60" t="str">
        <x:v>Greater Myrtle Beach Area</x:v>
      </x:c>
      <x:c r="H275" s="60" t="str"/>
      <x:c r="I275" s="60" t="str">
        <x:v>Roofing</x:v>
      </x:c>
      <x:c r="J275" s="60" t="str">
        <x:v>Randy</x:v>
      </x:c>
      <x:c r="K275" s="60" t="str">
        <x:v>Hann</x:v>
      </x:c>
      <x:c r="L275" s="60" t="str">
        <x:v>Owner</x:v>
      </x:c>
      <x:c r="M275" s="60" t="str">
        <x:v>randy.hann@contractexteriors.com</x:v>
      </x:c>
      <x:c r="N275" s="60" t="str">
        <x:v>Verified with BounceBan on 07 Jun 26 18:55</x:v>
      </x:c>
      <x:c r="O275" s="60" t="str">
        <x:v>+1 843 457 7746</x:v>
      </x:c>
      <x:c r="P275" s="60" t="str">
        <x:v>https://www.linkedin.com/in/randy-hann-042b217</x:v>
      </x:c>
      <x:c r="Q275" s="60" t="str">
        <x:v>51-200</x:v>
      </x:c>
      <x:c r="R275" s="60" t="str">
        <x:v>1000000-4999999</x:v>
      </x:c>
      <x:c r="S275" s="60" t="str"/>
      <x:c r="T275" s="74" t="str">
        <x:v>0</x:v>
      </x:c>
      <x:c r="U275" s="60" t="str"/>
      <x:c r="V275" s="74" t="str">
        <x:v>30</x:v>
      </x:c>
      <x:c r="W275" s="74" t="str">
        <x:v>3</x:v>
      </x:c>
      <x:c r="X275" s="74" t="str">
        <x:v>6</x:v>
      </x:c>
      <x:c r="Y275" s="74" t="str">
        <x:v>8</x:v>
      </x:c>
      <x:c r="Z275" s="74" t="str">
        <x:v>10</x:v>
      </x:c>
      <x:c r="AA275" s="74" t="str">
        <x:v>0</x:v>
      </x:c>
      <x:c r="AB275" s="74" t="str">
        <x:v>0</x:v>
      </x:c>
      <x:c r="AC275" s="74" t="str">
        <x:v>1</x:v>
      </x:c>
      <x:c r="AD275" s="74" t="str">
        <x:v>0</x:v>
      </x:c>
      <x:c r="AE275" s="74" t="str">
        <x:v>0</x:v>
      </x:c>
      <x:c r="AF275" s="74" t="str"/>
      <x:c r="AG275" s="74" t="str">
        <x:v>0</x:v>
      </x:c>
      <x:c r="AH275" s="74" t="str">
        <x:v>1</x:v>
      </x:c>
      <x:c r="AI275" s="74" t="str">
        <x:v>0</x:v>
      </x:c>
      <x:c r="AJ275" s="74" t="str">
        <x:v>0</x:v>
      </x:c>
      <x:c r="AK275" s="74" t="str">
        <x:v>1</x:v>
      </x:c>
      <x:c r="AL275" s="74" t="str">
        <x:v>1</x:v>
      </x:c>
      <x:c r="AM275" s="74" t="str">
        <x:v>1</x:v>
      </x:c>
      <x:c r="AN275" s="74" t="str">
        <x:v>0</x:v>
      </x:c>
      <x:c r="AO275" s="60" t="str">
        <x:v>2026</x:v>
      </x:c>
      <x:c r="AP275" s="76" t="str">
        <x:v>Project/gallery proof found; no embedded homepage video found</x:v>
      </x:c>
      <x:c r="AQ275" s="76" t="str">
        <x:v>project/gallery proof; visible service offer; no embedded homepage video detected</x:v>
      </x:c>
      <x:c r="AR275" s="76" t="str">
        <x:v>I found project/gallery proof on Contract Exteriors's site that could be repackaged into short-form ad concepts.</x:v>
      </x:c>
      <x:c r="AS275" s="76" t="str">
        <x:v>storm-to-inspection before/after ad</x:v>
      </x:c>
      <x:c r="AT275" s="76" t="str">
        <x:v>Contract Exteriors ad concept</x:v>
      </x:c>
      <x:c r="AU275" s="76" t="str">
        <x:v>Hi Randy — I found project/gallery proof on Contract Exteriors's site that could be repackaged into short-form ad concepts. I mapped a private 15-second storm-to-inspection before/after ad for Contract Exteriors using only public brand context—not for publishing, just to show the angle. We build three client-approved video ad concepts in seven days, then turn the winners into fresh variations. No filming day required. Worth sending the private sample?</x:v>
      </x:c>
      <x:c r="AV275" s="76" t="str">
        <x:v>Quick follow-up: the sample angle is a storm-to-inspection before/after ad. If it misses the mark, no problem—I won't keep chasing. Should I send it?</x:v>
      </x:c>
      <x:c r="AW275" s="76" t="str">
        <x:v>Hi Randy, Ryan here. I was looking at Contract Exteriors's public marketing and noticed: project/gallery proof found; no embedded homepage video found. I mapped one private storm-to-inspection before/after ad as an example. Did I catch you with 30 seconds?</x:v>
      </x:c>
      <x:c r="AX275" s="60" t="str">
        <x:v>https://www.facebook.com/ads/library/?active_status=active&amp;ad_type=all&amp;country=US&amp;q=Contract%20Exteriors&amp;search_type=keyword_unordered</x:v>
      </x:c>
      <x:c r="AY275" s="60" t="str">
        <x:v>ok:200</x:v>
      </x:c>
      <x:c r="AZ275" s="60" t="n">
        <x:v>46232.722858796296</x:v>
      </x:c>
      <x:c r="BA275" s="60" t="str">
        <x:v>AI Ark SC trades export</x:v>
      </x:c>
      <x:c r="BB275" s="60" t="str">
        <x:v>https://contractexteriors.com | https://www.linkedin.com/company/contract-exteriors</x:v>
      </x:c>
      <x:c r="BC275" s="60" t="str"/>
    </x:row>
    <x:row r="276" ht="18" customHeight="1">
      <x:c r="A276" s="70" t="str">
        <x:v>275</x:v>
      </x:c>
      <x:c r="B276" s="70" t="str">
        <x:v>B - Strong</x:v>
      </x:c>
      <x:c r="C276" s="72" t="str">
        <x:v>57</x:v>
      </x:c>
      <x:c r="D276" s="60" t="str">
        <x:v>Reid Heating &amp; Air</x:v>
      </x:c>
      <x:c r="E276" s="60" t="str">
        <x:v>https://reidheatingandair.com</x:v>
      </x:c>
      <x:c r="F276" s="60" t="str">
        <x:v>https://reidheatingandair.com</x:v>
      </x:c>
      <x:c r="G276" s="60" t="str">
        <x:v>Rock Hill</x:v>
      </x:c>
      <x:c r="H276" s="60" t="str">
        <x:v>South Carolina</x:v>
      </x:c>
      <x:c r="I276" s="60" t="str">
        <x:v>HVAC</x:v>
      </x:c>
      <x:c r="J276" s="60" t="str">
        <x:v>Reid Heating &amp; Air</x:v>
      </x:c>
      <x:c r="K276" s="60" t="str"/>
      <x:c r="L276" s="60" t="str">
        <x:v>Owner / decision maker to verify</x:v>
      </x:c>
      <x:c r="M276" s="60" t="str"/>
      <x:c r="N276" s="60" t="str"/>
      <x:c r="O276" s="60" t="str">
        <x:v>(803) 366-1855</x:v>
      </x:c>
      <x:c r="P276" s="60" t="str"/>
      <x:c r="Q276" s="60" t="str"/>
      <x:c r="R276" s="60" t="str"/>
      <x:c r="S276" s="60" t="str">
        <x:v>4.8</x:v>
      </x:c>
      <x:c r="T276" s="74" t="str">
        <x:v>222</x:v>
      </x:c>
      <x:c r="U276" s="60" t="str"/>
      <x:c r="V276" s="74" t="str">
        <x:v>28</x:v>
      </x:c>
      <x:c r="W276" s="74" t="str">
        <x:v>0</x:v>
      </x:c>
      <x:c r="X276" s="74" t="str">
        <x:v>10</x:v>
      </x:c>
      <x:c r="Y276" s="74" t="str">
        <x:v>14</x:v>
      </x:c>
      <x:c r="Z276" s="74" t="str">
        <x:v>5</x:v>
      </x:c>
      <x:c r="AA276" s="74" t="str">
        <x:v>0</x:v>
      </x:c>
      <x:c r="AB276" s="74" t="str">
        <x:v>0</x:v>
      </x:c>
      <x:c r="AC276" s="74" t="str">
        <x:v>0</x:v>
      </x:c>
      <x:c r="AD276" s="74" t="str">
        <x:v>0</x:v>
      </x:c>
      <x:c r="AE276" s="74" t="str">
        <x:v>0</x:v>
      </x:c>
      <x:c r="AF276" s="74" t="str"/>
      <x:c r="AG276" s="74" t="str">
        <x:v>0</x:v>
      </x:c>
      <x:c r="AH276" s="74" t="str">
        <x:v>1</x:v>
      </x:c>
      <x:c r="AI276" s="74" t="str">
        <x:v>0</x:v>
      </x:c>
      <x:c r="AJ276" s="74" t="str">
        <x:v>1</x:v>
      </x:c>
      <x:c r="AK276" s="74" t="str">
        <x:v>1</x:v>
      </x:c>
      <x:c r="AL276" s="74" t="str">
        <x:v>0</x:v>
      </x:c>
      <x:c r="AM276" s="74" t="str">
        <x:v>0</x:v>
      </x:c>
      <x:c r="AN276" s="74" t="str">
        <x:v>0</x:v>
      </x:c>
      <x:c r="AO276" s="60" t="str">
        <x:v>2026</x:v>
      </x:c>
      <x:c r="AP276" s="76" t="str">
        <x:v>Project/gallery proof found; no embedded homepage video found</x:v>
      </x:c>
      <x:c r="AQ276" s="76" t="str">
        <x:v>project/gallery proof; financing; visible service offer; no embedded homepage video detected</x:v>
      </x:c>
      <x:c r="AR276" s="76" t="str">
        <x:v>I found project/gallery proof on Reid Heating &amp; Air's site that could be repackaged into short-form ad concepts.</x:v>
      </x:c>
      <x:c r="AS276" s="76" t="str">
        <x:v>no-cool-call to same-day comfort ad</x:v>
      </x:c>
      <x:c r="AT276" s="76" t="str">
        <x:v>Reid Heating &amp; Air ad concept</x:v>
      </x:c>
      <x:c r="AU276" s="76" t="str">
        <x:v>Hi Reid Heating &amp; Air — I found project/gallery proof on Reid Heating &amp; Air's site that could be repackaged into short-form ad concepts. I mapped a private 15-second no-cool-call to same-day comfort ad for Reid Heating &amp; Air using only public brand context—not for publishing, just to show the angle. We build three client-approved video ad concepts in seven days, then turn the winners into fresh variations. No filming day required. Worth sending the private sample?</x:v>
      </x:c>
      <x:c r="AV276" s="76" t="str">
        <x:v>Quick follow-up: the sample angle is a no-cool-call to same-day comfort ad. If it misses the mark, no problem—I won't keep chasing. Should I send it?</x:v>
      </x:c>
      <x:c r="AW276" s="76" t="str">
        <x:v>Hi Reid Heating &amp; Air, Ryan here. I was looking at Reid Heating &amp; Air's public marketing and noticed: project/gallery proof found; no embedded homepage video found. I mapped one private no-cool-call to same-day comfort ad as an example. Did I catch you with 30 seconds?</x:v>
      </x:c>
      <x:c r="AX276" s="60" t="str">
        <x:v>https://www.facebook.com/ads/library/?active_status=active&amp;ad_type=all&amp;country=US&amp;q=Reid%20Heating%20%26%20Air&amp;search_type=keyword_unordered</x:v>
      </x:c>
      <x:c r="AY276" s="60" t="str">
        <x:v>ok:200</x:v>
      </x:c>
      <x:c r="AZ276" s="60" t="n">
        <x:v>46232.722858796296</x:v>
      </x:c>
      <x:c r="BA276" s="60" t="str">
        <x:v>Google Maps home-services export</x:v>
      </x:c>
      <x:c r="BB276" s="60" t="str">
        <x:v>https://maps.google.com/?cid=5907426839386037487&amp;g_mp=Cidnb29nbGUubWFwcy5wbGFjZXMudjEuUGxhY2VzLlNlYXJjaFRleHQQAhgEIAA | https://reidheatingandair.com</x:v>
      </x:c>
      <x:c r="BC276" s="60" t="str"/>
    </x:row>
    <x:row r="277" ht="18" customHeight="1">
      <x:c r="A277" s="70" t="str">
        <x:v>276</x:v>
      </x:c>
      <x:c r="B277" s="70" t="str">
        <x:v>B - Strong</x:v>
      </x:c>
      <x:c r="C277" s="72" t="str">
        <x:v>57</x:v>
      </x:c>
      <x:c r="D277" s="60" t="str">
        <x:v>Family Renovations</x:v>
      </x:c>
      <x:c r="E277" s="60" t="str">
        <x:v>https://familyrenovations.com</x:v>
      </x:c>
      <x:c r="F277" s="60" t="str">
        <x:v>https://familyrenovations.com</x:v>
      </x:c>
      <x:c r="G277" s="60" t="str">
        <x:v>Easley</x:v>
      </x:c>
      <x:c r="H277" s="60" t="str">
        <x:v>South Carolina</x:v>
      </x:c>
      <x:c r="I277" s="60" t="str">
        <x:v>Remodeling</x:v>
      </x:c>
      <x:c r="J277" s="60" t="str">
        <x:v>Fred</x:v>
      </x:c>
      <x:c r="K277" s="60" t="str">
        <x:v>London</x:v>
      </x:c>
      <x:c r="L277" s="60" t="str">
        <x:v>Owner</x:v>
      </x:c>
      <x:c r="M277" s="60" t="str">
        <x:v>fred@familyrenovations.com</x:v>
      </x:c>
      <x:c r="N277" s="60" t="str">
        <x:v>Verified with BounceBan on 08 Jun 26 12:06</x:v>
      </x:c>
      <x:c r="O277" s="60" t="str">
        <x:v>+1 207 532 8090</x:v>
      </x:c>
      <x:c r="P277" s="60" t="str">
        <x:v>https://www.linkedin.com/in/fred-london-12b74a126</x:v>
      </x:c>
      <x:c r="Q277" s="60" t="str">
        <x:v>2-10</x:v>
      </x:c>
      <x:c r="R277" s="60" t="str">
        <x:v>100000-499999</x:v>
      </x:c>
      <x:c r="S277" s="60" t="str"/>
      <x:c r="T277" s="74" t="str">
        <x:v>0</x:v>
      </x:c>
      <x:c r="U277" s="60" t="str"/>
      <x:c r="V277" s="74" t="str">
        <x:v>25</x:v>
      </x:c>
      <x:c r="W277" s="74" t="str">
        <x:v>0</x:v>
      </x:c>
      <x:c r="X277" s="74" t="str">
        <x:v>10</x:v>
      </x:c>
      <x:c r="Y277" s="74" t="str">
        <x:v>12</x:v>
      </x:c>
      <x:c r="Z277" s="74" t="str">
        <x:v>10</x:v>
      </x:c>
      <x:c r="AA277" s="74" t="str">
        <x:v>0</x:v>
      </x:c>
      <x:c r="AB277" s="74" t="str">
        <x:v>0</x:v>
      </x:c>
      <x:c r="AC277" s="74" t="str">
        <x:v>0</x:v>
      </x:c>
      <x:c r="AD277" s="74" t="str">
        <x:v>0</x:v>
      </x:c>
      <x:c r="AE277" s="74" t="str">
        <x:v>0</x:v>
      </x:c>
      <x:c r="AF277" s="74" t="str"/>
      <x:c r="AG277" s="74" t="str">
        <x:v>0</x:v>
      </x:c>
      <x:c r="AH277" s="74" t="str">
        <x:v>1</x:v>
      </x:c>
      <x:c r="AI277" s="74" t="str">
        <x:v>1</x:v>
      </x:c>
      <x:c r="AJ277" s="74" t="str">
        <x:v>0</x:v>
      </x:c>
      <x:c r="AK277" s="74" t="str">
        <x:v>1</x:v>
      </x:c>
      <x:c r="AL277" s="74" t="str">
        <x:v>0</x:v>
      </x:c>
      <x:c r="AM277" s="74" t="str">
        <x:v>1</x:v>
      </x:c>
      <x:c r="AN277" s="74" t="str">
        <x:v>0</x:v>
      </x:c>
      <x:c r="AO277" s="60" t="str">
        <x:v>2026</x:v>
      </x:c>
      <x:c r="AP277" s="76" t="str">
        <x:v>Project/gallery proof found; no embedded homepage video found</x:v>
      </x:c>
      <x:c r="AQ277" s="76" t="str">
        <x:v>project/gallery proof; testimonials; visible service offer; no embedded homepage video detected</x:v>
      </x:c>
      <x:c r="AR277" s="76" t="str">
        <x:v>I found project/gallery proof on Family Renovations's site that could be repackaged into short-form ad concepts.</x:v>
      </x:c>
      <x:c r="AS277" s="76" t="str">
        <x:v>project reveal with budget-and-timeline proof</x:v>
      </x:c>
      <x:c r="AT277" s="76" t="str">
        <x:v>Family Renovations ad concept</x:v>
      </x:c>
      <x:c r="AU277" s="76" t="str">
        <x:v>Hi Fred — I found project/gallery proof on Family Renovations's site that could be repackaged into short-form ad concepts. I mapped a private 15-second project reveal with budget-and-timeline proof for Family Renovations using only public brand context—not for publishing, just to show the angle. We build three client-approved video ad concepts in seven days, then turn the winners into fresh variations. No filming day required. Worth sending the private sample?</x:v>
      </x:c>
      <x:c r="AV277" s="76" t="str">
        <x:v>Quick follow-up: the sample angle is a project reveal with budget-and-timeline proof. If it misses the mark, no problem—I won't keep chasing. Should I send it?</x:v>
      </x:c>
      <x:c r="AW277" s="76" t="str">
        <x:v>Hi Fred, Ryan here. I was looking at Family Renovations's public marketing and noticed: project/gallery proof found; no embedded homepage video found. I mapped one private project reveal with budget-and-timeline proof as an example. Did I catch you with 30 seconds?</x:v>
      </x:c>
      <x:c r="AX277" s="60" t="str">
        <x:v>https://www.facebook.com/ads/library/?active_status=active&amp;ad_type=all&amp;country=US&amp;q=Family%20Renovations&amp;search_type=keyword_unordered</x:v>
      </x:c>
      <x:c r="AY277" s="60" t="str">
        <x:v>ok:200</x:v>
      </x:c>
      <x:c r="AZ277" s="60" t="n">
        <x:v>46232.722858796296</x:v>
      </x:c>
      <x:c r="BA277" s="60" t="str">
        <x:v>AI Ark SC trades export</x:v>
      </x:c>
      <x:c r="BB277" s="60" t="str">
        <x:v>https://familyrenovations.com | https://www.linkedin.com/company/family-renovations</x:v>
      </x:c>
      <x:c r="BC277" s="60" t="str"/>
    </x:row>
    <x:row r="278" ht="18" customHeight="1">
      <x:c r="A278" s="70" t="str">
        <x:v>277</x:v>
      </x:c>
      <x:c r="B278" s="70" t="str">
        <x:v>B - Strong</x:v>
      </x:c>
      <x:c r="C278" s="72" t="str">
        <x:v>57</x:v>
      </x:c>
      <x:c r="D278" s="60" t="str">
        <x:v>Nichols Roofing</x:v>
      </x:c>
      <x:c r="E278" s="60" t="str">
        <x:v>https://nicholsroofingco.com</x:v>
      </x:c>
      <x:c r="F278" s="60" t="str">
        <x:v>http://www.nicholsroofingco.com/</x:v>
      </x:c>
      <x:c r="G278" s="60" t="str">
        <x:v>Greenwood</x:v>
      </x:c>
      <x:c r="H278" s="60" t="str">
        <x:v>South Carolina</x:v>
      </x:c>
      <x:c r="I278" s="60" t="str">
        <x:v>Roofing</x:v>
      </x:c>
      <x:c r="J278" s="60" t="str">
        <x:v>ERIC</x:v>
      </x:c>
      <x:c r="K278" s="60" t="str">
        <x:v>Nichols</x:v>
      </x:c>
      <x:c r="L278" s="60" t="str">
        <x:v>Company Owner</x:v>
      </x:c>
      <x:c r="M278" s="60" t="str"/>
      <x:c r="N278" s="60" t="str"/>
      <x:c r="O278" s="60" t="str">
        <x:v>+1 563 219 8688</x:v>
      </x:c>
      <x:c r="P278" s="60" t="str">
        <x:v>https://www.linkedin.com/in/eric-nichols-b68483333</x:v>
      </x:c>
      <x:c r="Q278" s="60" t="str">
        <x:v>11-50</x:v>
      </x:c>
      <x:c r="R278" s="60" t="str">
        <x:v>500000-999999</x:v>
      </x:c>
      <x:c r="S278" s="60" t="str"/>
      <x:c r="T278" s="74" t="str">
        <x:v>0</x:v>
      </x:c>
      <x:c r="U278" s="60" t="str"/>
      <x:c r="V278" s="74" t="str">
        <x:v>30</x:v>
      </x:c>
      <x:c r="W278" s="74" t="str">
        <x:v>0</x:v>
      </x:c>
      <x:c r="X278" s="74" t="str">
        <x:v>10</x:v>
      </x:c>
      <x:c r="Y278" s="74" t="str">
        <x:v>12</x:v>
      </x:c>
      <x:c r="Z278" s="74" t="str">
        <x:v>5</x:v>
      </x:c>
      <x:c r="AA278" s="74" t="str">
        <x:v>0</x:v>
      </x:c>
      <x:c r="AB278" s="74" t="str">
        <x:v>0</x:v>
      </x:c>
      <x:c r="AC278" s="74" t="str">
        <x:v>0</x:v>
      </x:c>
      <x:c r="AD278" s="74" t="str">
        <x:v>0</x:v>
      </x:c>
      <x:c r="AE278" s="74" t="str">
        <x:v>0</x:v>
      </x:c>
      <x:c r="AF278" s="74" t="str"/>
      <x:c r="AG278" s="74" t="str">
        <x:v>0</x:v>
      </x:c>
      <x:c r="AH278" s="74" t="str">
        <x:v>1</x:v>
      </x:c>
      <x:c r="AI278" s="74" t="str">
        <x:v>1</x:v>
      </x:c>
      <x:c r="AJ278" s="74" t="str">
        <x:v>0</x:v>
      </x:c>
      <x:c r="AK278" s="74" t="str">
        <x:v>1</x:v>
      </x:c>
      <x:c r="AL278" s="74" t="str">
        <x:v>0</x:v>
      </x:c>
      <x:c r="AM278" s="74" t="str">
        <x:v>1</x:v>
      </x:c>
      <x:c r="AN278" s="74" t="str">
        <x:v>0</x:v>
      </x:c>
      <x:c r="AO278" s="60" t="str">
        <x:v>2026</x:v>
      </x:c>
      <x:c r="AP278" s="76" t="str">
        <x:v>Project/gallery proof found; no embedded homepage video found</x:v>
      </x:c>
      <x:c r="AQ278" s="76" t="str">
        <x:v>project/gallery proof; testimonials; visible service offer; no embedded homepage video detected</x:v>
      </x:c>
      <x:c r="AR278" s="76" t="str">
        <x:v>I found project/gallery proof on Nichols Roofing's site that could be repackaged into short-form ad concepts.</x:v>
      </x:c>
      <x:c r="AS278" s="76" t="str">
        <x:v>storm-to-inspection before/after ad</x:v>
      </x:c>
      <x:c r="AT278" s="76" t="str">
        <x:v>Nichols Roofing ad concept</x:v>
      </x:c>
      <x:c r="AU278" s="76" t="str">
        <x:v>Hi ERIC — I found project/gallery proof on Nichols Roofing's site that could be repackaged into short-form ad concepts. I mapped a private 15-second storm-to-inspection before/after ad for Nichols Roofing using only public brand context—not for publishing, just to show the angle. We build three client-approved video ad concepts in seven days, then turn the winners into fresh variations. No filming day required. Worth sending the private sample?</x:v>
      </x:c>
      <x:c r="AV278" s="76" t="str">
        <x:v>Quick follow-up: the sample angle is a storm-to-inspection before/after ad. If it misses the mark, no problem—I won't keep chasing. Should I send it?</x:v>
      </x:c>
      <x:c r="AW278" s="76" t="str">
        <x:v>Hi ERIC, Ryan here. I was looking at Nichols Roofing's public marketing and noticed: project/gallery proof found; no embedded homepage video found. I mapped one private storm-to-inspection before/after ad as an example. Did I catch you with 30 seconds?</x:v>
      </x:c>
      <x:c r="AX278" s="60" t="str">
        <x:v>https://www.facebook.com/ads/library/?active_status=active&amp;ad_type=all&amp;country=US&amp;q=Nichols%20Roofing&amp;search_type=keyword_unordered</x:v>
      </x:c>
      <x:c r="AY278" s="60" t="str">
        <x:v>ok:200</x:v>
      </x:c>
      <x:c r="AZ278" s="60" t="n">
        <x:v>46232.722858796296</x:v>
      </x:c>
      <x:c r="BA278" s="60" t="str">
        <x:v>AI Ark SC trades export</x:v>
      </x:c>
      <x:c r="BB278" s="60" t="str">
        <x:v>https://nicholsroofingco.com | https://www.linkedin.com/company/nichols-roofing</x:v>
      </x:c>
      <x:c r="BC278" s="60" t="str"/>
    </x:row>
    <x:row r="279" ht="18" customHeight="1">
      <x:c r="A279" s="70" t="str">
        <x:v>278</x:v>
      </x:c>
      <x:c r="B279" s="70" t="str">
        <x:v>B - Strong</x:v>
      </x:c>
      <x:c r="C279" s="72" t="str">
        <x:v>57</x:v>
      </x:c>
      <x:c r="D279" s="60" t="str">
        <x:v>Mr. Electric®</x:v>
      </x:c>
      <x:c r="E279" s="60" t="str">
        <x:v>https://mrelectric.com</x:v>
      </x:c>
      <x:c r="F279" s="60" t="str">
        <x:v>https://mrelectric.com</x:v>
      </x:c>
      <x:c r="G279" s="60" t="str">
        <x:v>Greenville</x:v>
      </x:c>
      <x:c r="H279" s="60" t="str">
        <x:v>South Carolina</x:v>
      </x:c>
      <x:c r="I279" s="60" t="str">
        <x:v>Landscaping &amp; Tree</x:v>
      </x:c>
      <x:c r="J279" s="60" t="str">
        <x:v>Bret</x:v>
      </x:c>
      <x:c r="K279" s="60" t="str">
        <x:v>Hendley</x:v>
      </x:c>
      <x:c r="L279" s="60" t="str">
        <x:v>Owner</x:v>
      </x:c>
      <x:c r="M279" s="60" t="str">
        <x:v>bret.hendley@mrelectric.com</x:v>
      </x:c>
      <x:c r="N279" s="60" t="str">
        <x:v>Verified with BounceBan on 07 Jun 26 19:40</x:v>
      </x:c>
      <x:c r="O279" s="60" t="str">
        <x:v>+1 864 915 5520</x:v>
      </x:c>
      <x:c r="P279" s="60" t="str">
        <x:v>https://www.linkedin.com/in/bret-hendley-0778a83a</x:v>
      </x:c>
      <x:c r="Q279" s="60" t="str">
        <x:v>1001-5000</x:v>
      </x:c>
      <x:c r="R279" s="60" t="str">
        <x:v>25000000-49999999</x:v>
      </x:c>
      <x:c r="S279" s="60" t="str">
        <x:v>5</x:v>
      </x:c>
      <x:c r="T279" s="74" t="str">
        <x:v>35</x:v>
      </x:c>
      <x:c r="U279" s="60" t="str"/>
      <x:c r="V279" s="74" t="str">
        <x:v>26</x:v>
      </x:c>
      <x:c r="W279" s="74" t="str">
        <x:v>0</x:v>
      </x:c>
      <x:c r="X279" s="74" t="str">
        <x:v>10</x:v>
      </x:c>
      <x:c r="Y279" s="74" t="str">
        <x:v>11</x:v>
      </x:c>
      <x:c r="Z279" s="74" t="str">
        <x:v>10</x:v>
      </x:c>
      <x:c r="AA279" s="74" t="str">
        <x:v>0</x:v>
      </x:c>
      <x:c r="AB279" s="74" t="str">
        <x:v>0</x:v>
      </x:c>
      <x:c r="AC279" s="74" t="str">
        <x:v>0</x:v>
      </x:c>
      <x:c r="AD279" s="74" t="str">
        <x:v>0</x:v>
      </x:c>
      <x:c r="AE279" s="74" t="str">
        <x:v>0</x:v>
      </x:c>
      <x:c r="AF279" s="74" t="str"/>
      <x:c r="AG279" s="74" t="str">
        <x:v>0</x:v>
      </x:c>
      <x:c r="AH279" s="74" t="str">
        <x:v>1</x:v>
      </x:c>
      <x:c r="AI279" s="74" t="str">
        <x:v>1</x:v>
      </x:c>
      <x:c r="AJ279" s="74" t="str">
        <x:v>0</x:v>
      </x:c>
      <x:c r="AK279" s="74" t="str">
        <x:v>0</x:v>
      </x:c>
      <x:c r="AL279" s="74" t="str">
        <x:v>0</x:v>
      </x:c>
      <x:c r="AM279" s="74" t="str">
        <x:v>0</x:v>
      </x:c>
      <x:c r="AN279" s="74" t="str">
        <x:v>0</x:v>
      </x:c>
      <x:c r="AO279" s="60" t="str">
        <x:v>0</x:v>
      </x:c>
      <x:c r="AP279" s="76" t="str">
        <x:v>Project/gallery proof found; no embedded homepage video found</x:v>
      </x:c>
      <x:c r="AQ279" s="76" t="str">
        <x:v>project/gallery proof; testimonials; no embedded homepage video detected</x:v>
      </x:c>
      <x:c r="AR279" s="76" t="str">
        <x:v>I found project/gallery proof on Mr. Electric®'s site that could be repackaged into short-form ad concepts.</x:v>
      </x:c>
      <x:c r="AS279" s="76" t="str">
        <x:v>property transformation ad</x:v>
      </x:c>
      <x:c r="AT279" s="76" t="str">
        <x:v>Mr. Electric® ad concept</x:v>
      </x:c>
      <x:c r="AU279" s="76" t="str">
        <x:v>Hi Bret — I found project/gallery proof on Mr. Electric®'s site that could be repackaged into short-form ad concepts. I mapped a private 15-second property transformation ad for Mr. Electric® using only public brand context—not for publishing, just to show the angle. We build three client-approved video ad concepts in seven days, then turn the winners into fresh variations. No filming day required. Worth sending the private sample?</x:v>
      </x:c>
      <x:c r="AV279" s="76" t="str">
        <x:v>Quick follow-up: the sample angle is a property transformation ad. If it misses the mark, no problem—I won't keep chasing. Should I send it?</x:v>
      </x:c>
      <x:c r="AW279" s="76" t="str">
        <x:v>Hi Bret, Ryan here. I was looking at Mr. Electric®'s public marketing and noticed: project/gallery proof found; no embedded homepage video found. I mapped one private property transformation ad as an example. Did I catch you with 30 seconds?</x:v>
      </x:c>
      <x:c r="AX279" s="60" t="str">
        <x:v>https://www.facebook.com/ads/library/?active_status=active&amp;ad_type=all&amp;country=US&amp;q=Mr.%20Electric%C2%AE&amp;search_type=keyword_unordered</x:v>
      </x:c>
      <x:c r="AY279" s="60" t="str">
        <x:v>ok:200</x:v>
      </x:c>
      <x:c r="AZ279" s="60" t="n">
        <x:v>46232.722858796296</x:v>
      </x:c>
      <x:c r="BA279" s="60" t="str">
        <x:v>AI Ark SC trades export | Google Maps home-services export</x:v>
      </x:c>
      <x:c r="BB279" s="60" t="str">
        <x:v>https://maps.google.com/?cid=10317143354126803938&amp;g_mp=Cidnb29nbGUubWFwcy5wbGFjZXMudjEuUGxhY2VzLlNlYXJjaFRleHQQAhgEIAA | https://maps.google.com/?cid=600024654395320407&amp;g_mp=Cidnb29nbGUubWFwcy5wbGFjZXMudjEuUGxhY2VzLlNlYXJjaFRleHQQAhgEIAA | https://mrelectric.com | https://www.linkedin.com/company/mr--electric</x:v>
      </x:c>
      <x:c r="BC279" s="60" t="str"/>
    </x:row>
    <x:row r="280" ht="18" customHeight="1">
      <x:c r="A280" s="70" t="str">
        <x:v>279</x:v>
      </x:c>
      <x:c r="B280" s="70" t="str">
        <x:v>B - Strong</x:v>
      </x:c>
      <x:c r="C280" s="72" t="str">
        <x:v>57</x:v>
      </x:c>
      <x:c r="D280" s="60" t="str">
        <x:v>Superior Janitorial Solutions</x:v>
      </x:c>
      <x:c r="E280" s="60" t="str">
        <x:v>https://superior-janitorial-solutions.com</x:v>
      </x:c>
      <x:c r="F280" s="60" t="str">
        <x:v>https://superior-janitorial-solutions.com</x:v>
      </x:c>
      <x:c r="G280" s="60" t="str">
        <x:v>Cowpens</x:v>
      </x:c>
      <x:c r="H280" s="60" t="str">
        <x:v>South Carolina</x:v>
      </x:c>
      <x:c r="I280" s="60" t="str">
        <x:v>Windows &amp; Doors</x:v>
      </x:c>
      <x:c r="J280" s="60" t="str">
        <x:v>Brent</x:v>
      </x:c>
      <x:c r="K280" s="60" t="str">
        <x:v>Powell</x:v>
      </x:c>
      <x:c r="L280" s="60" t="str">
        <x:v>Owner</x:v>
      </x:c>
      <x:c r="M280" s="60" t="str">
        <x:v>brent@superior-janitorial-solutions.com</x:v>
      </x:c>
      <x:c r="N280" s="60" t="str">
        <x:v>Verified with BounceBan on 08 Jun 26 12:06</x:v>
      </x:c>
      <x:c r="O280" s="60" t="str">
        <x:v>+1 864 205 3954</x:v>
      </x:c>
      <x:c r="P280" s="60" t="str">
        <x:v>https://www.linkedin.com/in/brent-powell-02265476</x:v>
      </x:c>
      <x:c r="Q280" s="60" t="str">
        <x:v>11-50</x:v>
      </x:c>
      <x:c r="R280" s="60" t="str">
        <x:v>100000-499999</x:v>
      </x:c>
      <x:c r="S280" s="60" t="str"/>
      <x:c r="T280" s="74" t="str">
        <x:v>0</x:v>
      </x:c>
      <x:c r="U280" s="60" t="str"/>
      <x:c r="V280" s="74" t="str">
        <x:v>29</x:v>
      </x:c>
      <x:c r="W280" s="74" t="str">
        <x:v>0</x:v>
      </x:c>
      <x:c r="X280" s="74" t="str">
        <x:v>10</x:v>
      </x:c>
      <x:c r="Y280" s="74" t="str">
        <x:v>8</x:v>
      </x:c>
      <x:c r="Z280" s="74" t="str">
        <x:v>10</x:v>
      </x:c>
      <x:c r="AA280" s="74" t="str">
        <x:v>0</x:v>
      </x:c>
      <x:c r="AB280" s="74" t="str">
        <x:v>0</x:v>
      </x:c>
      <x:c r="AC280" s="74" t="str">
        <x:v>0</x:v>
      </x:c>
      <x:c r="AD280" s="74" t="str">
        <x:v>0</x:v>
      </x:c>
      <x:c r="AE280" s="74" t="str">
        <x:v>0</x:v>
      </x:c>
      <x:c r="AF280" s="74" t="str"/>
      <x:c r="AG280" s="74" t="str">
        <x:v>0</x:v>
      </x:c>
      <x:c r="AH280" s="74" t="str">
        <x:v>1</x:v>
      </x:c>
      <x:c r="AI280" s="74" t="str">
        <x:v>0</x:v>
      </x:c>
      <x:c r="AJ280" s="74" t="str">
        <x:v>0</x:v>
      </x:c>
      <x:c r="AK280" s="74" t="str">
        <x:v>1</x:v>
      </x:c>
      <x:c r="AL280" s="74" t="str">
        <x:v>0</x:v>
      </x:c>
      <x:c r="AM280" s="74" t="str">
        <x:v>1</x:v>
      </x:c>
      <x:c r="AN280" s="74" t="str">
        <x:v>0</x:v>
      </x:c>
      <x:c r="AO280" s="60" t="str">
        <x:v>2026</x:v>
      </x:c>
      <x:c r="AP280" s="76" t="str">
        <x:v>Project/gallery proof found; no embedded homepage video found</x:v>
      </x:c>
      <x:c r="AQ280" s="76" t="str">
        <x:v>project/gallery proof; visible service offer; no embedded homepage video detected</x:v>
      </x:c>
      <x:c r="AR280" s="76" t="str">
        <x:v>I found project/gallery proof on Superior Janitorial Solutions's site that could be repackaged into short-form ad concepts.</x:v>
      </x:c>
      <x:c r="AS280" s="76" t="str">
        <x:v>energy-loss to installed-window transformation ad</x:v>
      </x:c>
      <x:c r="AT280" s="76" t="str">
        <x:v>Superior Janitorial Solutions ad concept</x:v>
      </x:c>
      <x:c r="AU280" s="76" t="str">
        <x:v>Hi Brent — I found project/gallery proof on Superior Janitorial Solutions's site that could be repackaged into short-form ad concepts. I mapped a private 15-second energy-loss to installed-window transformation ad for Superior Janitorial Solutions using only public brand context—not for publishing, just to show the angle. We build three client-approved video ad concepts in seven days, then turn the winners into fresh variations. No filming day required. Worth sending the private sample?</x:v>
      </x:c>
      <x:c r="AV280" s="76" t="str">
        <x:v>Quick follow-up: the sample angle is a energy-loss to installed-window transformation ad. If it misses the mark, no problem—I won't keep chasing. Should I send it?</x:v>
      </x:c>
      <x:c r="AW280" s="76" t="str">
        <x:v>Hi Brent, Ryan here. I was looking at Superior Janitorial Solutions's public marketing and noticed: project/gallery proof found; no embedded homepage video found. I mapped one private energy-loss to installed-window transformation ad as an example. Did I catch you with 30 seconds?</x:v>
      </x:c>
      <x:c r="AX280" s="60" t="str">
        <x:v>https://www.facebook.com/ads/library/?active_status=active&amp;ad_type=all&amp;country=US&amp;q=Superior%20Janitorial%20Solutions&amp;search_type=keyword_unordered</x:v>
      </x:c>
      <x:c r="AY280" s="60" t="str">
        <x:v>ok:200</x:v>
      </x:c>
      <x:c r="AZ280" s="60" t="n">
        <x:v>46232.722858796296</x:v>
      </x:c>
      <x:c r="BA280" s="60" t="str">
        <x:v>AI Ark SC trades export</x:v>
      </x:c>
      <x:c r="BB280" s="60" t="str">
        <x:v>https://superior-janitorial-solutions.com | https://www.linkedin.com/company/superior-janitorial-solutions-sc</x:v>
      </x:c>
      <x:c r="BC280" s="60" t="str"/>
    </x:row>
    <x:row r="281" ht="18" customHeight="1">
      <x:c r="A281" s="70" t="str">
        <x:v>280</x:v>
      </x:c>
      <x:c r="B281" s="70" t="str">
        <x:v>B - Strong</x:v>
      </x:c>
      <x:c r="C281" s="72" t="str">
        <x:v>56</x:v>
      </x:c>
      <x:c r="D281" s="60" t="str">
        <x:v>ServiceMaster Building Maintenance</x:v>
      </x:c>
      <x:c r="E281" s="60" t="str">
        <x:v>https://servicemasterclean.com</x:v>
      </x:c>
      <x:c r="F281" s="60" t="str">
        <x:v>https://www.servicemasterclean.com/</x:v>
      </x:c>
      <x:c r="G281" s="60" t="str">
        <x:v>Columbia</x:v>
      </x:c>
      <x:c r="H281" s="60" t="str">
        <x:v>South Carolina</x:v>
      </x:c>
      <x:c r="I281" s="60" t="str">
        <x:v>Cleaning &amp; Exterior Care</x:v>
      </x:c>
      <x:c r="J281" s="60" t="str">
        <x:v>Tom</x:v>
      </x:c>
      <x:c r="K281" s="60" t="str">
        <x:v>Weeks</x:v>
      </x:c>
      <x:c r="L281" s="60" t="str">
        <x:v>Owner</x:v>
      </x:c>
      <x:c r="M281" s="60" t="str"/>
      <x:c r="N281" s="60" t="str"/>
      <x:c r="O281" s="60" t="str"/>
      <x:c r="P281" s="60" t="str">
        <x:v>https://www.linkedin.com/in/tom-weeks-b89a0a254</x:v>
      </x:c>
      <x:c r="Q281" s="60" t="str">
        <x:v>51-200</x:v>
      </x:c>
      <x:c r="R281" s="60" t="str">
        <x:v>100000-499999</x:v>
      </x:c>
      <x:c r="S281" s="60" t="str"/>
      <x:c r="T281" s="74" t="str">
        <x:v>0</x:v>
      </x:c>
      <x:c r="U281" s="60" t="str"/>
      <x:c r="V281" s="74" t="str">
        <x:v>21</x:v>
      </x:c>
      <x:c r="W281" s="74" t="str">
        <x:v>25</x:v>
      </x:c>
      <x:c r="X281" s="74" t="str">
        <x:v>4</x:v>
      </x:c>
      <x:c r="Y281" s="74" t="str">
        <x:v>4</x:v>
      </x:c>
      <x:c r="Z281" s="74" t="str">
        <x:v>2</x:v>
      </x:c>
      <x:c r="AA281" s="74" t="str">
        <x:v>1</x:v>
      </x:c>
      <x:c r="AB281" s="74" t="str">
        <x:v>1</x:v>
      </x:c>
      <x:c r="AC281" s="74" t="str">
        <x:v>1</x:v>
      </x:c>
      <x:c r="AD281" s="74" t="str">
        <x:v>0</x:v>
      </x:c>
      <x:c r="AE281" s="74" t="str">
        <x:v>0</x:v>
      </x:c>
      <x:c r="AF281" s="74" t="str"/>
      <x:c r="AG281" s="74" t="str">
        <x:v>1</x:v>
      </x:c>
      <x:c r="AH281" s="74" t="str">
        <x:v>0</x:v>
      </x:c>
      <x:c r="AI281" s="74" t="str">
        <x:v>1</x:v>
      </x:c>
      <x:c r="AJ281" s="74" t="str">
        <x:v>0</x:v>
      </x:c>
      <x:c r="AK281" s="74" t="str">
        <x:v>0</x:v>
      </x:c>
      <x:c r="AL281" s="74" t="str">
        <x:v>0</x:v>
      </x:c>
      <x:c r="AM281" s="74" t="str">
        <x:v>1</x:v>
      </x:c>
      <x:c r="AN281" s="74" t="str">
        <x:v>0</x:v>
      </x:c>
      <x:c r="AO281" s="60" t="str">
        <x:v>2026</x:v>
      </x:c>
      <x:c r="AP281" s="76" t="str">
        <x:v>Paid-demand technology detected; creative refresh hypothesis</x:v>
      </x:c>
      <x:c r="AQ281" s="76" t="str">
        <x:v>Meta Pixel; Google Ads tag; testimonials</x:v>
      </x:c>
      <x:c r="AR281" s="76" t="str">
        <x:v>I was reviewing cleaning &amp; exterior care companies in Columbia, South Carolina and ServiceMaster Building Maintenance looked like a strong fit for a creative test.</x:v>
      </x:c>
      <x:c r="AS281" s="76" t="str">
        <x:v>high-contrast before/after ad</x:v>
      </x:c>
      <x:c r="AT281" s="76" t="str">
        <x:v>ServiceMaster Building Maintenance ad concept</x:v>
      </x:c>
      <x:c r="AU281" s="76" t="str">
        <x:v>Hi Tom — I was reviewing cleaning &amp; exterior care companies in Columbia, South Carolina and ServiceMaster Building Maintenance looked like a strong fit for a creative test. I mapped a private 15-second high-contrast before/after ad for ServiceMaster Building Maintenance using only public brand context—not for publishing, just to show the angle. We build three client-approved video ad concepts in seven days, then turn the winners into fresh variations. No filming day required. Worth sending the private sample?</x:v>
      </x:c>
      <x:c r="AV281" s="76" t="str">
        <x:v>Quick follow-up: the sample angle is a high-contrast before/after ad. If it misses the mark, no problem—I won't keep chasing. Should I send it?</x:v>
      </x:c>
      <x:c r="AW281" s="76" t="str">
        <x:v>Hi Tom, Ryan here. I was looking at ServiceMaster Building Maintenance's public marketing and noticed: paid-demand technology detected; creative refresh hypothesis. I mapped one private high-contrast before/after ad as an example. Did I catch you with 30 seconds?</x:v>
      </x:c>
      <x:c r="AX281" s="60" t="str">
        <x:v>https://www.facebook.com/ads/library/?active_status=active&amp;ad_type=all&amp;country=US&amp;q=ServiceMaster%20Building%20Maintenance&amp;search_type=keyword_unordered</x:v>
      </x:c>
      <x:c r="AY281" s="60" t="str">
        <x:v>ok:200</x:v>
      </x:c>
      <x:c r="AZ281" s="60" t="n">
        <x:v>46232.722858796296</x:v>
      </x:c>
      <x:c r="BA281" s="60" t="str">
        <x:v>AI Ark SC trades export</x:v>
      </x:c>
      <x:c r="BB281" s="60" t="str">
        <x:v>https://servicemasterclean.com | https://www.linkedin.com/company/servicemaster-building-maint</x:v>
      </x:c>
      <x:c r="BC281" s="60" t="str"/>
    </x:row>
    <x:row r="282" ht="18" customHeight="1">
      <x:c r="A282" s="70" t="str">
        <x:v>281</x:v>
      </x:c>
      <x:c r="B282" s="70" t="str">
        <x:v>B - Strong</x:v>
      </x:c>
      <x:c r="C282" s="72" t="str">
        <x:v>56</x:v>
      </x:c>
      <x:c r="D282" s="60" t="str">
        <x:v>Avery's Plumbing, Tankless, &amp; Water Filtration</x:v>
      </x:c>
      <x:c r="E282" s="60" t="str">
        <x:v>https://averysplumbing.com</x:v>
      </x:c>
      <x:c r="F282" s="60" t="str">
        <x:v>https://www.averysplumbing.com/</x:v>
      </x:c>
      <x:c r="G282" s="60" t="str">
        <x:v>Charleston</x:v>
      </x:c>
      <x:c r="H282" s="60" t="str">
        <x:v>South Carolina</x:v>
      </x:c>
      <x:c r="I282" s="60" t="str">
        <x:v>Plumbing</x:v>
      </x:c>
      <x:c r="J282" s="60" t="str">
        <x:v>Avery's Plumbing, Tankless, &amp; Water Filtration</x:v>
      </x:c>
      <x:c r="K282" s="60" t="str"/>
      <x:c r="L282" s="60" t="str">
        <x:v>Owner / decision maker to verify</x:v>
      </x:c>
      <x:c r="M282" s="60" t="str"/>
      <x:c r="N282" s="60" t="str"/>
      <x:c r="O282" s="60" t="str">
        <x:v>(843) 305-5555</x:v>
      </x:c>
      <x:c r="P282" s="60" t="str"/>
      <x:c r="Q282" s="60" t="str"/>
      <x:c r="R282" s="60" t="str"/>
      <x:c r="S282" s="60" t="str">
        <x:v>4.9</x:v>
      </x:c>
      <x:c r="T282" s="74" t="str">
        <x:v>256</x:v>
      </x:c>
      <x:c r="U282" s="60" t="str"/>
      <x:c r="V282" s="74" t="str">
        <x:v>25</x:v>
      </x:c>
      <x:c r="W282" s="74" t="str">
        <x:v>16</x:v>
      </x:c>
      <x:c r="X282" s="74" t="str">
        <x:v>7</x:v>
      </x:c>
      <x:c r="Y282" s="74" t="str">
        <x:v>3</x:v>
      </x:c>
      <x:c r="Z282" s="74" t="str">
        <x:v>5</x:v>
      </x:c>
      <x:c r="AA282" s="74" t="str">
        <x:v>0</x:v>
      </x:c>
      <x:c r="AB282" s="74" t="str">
        <x:v>1</x:v>
      </x:c>
      <x:c r="AC282" s="74" t="str">
        <x:v>1</x:v>
      </x:c>
      <x:c r="AD282" s="74" t="str">
        <x:v>0</x:v>
      </x:c>
      <x:c r="AE282" s="74" t="str">
        <x:v>0</x:v>
      </x:c>
      <x:c r="AF282" s="74" t="str">
        <x:v>housecallpro</x:v>
      </x:c>
      <x:c r="AG282" s="74" t="str">
        <x:v>1</x:v>
      </x:c>
      <x:c r="AH282" s="74" t="str">
        <x:v>0</x:v>
      </x:c>
      <x:c r="AI282" s="74" t="str">
        <x:v>0</x:v>
      </x:c>
      <x:c r="AJ282" s="74" t="str">
        <x:v>0</x:v>
      </x:c>
      <x:c r="AK282" s="74" t="str">
        <x:v>0</x:v>
      </x:c>
      <x:c r="AL282" s="74" t="str">
        <x:v>0</x:v>
      </x:c>
      <x:c r="AM282" s="74" t="str">
        <x:v>0</x:v>
      </x:c>
      <x:c r="AN282" s="74" t="str">
        <x:v>0</x:v>
      </x:c>
      <x:c r="AO282" s="60" t="str">
        <x:v>2022</x:v>
      </x:c>
      <x:c r="AP282" s="76" t="str">
        <x:v>Paid-demand technology detected; creative refresh hypothesis</x:v>
      </x:c>
      <x:c r="AQ282" s="76" t="str">
        <x:v>Google Ads tag</x:v>
      </x:c>
      <x:c r="AR282" s="76" t="str">
        <x:v>I was reviewing plumbing companies in Charleston, South Carolina and Avery's Plumbing, Tankless, &amp; Water Filtration looked like a strong fit for a creative test.</x:v>
      </x:c>
      <x:c r="AS282" s="76" t="str">
        <x:v>small symptom to prevented-emergency ad</x:v>
      </x:c>
      <x:c r="AT282" s="76" t="str">
        <x:v>Avery's Plumbing, Tankless, &amp; Water Filtration ad concept</x:v>
      </x:c>
      <x:c r="AU282" s="76" t="str">
        <x:v>Hi Avery's Plumbing, Tankless, &amp; Water Filtration — I was reviewing plumbing companies in Charleston, South Carolina and Avery's Plumbing, Tankless, &amp; Water Filtration looked like a strong fit for a creative test. I mapped a private 15-second small symptom to prevented-emergency ad for Avery's Plumbing, Tankless, &amp; Water Filtration using only public brand context—not for publishing, just to show the angle. We build three client-approved video ad concepts in seven days, then turn the winners into fresh variations. No filming day required. Worth sending the private sample?</x:v>
      </x:c>
      <x:c r="AV282" s="76" t="str">
        <x:v>Quick follow-up: the sample angle is a small symptom to prevented-emergency ad. If it misses the mark, no problem—I won't keep chasing. Should I send it?</x:v>
      </x:c>
      <x:c r="AW282" s="76" t="str">
        <x:v>Hi Avery's Plumbing, Tankless, &amp; Water Filtration, Ryan here. I was looking at Avery's Plumbing, Tankless, &amp; Water Filtration's public marketing and noticed: paid-demand technology detected; creative refresh hypothesis. I mapped one private small symptom to prevented-emergency ad as an example. Did I catch you with 30 seconds?</x:v>
      </x:c>
      <x:c r="AX282" s="60" t="str">
        <x:v>https://www.facebook.com/ads/library/?active_status=active&amp;ad_type=all&amp;country=US&amp;q=Avery%27s%20Plumbing%2C%20Tankless%2C%20%26%20Water%20Filtration&amp;search_type=keyword_unordered</x:v>
      </x:c>
      <x:c r="AY282" s="60" t="str">
        <x:v>ok:200</x:v>
      </x:c>
      <x:c r="AZ282" s="60" t="n">
        <x:v>46232.722858796296</x:v>
      </x:c>
      <x:c r="BA282" s="60" t="str">
        <x:v>Google Maps home-services export</x:v>
      </x:c>
      <x:c r="BB282" s="60" t="str">
        <x:v>https://averysplumbing.com | https://maps.google.com/?cid=102584900939108449&amp;g_mp=Cidnb29nbGUubWFwcy5wbGFjZXMudjEuUGxhY2VzLlNlYXJjaFRleHQQAhgEIAA</x:v>
      </x:c>
      <x:c r="BC282" s="60" t="str"/>
    </x:row>
    <x:row r="283" ht="18" customHeight="1">
      <x:c r="A283" s="70" t="str">
        <x:v>282</x:v>
      </x:c>
      <x:c r="B283" s="70" t="str">
        <x:v>B - Strong</x:v>
      </x:c>
      <x:c r="C283" s="72" t="str">
        <x:v>56</x:v>
      </x:c>
      <x:c r="D283" s="60" t="str">
        <x:v>Skyline Restoration, LLC</x:v>
      </x:c>
      <x:c r="E283" s="60" t="str">
        <x:v>https://skylinerestorationsc.com</x:v>
      </x:c>
      <x:c r="F283" s="60" t="str">
        <x:v>https://skylinerestorationsc.com</x:v>
      </x:c>
      <x:c r="G283" s="60" t="str">
        <x:v>Blythewood</x:v>
      </x:c>
      <x:c r="H283" s="60" t="str">
        <x:v>South Carolina</x:v>
      </x:c>
      <x:c r="I283" s="60" t="str">
        <x:v>Roofing</x:v>
      </x:c>
      <x:c r="J283" s="60" t="str">
        <x:v>Ivan</x:v>
      </x:c>
      <x:c r="K283" s="60" t="str">
        <x:v>Pino-Nunez</x:v>
      </x:c>
      <x:c r="L283" s="60" t="str">
        <x:v>Owner</x:v>
      </x:c>
      <x:c r="M283" s="60" t="str"/>
      <x:c r="N283" s="60" t="str"/>
      <x:c r="O283" s="60" t="str">
        <x:v>+1 803 521 8654</x:v>
      </x:c>
      <x:c r="P283" s="60" t="str">
        <x:v>https://www.linkedin.com/in/ivan-pino-nunez-b5242644</x:v>
      </x:c>
      <x:c r="Q283" s="60" t="str">
        <x:v>2-10</x:v>
      </x:c>
      <x:c r="R283" s="60" t="str">
        <x:v>0-99999</x:v>
      </x:c>
      <x:c r="S283" s="60" t="str"/>
      <x:c r="T283" s="74" t="str">
        <x:v>0</x:v>
      </x:c>
      <x:c r="U283" s="60" t="str"/>
      <x:c r="V283" s="74" t="str">
        <x:v>28</x:v>
      </x:c>
      <x:c r="W283" s="74" t="str">
        <x:v>15</x:v>
      </x:c>
      <x:c r="X283" s="74" t="str">
        <x:v>0</x:v>
      </x:c>
      <x:c r="Y283" s="74" t="str">
        <x:v>8</x:v>
      </x:c>
      <x:c r="Z283" s="74" t="str">
        <x:v>5</x:v>
      </x:c>
      <x:c r="AA283" s="74" t="str">
        <x:v>1</x:v>
      </x:c>
      <x:c r="AB283" s="74" t="str">
        <x:v>0</x:v>
      </x:c>
      <x:c r="AC283" s="74" t="str">
        <x:v>1</x:v>
      </x:c>
      <x:c r="AD283" s="74" t="str">
        <x:v>0</x:v>
      </x:c>
      <x:c r="AE283" s="74" t="str">
        <x:v>0</x:v>
      </x:c>
      <x:c r="AF283" s="74" t="str"/>
      <x:c r="AG283" s="74" t="str">
        <x:v>1</x:v>
      </x:c>
      <x:c r="AH283" s="74" t="str">
        <x:v>1</x:v>
      </x:c>
      <x:c r="AI283" s="74" t="str">
        <x:v>0</x:v>
      </x:c>
      <x:c r="AJ283" s="74" t="str">
        <x:v>0</x:v>
      </x:c>
      <x:c r="AK283" s="74" t="str">
        <x:v>1</x:v>
      </x:c>
      <x:c r="AL283" s="74" t="str">
        <x:v>1</x:v>
      </x:c>
      <x:c r="AM283" s="74" t="str">
        <x:v>1</x:v>
      </x:c>
      <x:c r="AN283" s="74" t="str">
        <x:v>0</x:v>
      </x:c>
      <x:c r="AO283" s="60" t="str">
        <x:v>2025</x:v>
      </x:c>
      <x:c r="AP283" s="76" t="str">
        <x:v>Paid-demand technology detected; creative refresh hypothesis</x:v>
      </x:c>
      <x:c r="AQ283" s="76" t="str">
        <x:v>Meta Pixel; project/gallery proof; visible service offer</x:v>
      </x:c>
      <x:c r="AR283" s="76" t="str">
        <x:v>I was reviewing roofing companies in Blythewood, South Carolina and Skyline Restoration, LLC looked like a strong fit for a creative test.</x:v>
      </x:c>
      <x:c r="AS283" s="76" t="str">
        <x:v>storm-to-inspection before/after ad</x:v>
      </x:c>
      <x:c r="AT283" s="76" t="str">
        <x:v>Skyline Restoration, LLC ad concept</x:v>
      </x:c>
      <x:c r="AU283" s="76" t="str">
        <x:v>Hi Ivan — I was reviewing roofing companies in Blythewood, South Carolina and Skyline Restoration, LLC looked like a strong fit for a creative test. I mapped a private 15-second storm-to-inspection before/after ad for Skyline Restoration, LLC using only public brand context—not for publishing, just to show the angle. We build three client-approved video ad concepts in seven days, then turn the winners into fresh variations. No filming day required. Worth sending the private sample?</x:v>
      </x:c>
      <x:c r="AV283" s="76" t="str">
        <x:v>Quick follow-up: the sample angle is a storm-to-inspection before/after ad. If it misses the mark, no problem—I won't keep chasing. Should I send it?</x:v>
      </x:c>
      <x:c r="AW283" s="76" t="str">
        <x:v>Hi Ivan, Ryan here. I was looking at Skyline Restoration, LLC's public marketing and noticed: paid-demand technology detected; creative refresh hypothesis. I mapped one private storm-to-inspection before/after ad as an example. Did I catch you with 30 seconds?</x:v>
      </x:c>
      <x:c r="AX283" s="60" t="str">
        <x:v>https://www.facebook.com/ads/library/?active_status=active&amp;ad_type=all&amp;country=US&amp;q=Skyline%20Restoration%2C%20LLC&amp;search_type=keyword_unordered</x:v>
      </x:c>
      <x:c r="AY283" s="60" t="str">
        <x:v>ok:200</x:v>
      </x:c>
      <x:c r="AZ283" s="60" t="n">
        <x:v>46232.722858796296</x:v>
      </x:c>
      <x:c r="BA283" s="60" t="str">
        <x:v>AI Ark SC trades export</x:v>
      </x:c>
      <x:c r="BB283" s="60" t="str">
        <x:v>https://skylinerestorationsc.com | https://www.linkedin.com/company/skyline-restoration-llc</x:v>
      </x:c>
      <x:c r="BC283" s="60" t="str"/>
    </x:row>
    <x:row r="284" ht="18" customHeight="1">
      <x:c r="A284" s="70" t="str">
        <x:v>283</x:v>
      </x:c>
      <x:c r="B284" s="70" t="str">
        <x:v>B - Strong</x:v>
      </x:c>
      <x:c r="C284" s="72" t="str">
        <x:v>56</x:v>
      </x:c>
      <x:c r="D284" s="60" t="str">
        <x:v>Fountain Electric &amp; Services</x:v>
      </x:c>
      <x:c r="E284" s="60" t="str">
        <x:v>https://fountainelectric.com</x:v>
      </x:c>
      <x:c r="F284" s="60" t="str">
        <x:v>https://fountainelectric.com</x:v>
      </x:c>
      <x:c r="G284" s="60" t="str">
        <x:v>Spartanburg</x:v>
      </x:c>
      <x:c r="H284" s="60" t="str">
        <x:v>South Carolina</x:v>
      </x:c>
      <x:c r="I284" s="60" t="str">
        <x:v>Electrical</x:v>
      </x:c>
      <x:c r="J284" s="60" t="str">
        <x:v>Fountain Electric &amp; Services</x:v>
      </x:c>
      <x:c r="K284" s="60" t="str"/>
      <x:c r="L284" s="60" t="str">
        <x:v>Owner / decision maker to verify</x:v>
      </x:c>
      <x:c r="M284" s="60" t="str"/>
      <x:c r="N284" s="60" t="str"/>
      <x:c r="O284" s="60" t="str">
        <x:v>(828) 287-4343</x:v>
      </x:c>
      <x:c r="P284" s="60" t="str"/>
      <x:c r="Q284" s="60" t="str"/>
      <x:c r="R284" s="60" t="str"/>
      <x:c r="S284" s="60" t="str">
        <x:v>5</x:v>
      </x:c>
      <x:c r="T284" s="74" t="str">
        <x:v>13</x:v>
      </x:c>
      <x:c r="U284" s="60" t="str"/>
      <x:c r="V284" s="74" t="str">
        <x:v>19</x:v>
      </x:c>
      <x:c r="W284" s="74" t="str">
        <x:v>15</x:v>
      </x:c>
      <x:c r="X284" s="74" t="str">
        <x:v>12</x:v>
      </x:c>
      <x:c r="Y284" s="74" t="str">
        <x:v>5</x:v>
      </x:c>
      <x:c r="Z284" s="74" t="str">
        <x:v>5</x:v>
      </x:c>
      <x:c r="AA284" s="74" t="str">
        <x:v>1</x:v>
      </x:c>
      <x:c r="AB284" s="74" t="str">
        <x:v>0</x:v>
      </x:c>
      <x:c r="AC284" s="74" t="str">
        <x:v>1</x:v>
      </x:c>
      <x:c r="AD284" s="74" t="str">
        <x:v>0</x:v>
      </x:c>
      <x:c r="AE284" s="74" t="str">
        <x:v>0</x:v>
      </x:c>
      <x:c r="AF284" s="74" t="str"/>
      <x:c r="AG284" s="74" t="str">
        <x:v>0</x:v>
      </x:c>
      <x:c r="AH284" s="74" t="str">
        <x:v>1</x:v>
      </x:c>
      <x:c r="AI284" s="74" t="str">
        <x:v>0</x:v>
      </x:c>
      <x:c r="AJ284" s="74" t="str">
        <x:v>0</x:v>
      </x:c>
      <x:c r="AK284" s="74" t="str">
        <x:v>0</x:v>
      </x:c>
      <x:c r="AL284" s="74" t="str">
        <x:v>1</x:v>
      </x:c>
      <x:c r="AM284" s="74" t="str">
        <x:v>1</x:v>
      </x:c>
      <x:c r="AN284" s="74" t="str">
        <x:v>1</x:v>
      </x:c>
      <x:c r="AO284" s="60" t="str">
        <x:v>2026</x:v>
      </x:c>
      <x:c r="AP284" s="76" t="str">
        <x:v>Meta tracking detected; no embedded homepage video found</x:v>
      </x:c>
      <x:c r="AQ284" s="76" t="str">
        <x:v>Meta Pixel; project/gallery proof; no embedded homepage video detected</x:v>
      </x:c>
      <x:c r="AR284" s="76" t="str">
        <x:v>I noticed Fountain Electric &amp; Services's site has Meta tracking installed, but I couldn't find an embedded video on the homepage.</x:v>
      </x:c>
      <x:c r="AS284" s="76" t="str">
        <x:v>safety inspection problem/solution ad</x:v>
      </x:c>
      <x:c r="AT284" s="76" t="str">
        <x:v>Fountain Electric &amp; Services ad concept</x:v>
      </x:c>
      <x:c r="AU284" s="76" t="str">
        <x:v>Hi Fountain Electric &amp; Services — I noticed Fountain Electric &amp; Services's site has Meta tracking installed, but I couldn't find an embedded video on the homepage. I mapped a private 15-second safety inspection problem/solution ad for Fountain Electric &amp; Services using only public brand context—not for publishing, just to show the angle. We build three client-approved video ad concepts in seven days, then turn the winners into fresh variations. No filming day required. Worth sending the private sample?</x:v>
      </x:c>
      <x:c r="AV284" s="76" t="str">
        <x:v>Quick follow-up: the sample angle is a safety inspection problem/solution ad. If it misses the mark, no problem—I won't keep chasing. Should I send it?</x:v>
      </x:c>
      <x:c r="AW284" s="76" t="str">
        <x:v>Hi Fountain Electric &amp; Services, Ryan here. I was looking at Fountain Electric &amp; Services's public marketing and noticed: meta tracking detected; no embedded homepage video found. I mapped one private safety inspection problem/solution ad as an example. Did I catch you with 30 seconds?</x:v>
      </x:c>
      <x:c r="AX284" s="60" t="str">
        <x:v>https://www.facebook.com/ads/library/?active_status=active&amp;ad_type=all&amp;country=US&amp;q=Fountain%20Electric%20%26%20Services&amp;search_type=keyword_unordered</x:v>
      </x:c>
      <x:c r="AY284" s="60" t="str">
        <x:v>ok:200</x:v>
      </x:c>
      <x:c r="AZ284" s="60" t="n">
        <x:v>46232.722858796296</x:v>
      </x:c>
      <x:c r="BA284" s="60" t="str">
        <x:v>Google Maps home-services export</x:v>
      </x:c>
      <x:c r="BB284" s="60" t="str">
        <x:v>https://fountainelectric.com | https://maps.google.com/?cid=4070199341654056429&amp;g_mp=Cidnb29nbGUubWFwcy5wbGFjZXMudjEuUGxhY2VzLlNlYXJjaFRleHQQAhgEIAA | https://maps.google.com/?cid=5599198785275646403&amp;g_mp=Cidnb29nbGUubWFwcy5wbGFjZXMudjEuUGxhY2VzLlNlYXJjaFRleHQQAhgEIAA</x:v>
      </x:c>
      <x:c r="BC284" s="60" t="str"/>
    </x:row>
    <x:row r="285" ht="18" customHeight="1">
      <x:c r="A285" s="70" t="str">
        <x:v>284</x:v>
      </x:c>
      <x:c r="B285" s="70" t="str">
        <x:v>B - Strong</x:v>
      </x:c>
      <x:c r="C285" s="72" t="str">
        <x:v>56</x:v>
      </x:c>
      <x:c r="D285" s="60" t="str">
        <x:v>Carolina Climate Control - Charleston</x:v>
      </x:c>
      <x:c r="E285" s="60" t="str">
        <x:v>https://carolinaclimatecontrolsc.com</x:v>
      </x:c>
      <x:c r="F285" s="60" t="str">
        <x:v>https://www.carolinaclimatecontrolsc.com/</x:v>
      </x:c>
      <x:c r="G285" s="60" t="str">
        <x:v>Charleston</x:v>
      </x:c>
      <x:c r="H285" s="60" t="str">
        <x:v>South Carolina</x:v>
      </x:c>
      <x:c r="I285" s="60" t="str">
        <x:v>HVAC</x:v>
      </x:c>
      <x:c r="J285" s="60" t="str">
        <x:v>Mark</x:v>
      </x:c>
      <x:c r="K285" s="60" t="str">
        <x:v>Taylor</x:v>
      </x:c>
      <x:c r="L285" s="60" t="str">
        <x:v>Co-Owner</x:v>
      </x:c>
      <x:c r="M285" s="60" t="str">
        <x:v>mark@carolinaclimatecontrolsc.com</x:v>
      </x:c>
      <x:c r="N285" s="60" t="str">
        <x:v>Verified with BounceBan on 08 Jun 26 12:06</x:v>
      </x:c>
      <x:c r="O285" s="60" t="str"/>
      <x:c r="P285" s="60" t="str">
        <x:v>https://www.linkedin.com/in/mark-taylor-aa7380b0</x:v>
      </x:c>
      <x:c r="Q285" s="60" t="str">
        <x:v>11-50</x:v>
      </x:c>
      <x:c r="R285" s="60" t="str">
        <x:v>100000-499999</x:v>
      </x:c>
      <x:c r="S285" s="60" t="str"/>
      <x:c r="T285" s="74" t="str">
        <x:v>0</x:v>
      </x:c>
      <x:c r="U285" s="60" t="str"/>
      <x:c r="V285" s="74" t="str">
        <x:v>30</x:v>
      </x:c>
      <x:c r="W285" s="74" t="str">
        <x:v>13</x:v>
      </x:c>
      <x:c r="X285" s="74" t="str">
        <x:v>0</x:v>
      </x:c>
      <x:c r="Y285" s="74" t="str">
        <x:v>6</x:v>
      </x:c>
      <x:c r="Z285" s="74" t="str">
        <x:v>7</x:v>
      </x:c>
      <x:c r="AA285" s="74" t="str">
        <x:v>0</x:v>
      </x:c>
      <x:c r="AB285" s="74" t="str">
        <x:v>1</x:v>
      </x:c>
      <x:c r="AC285" s="74" t="str">
        <x:v>1</x:v>
      </x:c>
      <x:c r="AD285" s="74" t="str">
        <x:v>0</x:v>
      </x:c>
      <x:c r="AE285" s="74" t="str">
        <x:v>0</x:v>
      </x:c>
      <x:c r="AF285" s="74" t="str"/>
      <x:c r="AG285" s="74" t="str">
        <x:v>1</x:v>
      </x:c>
      <x:c r="AH285" s="74" t="str">
        <x:v>0</x:v>
      </x:c>
      <x:c r="AI285" s="74" t="str">
        <x:v>0</x:v>
      </x:c>
      <x:c r="AJ285" s="74" t="str">
        <x:v>1</x:v>
      </x:c>
      <x:c r="AK285" s="74" t="str">
        <x:v>1</x:v>
      </x:c>
      <x:c r="AL285" s="74" t="str">
        <x:v>1</x:v>
      </x:c>
      <x:c r="AM285" s="74" t="str">
        <x:v>1</x:v>
      </x:c>
      <x:c r="AN285" s="74" t="str">
        <x:v>1</x:v>
      </x:c>
      <x:c r="AO285" s="60" t="str">
        <x:v>0</x:v>
      </x:c>
      <x:c r="AP285" s="76" t="str">
        <x:v>Paid-demand technology detected; creative refresh hypothesis</x:v>
      </x:c>
      <x:c r="AQ285" s="76" t="str">
        <x:v>Google Ads tag; financing; visible service offer</x:v>
      </x:c>
      <x:c r="AR285" s="76" t="str">
        <x:v>I was reviewing hvac companies in Charleston, South Carolina and Carolina Climate Control - Charleston looked like a strong fit for a creative test.</x:v>
      </x:c>
      <x:c r="AS285" s="76" t="str">
        <x:v>no-cool-call to same-day comfort ad</x:v>
      </x:c>
      <x:c r="AT285" s="76" t="str">
        <x:v>Carolina Climate Control - Charleston ad concept</x:v>
      </x:c>
      <x:c r="AU285" s="76" t="str">
        <x:v>Hi Mark — I was reviewing hvac companies in Charleston, South Carolina and Carolina Climate Control - Charleston looked like a strong fit for a creative test. I mapped a private 15-second no-cool-call to same-day comfort ad for Carolina Climate Control - Charleston using only public brand context—not for publishing, just to show the angle. We build three client-approved video ad concepts in seven days, then turn the winners into fresh variations. No filming day required. Worth sending the private sample?</x:v>
      </x:c>
      <x:c r="AV285" s="76" t="str">
        <x:v>Quick follow-up: the sample angle is a no-cool-call to same-day comfort ad. If it misses the mark, no problem—I won't keep chasing. Should I send it?</x:v>
      </x:c>
      <x:c r="AW285" s="76" t="str">
        <x:v>Hi Mark, Ryan here. I was looking at Carolina Climate Control - Charleston's public marketing and noticed: paid-demand technology detected; creative refresh hypothesis. I mapped one private no-cool-call to same-day comfort ad as an example. Did I catch you with 30 seconds?</x:v>
      </x:c>
      <x:c r="AX285" s="60" t="str">
        <x:v>https://www.facebook.com/ads/library/?active_status=active&amp;ad_type=all&amp;country=US&amp;q=Carolina%20Climate%20Control%20-%20Charleston&amp;search_type=keyword_unordered</x:v>
      </x:c>
      <x:c r="AY285" s="60" t="str">
        <x:v>ok:200</x:v>
      </x:c>
      <x:c r="AZ285" s="60" t="n">
        <x:v>46232.722858796296</x:v>
      </x:c>
      <x:c r="BA285" s="60" t="str">
        <x:v>AI Ark SC trades export</x:v>
      </x:c>
      <x:c r="BB285" s="60" t="str">
        <x:v>https://carolinaclimatecontrolsc.com | https://www.linkedin.com/company/carolina-climate-control-charleston</x:v>
      </x:c>
      <x:c r="BC285" s="60" t="str"/>
    </x:row>
    <x:row r="286" ht="18" customHeight="1">
      <x:c r="A286" s="70" t="str">
        <x:v>285</x:v>
      </x:c>
      <x:c r="B286" s="70" t="str">
        <x:v>B - Strong</x:v>
      </x:c>
      <x:c r="C286" s="72" t="str">
        <x:v>56</x:v>
      </x:c>
      <x:c r="D286" s="60" t="str">
        <x:v>Sunstone Structures</x:v>
      </x:c>
      <x:c r="E286" s="60" t="str">
        <x:v>https://sunstonestructures.com</x:v>
      </x:c>
      <x:c r="F286" s="60" t="str">
        <x:v>https://www.sunstonestructures.com/</x:v>
      </x:c>
      <x:c r="G286" s="60" t="str">
        <x:v>Charleston</x:v>
      </x:c>
      <x:c r="H286" s="60" t="str">
        <x:v>South Carolina</x:v>
      </x:c>
      <x:c r="I286" s="60" t="str">
        <x:v>General Contractor</x:v>
      </x:c>
      <x:c r="J286" s="60" t="str">
        <x:v>Star</x:v>
      </x:c>
      <x:c r="K286" s="60" t="str">
        <x:v>Longo, PE, CCM, LEED AP</x:v>
      </x:c>
      <x:c r="L286" s="60" t="str">
        <x:v>Owner</x:v>
      </x:c>
      <x:c r="M286" s="60" t="str">
        <x:v>star.longo@sunstonestructures.com</x:v>
      </x:c>
      <x:c r="N286" s="60" t="str">
        <x:v>Verified with BounceBan on 08 Jun 26 12:06</x:v>
      </x:c>
      <x:c r="O286" s="60" t="str"/>
      <x:c r="P286" s="60" t="str">
        <x:v>https://www.linkedin.com/in/star-longo-pe-ccm-leed-ap-794b132</x:v>
      </x:c>
      <x:c r="Q286" s="60" t="str">
        <x:v>2-10</x:v>
      </x:c>
      <x:c r="R286" s="60" t="str">
        <x:v>0-99999</x:v>
      </x:c>
      <x:c r="S286" s="60" t="str"/>
      <x:c r="T286" s="74" t="str">
        <x:v>0</x:v>
      </x:c>
      <x:c r="U286" s="60" t="str"/>
      <x:c r="V286" s="74" t="str">
        <x:v>20</x:v>
      </x:c>
      <x:c r="W286" s="74" t="str">
        <x:v>13</x:v>
      </x:c>
      <x:c r="X286" s="74" t="str">
        <x:v>16</x:v>
      </x:c>
      <x:c r="Y286" s="74" t="str">
        <x:v>0</x:v>
      </x:c>
      <x:c r="Z286" s="74" t="str">
        <x:v>7</x:v>
      </x:c>
      <x:c r="AA286" s="74" t="str">
        <x:v>0</x:v>
      </x:c>
      <x:c r="AB286" s="74" t="str">
        <x:v>1</x:v>
      </x:c>
      <x:c r="AC286" s="74" t="str">
        <x:v>1</x:v>
      </x:c>
      <x:c r="AD286" s="74" t="str">
        <x:v>0</x:v>
      </x:c>
      <x:c r="AE286" s="74" t="str">
        <x:v>0</x:v>
      </x:c>
      <x:c r="AF286" s="74" t="str"/>
      <x:c r="AG286" s="74" t="str">
        <x:v>0</x:v>
      </x:c>
      <x:c r="AH286" s="74" t="str">
        <x:v>0</x:v>
      </x:c>
      <x:c r="AI286" s="74" t="str">
        <x:v>0</x:v>
      </x:c>
      <x:c r="AJ286" s="74" t="str">
        <x:v>0</x:v>
      </x:c>
      <x:c r="AK286" s="74" t="str">
        <x:v>0</x:v>
      </x:c>
      <x:c r="AL286" s="74" t="str">
        <x:v>0</x:v>
      </x:c>
      <x:c r="AM286" s="74" t="str">
        <x:v>0</x:v>
      </x:c>
      <x:c r="AN286" s="74" t="str">
        <x:v>0</x:v>
      </x:c>
      <x:c r="AO286" s="60" t="str">
        <x:v>0</x:v>
      </x:c>
      <x:c r="AP286" s="76" t="str">
        <x:v>Google Ads tag detected; no embedded homepage video found</x:v>
      </x:c>
      <x:c r="AQ286" s="76" t="str">
        <x:v>Google Ads tag; no embedded homepage video detected</x:v>
      </x:c>
      <x:c r="AR286" s="76" t="str">
        <x:v>I noticed Sunstone Structures's site has a Google Ads tag installed, but I couldn't find an embedded video on the homepage.</x:v>
      </x:c>
      <x:c r="AS286" s="76" t="str">
        <x:v>project walkthrough with proof milestones</x:v>
      </x:c>
      <x:c r="AT286" s="76" t="str">
        <x:v>Sunstone Structures ad concept</x:v>
      </x:c>
      <x:c r="AU286" s="76" t="str">
        <x:v>Hi Star — I noticed Sunstone Structures's site has a Google Ads tag installed, but I couldn't find an embedded video on the homepage. I mapped a private 15-second project walkthrough with proof milestones for Sunstone Structures using only public brand context—not for publishing, just to show the angle. We build three client-approved video ad concepts in seven days, then turn the winners into fresh variations. No filming day required. Worth sending the private sample?</x:v>
      </x:c>
      <x:c r="AV286" s="76" t="str">
        <x:v>Quick follow-up: the sample angle is a project walkthrough with proof milestones. If it misses the mark, no problem—I won't keep chasing. Should I send it?</x:v>
      </x:c>
      <x:c r="AW286" s="76" t="str">
        <x:v>Hi Star, Ryan here. I was looking at Sunstone Structures's public marketing and noticed: google ads tag detected; no embedded homepage video found. I mapped one private project walkthrough with proof milestones as an example. Did I catch you with 30 seconds?</x:v>
      </x:c>
      <x:c r="AX286" s="60" t="str">
        <x:v>https://www.facebook.com/ads/library/?active_status=active&amp;ad_type=all&amp;country=US&amp;q=Sunstone%20Structures&amp;search_type=keyword_unordered</x:v>
      </x:c>
      <x:c r="AY286" s="60" t="str">
        <x:v>ok:200</x:v>
      </x:c>
      <x:c r="AZ286" s="60" t="n">
        <x:v>46232.722858796296</x:v>
      </x:c>
      <x:c r="BA286" s="60" t="str">
        <x:v>AI Ark SC trades export</x:v>
      </x:c>
      <x:c r="BB286" s="60" t="str">
        <x:v>https://sunstonestructures.com | https://www.linkedin.com/company/sunstone-structures</x:v>
      </x:c>
      <x:c r="BC286" s="60" t="str"/>
    </x:row>
    <x:row r="287" ht="18" customHeight="1">
      <x:c r="A287" s="70" t="str">
        <x:v>286</x:v>
      </x:c>
      <x:c r="B287" s="70" t="str">
        <x:v>B - Strong</x:v>
      </x:c>
      <x:c r="C287" s="72" t="str">
        <x:v>56</x:v>
      </x:c>
      <x:c r="D287" s="60" t="str">
        <x:v>Vanguard Cleaning Systems - Official Page</x:v>
      </x:c>
      <x:c r="E287" s="60" t="str">
        <x:v>https://vanguardcleaning.com</x:v>
      </x:c>
      <x:c r="F287" s="60" t="str">
        <x:v>https://www.vanguardcleaning.com/</x:v>
      </x:c>
      <x:c r="G287" s="60" t="str">
        <x:v>Myrtle Beach</x:v>
      </x:c>
      <x:c r="H287" s="60" t="str">
        <x:v>South Carolina</x:v>
      </x:c>
      <x:c r="I287" s="60" t="str">
        <x:v>Cleaning &amp; Exterior Care</x:v>
      </x:c>
      <x:c r="J287" s="60" t="str">
        <x:v>Violet</x:v>
      </x:c>
      <x:c r="K287" s="60" t="str">
        <x:v>Savacool</x:v>
      </x:c>
      <x:c r="L287" s="60" t="str">
        <x:v>Small Business Owner</x:v>
      </x:c>
      <x:c r="M287" s="60" t="str"/>
      <x:c r="N287" s="60" t="str"/>
      <x:c r="O287" s="60" t="str"/>
      <x:c r="P287" s="60" t="str">
        <x:v>https://www.linkedin.com/in/violet-savacool-b5b561261</x:v>
      </x:c>
      <x:c r="Q287" s="60" t="str">
        <x:v>2-10</x:v>
      </x:c>
      <x:c r="R287" s="60" t="str">
        <x:v>1000000-4999999</x:v>
      </x:c>
      <x:c r="S287" s="60" t="str"/>
      <x:c r="T287" s="74" t="str">
        <x:v>0</x:v>
      </x:c>
      <x:c r="U287" s="60" t="str"/>
      <x:c r="V287" s="74" t="str">
        <x:v>22</x:v>
      </x:c>
      <x:c r="W287" s="74" t="str">
        <x:v>11</x:v>
      </x:c>
      <x:c r="X287" s="74" t="str">
        <x:v>16</x:v>
      </x:c>
      <x:c r="Y287" s="74" t="str">
        <x:v>5</x:v>
      </x:c>
      <x:c r="Z287" s="74" t="str">
        <x:v>2</x:v>
      </x:c>
      <x:c r="AA287" s="74" t="str">
        <x:v>0</x:v>
      </x:c>
      <x:c r="AB287" s="74" t="str">
        <x:v>0</x:v>
      </x:c>
      <x:c r="AC287" s="74" t="str">
        <x:v>1</x:v>
      </x:c>
      <x:c r="AD287" s="74" t="str">
        <x:v>0</x:v>
      </x:c>
      <x:c r="AE287" s="74" t="str">
        <x:v>1</x:v>
      </x:c>
      <x:c r="AF287" s="74" t="str"/>
      <x:c r="AG287" s="74" t="str">
        <x:v>0</x:v>
      </x:c>
      <x:c r="AH287" s="74" t="str">
        <x:v>1</x:v>
      </x:c>
      <x:c r="AI287" s="74" t="str">
        <x:v>0</x:v>
      </x:c>
      <x:c r="AJ287" s="74" t="str">
        <x:v>0</x:v>
      </x:c>
      <x:c r="AK287" s="74" t="str">
        <x:v>0</x:v>
      </x:c>
      <x:c r="AL287" s="74" t="str">
        <x:v>0</x:v>
      </x:c>
      <x:c r="AM287" s="74" t="str">
        <x:v>0</x:v>
      </x:c>
      <x:c r="AN287" s="74" t="str">
        <x:v>0</x:v>
      </x:c>
      <x:c r="AO287" s="60" t="str">
        <x:v>2026</x:v>
      </x:c>
      <x:c r="AP287" s="76" t="str">
        <x:v>Call-tracking stack detected; no embedded homepage video found</x:v>
      </x:c>
      <x:c r="AQ287" s="76" t="str">
        <x:v>call tracking; project/gallery proof; no embedded homepage video detected</x:v>
      </x:c>
      <x:c r="AR287" s="76" t="str">
        <x:v>I noticed Vanguard Cleaning Systems - Official Page has call tracking in place, but I couldn't find an embedded video on the homepage.</x:v>
      </x:c>
      <x:c r="AS287" s="76" t="str">
        <x:v>high-contrast before/after ad</x:v>
      </x:c>
      <x:c r="AT287" s="76" t="str">
        <x:v>Vanguard Cleaning Systems - Official Page ad concept</x:v>
      </x:c>
      <x:c r="AU287" s="76" t="str">
        <x:v>Hi Violet — I noticed Vanguard Cleaning Systems - Official Page has call tracking in place, but I couldn't find an embedded video on the homepage. I mapped a private 15-second high-contrast before/after ad for Vanguard Cleaning Systems - Official Page using only public brand context—not for publishing, just to show the angle. We build three client-approved video ad concepts in seven days, then turn the winners into fresh variations. No filming day required. Worth sending the private sample?</x:v>
      </x:c>
      <x:c r="AV287" s="76" t="str">
        <x:v>Quick follow-up: the sample angle is a high-contrast before/after ad. If it misses the mark, no problem—I won't keep chasing. Should I send it?</x:v>
      </x:c>
      <x:c r="AW287" s="76" t="str">
        <x:v>Hi Violet, Ryan here. I was looking at Vanguard Cleaning Systems - Official Page's public marketing and noticed: call-tracking stack detected; no embedded homepage video found. I mapped one private high-contrast before/after ad as an example. Did I catch you with 30 seconds?</x:v>
      </x:c>
      <x:c r="AX287" s="60" t="str">
        <x:v>https://www.facebook.com/ads/library/?active_status=active&amp;ad_type=all&amp;country=US&amp;q=Vanguard%20Cleaning%20Systems%20-%20Official%20Page&amp;search_type=keyword_unordered</x:v>
      </x:c>
      <x:c r="AY287" s="60" t="str">
        <x:v>ok:200</x:v>
      </x:c>
      <x:c r="AZ287" s="60" t="n">
        <x:v>46232.722858796296</x:v>
      </x:c>
      <x:c r="BA287" s="60" t="str">
        <x:v>AI Ark SC trades export</x:v>
      </x:c>
      <x:c r="BB287" s="60" t="str">
        <x:v>https://vanguardcleaning.com | https://www.linkedin.com/company/vanguard-cleaning-systems</x:v>
      </x:c>
      <x:c r="BC287" s="60" t="str"/>
    </x:row>
    <x:row r="288" ht="18" customHeight="1">
      <x:c r="A288" s="70" t="str">
        <x:v>287</x:v>
      </x:c>
      <x:c r="B288" s="70" t="str">
        <x:v>B - Strong</x:v>
      </x:c>
      <x:c r="C288" s="72" t="str">
        <x:v>56</x:v>
      </x:c>
      <x:c r="D288" s="60" t="str">
        <x:v>Starnes Electric LLC</x:v>
      </x:c>
      <x:c r="E288" s="60" t="str">
        <x:v>https://starneselectricllc.com</x:v>
      </x:c>
      <x:c r="F288" s="60" t="str">
        <x:v>https://starneselectricllc.com</x:v>
      </x:c>
      <x:c r="G288" s="60" t="str">
        <x:v>Rock Hill</x:v>
      </x:c>
      <x:c r="H288" s="60" t="str">
        <x:v>South Carolina</x:v>
      </x:c>
      <x:c r="I288" s="60" t="str">
        <x:v>Electrical</x:v>
      </x:c>
      <x:c r="J288" s="60" t="str">
        <x:v>Starnes Electric LLC</x:v>
      </x:c>
      <x:c r="K288" s="60" t="str"/>
      <x:c r="L288" s="60" t="str">
        <x:v>Owner / decision maker to verify</x:v>
      </x:c>
      <x:c r="M288" s="60" t="str"/>
      <x:c r="N288" s="60" t="str"/>
      <x:c r="O288" s="60" t="str">
        <x:v>(803) 902-3677</x:v>
      </x:c>
      <x:c r="P288" s="60" t="str"/>
      <x:c r="Q288" s="60" t="str"/>
      <x:c r="R288" s="60" t="str"/>
      <x:c r="S288" s="60" t="str">
        <x:v>4.8</x:v>
      </x:c>
      <x:c r="T288" s="74" t="str">
        <x:v>334</x:v>
      </x:c>
      <x:c r="U288" s="60" t="str"/>
      <x:c r="V288" s="74" t="str">
        <x:v>24</x:v>
      </x:c>
      <x:c r="W288" s="74" t="str">
        <x:v>6</x:v>
      </x:c>
      <x:c r="X288" s="74" t="str">
        <x:v>6</x:v>
      </x:c>
      <x:c r="Y288" s="74" t="str">
        <x:v>15</x:v>
      </x:c>
      <x:c r="Z288" s="74" t="str">
        <x:v>5</x:v>
      </x:c>
      <x:c r="AA288" s="74" t="str">
        <x:v>0</x:v>
      </x:c>
      <x:c r="AB288" s="74" t="str">
        <x:v>0</x:v>
      </x:c>
      <x:c r="AC288" s="74" t="str">
        <x:v>1</x:v>
      </x:c>
      <x:c r="AD288" s="74" t="str">
        <x:v>0</x:v>
      </x:c>
      <x:c r="AE288" s="74" t="str">
        <x:v>0</x:v>
      </x:c>
      <x:c r="AF288" s="74" t="str">
        <x:v>housecallpro</x:v>
      </x:c>
      <x:c r="AG288" s="74" t="str">
        <x:v>0</x:v>
      </x:c>
      <x:c r="AH288" s="74" t="str">
        <x:v>1</x:v>
      </x:c>
      <x:c r="AI288" s="74" t="str">
        <x:v>1</x:v>
      </x:c>
      <x:c r="AJ288" s="74" t="str">
        <x:v>1</x:v>
      </x:c>
      <x:c r="AK288" s="74" t="str">
        <x:v>1</x:v>
      </x:c>
      <x:c r="AL288" s="74" t="str">
        <x:v>0</x:v>
      </x:c>
      <x:c r="AM288" s="74" t="str">
        <x:v>1</x:v>
      </x:c>
      <x:c r="AN288" s="74" t="str">
        <x:v>1</x:v>
      </x:c>
      <x:c r="AO288" s="60" t="str">
        <x:v>0</x:v>
      </x:c>
      <x:c r="AP288" s="76" t="str">
        <x:v>Project/gallery proof found; no embedded homepage video found</x:v>
      </x:c>
      <x:c r="AQ288" s="76" t="str">
        <x:v>project/gallery proof; testimonials; financing; visible service offer; no embedded homepage video detected</x:v>
      </x:c>
      <x:c r="AR288" s="76" t="str">
        <x:v>I found project/gallery proof on Starnes Electric LLC's site that could be repackaged into short-form ad concepts.</x:v>
      </x:c>
      <x:c r="AS288" s="76" t="str">
        <x:v>safety inspection problem/solution ad</x:v>
      </x:c>
      <x:c r="AT288" s="76" t="str">
        <x:v>Starnes Electric LLC ad concept</x:v>
      </x:c>
      <x:c r="AU288" s="76" t="str">
        <x:v>Hi Starnes Electric LLC — I found project/gallery proof on Starnes Electric LLC's site that could be repackaged into short-form ad concepts. I mapped a private 15-second safety inspection problem/solution ad for Starnes Electric LLC using only public brand context—not for publishing, just to show the angle. We build three client-approved video ad concepts in seven days, then turn the winners into fresh variations. No filming day required. Worth sending the private sample?</x:v>
      </x:c>
      <x:c r="AV288" s="76" t="str">
        <x:v>Quick follow-up: the sample angle is a safety inspection problem/solution ad. If it misses the mark, no problem—I won't keep chasing. Should I send it?</x:v>
      </x:c>
      <x:c r="AW288" s="76" t="str">
        <x:v>Hi Starnes Electric LLC, Ryan here. I was looking at Starnes Electric LLC's public marketing and noticed: project/gallery proof found; no embedded homepage video found. I mapped one private safety inspection problem/solution ad as an example. Did I catch you with 30 seconds?</x:v>
      </x:c>
      <x:c r="AX288" s="60" t="str">
        <x:v>https://www.facebook.com/ads/library/?active_status=active&amp;ad_type=all&amp;country=US&amp;q=Starnes%20Electric%20LLC&amp;search_type=keyword_unordered</x:v>
      </x:c>
      <x:c r="AY288" s="60" t="str">
        <x:v>ok:200</x:v>
      </x:c>
      <x:c r="AZ288" s="60" t="n">
        <x:v>46232.722858796296</x:v>
      </x:c>
      <x:c r="BA288" s="60" t="str">
        <x:v>Google Maps home-services export</x:v>
      </x:c>
      <x:c r="BB288" s="60" t="str">
        <x:v>https://maps.google.com/?cid=9290442252835507643&amp;g_mp=Cidnb29nbGUubWFwcy5wbGFjZXMudjEuUGxhY2VzLlNlYXJjaFRleHQQAhgEIAA | https://starneselectricllc.com</x:v>
      </x:c>
      <x:c r="BC288" s="60" t="str"/>
    </x:row>
    <x:row r="289" ht="18" customHeight="1">
      <x:c r="A289" s="70" t="str">
        <x:v>288</x:v>
      </x:c>
      <x:c r="B289" s="70" t="str">
        <x:v>B - Strong</x:v>
      </x:c>
      <x:c r="C289" s="72" t="str">
        <x:v>56</x:v>
      </x:c>
      <x:c r="D289" s="60" t="str">
        <x:v>Chase Garage Door Service</x:v>
      </x:c>
      <x:c r="E289" s="60" t="str">
        <x:v>https://chasegaragedoorservice.com</x:v>
      </x:c>
      <x:c r="F289" s="60" t="str">
        <x:v>https://chasegaragedoorservice.com</x:v>
      </x:c>
      <x:c r="G289" s="60" t="str">
        <x:v>Charleston</x:v>
      </x:c>
      <x:c r="H289" s="60" t="str">
        <x:v>South Carolina</x:v>
      </x:c>
      <x:c r="I289" s="60" t="str">
        <x:v>Garage Doors</x:v>
      </x:c>
      <x:c r="J289" s="60" t="str">
        <x:v>Chase Garage Door Service</x:v>
      </x:c>
      <x:c r="K289" s="60" t="str"/>
      <x:c r="L289" s="60" t="str">
        <x:v>Owner / decision maker to verify</x:v>
      </x:c>
      <x:c r="M289" s="60" t="str"/>
      <x:c r="N289" s="60" t="str"/>
      <x:c r="O289" s="60" t="str">
        <x:v>(843) 377-7721</x:v>
      </x:c>
      <x:c r="P289" s="60" t="str"/>
      <x:c r="Q289" s="60" t="str"/>
      <x:c r="R289" s="60" t="str"/>
      <x:c r="S289" s="60" t="str">
        <x:v>4.9</x:v>
      </x:c>
      <x:c r="T289" s="74" t="str">
        <x:v>133</x:v>
      </x:c>
      <x:c r="U289" s="60" t="str"/>
      <x:c r="V289" s="74" t="str">
        <x:v>24</x:v>
      </x:c>
      <x:c r="W289" s="74" t="str">
        <x:v>6</x:v>
      </x:c>
      <x:c r="X289" s="74" t="str">
        <x:v>6</x:v>
      </x:c>
      <x:c r="Y289" s="74" t="str">
        <x:v>15</x:v>
      </x:c>
      <x:c r="Z289" s="74" t="str">
        <x:v>5</x:v>
      </x:c>
      <x:c r="AA289" s="74" t="str">
        <x:v>0</x:v>
      </x:c>
      <x:c r="AB289" s="74" t="str">
        <x:v>0</x:v>
      </x:c>
      <x:c r="AC289" s="74" t="str">
        <x:v>1</x:v>
      </x:c>
      <x:c r="AD289" s="74" t="str">
        <x:v>0</x:v>
      </x:c>
      <x:c r="AE289" s="74" t="str">
        <x:v>0</x:v>
      </x:c>
      <x:c r="AF289" s="74" t="str">
        <x:v>housecallpro</x:v>
      </x:c>
      <x:c r="AG289" s="74" t="str">
        <x:v>0</x:v>
      </x:c>
      <x:c r="AH289" s="74" t="str">
        <x:v>1</x:v>
      </x:c>
      <x:c r="AI289" s="74" t="str">
        <x:v>1</x:v>
      </x:c>
      <x:c r="AJ289" s="74" t="str">
        <x:v>0</x:v>
      </x:c>
      <x:c r="AK289" s="74" t="str">
        <x:v>1</x:v>
      </x:c>
      <x:c r="AL289" s="74" t="str">
        <x:v>1</x:v>
      </x:c>
      <x:c r="AM289" s="74" t="str">
        <x:v>1</x:v>
      </x:c>
      <x:c r="AN289" s="74" t="str">
        <x:v>1</x:v>
      </x:c>
      <x:c r="AO289" s="60" t="str">
        <x:v>2026</x:v>
      </x:c>
      <x:c r="AP289" s="76" t="str">
        <x:v>Project/gallery proof found; no embedded homepage video found</x:v>
      </x:c>
      <x:c r="AQ289" s="76" t="str">
        <x:v>project/gallery proof; testimonials; visible service offer; no embedded homepage video detected</x:v>
      </x:c>
      <x:c r="AR289" s="76" t="str">
        <x:v>I found project/gallery proof on Chase Garage Door Service's site that could be repackaged into short-form ad concepts.</x:v>
      </x:c>
      <x:c r="AS289" s="76" t="str">
        <x:v>curb-appeal transformation ad</x:v>
      </x:c>
      <x:c r="AT289" s="76" t="str">
        <x:v>Chase Garage Door Service ad concept</x:v>
      </x:c>
      <x:c r="AU289" s="76" t="str">
        <x:v>Hi Chase Garage Door Service — I found project/gallery proof on Chase Garage Door Service's site that could be repackaged into short-form ad concepts. I mapped a private 15-second curb-appeal transformation ad for Chase Garage Door Service using only public brand context—not for publishing, just to show the angle. We build three client-approved video ad concepts in seven days, then turn the winners into fresh variations. No filming day required. Worth sending the private sample?</x:v>
      </x:c>
      <x:c r="AV289" s="76" t="str">
        <x:v>Quick follow-up: the sample angle is a curb-appeal transformation ad. If it misses the mark, no problem—I won't keep chasing. Should I send it?</x:v>
      </x:c>
      <x:c r="AW289" s="76" t="str">
        <x:v>Hi Chase Garage Door Service, Ryan here. I was looking at Chase Garage Door Service's public marketing and noticed: project/gallery proof found; no embedded homepage video found. I mapped one private curb-appeal transformation ad as an example. Did I catch you with 30 seconds?</x:v>
      </x:c>
      <x:c r="AX289" s="60" t="str">
        <x:v>https://www.facebook.com/ads/library/?active_status=active&amp;ad_type=all&amp;country=US&amp;q=Chase%20Garage%20Door%20Service&amp;search_type=keyword_unordered</x:v>
      </x:c>
      <x:c r="AY289" s="60" t="str">
        <x:v>ok:200</x:v>
      </x:c>
      <x:c r="AZ289" s="60" t="n">
        <x:v>46232.722858796296</x:v>
      </x:c>
      <x:c r="BA289" s="60" t="str">
        <x:v>Google Maps home-services export</x:v>
      </x:c>
      <x:c r="BB289" s="60" t="str">
        <x:v>https://chasegaragedoorservice.com | https://maps.google.com/?cid=15303155080382949140&amp;g_mp=Cidnb29nbGUubWFwcy5wbGFjZXMudjEuUGxhY2VzLlNlYXJjaFRleHQQAhgEIAA</x:v>
      </x:c>
      <x:c r="BC289" s="60" t="str"/>
    </x:row>
    <x:row r="290" ht="18" customHeight="1">
      <x:c r="A290" s="70" t="str">
        <x:v>289</x:v>
      </x:c>
      <x:c r="B290" s="70" t="str">
        <x:v>B - Strong</x:v>
      </x:c>
      <x:c r="C290" s="72" t="str">
        <x:v>56</x:v>
      </x:c>
      <x:c r="D290" s="60" t="str">
        <x:v>Oceanside Electric</x:v>
      </x:c>
      <x:c r="E290" s="60" t="str">
        <x:v>https://oceanside-electric.com</x:v>
      </x:c>
      <x:c r="F290" s="60" t="str">
        <x:v>https://oceanside-electric.com</x:v>
      </x:c>
      <x:c r="G290" s="60" t="str">
        <x:v>Hilton Head</x:v>
      </x:c>
      <x:c r="H290" s="60" t="str">
        <x:v>South Carolina</x:v>
      </x:c>
      <x:c r="I290" s="60" t="str">
        <x:v>Electrical</x:v>
      </x:c>
      <x:c r="J290" s="60" t="str">
        <x:v>Oceanside Electric</x:v>
      </x:c>
      <x:c r="K290" s="60" t="str"/>
      <x:c r="L290" s="60" t="str">
        <x:v>Owner / decision maker to verify</x:v>
      </x:c>
      <x:c r="M290" s="60" t="str"/>
      <x:c r="N290" s="60" t="str"/>
      <x:c r="O290" s="60" t="str">
        <x:v>(843) 671-3003</x:v>
      </x:c>
      <x:c r="P290" s="60" t="str"/>
      <x:c r="Q290" s="60" t="str"/>
      <x:c r="R290" s="60" t="str"/>
      <x:c r="S290" s="60" t="str">
        <x:v>4.9</x:v>
      </x:c>
      <x:c r="T290" s="74" t="str">
        <x:v>244</x:v>
      </x:c>
      <x:c r="U290" s="60" t="str"/>
      <x:c r="V290" s="74" t="str">
        <x:v>23</x:v>
      </x:c>
      <x:c r="W290" s="74" t="str">
        <x:v>6</x:v>
      </x:c>
      <x:c r="X290" s="74" t="str">
        <x:v>10</x:v>
      </x:c>
      <x:c r="Y290" s="74" t="str">
        <x:v>12</x:v>
      </x:c>
      <x:c r="Z290" s="74" t="str">
        <x:v>5</x:v>
      </x:c>
      <x:c r="AA290" s="74" t="str">
        <x:v>0</x:v>
      </x:c>
      <x:c r="AB290" s="74" t="str">
        <x:v>0</x:v>
      </x:c>
      <x:c r="AC290" s="74" t="str">
        <x:v>1</x:v>
      </x:c>
      <x:c r="AD290" s="74" t="str">
        <x:v>0</x:v>
      </x:c>
      <x:c r="AE290" s="74" t="str">
        <x:v>0</x:v>
      </x:c>
      <x:c r="AF290" s="74" t="str">
        <x:v>housecallpro</x:v>
      </x:c>
      <x:c r="AG290" s="74" t="str">
        <x:v>0</x:v>
      </x:c>
      <x:c r="AH290" s="74" t="str">
        <x:v>1</x:v>
      </x:c>
      <x:c r="AI290" s="74" t="str">
        <x:v>1</x:v>
      </x:c>
      <x:c r="AJ290" s="74" t="str">
        <x:v>0</x:v>
      </x:c>
      <x:c r="AK290" s="74" t="str">
        <x:v>0</x:v>
      </x:c>
      <x:c r="AL290" s="74" t="str">
        <x:v>0</x:v>
      </x:c>
      <x:c r="AM290" s="74" t="str">
        <x:v>1</x:v>
      </x:c>
      <x:c r="AN290" s="74" t="str">
        <x:v>0</x:v>
      </x:c>
      <x:c r="AO290" s="60" t="str">
        <x:v>0</x:v>
      </x:c>
      <x:c r="AP290" s="76" t="str">
        <x:v>Project/gallery proof found; no embedded homepage video found</x:v>
      </x:c>
      <x:c r="AQ290" s="76" t="str">
        <x:v>project/gallery proof; testimonials; no embedded homepage video detected</x:v>
      </x:c>
      <x:c r="AR290" s="76" t="str">
        <x:v>I found project/gallery proof on Oceanside Electric's site that could be repackaged into short-form ad concepts.</x:v>
      </x:c>
      <x:c r="AS290" s="76" t="str">
        <x:v>safety inspection problem/solution ad</x:v>
      </x:c>
      <x:c r="AT290" s="76" t="str">
        <x:v>Oceanside Electric ad concept</x:v>
      </x:c>
      <x:c r="AU290" s="76" t="str">
        <x:v>Hi Oceanside Electric — I found project/gallery proof on Oceanside Electric's site that could be repackaged into short-form ad concepts. I mapped a private 15-second safety inspection problem/solution ad for Oceanside Electric using only public brand context—not for publishing, just to show the angle. We build three client-approved video ad concepts in seven days, then turn the winners into fresh variations. No filming day required. Worth sending the private sample?</x:v>
      </x:c>
      <x:c r="AV290" s="76" t="str">
        <x:v>Quick follow-up: the sample angle is a safety inspection problem/solution ad. If it misses the mark, no problem—I won't keep chasing. Should I send it?</x:v>
      </x:c>
      <x:c r="AW290" s="76" t="str">
        <x:v>Hi Oceanside Electric, Ryan here. I was looking at Oceanside Electric's public marketing and noticed: project/gallery proof found; no embedded homepage video found. I mapped one private safety inspection problem/solution ad as an example. Did I catch you with 30 seconds?</x:v>
      </x:c>
      <x:c r="AX290" s="60" t="str">
        <x:v>https://www.facebook.com/ads/library/?active_status=active&amp;ad_type=all&amp;country=US&amp;q=Oceanside%20Electric&amp;search_type=keyword_unordered</x:v>
      </x:c>
      <x:c r="AY290" s="60" t="str">
        <x:v>ok:200</x:v>
      </x:c>
      <x:c r="AZ290" s="60" t="n">
        <x:v>46232.722858796296</x:v>
      </x:c>
      <x:c r="BA290" s="60" t="str">
        <x:v>Google Maps home-services export</x:v>
      </x:c>
      <x:c r="BB290" s="60" t="str">
        <x:v>https://maps.google.com/?cid=4443505105808857221&amp;g_mp=Cidnb29nbGUubWFwcy5wbGFjZXMudjEuUGxhY2VzLlNlYXJjaFRleHQQAhgEIAA | https://oceanside-electric.com</x:v>
      </x:c>
      <x:c r="BC290" s="60" t="str"/>
    </x:row>
    <x:row r="291" ht="18" customHeight="1">
      <x:c r="A291" s="70" t="str">
        <x:v>290</x:v>
      </x:c>
      <x:c r="B291" s="70" t="str">
        <x:v>B - Strong</x:v>
      </x:c>
      <x:c r="C291" s="72" t="str">
        <x:v>56</x:v>
      </x:c>
      <x:c r="D291" s="60" t="str">
        <x:v>Thompson Heating and Air</x:v>
      </x:c>
      <x:c r="E291" s="60" t="str">
        <x:v>https://thompsonhvacsc.com</x:v>
      </x:c>
      <x:c r="F291" s="60" t="str">
        <x:v>https://thompsonhvacsc.com</x:v>
      </x:c>
      <x:c r="G291" s="60" t="str">
        <x:v>Spartanburg</x:v>
      </x:c>
      <x:c r="H291" s="60" t="str">
        <x:v>South Carolina</x:v>
      </x:c>
      <x:c r="I291" s="60" t="str">
        <x:v>HVAC</x:v>
      </x:c>
      <x:c r="J291" s="60" t="str">
        <x:v>Thompson Heating and Air</x:v>
      </x:c>
      <x:c r="K291" s="60" t="str"/>
      <x:c r="L291" s="60" t="str">
        <x:v>Owner / decision maker to verify</x:v>
      </x:c>
      <x:c r="M291" s="60" t="str"/>
      <x:c r="N291" s="60" t="str"/>
      <x:c r="O291" s="60" t="str">
        <x:v>(864) 909-7961</x:v>
      </x:c>
      <x:c r="P291" s="60" t="str"/>
      <x:c r="Q291" s="60" t="str"/>
      <x:c r="R291" s="60" t="str"/>
      <x:c r="S291" s="60" t="str">
        <x:v>4.8</x:v>
      </x:c>
      <x:c r="T291" s="74" t="str">
        <x:v>230</x:v>
      </x:c>
      <x:c r="U291" s="60" t="str"/>
      <x:c r="V291" s="74" t="str">
        <x:v>28</x:v>
      </x:c>
      <x:c r="W291" s="74" t="str">
        <x:v>6</x:v>
      </x:c>
      <x:c r="X291" s="74" t="str">
        <x:v>9</x:v>
      </x:c>
      <x:c r="Y291" s="74" t="str">
        <x:v>8</x:v>
      </x:c>
      <x:c r="Z291" s="74" t="str">
        <x:v>5</x:v>
      </x:c>
      <x:c r="AA291" s="74" t="str">
        <x:v>0</x:v>
      </x:c>
      <x:c r="AB291" s="74" t="str">
        <x:v>0</x:v>
      </x:c>
      <x:c r="AC291" s="74" t="str">
        <x:v>1</x:v>
      </x:c>
      <x:c r="AD291" s="74" t="str">
        <x:v>0</x:v>
      </x:c>
      <x:c r="AE291" s="74" t="str">
        <x:v>0</x:v>
      </x:c>
      <x:c r="AF291" s="74" t="str">
        <x:v>housecallpro</x:v>
      </x:c>
      <x:c r="AG291" s="74" t="str">
        <x:v>0</x:v>
      </x:c>
      <x:c r="AH291" s="74" t="str">
        <x:v>1</x:v>
      </x:c>
      <x:c r="AI291" s="74" t="str">
        <x:v>0</x:v>
      </x:c>
      <x:c r="AJ291" s="74" t="str">
        <x:v>0</x:v>
      </x:c>
      <x:c r="AK291" s="74" t="str">
        <x:v>0</x:v>
      </x:c>
      <x:c r="AL291" s="74" t="str">
        <x:v>1</x:v>
      </x:c>
      <x:c r="AM291" s="74" t="str">
        <x:v>0</x:v>
      </x:c>
      <x:c r="AN291" s="74" t="str">
        <x:v>0</x:v>
      </x:c>
      <x:c r="AO291" s="60" t="str">
        <x:v>2015</x:v>
      </x:c>
      <x:c r="AP291" s="76" t="str">
        <x:v>Project/gallery proof found; no embedded homepage video found</x:v>
      </x:c>
      <x:c r="AQ291" s="76" t="str">
        <x:v>project/gallery proof; no embedded homepage video detected</x:v>
      </x:c>
      <x:c r="AR291" s="76" t="str">
        <x:v>I found project/gallery proof on Thompson Heating and Air's site that could be repackaged into short-form ad concepts.</x:v>
      </x:c>
      <x:c r="AS291" s="76" t="str">
        <x:v>no-cool-call to same-day comfort ad</x:v>
      </x:c>
      <x:c r="AT291" s="76" t="str">
        <x:v>Thompson Heating and Air ad concept</x:v>
      </x:c>
      <x:c r="AU291" s="76" t="str">
        <x:v>Hi Thompson Heating and Air — I found project/gallery proof on Thompson Heating and Air's site that could be repackaged into short-form ad concepts. I mapped a private 15-second no-cool-call to same-day comfort ad for Thompson Heating and Air using only public brand context—not for publishing, just to show the angle. We build three client-approved video ad concepts in seven days, then turn the winners into fresh variations. No filming day required. Worth sending the private sample?</x:v>
      </x:c>
      <x:c r="AV291" s="76" t="str">
        <x:v>Quick follow-up: the sample angle is a no-cool-call to same-day comfort ad. If it misses the mark, no problem—I won't keep chasing. Should I send it?</x:v>
      </x:c>
      <x:c r="AW291" s="76" t="str">
        <x:v>Hi Thompson Heating and Air, Ryan here. I was looking at Thompson Heating and Air's public marketing and noticed: project/gallery proof found; no embedded homepage video found. I mapped one private no-cool-call to same-day comfort ad as an example. Did I catch you with 30 seconds?</x:v>
      </x:c>
      <x:c r="AX291" s="60" t="str">
        <x:v>https://www.facebook.com/ads/library/?active_status=active&amp;ad_type=all&amp;country=US&amp;q=Thompson%20Heating%20and%20Air&amp;search_type=keyword_unordered</x:v>
      </x:c>
      <x:c r="AY291" s="60" t="str">
        <x:v>ok:200</x:v>
      </x:c>
      <x:c r="AZ291" s="60" t="n">
        <x:v>46232.722858796296</x:v>
      </x:c>
      <x:c r="BA291" s="60" t="str">
        <x:v>Google Maps home-services export</x:v>
      </x:c>
      <x:c r="BB291" s="60" t="str">
        <x:v>https://maps.google.com/?cid=5398750893647002482&amp;g_mp=Cidnb29nbGUubWFwcy5wbGFjZXMudjEuUGxhY2VzLlNlYXJjaFRleHQQAhgEIAA | https://thompsonhvacsc.com</x:v>
      </x:c>
      <x:c r="BC291" s="60" t="str"/>
    </x:row>
    <x:row r="292" ht="18" customHeight="1">
      <x:c r="A292" s="70" t="str">
        <x:v>291</x:v>
      </x:c>
      <x:c r="B292" s="70" t="str">
        <x:v>B - Strong</x:v>
      </x:c>
      <x:c r="C292" s="72" t="str">
        <x:v>56</x:v>
      </x:c>
      <x:c r="D292" s="60" t="str">
        <x:v>TemperaturePro Charleston</x:v>
      </x:c>
      <x:c r="E292" s="60" t="str">
        <x:v>https://temperatureprocharleston.com</x:v>
      </x:c>
      <x:c r="F292" s="60" t="str">
        <x:v>https://temperatureprocharleston.com</x:v>
      </x:c>
      <x:c r="G292" s="60" t="str">
        <x:v>Goose Creek</x:v>
      </x:c>
      <x:c r="H292" s="60" t="str">
        <x:v>South Carolina</x:v>
      </x:c>
      <x:c r="I292" s="60" t="str">
        <x:v>HVAC</x:v>
      </x:c>
      <x:c r="J292" s="60" t="str">
        <x:v>TemperaturePro Charleston</x:v>
      </x:c>
      <x:c r="K292" s="60" t="str"/>
      <x:c r="L292" s="60" t="str">
        <x:v>Owner / decision maker to verify</x:v>
      </x:c>
      <x:c r="M292" s="60" t="str"/>
      <x:c r="N292" s="60" t="str"/>
      <x:c r="O292" s="60" t="str">
        <x:v>(843) 256-8029</x:v>
      </x:c>
      <x:c r="P292" s="60" t="str"/>
      <x:c r="Q292" s="60" t="str"/>
      <x:c r="R292" s="60" t="str"/>
      <x:c r="S292" s="60" t="str">
        <x:v>4.9</x:v>
      </x:c>
      <x:c r="T292" s="74" t="str">
        <x:v>378</x:v>
      </x:c>
      <x:c r="U292" s="60" t="str"/>
      <x:c r="V292" s="74" t="str">
        <x:v>29</x:v>
      </x:c>
      <x:c r="W292" s="74" t="str">
        <x:v>6</x:v>
      </x:c>
      <x:c r="X292" s="74" t="str">
        <x:v>10</x:v>
      </x:c>
      <x:c r="Y292" s="74" t="str">
        <x:v>6</x:v>
      </x:c>
      <x:c r="Z292" s="74" t="str">
        <x:v>5</x:v>
      </x:c>
      <x:c r="AA292" s="74" t="str">
        <x:v>0</x:v>
      </x:c>
      <x:c r="AB292" s="74" t="str">
        <x:v>0</x:v>
      </x:c>
      <x:c r="AC292" s="74" t="str">
        <x:v>1</x:v>
      </x:c>
      <x:c r="AD292" s="74" t="str">
        <x:v>0</x:v>
      </x:c>
      <x:c r="AE292" s="74" t="str">
        <x:v>0</x:v>
      </x:c>
      <x:c r="AF292" s="74" t="str">
        <x:v>servicetitan</x:v>
      </x:c>
      <x:c r="AG292" s="74" t="str">
        <x:v>0</x:v>
      </x:c>
      <x:c r="AH292" s="74" t="str">
        <x:v>0</x:v>
      </x:c>
      <x:c r="AI292" s="74" t="str">
        <x:v>0</x:v>
      </x:c>
      <x:c r="AJ292" s="74" t="str">
        <x:v>0</x:v>
      </x:c>
      <x:c r="AK292" s="74" t="str">
        <x:v>1</x:v>
      </x:c>
      <x:c r="AL292" s="74" t="str">
        <x:v>0</x:v>
      </x:c>
      <x:c r="AM292" s="74" t="str">
        <x:v>1</x:v>
      </x:c>
      <x:c r="AN292" s="74" t="str">
        <x:v>0</x:v>
      </x:c>
      <x:c r="AO292" s="60" t="str">
        <x:v>2025</x:v>
      </x:c>
      <x:c r="AP292" s="76" t="str">
        <x:v>378 Google reviews; no embedded homepage video found</x:v>
      </x:c>
      <x:c r="AQ292" s="76" t="str">
        <x:v>visible service offer; no embedded homepage video detected</x:v>
      </x:c>
      <x:c r="AR292" s="76" t="str">
        <x:v>TemperaturePro Charleston has 378 Google reviews—strong proof that could be turned into short-form ad concepts.</x:v>
      </x:c>
      <x:c r="AS292" s="76" t="str">
        <x:v>no-cool-call to same-day comfort ad</x:v>
      </x:c>
      <x:c r="AT292" s="76" t="str">
        <x:v>TemperaturePro Charleston ad concept</x:v>
      </x:c>
      <x:c r="AU292" s="76" t="str">
        <x:v>Hi TemperaturePro Charleston — TemperaturePro Charleston has 378 Google reviews—strong proof that could be turned into short-form ad concepts. I mapped a private 15-second no-cool-call to same-day comfort ad for TemperaturePro Charleston using only public brand context—not for publishing, just to show the angle. We build three client-approved video ad concepts in seven days, then turn the winners into fresh variations. No filming day required. Worth sending the private sample?</x:v>
      </x:c>
      <x:c r="AV292" s="76" t="str">
        <x:v>Quick follow-up: the sample angle is a no-cool-call to same-day comfort ad. If it misses the mark, no problem—I won't keep chasing. Should I send it?</x:v>
      </x:c>
      <x:c r="AW292" s="76" t="str">
        <x:v>Hi TemperaturePro Charleston, Ryan here. I was looking at TemperaturePro Charleston's public marketing and noticed: 378 google reviews; no embedded homepage video found. I mapped one private no-cool-call to same-day comfort ad as an example. Did I catch you with 30 seconds?</x:v>
      </x:c>
      <x:c r="AX292" s="60" t="str">
        <x:v>https://www.facebook.com/ads/library/?active_status=active&amp;ad_type=all&amp;country=US&amp;q=TemperaturePro%20Charleston&amp;search_type=keyword_unordered</x:v>
      </x:c>
      <x:c r="AY292" s="60" t="str">
        <x:v>ok:200</x:v>
      </x:c>
      <x:c r="AZ292" s="60" t="n">
        <x:v>46232.722858796296</x:v>
      </x:c>
      <x:c r="BA292" s="60" t="str">
        <x:v>Google Maps home-services export</x:v>
      </x:c>
      <x:c r="BB292" s="60" t="str">
        <x:v>https://maps.google.com/?cid=5704514707010629323&amp;g_mp=Cidnb29nbGUubWFwcy5wbGFjZXMudjEuUGxhY2VzLlNlYXJjaFRleHQQAhgEIAA | https://temperatureprocharleston.com</x:v>
      </x:c>
      <x:c r="BC292" s="60" t="str"/>
    </x:row>
    <x:row r="293" ht="18" customHeight="1">
      <x:c r="A293" s="70" t="str">
        <x:v>292</x:v>
      </x:c>
      <x:c r="B293" s="70" t="str">
        <x:v>B - Strong</x:v>
      </x:c>
      <x:c r="C293" s="72" t="str">
        <x:v>56</x:v>
      </x:c>
      <x:c r="D293" s="60" t="str">
        <x:v>Weather Shield Roofing LLC</x:v>
      </x:c>
      <x:c r="E293" s="60" t="str">
        <x:v>https://weathershieldroofers.com</x:v>
      </x:c>
      <x:c r="F293" s="60" t="str">
        <x:v>https://weathershieldroofers.com</x:v>
      </x:c>
      <x:c r="G293" s="60" t="str">
        <x:v>Myrtle Beach</x:v>
      </x:c>
      <x:c r="H293" s="60" t="str">
        <x:v>South Carolina</x:v>
      </x:c>
      <x:c r="I293" s="60" t="str">
        <x:v>Roofing</x:v>
      </x:c>
      <x:c r="J293" s="60" t="str">
        <x:v>Weather Shield Roofing LLC</x:v>
      </x:c>
      <x:c r="K293" s="60" t="str"/>
      <x:c r="L293" s="60" t="str">
        <x:v>Owner / decision maker to verify</x:v>
      </x:c>
      <x:c r="M293" s="60" t="str"/>
      <x:c r="N293" s="60" t="str"/>
      <x:c r="O293" s="60" t="str">
        <x:v>(843) 877-5539</x:v>
      </x:c>
      <x:c r="P293" s="60" t="str"/>
      <x:c r="Q293" s="60" t="str"/>
      <x:c r="R293" s="60" t="str"/>
      <x:c r="S293" s="60" t="str">
        <x:v>5</x:v>
      </x:c>
      <x:c r="T293" s="74" t="str">
        <x:v>86</x:v>
      </x:c>
      <x:c r="U293" s="60" t="str"/>
      <x:c r="V293" s="74" t="str">
        <x:v>27</x:v>
      </x:c>
      <x:c r="W293" s="74" t="str">
        <x:v>3</x:v>
      </x:c>
      <x:c r="X293" s="74" t="str">
        <x:v>6</x:v>
      </x:c>
      <x:c r="Y293" s="74" t="str">
        <x:v>15</x:v>
      </x:c>
      <x:c r="Z293" s="74" t="str">
        <x:v>5</x:v>
      </x:c>
      <x:c r="AA293" s="74" t="str">
        <x:v>0</x:v>
      </x:c>
      <x:c r="AB293" s="74" t="str">
        <x:v>0</x:v>
      </x:c>
      <x:c r="AC293" s="74" t="str">
        <x:v>1</x:v>
      </x:c>
      <x:c r="AD293" s="74" t="str">
        <x:v>0</x:v>
      </x:c>
      <x:c r="AE293" s="74" t="str">
        <x:v>0</x:v>
      </x:c>
      <x:c r="AF293" s="74" t="str"/>
      <x:c r="AG293" s="74" t="str">
        <x:v>0</x:v>
      </x:c>
      <x:c r="AH293" s="74" t="str">
        <x:v>1</x:v>
      </x:c>
      <x:c r="AI293" s="74" t="str">
        <x:v>1</x:v>
      </x:c>
      <x:c r="AJ293" s="74" t="str">
        <x:v>1</x:v>
      </x:c>
      <x:c r="AK293" s="74" t="str">
        <x:v>1</x:v>
      </x:c>
      <x:c r="AL293" s="74" t="str">
        <x:v>1</x:v>
      </x:c>
      <x:c r="AM293" s="74" t="str">
        <x:v>1</x:v>
      </x:c>
      <x:c r="AN293" s="74" t="str">
        <x:v>1</x:v>
      </x:c>
      <x:c r="AO293" s="60" t="str">
        <x:v>2026</x:v>
      </x:c>
      <x:c r="AP293" s="76" t="str">
        <x:v>Project/gallery proof found; no embedded homepage video found</x:v>
      </x:c>
      <x:c r="AQ293" s="76" t="str">
        <x:v>project/gallery proof; testimonials; financing; visible service offer; no embedded homepage video detected</x:v>
      </x:c>
      <x:c r="AR293" s="76" t="str">
        <x:v>I found project/gallery proof on Weather Shield Roofing LLC's site that could be repackaged into short-form ad concepts.</x:v>
      </x:c>
      <x:c r="AS293" s="76" t="str">
        <x:v>storm-to-inspection before/after ad</x:v>
      </x:c>
      <x:c r="AT293" s="76" t="str">
        <x:v>Weather Shield Roofing LLC ad concept</x:v>
      </x:c>
      <x:c r="AU293" s="76" t="str">
        <x:v>Hi Weather Shield Roofing LLC — I found project/gallery proof on Weather Shield Roofing LLC's site that could be repackaged into short-form ad concepts. I mapped a private 15-second storm-to-inspection before/after ad for Weather Shield Roofing LLC using only public brand context—not for publishing, just to show the angle. We build three client-approved video ad concepts in seven days, then turn the winners into fresh variations. No filming day required. Worth sending the private sample?</x:v>
      </x:c>
      <x:c r="AV293" s="76" t="str">
        <x:v>Quick follow-up: the sample angle is a storm-to-inspection before/after ad. If it misses the mark, no problem—I won't keep chasing. Should I send it?</x:v>
      </x:c>
      <x:c r="AW293" s="76" t="str">
        <x:v>Hi Weather Shield Roofing LLC, Ryan here. I was looking at Weather Shield Roofing LLC's public marketing and noticed: project/gallery proof found; no embedded homepage video found. I mapped one private storm-to-inspection before/after ad as an example. Did I catch you with 30 seconds?</x:v>
      </x:c>
      <x:c r="AX293" s="60" t="str">
        <x:v>https://www.facebook.com/ads/library/?active_status=active&amp;ad_type=all&amp;country=US&amp;q=Weather%20Shield%20Roofing%20LLC&amp;search_type=keyword_unordered</x:v>
      </x:c>
      <x:c r="AY293" s="60" t="str">
        <x:v>ok:200</x:v>
      </x:c>
      <x:c r="AZ293" s="60" t="n">
        <x:v>46232.722858796296</x:v>
      </x:c>
      <x:c r="BA293" s="60" t="str">
        <x:v>Google Maps home-services export</x:v>
      </x:c>
      <x:c r="BB293" s="60" t="str">
        <x:v>https://maps.google.com/?cid=770132098796364932&amp;g_mp=Cidnb29nbGUubWFwcy5wbGFjZXMudjEuUGxhY2VzLlNlYXJjaFRleHQQAhgEIAA | https://weathershieldroofers.com</x:v>
      </x:c>
      <x:c r="BC293" s="60" t="str"/>
    </x:row>
    <x:row r="294" ht="18" customHeight="1">
      <x:c r="A294" s="70" t="str">
        <x:v>293</x:v>
      </x:c>
      <x:c r="B294" s="70" t="str">
        <x:v>B - Strong</x:v>
      </x:c>
      <x:c r="C294" s="72" t="str">
        <x:v>56</x:v>
      </x:c>
      <x:c r="D294" s="60" t="str">
        <x:v>Two Brothers Roofing LLC</x:v>
      </x:c>
      <x:c r="E294" s="60" t="str">
        <x:v>https://twobrothersroofingsc.com</x:v>
      </x:c>
      <x:c r="F294" s="60" t="str">
        <x:v>https://www.twobrothersroofingsc.com/</x:v>
      </x:c>
      <x:c r="G294" s="60" t="str">
        <x:v>Hilton Head</x:v>
      </x:c>
      <x:c r="H294" s="60" t="str">
        <x:v>South Carolina</x:v>
      </x:c>
      <x:c r="I294" s="60" t="str">
        <x:v>Roofing</x:v>
      </x:c>
      <x:c r="J294" s="60" t="str">
        <x:v>Two Brothers Roofing LLC</x:v>
      </x:c>
      <x:c r="K294" s="60" t="str"/>
      <x:c r="L294" s="60" t="str">
        <x:v>Owner / decision maker to verify</x:v>
      </x:c>
      <x:c r="M294" s="60" t="str"/>
      <x:c r="N294" s="60" t="str"/>
      <x:c r="O294" s="60" t="str">
        <x:v>(843) 548-1012</x:v>
      </x:c>
      <x:c r="P294" s="60" t="str"/>
      <x:c r="Q294" s="60" t="str"/>
      <x:c r="R294" s="60" t="str"/>
      <x:c r="S294" s="60" t="str">
        <x:v>4.4</x:v>
      </x:c>
      <x:c r="T294" s="74" t="str">
        <x:v>81</x:v>
      </x:c>
      <x:c r="U294" s="60" t="str"/>
      <x:c r="V294" s="74" t="str">
        <x:v>27</x:v>
      </x:c>
      <x:c r="W294" s="74" t="str">
        <x:v>3</x:v>
      </x:c>
      <x:c r="X294" s="74" t="str">
        <x:v>6</x:v>
      </x:c>
      <x:c r="Y294" s="74" t="str">
        <x:v>15</x:v>
      </x:c>
      <x:c r="Z294" s="74" t="str">
        <x:v>5</x:v>
      </x:c>
      <x:c r="AA294" s="74" t="str">
        <x:v>0</x:v>
      </x:c>
      <x:c r="AB294" s="74" t="str">
        <x:v>0</x:v>
      </x:c>
      <x:c r="AC294" s="74" t="str">
        <x:v>1</x:v>
      </x:c>
      <x:c r="AD294" s="74" t="str">
        <x:v>0</x:v>
      </x:c>
      <x:c r="AE294" s="74" t="str">
        <x:v>0</x:v>
      </x:c>
      <x:c r="AF294" s="74" t="str"/>
      <x:c r="AG294" s="74" t="str">
        <x:v>0</x:v>
      </x:c>
      <x:c r="AH294" s="74" t="str">
        <x:v>1</x:v>
      </x:c>
      <x:c r="AI294" s="74" t="str">
        <x:v>1</x:v>
      </x:c>
      <x:c r="AJ294" s="74" t="str">
        <x:v>1</x:v>
      </x:c>
      <x:c r="AK294" s="74" t="str">
        <x:v>1</x:v>
      </x:c>
      <x:c r="AL294" s="74" t="str">
        <x:v>1</x:v>
      </x:c>
      <x:c r="AM294" s="74" t="str">
        <x:v>1</x:v>
      </x:c>
      <x:c r="AN294" s="74" t="str">
        <x:v>1</x:v>
      </x:c>
      <x:c r="AO294" s="60" t="str">
        <x:v>2026</x:v>
      </x:c>
      <x:c r="AP294" s="76" t="str">
        <x:v>Project/gallery proof found; no embedded homepage video found</x:v>
      </x:c>
      <x:c r="AQ294" s="76" t="str">
        <x:v>project/gallery proof; testimonials; financing; visible service offer; no embedded homepage video detected</x:v>
      </x:c>
      <x:c r="AR294" s="76" t="str">
        <x:v>I found project/gallery proof on Two Brothers Roofing LLC's site that could be repackaged into short-form ad concepts.</x:v>
      </x:c>
      <x:c r="AS294" s="76" t="str">
        <x:v>storm-to-inspection before/after ad</x:v>
      </x:c>
      <x:c r="AT294" s="76" t="str">
        <x:v>Two Brothers Roofing LLC ad concept</x:v>
      </x:c>
      <x:c r="AU294" s="76" t="str">
        <x:v>Hi Two Brothers Roofing LLC — I found project/gallery proof on Two Brothers Roofing LLC's site that could be repackaged into short-form ad concepts. I mapped a private 15-second storm-to-inspection before/after ad for Two Brothers Roofing LLC using only public brand context—not for publishing, just to show the angle. We build three client-approved video ad concepts in seven days, then turn the winners into fresh variations. No filming day required. Worth sending the private sample?</x:v>
      </x:c>
      <x:c r="AV294" s="76" t="str">
        <x:v>Quick follow-up: the sample angle is a storm-to-inspection before/after ad. If it misses the mark, no problem—I won't keep chasing. Should I send it?</x:v>
      </x:c>
      <x:c r="AW294" s="76" t="str">
        <x:v>Hi Two Brothers Roofing LLC, Ryan here. I was looking at Two Brothers Roofing LLC's public marketing and noticed: project/gallery proof found; no embedded homepage video found. I mapped one private storm-to-inspection before/after ad as an example. Did I catch you with 30 seconds?</x:v>
      </x:c>
      <x:c r="AX294" s="60" t="str">
        <x:v>https://www.facebook.com/ads/library/?active_status=active&amp;ad_type=all&amp;country=US&amp;q=Two%20Brothers%20Roofing%20LLC&amp;search_type=keyword_unordered</x:v>
      </x:c>
      <x:c r="AY294" s="60" t="str">
        <x:v>ok:200</x:v>
      </x:c>
      <x:c r="AZ294" s="60" t="n">
        <x:v>46232.722858796296</x:v>
      </x:c>
      <x:c r="BA294" s="60" t="str">
        <x:v>Google Maps home-services export</x:v>
      </x:c>
      <x:c r="BB294" s="60" t="str">
        <x:v>https://maps.google.com/?cid=17493507749915965996&amp;g_mp=Cidnb29nbGUubWFwcy5wbGFjZXMudjEuUGxhY2VzLlNlYXJjaFRleHQQAhgEIAA | https://maps.google.com/?cid=3348427080120612347&amp;g_mp=Cidnb29nbGUubWFwcy5wbGFjZXMudjEuUGxhY2VzLlNlYXJjaFRleHQQAhgEIAA | https://twobrothersroofingsc.com</x:v>
      </x:c>
      <x:c r="BC294" s="60" t="str"/>
    </x:row>
    <x:row r="295" ht="18" customHeight="1">
      <x:c r="A295" s="70" t="str">
        <x:v>294</x:v>
      </x:c>
      <x:c r="B295" s="70" t="str">
        <x:v>B - Strong</x:v>
      </x:c>
      <x:c r="C295" s="72" t="str">
        <x:v>56</x:v>
      </x:c>
      <x:c r="D295" s="60" t="str">
        <x:v>Grier Roofing, LLC</x:v>
      </x:c>
      <x:c r="E295" s="60" t="str">
        <x:v>https://grierroofing.com</x:v>
      </x:c>
      <x:c r="F295" s="60" t="str">
        <x:v>https://grierroofing.com</x:v>
      </x:c>
      <x:c r="G295" s="60" t="str">
        <x:v>Greenville</x:v>
      </x:c>
      <x:c r="H295" s="60" t="str">
        <x:v>South Carolina</x:v>
      </x:c>
      <x:c r="I295" s="60" t="str">
        <x:v>Roofing</x:v>
      </x:c>
      <x:c r="J295" s="60" t="str">
        <x:v>Grier Roofing, LLC</x:v>
      </x:c>
      <x:c r="K295" s="60" t="str"/>
      <x:c r="L295" s="60" t="str">
        <x:v>Owner / decision maker to verify</x:v>
      </x:c>
      <x:c r="M295" s="60" t="str"/>
      <x:c r="N295" s="60" t="str"/>
      <x:c r="O295" s="60" t="str">
        <x:v>(864) 322-0058</x:v>
      </x:c>
      <x:c r="P295" s="60" t="str"/>
      <x:c r="Q295" s="60" t="str"/>
      <x:c r="R295" s="60" t="str"/>
      <x:c r="S295" s="60" t="str">
        <x:v>4.8</x:v>
      </x:c>
      <x:c r="T295" s="74" t="str">
        <x:v>95</x:v>
      </x:c>
      <x:c r="U295" s="60" t="str"/>
      <x:c r="V295" s="74" t="str">
        <x:v>27</x:v>
      </x:c>
      <x:c r="W295" s="74" t="str">
        <x:v>3</x:v>
      </x:c>
      <x:c r="X295" s="74" t="str">
        <x:v>6</x:v>
      </x:c>
      <x:c r="Y295" s="74" t="str">
        <x:v>15</x:v>
      </x:c>
      <x:c r="Z295" s="74" t="str">
        <x:v>5</x:v>
      </x:c>
      <x:c r="AA295" s="74" t="str">
        <x:v>0</x:v>
      </x:c>
      <x:c r="AB295" s="74" t="str">
        <x:v>0</x:v>
      </x:c>
      <x:c r="AC295" s="74" t="str">
        <x:v>1</x:v>
      </x:c>
      <x:c r="AD295" s="74" t="str">
        <x:v>0</x:v>
      </x:c>
      <x:c r="AE295" s="74" t="str">
        <x:v>0</x:v>
      </x:c>
      <x:c r="AF295" s="74" t="str"/>
      <x:c r="AG295" s="74" t="str">
        <x:v>0</x:v>
      </x:c>
      <x:c r="AH295" s="74" t="str">
        <x:v>1</x:v>
      </x:c>
      <x:c r="AI295" s="74" t="str">
        <x:v>1</x:v>
      </x:c>
      <x:c r="AJ295" s="74" t="str">
        <x:v>1</x:v>
      </x:c>
      <x:c r="AK295" s="74" t="str">
        <x:v>1</x:v>
      </x:c>
      <x:c r="AL295" s="74" t="str">
        <x:v>1</x:v>
      </x:c>
      <x:c r="AM295" s="74" t="str">
        <x:v>1</x:v>
      </x:c>
      <x:c r="AN295" s="74" t="str">
        <x:v>1</x:v>
      </x:c>
      <x:c r="AO295" s="60" t="str">
        <x:v>2025</x:v>
      </x:c>
      <x:c r="AP295" s="76" t="str">
        <x:v>Project/gallery proof found; no embedded homepage video found</x:v>
      </x:c>
      <x:c r="AQ295" s="76" t="str">
        <x:v>project/gallery proof; testimonials; financing; visible service offer; no embedded homepage video detected</x:v>
      </x:c>
      <x:c r="AR295" s="76" t="str">
        <x:v>I found project/gallery proof on Grier Roofing, LLC's site that could be repackaged into short-form ad concepts.</x:v>
      </x:c>
      <x:c r="AS295" s="76" t="str">
        <x:v>storm-to-inspection before/after ad</x:v>
      </x:c>
      <x:c r="AT295" s="76" t="str">
        <x:v>Grier Roofing, LLC ad concept</x:v>
      </x:c>
      <x:c r="AU295" s="76" t="str">
        <x:v>Hi Grier Roofing, LLC — I found project/gallery proof on Grier Roofing, LLC's site that could be repackaged into short-form ad concepts. I mapped a private 15-second storm-to-inspection before/after ad for Grier Roofing, LLC using only public brand context—not for publishing, just to show the angle. We build three client-approved video ad concepts in seven days, then turn the winners into fresh variations. No filming day required. Worth sending the private sample?</x:v>
      </x:c>
      <x:c r="AV295" s="76" t="str">
        <x:v>Quick follow-up: the sample angle is a storm-to-inspection before/after ad. If it misses the mark, no problem—I won't keep chasing. Should I send it?</x:v>
      </x:c>
      <x:c r="AW295" s="76" t="str">
        <x:v>Hi Grier Roofing, LLC, Ryan here. I was looking at Grier Roofing, LLC's public marketing and noticed: project/gallery proof found; no embedded homepage video found. I mapped one private storm-to-inspection before/after ad as an example. Did I catch you with 30 seconds?</x:v>
      </x:c>
      <x:c r="AX295" s="60" t="str">
        <x:v>https://www.facebook.com/ads/library/?active_status=active&amp;ad_type=all&amp;country=US&amp;q=Grier%20Roofing%2C%20LLC&amp;search_type=keyword_unordered</x:v>
      </x:c>
      <x:c r="AY295" s="60" t="str">
        <x:v>ok:200</x:v>
      </x:c>
      <x:c r="AZ295" s="60" t="n">
        <x:v>46232.722858796296</x:v>
      </x:c>
      <x:c r="BA295" s="60" t="str">
        <x:v>Google Maps home-services export</x:v>
      </x:c>
      <x:c r="BB295" s="60" t="str">
        <x:v>https://grierroofing.com | https://maps.google.com/?cid=383213985573072724&amp;g_mp=Cidnb29nbGUubWFwcy5wbGFjZXMudjEuUGxhY2VzLlNlYXJjaFRleHQQAhgEIAA</x:v>
      </x:c>
      <x:c r="BC295" s="60" t="str"/>
    </x:row>
    <x:row r="296" ht="18" customHeight="1">
      <x:c r="A296" s="70" t="str">
        <x:v>295</x:v>
      </x:c>
      <x:c r="B296" s="70" t="str">
        <x:v>B - Strong</x:v>
      </x:c>
      <x:c r="C296" s="72" t="str">
        <x:v>56</x:v>
      </x:c>
      <x:c r="D296" s="60" t="str">
        <x:v>DLV Roofing &amp; Exteriors Charleston</x:v>
      </x:c>
      <x:c r="E296" s="60" t="str">
        <x:v>https://dlvroofingcharleston.com</x:v>
      </x:c>
      <x:c r="F296" s="60" t="str">
        <x:v>https://dlvroofing.com/locations/charleston-low-country-sc/</x:v>
      </x:c>
      <x:c r="G296" s="60" t="str">
        <x:v>Charleston</x:v>
      </x:c>
      <x:c r="H296" s="60" t="str">
        <x:v>South Carolina Metropolitan Area</x:v>
      </x:c>
      <x:c r="I296" s="60" t="str">
        <x:v>Roofing</x:v>
      </x:c>
      <x:c r="J296" s="60" t="str">
        <x:v>Jon</x:v>
      </x:c>
      <x:c r="K296" s="60" t="str">
        <x:v>Boggs</x:v>
      </x:c>
      <x:c r="L296" s="60" t="str">
        <x:v>Owner/ Lead Sales</x:v>
      </x:c>
      <x:c r="M296" s="60" t="str"/>
      <x:c r="N296" s="60" t="str"/>
      <x:c r="O296" s="60" t="str"/>
      <x:c r="P296" s="60" t="str">
        <x:v>https://www.linkedin.com/in/jon-boggs-81846b17b</x:v>
      </x:c>
      <x:c r="Q296" s="60" t="str">
        <x:v>11-50</x:v>
      </x:c>
      <x:c r="R296" s="60" t="str">
        <x:v>100000-499999</x:v>
      </x:c>
      <x:c r="S296" s="60" t="str"/>
      <x:c r="T296" s="74" t="str">
        <x:v>0</x:v>
      </x:c>
      <x:c r="U296" s="60" t="str"/>
      <x:c r="V296" s="74" t="str">
        <x:v>30</x:v>
      </x:c>
      <x:c r="W296" s="74" t="str">
        <x:v>3</x:v>
      </x:c>
      <x:c r="X296" s="74" t="str">
        <x:v>6</x:v>
      </x:c>
      <x:c r="Y296" s="74" t="str">
        <x:v>15</x:v>
      </x:c>
      <x:c r="Z296" s="74" t="str">
        <x:v>2</x:v>
      </x:c>
      <x:c r="AA296" s="74" t="str">
        <x:v>0</x:v>
      </x:c>
      <x:c r="AB296" s="74" t="str">
        <x:v>0</x:v>
      </x:c>
      <x:c r="AC296" s="74" t="str">
        <x:v>1</x:v>
      </x:c>
      <x:c r="AD296" s="74" t="str">
        <x:v>0</x:v>
      </x:c>
      <x:c r="AE296" s="74" t="str">
        <x:v>0</x:v>
      </x:c>
      <x:c r="AF296" s="74" t="str"/>
      <x:c r="AG296" s="74" t="str">
        <x:v>0</x:v>
      </x:c>
      <x:c r="AH296" s="74" t="str">
        <x:v>1</x:v>
      </x:c>
      <x:c r="AI296" s="74" t="str">
        <x:v>1</x:v>
      </x:c>
      <x:c r="AJ296" s="74" t="str">
        <x:v>1</x:v>
      </x:c>
      <x:c r="AK296" s="74" t="str">
        <x:v>1</x:v>
      </x:c>
      <x:c r="AL296" s="74" t="str">
        <x:v>1</x:v>
      </x:c>
      <x:c r="AM296" s="74" t="str">
        <x:v>1</x:v>
      </x:c>
      <x:c r="AN296" s="74" t="str">
        <x:v>1</x:v>
      </x:c>
      <x:c r="AO296" s="60" t="str">
        <x:v>2026</x:v>
      </x:c>
      <x:c r="AP296" s="76" t="str">
        <x:v>Project/gallery proof found; no embedded homepage video found</x:v>
      </x:c>
      <x:c r="AQ296" s="76" t="str">
        <x:v>project/gallery proof; testimonials; financing; visible service offer; no embedded homepage video detected</x:v>
      </x:c>
      <x:c r="AR296" s="76" t="str">
        <x:v>I found project/gallery proof on DLV Roofing &amp; Exteriors Charleston's site that could be repackaged into short-form ad concepts.</x:v>
      </x:c>
      <x:c r="AS296" s="76" t="str">
        <x:v>storm-to-inspection before/after ad</x:v>
      </x:c>
      <x:c r="AT296" s="76" t="str">
        <x:v>DLV Roofing &amp; Exteriors Charleston ad concept</x:v>
      </x:c>
      <x:c r="AU296" s="76" t="str">
        <x:v>Hi Jon — I found project/gallery proof on DLV Roofing &amp; Exteriors Charleston's site that could be repackaged into short-form ad concepts. I mapped a private 15-second storm-to-inspection before/after ad for DLV Roofing &amp; Exteriors Charleston using only public brand context—not for publishing, just to show the angle. We build three client-approved video ad concepts in seven days, then turn the winners into fresh variations. No filming day required. Worth sending the private sample?</x:v>
      </x:c>
      <x:c r="AV296" s="76" t="str">
        <x:v>Quick follow-up: the sample angle is a storm-to-inspection before/after ad. If it misses the mark, no problem—I won't keep chasing. Should I send it?</x:v>
      </x:c>
      <x:c r="AW296" s="76" t="str">
        <x:v>Hi Jon, Ryan here. I was looking at DLV Roofing &amp; Exteriors Charleston's public marketing and noticed: project/gallery proof found; no embedded homepage video found. I mapped one private storm-to-inspection before/after ad as an example. Did I catch you with 30 seconds?</x:v>
      </x:c>
      <x:c r="AX296" s="60" t="str">
        <x:v>https://www.facebook.com/ads/library/?active_status=active&amp;ad_type=all&amp;country=US&amp;q=DLV%20Roofing%20%26%20Exteriors%20Charleston&amp;search_type=keyword_unordered</x:v>
      </x:c>
      <x:c r="AY296" s="60" t="str">
        <x:v>ok:200</x:v>
      </x:c>
      <x:c r="AZ296" s="60" t="n">
        <x:v>46232.722858796296</x:v>
      </x:c>
      <x:c r="BA296" s="60" t="str">
        <x:v>AI Ark SC trades export</x:v>
      </x:c>
      <x:c r="BB296" s="60" t="str">
        <x:v>https://dlvroofingcharleston.com | https://www.linkedin.com/company/dlv-roofing-exteriors-charleston</x:v>
      </x:c>
      <x:c r="BC296" s="60" t="str"/>
    </x:row>
    <x:row r="297" ht="18" customHeight="1">
      <x:c r="A297" s="70" t="str">
        <x:v>296</x:v>
      </x:c>
      <x:c r="B297" s="70" t="str">
        <x:v>B - Strong</x:v>
      </x:c>
      <x:c r="C297" s="72" t="str">
        <x:v>56</x:v>
      </x:c>
      <x:c r="D297" s="60" t="str">
        <x:v>Kinsmen Service Pros</x:v>
      </x:c>
      <x:c r="E297" s="60" t="str">
        <x:v>https://callkinsmen.com</x:v>
      </x:c>
      <x:c r="F297" s="60" t="str">
        <x:v>https://callkinsmen.com</x:v>
      </x:c>
      <x:c r="G297" s="60" t="str">
        <x:v>Summerville</x:v>
      </x:c>
      <x:c r="H297" s="60" t="str">
        <x:v>South Carolina</x:v>
      </x:c>
      <x:c r="I297" s="60" t="str">
        <x:v>Plumbing</x:v>
      </x:c>
      <x:c r="J297" s="60" t="str">
        <x:v>Kinsmen Service Pros</x:v>
      </x:c>
      <x:c r="K297" s="60" t="str"/>
      <x:c r="L297" s="60" t="str">
        <x:v>Owner / decision maker to verify</x:v>
      </x:c>
      <x:c r="M297" s="60" t="str"/>
      <x:c r="N297" s="60" t="str"/>
      <x:c r="O297" s="60" t="str">
        <x:v>(843) 212-1309</x:v>
      </x:c>
      <x:c r="P297" s="60" t="str"/>
      <x:c r="Q297" s="60" t="str"/>
      <x:c r="R297" s="60" t="str"/>
      <x:c r="S297" s="60" t="str">
        <x:v>5</x:v>
      </x:c>
      <x:c r="T297" s="74" t="str">
        <x:v>247</x:v>
      </x:c>
      <x:c r="U297" s="60" t="str"/>
      <x:c r="V297" s="74" t="str">
        <x:v>24</x:v>
      </x:c>
      <x:c r="W297" s="74" t="str">
        <x:v>3</x:v>
      </x:c>
      <x:c r="X297" s="74" t="str">
        <x:v>10</x:v>
      </x:c>
      <x:c r="Y297" s="74" t="str">
        <x:v>14</x:v>
      </x:c>
      <x:c r="Z297" s="74" t="str">
        <x:v>5</x:v>
      </x:c>
      <x:c r="AA297" s="74" t="str">
        <x:v>0</x:v>
      </x:c>
      <x:c r="AB297" s="74" t="str">
        <x:v>0</x:v>
      </x:c>
      <x:c r="AC297" s="74" t="str">
        <x:v>1</x:v>
      </x:c>
      <x:c r="AD297" s="74" t="str">
        <x:v>0</x:v>
      </x:c>
      <x:c r="AE297" s="74" t="str">
        <x:v>0</x:v>
      </x:c>
      <x:c r="AF297" s="74" t="str"/>
      <x:c r="AG297" s="74" t="str">
        <x:v>0</x:v>
      </x:c>
      <x:c r="AH297" s="74" t="str">
        <x:v>1</x:v>
      </x:c>
      <x:c r="AI297" s="74" t="str">
        <x:v>0</x:v>
      </x:c>
      <x:c r="AJ297" s="74" t="str">
        <x:v>1</x:v>
      </x:c>
      <x:c r="AK297" s="74" t="str">
        <x:v>1</x:v>
      </x:c>
      <x:c r="AL297" s="74" t="str">
        <x:v>0</x:v>
      </x:c>
      <x:c r="AM297" s="74" t="str">
        <x:v>1</x:v>
      </x:c>
      <x:c r="AN297" s="74" t="str">
        <x:v>0</x:v>
      </x:c>
      <x:c r="AO297" s="60" t="str">
        <x:v>2026</x:v>
      </x:c>
      <x:c r="AP297" s="76" t="str">
        <x:v>Project/gallery proof found; no embedded homepage video found</x:v>
      </x:c>
      <x:c r="AQ297" s="76" t="str">
        <x:v>project/gallery proof; financing; visible service offer; no embedded homepage video detected</x:v>
      </x:c>
      <x:c r="AR297" s="76" t="str">
        <x:v>I found project/gallery proof on Kinsmen Service Pros's site that could be repackaged into short-form ad concepts.</x:v>
      </x:c>
      <x:c r="AS297" s="76" t="str">
        <x:v>small symptom to prevented-emergency ad</x:v>
      </x:c>
      <x:c r="AT297" s="76" t="str">
        <x:v>Kinsmen Service Pros ad concept</x:v>
      </x:c>
      <x:c r="AU297" s="76" t="str">
        <x:v>Hi Kinsmen Service Pros — I found project/gallery proof on Kinsmen Service Pros's site that could be repackaged into short-form ad concepts. I mapped a private 15-second small symptom to prevented-emergency ad for Kinsmen Service Pros using only public brand context—not for publishing, just to show the angle. We build three client-approved video ad concepts in seven days, then turn the winners into fresh variations. No filming day required. Worth sending the private sample?</x:v>
      </x:c>
      <x:c r="AV297" s="76" t="str">
        <x:v>Quick follow-up: the sample angle is a small symptom to prevented-emergency ad. If it misses the mark, no problem—I won't keep chasing. Should I send it?</x:v>
      </x:c>
      <x:c r="AW297" s="76" t="str">
        <x:v>Hi Kinsmen Service Pros, Ryan here. I was looking at Kinsmen Service Pros's public marketing and noticed: project/gallery proof found; no embedded homepage video found. I mapped one private small symptom to prevented-emergency ad as an example. Did I catch you with 30 seconds?</x:v>
      </x:c>
      <x:c r="AX297" s="60" t="str">
        <x:v>https://www.facebook.com/ads/library/?active_status=active&amp;ad_type=all&amp;country=US&amp;q=Kinsmen%20Service%20Pros&amp;search_type=keyword_unordered</x:v>
      </x:c>
      <x:c r="AY297" s="60" t="str">
        <x:v>ok:200</x:v>
      </x:c>
      <x:c r="AZ297" s="60" t="n">
        <x:v>46232.722858796296</x:v>
      </x:c>
      <x:c r="BA297" s="60" t="str">
        <x:v>Google Maps home-services export</x:v>
      </x:c>
      <x:c r="BB297" s="60" t="str">
        <x:v>https://callkinsmen.com | https://maps.google.com/?cid=9925476305014636698&amp;g_mp=Cidnb29nbGUubWFwcy5wbGFjZXMudjEuUGxhY2VzLlNlYXJjaFRleHQQAhgEIAA</x:v>
      </x:c>
      <x:c r="BC297" s="60" t="str"/>
    </x:row>
    <x:row r="298" ht="18" customHeight="1">
      <x:c r="A298" s="70" t="str">
        <x:v>297</x:v>
      </x:c>
      <x:c r="B298" s="70" t="str">
        <x:v>B - Strong</x:v>
      </x:c>
      <x:c r="C298" s="72" t="str">
        <x:v>56</x:v>
      </x:c>
      <x:c r="D298" s="60" t="str">
        <x:v>Palmetto Breeze Heating N Cooling</x:v>
      </x:c>
      <x:c r="E298" s="60" t="str">
        <x:v>https://palmettobreezehvac.com</x:v>
      </x:c>
      <x:c r="F298" s="60" t="str">
        <x:v>https://palmettobreezehvac.com</x:v>
      </x:c>
      <x:c r="G298" s="60" t="str">
        <x:v>Summerville</x:v>
      </x:c>
      <x:c r="H298" s="60" t="str">
        <x:v>South Carolina</x:v>
      </x:c>
      <x:c r="I298" s="60" t="str">
        <x:v>HVAC</x:v>
      </x:c>
      <x:c r="J298" s="60" t="str">
        <x:v>Palmetto Breeze Heating N Cooling</x:v>
      </x:c>
      <x:c r="K298" s="60" t="str"/>
      <x:c r="L298" s="60" t="str">
        <x:v>Owner / decision maker to verify</x:v>
      </x:c>
      <x:c r="M298" s="60" t="str"/>
      <x:c r="N298" s="60" t="str"/>
      <x:c r="O298" s="60" t="str">
        <x:v>(843) 603-5060</x:v>
      </x:c>
      <x:c r="P298" s="60" t="str"/>
      <x:c r="Q298" s="60" t="str"/>
      <x:c r="R298" s="60" t="str"/>
      <x:c r="S298" s="60" t="str">
        <x:v>5</x:v>
      </x:c>
      <x:c r="T298" s="74" t="str">
        <x:v>263</x:v>
      </x:c>
      <x:c r="U298" s="60" t="str"/>
      <x:c r="V298" s="74" t="str">
        <x:v>29</x:v>
      </x:c>
      <x:c r="W298" s="74" t="str">
        <x:v>3</x:v>
      </x:c>
      <x:c r="X298" s="74" t="str">
        <x:v>6</x:v>
      </x:c>
      <x:c r="Y298" s="74" t="str">
        <x:v>13</x:v>
      </x:c>
      <x:c r="Z298" s="74" t="str">
        <x:v>5</x:v>
      </x:c>
      <x:c r="AA298" s="74" t="str">
        <x:v>0</x:v>
      </x:c>
      <x:c r="AB298" s="74" t="str">
        <x:v>0</x:v>
      </x:c>
      <x:c r="AC298" s="74" t="str">
        <x:v>1</x:v>
      </x:c>
      <x:c r="AD298" s="74" t="str">
        <x:v>0</x:v>
      </x:c>
      <x:c r="AE298" s="74" t="str">
        <x:v>0</x:v>
      </x:c>
      <x:c r="AF298" s="74" t="str"/>
      <x:c r="AG298" s="74" t="str">
        <x:v>0</x:v>
      </x:c>
      <x:c r="AH298" s="74" t="str">
        <x:v>0</x:v>
      </x:c>
      <x:c r="AI298" s="74" t="str">
        <x:v>1</x:v>
      </x:c>
      <x:c r="AJ298" s="74" t="str">
        <x:v>1</x:v>
      </x:c>
      <x:c r="AK298" s="74" t="str">
        <x:v>1</x:v>
      </x:c>
      <x:c r="AL298" s="74" t="str">
        <x:v>1</x:v>
      </x:c>
      <x:c r="AM298" s="74" t="str">
        <x:v>1</x:v>
      </x:c>
      <x:c r="AN298" s="74" t="str">
        <x:v>0</x:v>
      </x:c>
      <x:c r="AO298" s="60" t="str">
        <x:v>2025</x:v>
      </x:c>
      <x:c r="AP298" s="76" t="str">
        <x:v>263 Google reviews; no embedded homepage video found</x:v>
      </x:c>
      <x:c r="AQ298" s="76" t="str">
        <x:v>testimonials; financing; visible service offer; no embedded homepage video detected</x:v>
      </x:c>
      <x:c r="AR298" s="76" t="str">
        <x:v>Palmetto Breeze Heating N Cooling has 263 Google reviews—strong proof that could be turned into short-form ad concepts.</x:v>
      </x:c>
      <x:c r="AS298" s="76" t="str">
        <x:v>no-cool-call to same-day comfort ad</x:v>
      </x:c>
      <x:c r="AT298" s="76" t="str">
        <x:v>Palmetto Breeze Heating N Cooling ad concept</x:v>
      </x:c>
      <x:c r="AU298" s="76" t="str">
        <x:v>Hi Palmetto Breeze Heating N Cooling — Palmetto Breeze Heating N Cooling has 263 Google reviews—strong proof that could be turned into short-form ad concepts. I mapped a private 15-second no-cool-call to same-day comfort ad for Palmetto Breeze Heating N Cooling using only public brand context—not for publishing, just to show the angle. We build three client-approved video ad concepts in seven days, then turn the winners into fresh variations. No filming day required. Worth sending the private sample?</x:v>
      </x:c>
      <x:c r="AV298" s="76" t="str">
        <x:v>Quick follow-up: the sample angle is a no-cool-call to same-day comfort ad. If it misses the mark, no problem—I won't keep chasing. Should I send it?</x:v>
      </x:c>
      <x:c r="AW298" s="76" t="str">
        <x:v>Hi Palmetto Breeze Heating N Cooling, Ryan here. I was looking at Palmetto Breeze Heating N Cooling's public marketing and noticed: 263 google reviews; no embedded homepage video found. I mapped one private no-cool-call to same-day comfort ad as an example. Did I catch you with 30 seconds?</x:v>
      </x:c>
      <x:c r="AX298" s="60" t="str">
        <x:v>https://www.facebook.com/ads/library/?active_status=active&amp;ad_type=all&amp;country=US&amp;q=Palmetto%20Breeze%20Heating%20N%20Cooling&amp;search_type=keyword_unordered</x:v>
      </x:c>
      <x:c r="AY298" s="60" t="str">
        <x:v>ok:200</x:v>
      </x:c>
      <x:c r="AZ298" s="60" t="n">
        <x:v>46232.722858796296</x:v>
      </x:c>
      <x:c r="BA298" s="60" t="str">
        <x:v>Google Maps home-services export</x:v>
      </x:c>
      <x:c r="BB298" s="60" t="str">
        <x:v>https://maps.google.com/?cid=4375245277775454815&amp;g_mp=Cidnb29nbGUubWFwcy5wbGFjZXMudjEuUGxhY2VzLlNlYXJjaFRleHQQAhgEIAA | https://palmettobreezehvac.com</x:v>
      </x:c>
      <x:c r="BC298" s="60" t="str"/>
    </x:row>
    <x:row r="299" ht="18" customHeight="1">
      <x:c r="A299" s="70" t="str">
        <x:v>298</x:v>
      </x:c>
      <x:c r="B299" s="70" t="str">
        <x:v>B - Strong</x:v>
      </x:c>
      <x:c r="C299" s="72" t="str">
        <x:v>56</x:v>
      </x:c>
      <x:c r="D299" s="60" t="str">
        <x:v>Air Concept Solutions, LLC.</x:v>
      </x:c>
      <x:c r="E299" s="60" t="str">
        <x:v>https://airconceptsllc.com</x:v>
      </x:c>
      <x:c r="F299" s="60" t="str">
        <x:v>https://airconceptsllc.com</x:v>
      </x:c>
      <x:c r="G299" s="60" t="str">
        <x:v>Summerville</x:v>
      </x:c>
      <x:c r="H299" s="60" t="str">
        <x:v>South Carolina</x:v>
      </x:c>
      <x:c r="I299" s="60" t="str">
        <x:v>HVAC</x:v>
      </x:c>
      <x:c r="J299" s="60" t="str">
        <x:v>Air Concept Solutions, LLC.</x:v>
      </x:c>
      <x:c r="K299" s="60" t="str"/>
      <x:c r="L299" s="60" t="str">
        <x:v>Owner / decision maker to verify</x:v>
      </x:c>
      <x:c r="M299" s="60" t="str"/>
      <x:c r="N299" s="60" t="str"/>
      <x:c r="O299" s="60" t="str">
        <x:v>(843) 376-7214</x:v>
      </x:c>
      <x:c r="P299" s="60" t="str"/>
      <x:c r="Q299" s="60" t="str"/>
      <x:c r="R299" s="60" t="str"/>
      <x:c r="S299" s="60" t="str">
        <x:v>4.9</x:v>
      </x:c>
      <x:c r="T299" s="74" t="str">
        <x:v>48</x:v>
      </x:c>
      <x:c r="U299" s="60" t="str"/>
      <x:c r="V299" s="74" t="str">
        <x:v>26</x:v>
      </x:c>
      <x:c r="W299" s="74" t="str">
        <x:v>3</x:v>
      </x:c>
      <x:c r="X299" s="74" t="str">
        <x:v>10</x:v>
      </x:c>
      <x:c r="Y299" s="74" t="str">
        <x:v>12</x:v>
      </x:c>
      <x:c r="Z299" s="74" t="str">
        <x:v>5</x:v>
      </x:c>
      <x:c r="AA299" s="74" t="str">
        <x:v>0</x:v>
      </x:c>
      <x:c r="AB299" s="74" t="str">
        <x:v>0</x:v>
      </x:c>
      <x:c r="AC299" s="74" t="str">
        <x:v>1</x:v>
      </x:c>
      <x:c r="AD299" s="74" t="str">
        <x:v>0</x:v>
      </x:c>
      <x:c r="AE299" s="74" t="str">
        <x:v>0</x:v>
      </x:c>
      <x:c r="AF299" s="74" t="str"/>
      <x:c r="AG299" s="74" t="str">
        <x:v>0</x:v>
      </x:c>
      <x:c r="AH299" s="74" t="str">
        <x:v>0</x:v>
      </x:c>
      <x:c r="AI299" s="74" t="str">
        <x:v>1</x:v>
      </x:c>
      <x:c r="AJ299" s="74" t="str">
        <x:v>1</x:v>
      </x:c>
      <x:c r="AK299" s="74" t="str">
        <x:v>1</x:v>
      </x:c>
      <x:c r="AL299" s="74" t="str">
        <x:v>0</x:v>
      </x:c>
      <x:c r="AM299" s="74" t="str">
        <x:v>1</x:v>
      </x:c>
      <x:c r="AN299" s="74" t="str">
        <x:v>0</x:v>
      </x:c>
      <x:c r="AO299" s="60" t="str">
        <x:v>0</x:v>
      </x:c>
      <x:c r="AP299" s="76" t="str">
        <x:v>Financing language found; no embedded homepage video found</x:v>
      </x:c>
      <x:c r="AQ299" s="76" t="str">
        <x:v>testimonials; financing; visible service offer; no embedded homepage video detected</x:v>
      </x:c>
      <x:c r="AR299" s="76" t="str">
        <x:v>I found financing language on Air Concept Solutions, LLC.'s site that could make a strong short-form offer angle.</x:v>
      </x:c>
      <x:c r="AS299" s="76" t="str">
        <x:v>no-cool-call to same-day comfort ad</x:v>
      </x:c>
      <x:c r="AT299" s="76" t="str">
        <x:v>Air Concept Solutions, LLC. ad concept</x:v>
      </x:c>
      <x:c r="AU299" s="76" t="str">
        <x:v>Hi Air Concept Solutions, LLC. — I found financing language on Air Concept Solutions, LLC.'s site that could make a strong short-form offer angle. I mapped a private 15-second no-cool-call to same-day comfort ad for Air Concept Solutions, LLC. using only public brand context—not for publishing, just to show the angle. We build three client-approved video ad concepts in seven days, then turn the winners into fresh variations. No filming day required. Worth sending the private sample?</x:v>
      </x:c>
      <x:c r="AV299" s="76" t="str">
        <x:v>Quick follow-up: the sample angle is a no-cool-call to same-day comfort ad. If it misses the mark, no problem—I won't keep chasing. Should I send it?</x:v>
      </x:c>
      <x:c r="AW299" s="76" t="str">
        <x:v>Hi Air Concept Solutions, LLC., Ryan here. I was looking at Air Concept Solutions, LLC.'s public marketing and noticed: financing language found; no embedded homepage video found. I mapped one private no-cool-call to same-day comfort ad as an example. Did I catch you with 30 seconds?</x:v>
      </x:c>
      <x:c r="AX299" s="60" t="str">
        <x:v>https://www.facebook.com/ads/library/?active_status=active&amp;ad_type=all&amp;country=US&amp;q=Air%20Concept%20Solutions%2C%20LLC.&amp;search_type=keyword_unordered</x:v>
      </x:c>
      <x:c r="AY299" s="60" t="str">
        <x:v>ok:200</x:v>
      </x:c>
      <x:c r="AZ299" s="60" t="n">
        <x:v>46232.722858796296</x:v>
      </x:c>
      <x:c r="BA299" s="60" t="str">
        <x:v>Google Maps home-services export</x:v>
      </x:c>
      <x:c r="BB299" s="60" t="str">
        <x:v>https://airconceptsllc.com | https://maps.google.com/?cid=7770056143566342310&amp;g_mp=Cidnb29nbGUubWFwcy5wbGFjZXMudjEuUGxhY2VzLlNlYXJjaFRleHQQAhgEIAA</x:v>
      </x:c>
      <x:c r="BC299" s="60" t="str"/>
    </x:row>
    <x:row r="300" ht="18" customHeight="1">
      <x:c r="A300" s="70" t="str">
        <x:v>299</x:v>
      </x:c>
      <x:c r="B300" s="70" t="str">
        <x:v>B - Strong</x:v>
      </x:c>
      <x:c r="C300" s="72" t="str">
        <x:v>56</x:v>
      </x:c>
      <x:c r="D300" s="60" t="str">
        <x:v>Cannon Roofing</x:v>
      </x:c>
      <x:c r="E300" s="60" t="str">
        <x:v>https://cannonroofing.com</x:v>
      </x:c>
      <x:c r="F300" s="60" t="str">
        <x:v>https://www.cannonroofing.com/</x:v>
      </x:c>
      <x:c r="G300" s="60" t="str">
        <x:v>Spartanburg</x:v>
      </x:c>
      <x:c r="H300" s="60" t="str">
        <x:v>South Carolina</x:v>
      </x:c>
      <x:c r="I300" s="60" t="str">
        <x:v>Roofing</x:v>
      </x:c>
      <x:c r="J300" s="60" t="str">
        <x:v>Cannon Roofing</x:v>
      </x:c>
      <x:c r="K300" s="60" t="str"/>
      <x:c r="L300" s="60" t="str">
        <x:v>Owner / decision maker to verify</x:v>
      </x:c>
      <x:c r="M300" s="60" t="str"/>
      <x:c r="N300" s="60" t="str"/>
      <x:c r="O300" s="60" t="str">
        <x:v>(864) 774-4071</x:v>
      </x:c>
      <x:c r="P300" s="60" t="str"/>
      <x:c r="Q300" s="60" t="str"/>
      <x:c r="R300" s="60" t="str"/>
      <x:c r="S300" s="60" t="str">
        <x:v>4.9</x:v>
      </x:c>
      <x:c r="T300" s="74" t="str">
        <x:v>89</x:v>
      </x:c>
      <x:c r="U300" s="60" t="str"/>
      <x:c r="V300" s="74" t="str">
        <x:v>27</x:v>
      </x:c>
      <x:c r="W300" s="74" t="str">
        <x:v>3</x:v>
      </x:c>
      <x:c r="X300" s="74" t="str">
        <x:v>10</x:v>
      </x:c>
      <x:c r="Y300" s="74" t="str">
        <x:v>11</x:v>
      </x:c>
      <x:c r="Z300" s="74" t="str">
        <x:v>5</x:v>
      </x:c>
      <x:c r="AA300" s="74" t="str">
        <x:v>0</x:v>
      </x:c>
      <x:c r="AB300" s="74" t="str">
        <x:v>0</x:v>
      </x:c>
      <x:c r="AC300" s="74" t="str">
        <x:v>1</x:v>
      </x:c>
      <x:c r="AD300" s="74" t="str">
        <x:v>0</x:v>
      </x:c>
      <x:c r="AE300" s="74" t="str">
        <x:v>0</x:v>
      </x:c>
      <x:c r="AF300" s="74" t="str"/>
      <x:c r="AG300" s="74" t="str">
        <x:v>0</x:v>
      </x:c>
      <x:c r="AH300" s="74" t="str">
        <x:v>1</x:v>
      </x:c>
      <x:c r="AI300" s="74" t="str">
        <x:v>1</x:v>
      </x:c>
      <x:c r="AJ300" s="74" t="str">
        <x:v>0</x:v>
      </x:c>
      <x:c r="AK300" s="74" t="str">
        <x:v>0</x:v>
      </x:c>
      <x:c r="AL300" s="74" t="str">
        <x:v>0</x:v>
      </x:c>
      <x:c r="AM300" s="74" t="str">
        <x:v>1</x:v>
      </x:c>
      <x:c r="AN300" s="74" t="str">
        <x:v>0</x:v>
      </x:c>
      <x:c r="AO300" s="60" t="str">
        <x:v>2026</x:v>
      </x:c>
      <x:c r="AP300" s="76" t="str">
        <x:v>Project/gallery proof found; no embedded homepage video found</x:v>
      </x:c>
      <x:c r="AQ300" s="76" t="str">
        <x:v>project/gallery proof; testimonials; no embedded homepage video detected</x:v>
      </x:c>
      <x:c r="AR300" s="76" t="str">
        <x:v>I found project/gallery proof on Cannon Roofing's site that could be repackaged into short-form ad concepts.</x:v>
      </x:c>
      <x:c r="AS300" s="76" t="str">
        <x:v>storm-to-inspection before/after ad</x:v>
      </x:c>
      <x:c r="AT300" s="76" t="str">
        <x:v>Cannon Roofing ad concept</x:v>
      </x:c>
      <x:c r="AU300" s="76" t="str">
        <x:v>Hi Cannon Roofing — I found project/gallery proof on Cannon Roofing's site that could be repackaged into short-form ad concepts. I mapped a private 15-second storm-to-inspection before/after ad for Cannon Roofing using only public brand context—not for publishing, just to show the angle. We build three client-approved video ad concepts in seven days, then turn the winners into fresh variations. No filming day required. Worth sending the private sample?</x:v>
      </x:c>
      <x:c r="AV300" s="76" t="str">
        <x:v>Quick follow-up: the sample angle is a storm-to-inspection before/after ad. If it misses the mark, no problem—I won't keep chasing. Should I send it?</x:v>
      </x:c>
      <x:c r="AW300" s="76" t="str">
        <x:v>Hi Cannon Roofing, Ryan here. I was looking at Cannon Roofing's public marketing and noticed: project/gallery proof found; no embedded homepage video found. I mapped one private storm-to-inspection before/after ad as an example. Did I catch you with 30 seconds?</x:v>
      </x:c>
      <x:c r="AX300" s="60" t="str">
        <x:v>https://www.facebook.com/ads/library/?active_status=active&amp;ad_type=all&amp;country=US&amp;q=Cannon%20Roofing&amp;search_type=keyword_unordered</x:v>
      </x:c>
      <x:c r="AY300" s="60" t="str">
        <x:v>ok:200</x:v>
      </x:c>
      <x:c r="AZ300" s="60" t="n">
        <x:v>46232.722858796296</x:v>
      </x:c>
      <x:c r="BA300" s="60" t="str">
        <x:v>Google Maps home-services export</x:v>
      </x:c>
      <x:c r="BB300" s="60" t="str">
        <x:v>https://cannonroofing.com | https://maps.google.com/?cid=5124451351988003409&amp;g_mp=Cidnb29nbGUubWFwcy5wbGFjZXMudjEuUGxhY2VzLlNlYXJjaFRleHQQAhgEIAA</x:v>
      </x:c>
      <x:c r="BC300" s="60" t="str"/>
    </x:row>
    <x:row r="301" ht="18" customHeight="1">
      <x:c r="A301" s="70" t="str">
        <x:v>300</x:v>
      </x:c>
      <x:c r="B301" s="70" t="str">
        <x:v>B - Strong</x:v>
      </x:c>
      <x:c r="C301" s="72" t="str">
        <x:v>56</x:v>
      </x:c>
      <x:c r="D301" s="60" t="str">
        <x:v>ABL Roofing &amp; Construction LLC</x:v>
      </x:c>
      <x:c r="E301" s="60" t="str">
        <x:v>https://ablroofingconstruction.com</x:v>
      </x:c>
      <x:c r="F301" s="60" t="str">
        <x:v>https://ablroofingconstruction.com</x:v>
      </x:c>
      <x:c r="G301" s="60" t="str">
        <x:v>Spartanburg</x:v>
      </x:c>
      <x:c r="H301" s="60" t="str">
        <x:v>South Carolina</x:v>
      </x:c>
      <x:c r="I301" s="60" t="str">
        <x:v>Roofing</x:v>
      </x:c>
      <x:c r="J301" s="60" t="str">
        <x:v>ABL Roofing &amp; Construction LLC</x:v>
      </x:c>
      <x:c r="K301" s="60" t="str"/>
      <x:c r="L301" s="60" t="str">
        <x:v>Owner / decision maker to verify</x:v>
      </x:c>
      <x:c r="M301" s="60" t="str"/>
      <x:c r="N301" s="60" t="str"/>
      <x:c r="O301" s="60" t="str">
        <x:v>(864) 216-5482</x:v>
      </x:c>
      <x:c r="P301" s="60" t="str"/>
      <x:c r="Q301" s="60" t="str"/>
      <x:c r="R301" s="60" t="str"/>
      <x:c r="S301" s="60" t="str">
        <x:v>5</x:v>
      </x:c>
      <x:c r="T301" s="74" t="str">
        <x:v>52</x:v>
      </x:c>
      <x:c r="U301" s="60" t="str"/>
      <x:c r="V301" s="74" t="str">
        <x:v>27</x:v>
      </x:c>
      <x:c r="W301" s="74" t="str">
        <x:v>3</x:v>
      </x:c>
      <x:c r="X301" s="74" t="str">
        <x:v>10</x:v>
      </x:c>
      <x:c r="Y301" s="74" t="str">
        <x:v>11</x:v>
      </x:c>
      <x:c r="Z301" s="74" t="str">
        <x:v>5</x:v>
      </x:c>
      <x:c r="AA301" s="74" t="str">
        <x:v>0</x:v>
      </x:c>
      <x:c r="AB301" s="74" t="str">
        <x:v>0</x:v>
      </x:c>
      <x:c r="AC301" s="74" t="str">
        <x:v>1</x:v>
      </x:c>
      <x:c r="AD301" s="74" t="str">
        <x:v>0</x:v>
      </x:c>
      <x:c r="AE301" s="74" t="str">
        <x:v>0</x:v>
      </x:c>
      <x:c r="AF301" s="74" t="str"/>
      <x:c r="AG301" s="74" t="str">
        <x:v>0</x:v>
      </x:c>
      <x:c r="AH301" s="74" t="str">
        <x:v>1</x:v>
      </x:c>
      <x:c r="AI301" s="74" t="str">
        <x:v>1</x:v>
      </x:c>
      <x:c r="AJ301" s="74" t="str">
        <x:v>0</x:v>
      </x:c>
      <x:c r="AK301" s="74" t="str">
        <x:v>0</x:v>
      </x:c>
      <x:c r="AL301" s="74" t="str">
        <x:v>0</x:v>
      </x:c>
      <x:c r="AM301" s="74" t="str">
        <x:v>0</x:v>
      </x:c>
      <x:c r="AN301" s="74" t="str">
        <x:v>0</x:v>
      </x:c>
      <x:c r="AO301" s="60" t="str">
        <x:v>0</x:v>
      </x:c>
      <x:c r="AP301" s="76" t="str">
        <x:v>Project/gallery proof found; no embedded homepage video found</x:v>
      </x:c>
      <x:c r="AQ301" s="76" t="str">
        <x:v>project/gallery proof; testimonials; no embedded homepage video detected</x:v>
      </x:c>
      <x:c r="AR301" s="76" t="str">
        <x:v>I found project/gallery proof on ABL Roofing &amp; Construction LLC's site that could be repackaged into short-form ad concepts.</x:v>
      </x:c>
      <x:c r="AS301" s="76" t="str">
        <x:v>storm-to-inspection before/after ad</x:v>
      </x:c>
      <x:c r="AT301" s="76" t="str">
        <x:v>ABL Roofing &amp; Construction LLC ad concept</x:v>
      </x:c>
      <x:c r="AU301" s="76" t="str">
        <x:v>Hi ABL Roofing &amp; Construction LLC — I found project/gallery proof on ABL Roofing &amp; Construction LLC's site that could be repackaged into short-form ad concepts. I mapped a private 15-second storm-to-inspection before/after ad for ABL Roofing &amp; Construction LLC using only public brand context—not for publishing, just to show the angle. We build three client-approved video ad concepts in seven days, then turn the winners into fresh variations. No filming day required. Worth sending the private sample?</x:v>
      </x:c>
      <x:c r="AV301" s="76" t="str">
        <x:v>Quick follow-up: the sample angle is a storm-to-inspection before/after ad. If it misses the mark, no problem—I won't keep chasing. Should I send it?</x:v>
      </x:c>
      <x:c r="AW301" s="76" t="str">
        <x:v>Hi ABL Roofing &amp; Construction LLC, Ryan here. I was looking at ABL Roofing &amp; Construction LLC's public marketing and noticed: project/gallery proof found; no embedded homepage video found. I mapped one private storm-to-inspection before/after ad as an example. Did I catch you with 30 seconds?</x:v>
      </x:c>
      <x:c r="AX301" s="60" t="str">
        <x:v>https://www.facebook.com/ads/library/?active_status=active&amp;ad_type=all&amp;country=US&amp;q=ABL%20Roofing%20%26%20Construction%20LLC&amp;search_type=keyword_unordered</x:v>
      </x:c>
      <x:c r="AY301" s="60" t="str">
        <x:v>ok:200</x:v>
      </x:c>
      <x:c r="AZ301" s="60" t="n">
        <x:v>46232.722858796296</x:v>
      </x:c>
      <x:c r="BA301" s="60" t="str">
        <x:v>Google Maps home-services export</x:v>
      </x:c>
      <x:c r="BB301" s="60" t="str">
        <x:v>https://ablroofingconstruction.com | https://maps.google.com/?cid=5018793266553365055&amp;g_mp=Cidnb29nbGUubWFwcy5wbGFjZXMudjEuUGxhY2VzLlNlYXJjaFRleHQQAhgEIAA</x:v>
      </x:c>
      <x:c r="BC301" s="60" t="str"/>
    </x:row>
    <x:row r="302" ht="18" customHeight="1">
      <x:c r="A302" s="70" t="str">
        <x:v>301</x:v>
      </x:c>
      <x:c r="B302" s="70" t="str">
        <x:v>B - Strong</x:v>
      </x:c>
      <x:c r="C302" s="72" t="str">
        <x:v>56</x:v>
      </x:c>
      <x:c r="D302" s="60" t="str">
        <x:v>Ricky's Heating and Air</x:v>
      </x:c>
      <x:c r="E302" s="60" t="str">
        <x:v>https://rickyshvac.com</x:v>
      </x:c>
      <x:c r="F302" s="60" t="str">
        <x:v>https://rickyshvac.com</x:v>
      </x:c>
      <x:c r="G302" s="60" t="str">
        <x:v>Beaufort</x:v>
      </x:c>
      <x:c r="H302" s="60" t="str">
        <x:v>South Carolina</x:v>
      </x:c>
      <x:c r="I302" s="60" t="str">
        <x:v>HVAC</x:v>
      </x:c>
      <x:c r="J302" s="60" t="str">
        <x:v>Ricky's Heating and Air</x:v>
      </x:c>
      <x:c r="K302" s="60" t="str"/>
      <x:c r="L302" s="60" t="str">
        <x:v>Owner / decision maker to verify</x:v>
      </x:c>
      <x:c r="M302" s="60" t="str"/>
      <x:c r="N302" s="60" t="str"/>
      <x:c r="O302" s="60" t="str">
        <x:v>(843) 525-1331</x:v>
      </x:c>
      <x:c r="P302" s="60" t="str"/>
      <x:c r="Q302" s="60" t="str"/>
      <x:c r="R302" s="60" t="str"/>
      <x:c r="S302" s="60" t="str">
        <x:v>4.9</x:v>
      </x:c>
      <x:c r="T302" s="74" t="str">
        <x:v>108</x:v>
      </x:c>
      <x:c r="U302" s="60" t="str"/>
      <x:c r="V302" s="74" t="str">
        <x:v>28</x:v>
      </x:c>
      <x:c r="W302" s="74" t="str">
        <x:v>3</x:v>
      </x:c>
      <x:c r="X302" s="74" t="str">
        <x:v>10</x:v>
      </x:c>
      <x:c r="Y302" s="74" t="str">
        <x:v>10</x:v>
      </x:c>
      <x:c r="Z302" s="74" t="str">
        <x:v>5</x:v>
      </x:c>
      <x:c r="AA302" s="74" t="str">
        <x:v>0</x:v>
      </x:c>
      <x:c r="AB302" s="74" t="str">
        <x:v>0</x:v>
      </x:c>
      <x:c r="AC302" s="74" t="str">
        <x:v>1</x:v>
      </x:c>
      <x:c r="AD302" s="74" t="str">
        <x:v>0</x:v>
      </x:c>
      <x:c r="AE302" s="74" t="str">
        <x:v>0</x:v>
      </x:c>
      <x:c r="AF302" s="74" t="str"/>
      <x:c r="AG302" s="74" t="str">
        <x:v>0</x:v>
      </x:c>
      <x:c r="AH302" s="74" t="str">
        <x:v>0</x:v>
      </x:c>
      <x:c r="AI302" s="74" t="str">
        <x:v>1</x:v>
      </x:c>
      <x:c r="AJ302" s="74" t="str">
        <x:v>0</x:v>
      </x:c>
      <x:c r="AK302" s="74" t="str">
        <x:v>1</x:v>
      </x:c>
      <x:c r="AL302" s="74" t="str">
        <x:v>0</x:v>
      </x:c>
      <x:c r="AM302" s="74" t="str">
        <x:v>0</x:v>
      </x:c>
      <x:c r="AN302" s="74" t="str">
        <x:v>0</x:v>
      </x:c>
      <x:c r="AO302" s="60" t="str">
        <x:v>0</x:v>
      </x:c>
      <x:c r="AP302" s="76" t="str">
        <x:v>108 Google reviews; no embedded homepage video found</x:v>
      </x:c>
      <x:c r="AQ302" s="76" t="str">
        <x:v>testimonials; visible service offer; no embedded homepage video detected</x:v>
      </x:c>
      <x:c r="AR302" s="76" t="str">
        <x:v>Ricky's Heating and Air has 108 Google reviews—strong proof that could be turned into short-form ad concepts.</x:v>
      </x:c>
      <x:c r="AS302" s="76" t="str">
        <x:v>no-cool-call to same-day comfort ad</x:v>
      </x:c>
      <x:c r="AT302" s="76" t="str">
        <x:v>Ricky's Heating and Air ad concept</x:v>
      </x:c>
      <x:c r="AU302" s="76" t="str">
        <x:v>Hi Ricky's Heating and Air — Ricky's Heating and Air has 108 Google reviews—strong proof that could be turned into short-form ad concepts. I mapped a private 15-second no-cool-call to same-day comfort ad for Ricky's Heating and Air using only public brand context—not for publishing, just to show the angle. We build three client-approved video ad concepts in seven days, then turn the winners into fresh variations. No filming day required. Worth sending the private sample?</x:v>
      </x:c>
      <x:c r="AV302" s="76" t="str">
        <x:v>Quick follow-up: the sample angle is a no-cool-call to same-day comfort ad. If it misses the mark, no problem—I won't keep chasing. Should I send it?</x:v>
      </x:c>
      <x:c r="AW302" s="76" t="str">
        <x:v>Hi Ricky's Heating and Air, Ryan here. I was looking at Ricky's Heating and Air's public marketing and noticed: 108 google reviews; no embedded homepage video found. I mapped one private no-cool-call to same-day comfort ad as an example. Did I catch you with 30 seconds?</x:v>
      </x:c>
      <x:c r="AX302" s="60" t="str">
        <x:v>https://www.facebook.com/ads/library/?active_status=active&amp;ad_type=all&amp;country=US&amp;q=Ricky%27s%20Heating%20and%20Air&amp;search_type=keyword_unordered</x:v>
      </x:c>
      <x:c r="AY302" s="60" t="str">
        <x:v>ok:200</x:v>
      </x:c>
      <x:c r="AZ302" s="60" t="n">
        <x:v>46232.722858796296</x:v>
      </x:c>
      <x:c r="BA302" s="60" t="str">
        <x:v>Google Maps home-services export</x:v>
      </x:c>
      <x:c r="BB302" s="60" t="str">
        <x:v>https://maps.google.com/?cid=784682158292796332&amp;g_mp=Cidnb29nbGUubWFwcy5wbGFjZXMudjEuUGxhY2VzLlNlYXJjaFRleHQQAhgEIAA | https://rickyshvac.com</x:v>
      </x:c>
      <x:c r="BC302" s="60" t="str"/>
    </x:row>
    <x:row r="303" ht="18" customHeight="1">
      <x:c r="A303" s="70" t="str">
        <x:v>302</x:v>
      </x:c>
      <x:c r="B303" s="70" t="str">
        <x:v>B - Strong</x:v>
      </x:c>
      <x:c r="C303" s="72" t="str">
        <x:v>56</x:v>
      </x:c>
      <x:c r="D303" s="60" t="str">
        <x:v>Zen Development</x:v>
      </x:c>
      <x:c r="E303" s="60" t="str">
        <x:v>https://zendevelops.com</x:v>
      </x:c>
      <x:c r="F303" s="60" t="str">
        <x:v>https://zendevelops.com</x:v>
      </x:c>
      <x:c r="G303" s="60" t="str">
        <x:v>Greenville</x:v>
      </x:c>
      <x:c r="H303" s="60" t="str">
        <x:v>South Carolina</x:v>
      </x:c>
      <x:c r="I303" s="60" t="str">
        <x:v>Remodeling</x:v>
      </x:c>
      <x:c r="J303" s="60" t="str">
        <x:v>Mike</x:v>
      </x:c>
      <x:c r="K303" s="60" t="str">
        <x:v>Pennington</x:v>
      </x:c>
      <x:c r="L303" s="60" t="str">
        <x:v>Owner</x:v>
      </x:c>
      <x:c r="M303" s="60" t="str">
        <x:v>mike@zendevelops.com</x:v>
      </x:c>
      <x:c r="N303" s="60" t="str">
        <x:v>Verified with BounceBan on 08 Jun 26 12:06</x:v>
      </x:c>
      <x:c r="O303" s="60" t="str">
        <x:v>+1 864 320 2306</x:v>
      </x:c>
      <x:c r="P303" s="60" t="str">
        <x:v>https://www.linkedin.com/in/mikepennington43</x:v>
      </x:c>
      <x:c r="Q303" s="60" t="str">
        <x:v>2-10</x:v>
      </x:c>
      <x:c r="R303" s="60" t="str">
        <x:v>0-99999</x:v>
      </x:c>
      <x:c r="S303" s="60" t="str"/>
      <x:c r="T303" s="74" t="str">
        <x:v>0</x:v>
      </x:c>
      <x:c r="U303" s="60" t="str"/>
      <x:c r="V303" s="74" t="str">
        <x:v>25</x:v>
      </x:c>
      <x:c r="W303" s="74" t="str">
        <x:v>3</x:v>
      </x:c>
      <x:c r="X303" s="74" t="str">
        <x:v>9</x:v>
      </x:c>
      <x:c r="Y303" s="74" t="str">
        <x:v>9</x:v>
      </x:c>
      <x:c r="Z303" s="74" t="str">
        <x:v>10</x:v>
      </x:c>
      <x:c r="AA303" s="74" t="str">
        <x:v>0</x:v>
      </x:c>
      <x:c r="AB303" s="74" t="str">
        <x:v>0</x:v>
      </x:c>
      <x:c r="AC303" s="74" t="str">
        <x:v>1</x:v>
      </x:c>
      <x:c r="AD303" s="74" t="str">
        <x:v>0</x:v>
      </x:c>
      <x:c r="AE303" s="74" t="str">
        <x:v>0</x:v>
      </x:c>
      <x:c r="AF303" s="74" t="str"/>
      <x:c r="AG303" s="74" t="str">
        <x:v>0</x:v>
      </x:c>
      <x:c r="AH303" s="74" t="str">
        <x:v>1</x:v>
      </x:c>
      <x:c r="AI303" s="74" t="str">
        <x:v>1</x:v>
      </x:c>
      <x:c r="AJ303" s="74" t="str">
        <x:v>0</x:v>
      </x:c>
      <x:c r="AK303" s="74" t="str">
        <x:v>0</x:v>
      </x:c>
      <x:c r="AL303" s="74" t="str">
        <x:v>1</x:v>
      </x:c>
      <x:c r="AM303" s="74" t="str">
        <x:v>1</x:v>
      </x:c>
      <x:c r="AN303" s="74" t="str">
        <x:v>0</x:v>
      </x:c>
      <x:c r="AO303" s="60" t="str">
        <x:v>2024</x:v>
      </x:c>
      <x:c r="AP303" s="76" t="str">
        <x:v>Project/gallery proof found; no embedded homepage video found</x:v>
      </x:c>
      <x:c r="AQ303" s="76" t="str">
        <x:v>project/gallery proof; testimonials; no embedded homepage video detected</x:v>
      </x:c>
      <x:c r="AR303" s="76" t="str">
        <x:v>I found project/gallery proof on Zen Development's site that could be repackaged into short-form ad concepts.</x:v>
      </x:c>
      <x:c r="AS303" s="76" t="str">
        <x:v>project reveal with budget-and-timeline proof</x:v>
      </x:c>
      <x:c r="AT303" s="76" t="str">
        <x:v>Zen Development ad concept</x:v>
      </x:c>
      <x:c r="AU303" s="76" t="str">
        <x:v>Hi Mike — I found project/gallery proof on Zen Development's site that could be repackaged into short-form ad concepts. I mapped a private 15-second project reveal with budget-and-timeline proof for Zen Development using only public brand context—not for publishing, just to show the angle. We build three client-approved video ad concepts in seven days, then turn the winners into fresh variations. No filming day required. Worth sending the private sample?</x:v>
      </x:c>
      <x:c r="AV303" s="76" t="str">
        <x:v>Quick follow-up: the sample angle is a project reveal with budget-and-timeline proof. If it misses the mark, no problem—I won't keep chasing. Should I send it?</x:v>
      </x:c>
      <x:c r="AW303" s="76" t="str">
        <x:v>Hi Mike, Ryan here. I was looking at Zen Development's public marketing and noticed: project/gallery proof found; no embedded homepage video found. I mapped one private project reveal with budget-and-timeline proof as an example. Did I catch you with 30 seconds?</x:v>
      </x:c>
      <x:c r="AX303" s="60" t="str">
        <x:v>https://www.facebook.com/ads/library/?active_status=active&amp;ad_type=all&amp;country=US&amp;q=Zen%20Development&amp;search_type=keyword_unordered</x:v>
      </x:c>
      <x:c r="AY303" s="60" t="str">
        <x:v>ok:200</x:v>
      </x:c>
      <x:c r="AZ303" s="60" t="n">
        <x:v>46232.722858796296</x:v>
      </x:c>
      <x:c r="BA303" s="60" t="str">
        <x:v>AI Ark SC trades export</x:v>
      </x:c>
      <x:c r="BB303" s="60" t="str">
        <x:v>https://www.linkedin.com/company/zen-develops | https://zendevelops.com</x:v>
      </x:c>
      <x:c r="BC303" s="60" t="str"/>
    </x:row>
    <x:row r="304" ht="18" customHeight="1">
      <x:c r="A304" s="70" t="str">
        <x:v>303</x:v>
      </x:c>
      <x:c r="B304" s="70" t="str">
        <x:v>B - Strong</x:v>
      </x:c>
      <x:c r="C304" s="72" t="str">
        <x:v>56</x:v>
      </x:c>
      <x:c r="D304" s="60" t="str">
        <x:v>Workzone Traffic Control</x:v>
      </x:c>
      <x:c r="E304" s="60" t="str">
        <x:v>https://workzone.net.au</x:v>
      </x:c>
      <x:c r="F304" s="60" t="str">
        <x:v>https://workzone.net.au</x:v>
      </x:c>
      <x:c r="G304" s="60" t="str">
        <x:v>Charleston County</x:v>
      </x:c>
      <x:c r="H304" s="60" t="str">
        <x:v>South Carolina</x:v>
      </x:c>
      <x:c r="I304" s="60" t="str">
        <x:v>General Contractor</x:v>
      </x:c>
      <x:c r="J304" s="60" t="str">
        <x:v>Paul</x:v>
      </x:c>
      <x:c r="K304" s="60" t="str">
        <x:v>DeFrancesch</x:v>
      </x:c>
      <x:c r="L304" s="60" t="str">
        <x:v>Business Owner</x:v>
      </x:c>
      <x:c r="M304" s="60" t="str"/>
      <x:c r="N304" s="60" t="str"/>
      <x:c r="O304" s="60" t="str">
        <x:v>+1 864 313 0023, +1 864 676 1343</x:v>
      </x:c>
      <x:c r="P304" s="60" t="str">
        <x:v>https://www.linkedin.com/in/paul-defrancesch-0131989</x:v>
      </x:c>
      <x:c r="Q304" s="60" t="str">
        <x:v>51-200</x:v>
      </x:c>
      <x:c r="R304" s="60" t="str">
        <x:v>1000000-4999999</x:v>
      </x:c>
      <x:c r="S304" s="60" t="str"/>
      <x:c r="T304" s="74" t="str">
        <x:v>0</x:v>
      </x:c>
      <x:c r="U304" s="60" t="str"/>
      <x:c r="V304" s="74" t="str">
        <x:v>27</x:v>
      </x:c>
      <x:c r="W304" s="74" t="str">
        <x:v>3</x:v>
      </x:c>
      <x:c r="X304" s="74" t="str">
        <x:v>13</x:v>
      </x:c>
      <x:c r="Y304" s="74" t="str">
        <x:v>8</x:v>
      </x:c>
      <x:c r="Z304" s="74" t="str">
        <x:v>5</x:v>
      </x:c>
      <x:c r="AA304" s="74" t="str">
        <x:v>0</x:v>
      </x:c>
      <x:c r="AB304" s="74" t="str">
        <x:v>0</x:v>
      </x:c>
      <x:c r="AC304" s="74" t="str">
        <x:v>1</x:v>
      </x:c>
      <x:c r="AD304" s="74" t="str">
        <x:v>0</x:v>
      </x:c>
      <x:c r="AE304" s="74" t="str">
        <x:v>0</x:v>
      </x:c>
      <x:c r="AF304" s="74" t="str"/>
      <x:c r="AG304" s="74" t="str">
        <x:v>0</x:v>
      </x:c>
      <x:c r="AH304" s="74" t="str">
        <x:v>1</x:v>
      </x:c>
      <x:c r="AI304" s="74" t="str">
        <x:v>0</x:v>
      </x:c>
      <x:c r="AJ304" s="74" t="str">
        <x:v>0</x:v>
      </x:c>
      <x:c r="AK304" s="74" t="str">
        <x:v>1</x:v>
      </x:c>
      <x:c r="AL304" s="74" t="str">
        <x:v>0</x:v>
      </x:c>
      <x:c r="AM304" s="74" t="str">
        <x:v>0</x:v>
      </x:c>
      <x:c r="AN304" s="74" t="str">
        <x:v>0</x:v>
      </x:c>
      <x:c r="AO304" s="60" t="str">
        <x:v>2024</x:v>
      </x:c>
      <x:c r="AP304" s="76" t="str">
        <x:v>Project/gallery proof found; no embedded homepage video found</x:v>
      </x:c>
      <x:c r="AQ304" s="76" t="str">
        <x:v>project/gallery proof; visible service offer; no embedded homepage video detected</x:v>
      </x:c>
      <x:c r="AR304" s="76" t="str">
        <x:v>I found project/gallery proof on Workzone Traffic Control's site that could be repackaged into short-form ad concepts.</x:v>
      </x:c>
      <x:c r="AS304" s="76" t="str">
        <x:v>project walkthrough with proof milestones</x:v>
      </x:c>
      <x:c r="AT304" s="76" t="str">
        <x:v>Workzone Traffic Control ad concept</x:v>
      </x:c>
      <x:c r="AU304" s="76" t="str">
        <x:v>Hi Paul — I found project/gallery proof on Workzone Traffic Control's site that could be repackaged into short-form ad concepts. I mapped a private 15-second project walkthrough with proof milestones for Workzone Traffic Control using only public brand context—not for publishing, just to show the angle. We build three client-approved video ad concepts in seven days, then turn the winners into fresh variations. No filming day required. Worth sending the private sample?</x:v>
      </x:c>
      <x:c r="AV304" s="76" t="str">
        <x:v>Quick follow-up: the sample angle is a project walkthrough with proof milestones. If it misses the mark, no problem—I won't keep chasing. Should I send it?</x:v>
      </x:c>
      <x:c r="AW304" s="76" t="str">
        <x:v>Hi Paul, Ryan here. I was looking at Workzone Traffic Control's public marketing and noticed: project/gallery proof found; no embedded homepage video found. I mapped one private project walkthrough with proof milestones as an example. Did I catch you with 30 seconds?</x:v>
      </x:c>
      <x:c r="AX304" s="60" t="str">
        <x:v>https://www.facebook.com/ads/library/?active_status=active&amp;ad_type=all&amp;country=US&amp;q=Workzone%20Traffic%20Control&amp;search_type=keyword_unordered</x:v>
      </x:c>
      <x:c r="AY304" s="60" t="str">
        <x:v>ok:200</x:v>
      </x:c>
      <x:c r="AZ304" s="60" t="n">
        <x:v>46232.722858796296</x:v>
      </x:c>
      <x:c r="BA304" s="60" t="str">
        <x:v>AI Ark SC trades export</x:v>
      </x:c>
      <x:c r="BB304" s="60" t="str">
        <x:v>https://workzone.net.au | https://www.linkedin.com/company/workzone-traffic-control-pty-ltd</x:v>
      </x:c>
      <x:c r="BC304" s="60" t="str"/>
    </x:row>
    <x:row r="305" ht="18" customHeight="1">
      <x:c r="A305" s="70" t="str">
        <x:v>304</x:v>
      </x:c>
      <x:c r="B305" s="70" t="str">
        <x:v>B - Strong</x:v>
      </x:c>
      <x:c r="C305" s="72" t="str">
        <x:v>56</x:v>
      </x:c>
      <x:c r="D305" s="60" t="str">
        <x:v>Polar Air And Mechanical LLC</x:v>
      </x:c>
      <x:c r="E305" s="60" t="str">
        <x:v>https://polarairandmechanical.com</x:v>
      </x:c>
      <x:c r="F305" s="60" t="str">
        <x:v>https://polarairandmechanical.com</x:v>
      </x:c>
      <x:c r="G305" s="60" t="str">
        <x:v>Myrtle Beach</x:v>
      </x:c>
      <x:c r="H305" s="60" t="str">
        <x:v>South Carolina</x:v>
      </x:c>
      <x:c r="I305" s="60" t="str">
        <x:v>HVAC</x:v>
      </x:c>
      <x:c r="J305" s="60" t="str">
        <x:v>Polar Air And Mechanical LLC</x:v>
      </x:c>
      <x:c r="K305" s="60" t="str"/>
      <x:c r="L305" s="60" t="str">
        <x:v>Owner / decision maker to verify</x:v>
      </x:c>
      <x:c r="M305" s="60" t="str"/>
      <x:c r="N305" s="60" t="str"/>
      <x:c r="O305" s="60" t="str">
        <x:v>(843) 839-2378</x:v>
      </x:c>
      <x:c r="P305" s="60" t="str"/>
      <x:c r="Q305" s="60" t="str"/>
      <x:c r="R305" s="60" t="str"/>
      <x:c r="S305" s="60" t="str">
        <x:v>4.9</x:v>
      </x:c>
      <x:c r="T305" s="74" t="str">
        <x:v>219</x:v>
      </x:c>
      <x:c r="U305" s="60" t="str">
        <x:v>missed_calls, slow_response</x:v>
      </x:c>
      <x:c r="V305" s="74" t="str">
        <x:v>28</x:v>
      </x:c>
      <x:c r="W305" s="74" t="str">
        <x:v>3</x:v>
      </x:c>
      <x:c r="X305" s="74" t="str">
        <x:v>12</x:v>
      </x:c>
      <x:c r="Y305" s="74" t="str">
        <x:v>8</x:v>
      </x:c>
      <x:c r="Z305" s="74" t="str">
        <x:v>5</x:v>
      </x:c>
      <x:c r="AA305" s="74" t="str">
        <x:v>0</x:v>
      </x:c>
      <x:c r="AB305" s="74" t="str">
        <x:v>0</x:v>
      </x:c>
      <x:c r="AC305" s="74" t="str">
        <x:v>1</x:v>
      </x:c>
      <x:c r="AD305" s="74" t="str">
        <x:v>0</x:v>
      </x:c>
      <x:c r="AE305" s="74" t="str">
        <x:v>0</x:v>
      </x:c>
      <x:c r="AF305" s="74" t="str"/>
      <x:c r="AG305" s="74" t="str">
        <x:v>0</x:v>
      </x:c>
      <x:c r="AH305" s="74" t="str">
        <x:v>1</x:v>
      </x:c>
      <x:c r="AI305" s="74" t="str">
        <x:v>0</x:v>
      </x:c>
      <x:c r="AJ305" s="74" t="str">
        <x:v>0</x:v>
      </x:c>
      <x:c r="AK305" s="74" t="str">
        <x:v>0</x:v>
      </x:c>
      <x:c r="AL305" s="74" t="str">
        <x:v>0</x:v>
      </x:c>
      <x:c r="AM305" s="74" t="str">
        <x:v>0</x:v>
      </x:c>
      <x:c r="AN305" s="74" t="str">
        <x:v>0</x:v>
      </x:c>
      <x:c r="AO305" s="60" t="str">
        <x:v>0</x:v>
      </x:c>
      <x:c r="AP305" s="76" t="str">
        <x:v>Project/gallery proof found; no embedded homepage video found</x:v>
      </x:c>
      <x:c r="AQ305" s="76" t="str">
        <x:v>project/gallery proof; no embedded homepage video detected</x:v>
      </x:c>
      <x:c r="AR305" s="76" t="str">
        <x:v>I found project/gallery proof on Polar Air And Mechanical LLC's site that could be repackaged into short-form ad concepts.</x:v>
      </x:c>
      <x:c r="AS305" s="76" t="str">
        <x:v>no-cool-call to same-day comfort ad</x:v>
      </x:c>
      <x:c r="AT305" s="76" t="str">
        <x:v>Polar Air And Mechanical LLC ad concept</x:v>
      </x:c>
      <x:c r="AU305" s="76" t="str">
        <x:v>Hi Polar Air And Mechanical LLC — I found project/gallery proof on Polar Air And Mechanical LLC's site that could be repackaged into short-form ad concepts. I mapped a private 15-second no-cool-call to same-day comfort ad for Polar Air And Mechanical LLC using only public brand context—not for publishing, just to show the angle. We build three client-approved video ad concepts in seven days, then turn the winners into fresh variations. No filming day required. Worth sending the private sample?</x:v>
      </x:c>
      <x:c r="AV305" s="76" t="str">
        <x:v>Quick follow-up: the sample angle is a no-cool-call to same-day comfort ad. If it misses the mark, no problem—I won't keep chasing. Should I send it?</x:v>
      </x:c>
      <x:c r="AW305" s="76" t="str">
        <x:v>Hi Polar Air And Mechanical LLC, Ryan here. I was looking at Polar Air And Mechanical LLC's public marketing and noticed: project/gallery proof found; no embedded homepage video found. I mapped one private no-cool-call to same-day comfort ad as an example. Did I catch you with 30 seconds?</x:v>
      </x:c>
      <x:c r="AX305" s="60" t="str">
        <x:v>https://www.facebook.com/ads/library/?active_status=active&amp;ad_type=all&amp;country=US&amp;q=Polar%20Air%20And%20Mechanical%20LLC&amp;search_type=keyword_unordered</x:v>
      </x:c>
      <x:c r="AY305" s="60" t="str">
        <x:v>ok:200</x:v>
      </x:c>
      <x:c r="AZ305" s="60" t="n">
        <x:v>46232.722858796296</x:v>
      </x:c>
      <x:c r="BA305" s="60" t="str">
        <x:v>Google Maps home-services export</x:v>
      </x:c>
      <x:c r="BB305" s="60" t="str">
        <x:v>https://maps.google.com/?cid=853544042213099548&amp;g_mp=Cidnb29nbGUubWFwcy5wbGFjZXMudjEuUGxhY2VzLlNlYXJjaFRleHQQAhgEIAA | https://polarairandmechanical.com</x:v>
      </x:c>
      <x:c r="BC305" s="60" t="str"/>
    </x:row>
    <x:row r="306" ht="18" customHeight="1">
      <x:c r="A306" s="70" t="str">
        <x:v>305</x:v>
      </x:c>
      <x:c r="B306" s="70" t="str">
        <x:v>B - Strong</x:v>
      </x:c>
      <x:c r="C306" s="72" t="str">
        <x:v>56</x:v>
      </x:c>
      <x:c r="D306" s="60" t="str">
        <x:v>Tru Blu Heating and Cooling</x:v>
      </x:c>
      <x:c r="E306" s="60" t="str">
        <x:v>https://trubluhvac.com</x:v>
      </x:c>
      <x:c r="F306" s="60" t="str">
        <x:v>https://trubluhvac.com</x:v>
      </x:c>
      <x:c r="G306" s="60" t="str">
        <x:v>Rock Hill</x:v>
      </x:c>
      <x:c r="H306" s="60" t="str">
        <x:v>South Carolina</x:v>
      </x:c>
      <x:c r="I306" s="60" t="str">
        <x:v>HVAC</x:v>
      </x:c>
      <x:c r="J306" s="60" t="str">
        <x:v>Tru Blu Heating and Cooling</x:v>
      </x:c>
      <x:c r="K306" s="60" t="str"/>
      <x:c r="L306" s="60" t="str">
        <x:v>Owner / decision maker to verify</x:v>
      </x:c>
      <x:c r="M306" s="60" t="str"/>
      <x:c r="N306" s="60" t="str"/>
      <x:c r="O306" s="60" t="str">
        <x:v>(980) 745-2889</x:v>
      </x:c>
      <x:c r="P306" s="60" t="str"/>
      <x:c r="Q306" s="60" t="str"/>
      <x:c r="R306" s="60" t="str"/>
      <x:c r="S306" s="60" t="str">
        <x:v>5</x:v>
      </x:c>
      <x:c r="T306" s="74" t="str">
        <x:v>186</x:v>
      </x:c>
      <x:c r="U306" s="60" t="str"/>
      <x:c r="V306" s="74" t="str">
        <x:v>28</x:v>
      </x:c>
      <x:c r="W306" s="74" t="str">
        <x:v>3</x:v>
      </x:c>
      <x:c r="X306" s="74" t="str">
        <x:v>13</x:v>
      </x:c>
      <x:c r="Y306" s="74" t="str">
        <x:v>7</x:v>
      </x:c>
      <x:c r="Z306" s="74" t="str">
        <x:v>5</x:v>
      </x:c>
      <x:c r="AA306" s="74" t="str">
        <x:v>0</x:v>
      </x:c>
      <x:c r="AB306" s="74" t="str">
        <x:v>0</x:v>
      </x:c>
      <x:c r="AC306" s="74" t="str">
        <x:v>1</x:v>
      </x:c>
      <x:c r="AD306" s="74" t="str">
        <x:v>0</x:v>
      </x:c>
      <x:c r="AE306" s="74" t="str">
        <x:v>0</x:v>
      </x:c>
      <x:c r="AF306" s="74" t="str"/>
      <x:c r="AG306" s="74" t="str">
        <x:v>0</x:v>
      </x:c>
      <x:c r="AH306" s="74" t="str">
        <x:v>0</x:v>
      </x:c>
      <x:c r="AI306" s="74" t="str">
        <x:v>1</x:v>
      </x:c>
      <x:c r="AJ306" s="74" t="str">
        <x:v>0</x:v>
      </x:c>
      <x:c r="AK306" s="74" t="str">
        <x:v>0</x:v>
      </x:c>
      <x:c r="AL306" s="74" t="str">
        <x:v>0</x:v>
      </x:c>
      <x:c r="AM306" s="74" t="str">
        <x:v>1</x:v>
      </x:c>
      <x:c r="AN306" s="74" t="str">
        <x:v>0</x:v>
      </x:c>
      <x:c r="AO306" s="60" t="str">
        <x:v>2024</x:v>
      </x:c>
      <x:c r="AP306" s="76" t="str">
        <x:v>186 Google reviews; no embedded homepage video found</x:v>
      </x:c>
      <x:c r="AQ306" s="76" t="str">
        <x:v>testimonials; no embedded homepage video detected</x:v>
      </x:c>
      <x:c r="AR306" s="76" t="str">
        <x:v>Tru Blu Heating and Cooling has 186 Google reviews—strong proof that could be turned into short-form ad concepts.</x:v>
      </x:c>
      <x:c r="AS306" s="76" t="str">
        <x:v>no-cool-call to same-day comfort ad</x:v>
      </x:c>
      <x:c r="AT306" s="76" t="str">
        <x:v>Tru Blu Heating and Cooling ad concept</x:v>
      </x:c>
      <x:c r="AU306" s="76" t="str">
        <x:v>Hi Tru Blu Heating and Cooling — Tru Blu Heating and Cooling has 186 Google reviews—strong proof that could be turned into short-form ad concepts. I mapped a private 15-second no-cool-call to same-day comfort ad for Tru Blu Heating and Cooling using only public brand context—not for publishing, just to show the angle. We build three client-approved video ad concepts in seven days, then turn the winners into fresh variations. No filming day required. Worth sending the private sample?</x:v>
      </x:c>
      <x:c r="AV306" s="76" t="str">
        <x:v>Quick follow-up: the sample angle is a no-cool-call to same-day comfort ad. If it misses the mark, no problem—I won't keep chasing. Should I send it?</x:v>
      </x:c>
      <x:c r="AW306" s="76" t="str">
        <x:v>Hi Tru Blu Heating and Cooling, Ryan here. I was looking at Tru Blu Heating and Cooling's public marketing and noticed: 186 google reviews; no embedded homepage video found. I mapped one private no-cool-call to same-day comfort ad as an example. Did I catch you with 30 seconds?</x:v>
      </x:c>
      <x:c r="AX306" s="60" t="str">
        <x:v>https://www.facebook.com/ads/library/?active_status=active&amp;ad_type=all&amp;country=US&amp;q=Tru%20Blu%20Heating%20and%20Cooling&amp;search_type=keyword_unordered</x:v>
      </x:c>
      <x:c r="AY306" s="60" t="str">
        <x:v>ok:200</x:v>
      </x:c>
      <x:c r="AZ306" s="60" t="n">
        <x:v>46232.722858796296</x:v>
      </x:c>
      <x:c r="BA306" s="60" t="str">
        <x:v>Google Maps home-services export</x:v>
      </x:c>
      <x:c r="BB306" s="60" t="str">
        <x:v>https://maps.google.com/?cid=16874831560706768740&amp;g_mp=Cidnb29nbGUubWFwcy5wbGFjZXMudjEuUGxhY2VzLlNlYXJjaFRleHQQAhgEIAA | https://trubluhvac.com</x:v>
      </x:c>
      <x:c r="BC306" s="60" t="str"/>
    </x:row>
    <x:row r="307" ht="18" customHeight="1">
      <x:c r="A307" s="70" t="str">
        <x:v>306</x:v>
      </x:c>
      <x:c r="B307" s="70" t="str">
        <x:v>B - Strong</x:v>
      </x:c>
      <x:c r="C307" s="72" t="str">
        <x:v>56</x:v>
      </x:c>
      <x:c r="D307" s="60" t="str">
        <x:v>Residential Roofing Services</x:v>
      </x:c>
      <x:c r="E307" s="60" t="str">
        <x:v>https://residentialroofingsc.com</x:v>
      </x:c>
      <x:c r="F307" s="60" t="str">
        <x:v>https://www.residentialroofingsc.com/</x:v>
      </x:c>
      <x:c r="G307" s="60" t="str">
        <x:v>Columbia</x:v>
      </x:c>
      <x:c r="H307" s="60" t="str">
        <x:v>South Carolina</x:v>
      </x:c>
      <x:c r="I307" s="60" t="str">
        <x:v>Roofing</x:v>
      </x:c>
      <x:c r="J307" s="60" t="str">
        <x:v>Residential Roofing Services</x:v>
      </x:c>
      <x:c r="K307" s="60" t="str"/>
      <x:c r="L307" s="60" t="str">
        <x:v>Owner / decision maker to verify</x:v>
      </x:c>
      <x:c r="M307" s="60" t="str"/>
      <x:c r="N307" s="60" t="str"/>
      <x:c r="O307" s="60" t="str">
        <x:v>(803) 256-3022</x:v>
      </x:c>
      <x:c r="P307" s="60" t="str"/>
      <x:c r="Q307" s="60" t="str"/>
      <x:c r="R307" s="60" t="str"/>
      <x:c r="S307" s="60" t="str">
        <x:v>4.7</x:v>
      </x:c>
      <x:c r="T307" s="74" t="str">
        <x:v>48</x:v>
      </x:c>
      <x:c r="U307" s="60" t="str"/>
      <x:c r="V307" s="74" t="str">
        <x:v>27</x:v>
      </x:c>
      <x:c r="W307" s="74" t="str">
        <x:v>0</x:v>
      </x:c>
      <x:c r="X307" s="74" t="str">
        <x:v>10</x:v>
      </x:c>
      <x:c r="Y307" s="74" t="str">
        <x:v>14</x:v>
      </x:c>
      <x:c r="Z307" s="74" t="str">
        <x:v>5</x:v>
      </x:c>
      <x:c r="AA307" s="74" t="str">
        <x:v>0</x:v>
      </x:c>
      <x:c r="AB307" s="74" t="str">
        <x:v>0</x:v>
      </x:c>
      <x:c r="AC307" s="74" t="str">
        <x:v>0</x:v>
      </x:c>
      <x:c r="AD307" s="74" t="str">
        <x:v>0</x:v>
      </x:c>
      <x:c r="AE307" s="74" t="str">
        <x:v>0</x:v>
      </x:c>
      <x:c r="AF307" s="74" t="str"/>
      <x:c r="AG307" s="74" t="str">
        <x:v>0</x:v>
      </x:c>
      <x:c r="AH307" s="74" t="str">
        <x:v>1</x:v>
      </x:c>
      <x:c r="AI307" s="74" t="str">
        <x:v>1</x:v>
      </x:c>
      <x:c r="AJ307" s="74" t="str">
        <x:v>0</x:v>
      </x:c>
      <x:c r="AK307" s="74" t="str">
        <x:v>1</x:v>
      </x:c>
      <x:c r="AL307" s="74" t="str">
        <x:v>0</x:v>
      </x:c>
      <x:c r="AM307" s="74" t="str">
        <x:v>1</x:v>
      </x:c>
      <x:c r="AN307" s="74" t="str">
        <x:v>0</x:v>
      </x:c>
      <x:c r="AO307" s="60" t="str">
        <x:v>0</x:v>
      </x:c>
      <x:c r="AP307" s="76" t="str">
        <x:v>Project/gallery proof found; no embedded homepage video found</x:v>
      </x:c>
      <x:c r="AQ307" s="76" t="str">
        <x:v>project/gallery proof; testimonials; visible service offer; no embedded homepage video detected</x:v>
      </x:c>
      <x:c r="AR307" s="76" t="str">
        <x:v>I found project/gallery proof on Residential Roofing Services's site that could be repackaged into short-form ad concepts.</x:v>
      </x:c>
      <x:c r="AS307" s="76" t="str">
        <x:v>storm-to-inspection before/after ad</x:v>
      </x:c>
      <x:c r="AT307" s="76" t="str">
        <x:v>Residential Roofing Services ad concept</x:v>
      </x:c>
      <x:c r="AU307" s="76" t="str">
        <x:v>Hi Residential Roofing Services — I found project/gallery proof on Residential Roofing Services's site that could be repackaged into short-form ad concepts. I mapped a private 15-second storm-to-inspection before/after ad for Residential Roofing Services using only public brand context—not for publishing, just to show the angle. We build three client-approved video ad concepts in seven days, then turn the winners into fresh variations. No filming day required. Worth sending the private sample?</x:v>
      </x:c>
      <x:c r="AV307" s="76" t="str">
        <x:v>Quick follow-up: the sample angle is a storm-to-inspection before/after ad. If it misses the mark, no problem—I won't keep chasing. Should I send it?</x:v>
      </x:c>
      <x:c r="AW307" s="76" t="str">
        <x:v>Hi Residential Roofing Services, Ryan here. I was looking at Residential Roofing Services's public marketing and noticed: project/gallery proof found; no embedded homepage video found. I mapped one private storm-to-inspection before/after ad as an example. Did I catch you with 30 seconds?</x:v>
      </x:c>
      <x:c r="AX307" s="60" t="str">
        <x:v>https://www.facebook.com/ads/library/?active_status=active&amp;ad_type=all&amp;country=US&amp;q=Residential%20Roofing%20Services&amp;search_type=keyword_unordered</x:v>
      </x:c>
      <x:c r="AY307" s="60" t="str">
        <x:v>ok:200</x:v>
      </x:c>
      <x:c r="AZ307" s="60" t="n">
        <x:v>46232.722858796296</x:v>
      </x:c>
      <x:c r="BA307" s="60" t="str">
        <x:v>Google Maps home-services export</x:v>
      </x:c>
      <x:c r="BB307" s="60" t="str">
        <x:v>https://maps.google.com/?cid=9679483113183926840&amp;g_mp=Cidnb29nbGUubWFwcy5wbGFjZXMudjEuUGxhY2VzLlNlYXJjaFRleHQQAhgEIAA | https://residentialroofingsc.com</x:v>
      </x:c>
      <x:c r="BC307" s="60" t="str"/>
    </x:row>
    <x:row r="308" ht="18" customHeight="1">
      <x:c r="A308" s="70" t="str">
        <x:v>307</x:v>
      </x:c>
      <x:c r="B308" s="70" t="str">
        <x:v>B - Strong</x:v>
      </x:c>
      <x:c r="C308" s="72" t="str">
        <x:v>56</x:v>
      </x:c>
      <x:c r="D308" s="60" t="str">
        <x:v>Rainbow Restoration</x:v>
      </x:c>
      <x:c r="E308" s="60" t="str">
        <x:v>https://rainbowrestores.com</x:v>
      </x:c>
      <x:c r="F308" s="60" t="str">
        <x:v>https://rainbowrestores.com</x:v>
      </x:c>
      <x:c r="G308" s="60" t="str">
        <x:v>Lexington County</x:v>
      </x:c>
      <x:c r="H308" s="60" t="str">
        <x:v>South Carolina</x:v>
      </x:c>
      <x:c r="I308" s="60" t="str">
        <x:v>Restoration</x:v>
      </x:c>
      <x:c r="J308" s="60" t="str">
        <x:v>Reed</x:v>
      </x:c>
      <x:c r="K308" s="60" t="str">
        <x:v>Mattingly</x:v>
      </x:c>
      <x:c r="L308" s="60" t="str">
        <x:v>Owner</x:v>
      </x:c>
      <x:c r="M308" s="60" t="str">
        <x:v>reed.mattingly@rainbowrestores.com</x:v>
      </x:c>
      <x:c r="N308" s="60" t="str">
        <x:v>Verified with BounceBan on 08 Jun 26 12:06</x:v>
      </x:c>
      <x:c r="O308" s="60" t="str"/>
      <x:c r="P308" s="60" t="str">
        <x:v>https://www.linkedin.com/in/reed-mattingly-84267012</x:v>
      </x:c>
      <x:c r="Q308" s="60" t="str">
        <x:v>1001-5000</x:v>
      </x:c>
      <x:c r="R308" s="60" t="str">
        <x:v>50000000-99999999</x:v>
      </x:c>
      <x:c r="S308" s="60" t="str"/>
      <x:c r="T308" s="74" t="str">
        <x:v>0</x:v>
      </x:c>
      <x:c r="U308" s="60" t="str"/>
      <x:c r="V308" s="74" t="str">
        <x:v>30</x:v>
      </x:c>
      <x:c r="W308" s="74" t="str">
        <x:v>0</x:v>
      </x:c>
      <x:c r="X308" s="74" t="str">
        <x:v>10</x:v>
      </x:c>
      <x:c r="Y308" s="74" t="str">
        <x:v>9</x:v>
      </x:c>
      <x:c r="Z308" s="74" t="str">
        <x:v>7</x:v>
      </x:c>
      <x:c r="AA308" s="74" t="str">
        <x:v>0</x:v>
      </x:c>
      <x:c r="AB308" s="74" t="str">
        <x:v>0</x:v>
      </x:c>
      <x:c r="AC308" s="74" t="str">
        <x:v>0</x:v>
      </x:c>
      <x:c r="AD308" s="74" t="str">
        <x:v>0</x:v>
      </x:c>
      <x:c r="AE308" s="74" t="str">
        <x:v>0</x:v>
      </x:c>
      <x:c r="AF308" s="74" t="str"/>
      <x:c r="AG308" s="74" t="str">
        <x:v>0</x:v>
      </x:c>
      <x:c r="AH308" s="74" t="str">
        <x:v>1</x:v>
      </x:c>
      <x:c r="AI308" s="74" t="str">
        <x:v>1</x:v>
      </x:c>
      <x:c r="AJ308" s="74" t="str">
        <x:v>0</x:v>
      </x:c>
      <x:c r="AK308" s="74" t="str">
        <x:v>0</x:v>
      </x:c>
      <x:c r="AL308" s="74" t="str">
        <x:v>0</x:v>
      </x:c>
      <x:c r="AM308" s="74" t="str">
        <x:v>0</x:v>
      </x:c>
      <x:c r="AN308" s="74" t="str">
        <x:v>0</x:v>
      </x:c>
      <x:c r="AO308" s="60" t="str">
        <x:v>0</x:v>
      </x:c>
      <x:c r="AP308" s="76" t="str">
        <x:v>Project/gallery proof found; no embedded homepage video found</x:v>
      </x:c>
      <x:c r="AQ308" s="76" t="str">
        <x:v>project/gallery proof; testimonials; no embedded homepage video detected</x:v>
      </x:c>
      <x:c r="AR308" s="76" t="str">
        <x:v>I found project/gallery proof on Rainbow Restoration's site that could be repackaged into short-form ad concepts.</x:v>
      </x:c>
      <x:c r="AS308" s="76" t="str">
        <x:v>first-24-hours emergency-response ad</x:v>
      </x:c>
      <x:c r="AT308" s="76" t="str">
        <x:v>Rainbow Restoration ad concept</x:v>
      </x:c>
      <x:c r="AU308" s="76" t="str">
        <x:v>Hi Reed — I found project/gallery proof on Rainbow Restoration's site that could be repackaged into short-form ad concepts. I mapped a private 15-second first-24-hours emergency-response ad for Rainbow Restoration using only public brand context—not for publishing, just to show the angle. We build three client-approved video ad concepts in seven days, then turn the winners into fresh variations. No filming day required. Worth sending the private sample?</x:v>
      </x:c>
      <x:c r="AV308" s="76" t="str">
        <x:v>Quick follow-up: the sample angle is a first-24-hours emergency-response ad. If it misses the mark, no problem—I won't keep chasing. Should I send it?</x:v>
      </x:c>
      <x:c r="AW308" s="76" t="str">
        <x:v>Hi Reed, Ryan here. I was looking at Rainbow Restoration's public marketing and noticed: project/gallery proof found; no embedded homepage video found. I mapped one private first-24-hours emergency-response ad as an example. Did I catch you with 30 seconds?</x:v>
      </x:c>
      <x:c r="AX308" s="60" t="str">
        <x:v>https://www.facebook.com/ads/library/?active_status=active&amp;ad_type=all&amp;country=US&amp;q=Rainbow%20Restoration&amp;search_type=keyword_unordered</x:v>
      </x:c>
      <x:c r="AY308" s="60" t="str">
        <x:v>ok:200</x:v>
      </x:c>
      <x:c r="AZ308" s="60" t="n">
        <x:v>46232.722858796296</x:v>
      </x:c>
      <x:c r="BA308" s="60" t="str">
        <x:v>AI Ark SC trades export</x:v>
      </x:c>
      <x:c r="BB308" s="60" t="str">
        <x:v>https://rainbowrestores.com | https://www.linkedin.com/company/rainbow-restores</x:v>
      </x:c>
      <x:c r="BC308" s="60" t="str"/>
    </x:row>
    <x:row r="309" ht="18" customHeight="1">
      <x:c r="A309" s="70" t="str">
        <x:v>308</x:v>
      </x:c>
      <x:c r="B309" s="70" t="str">
        <x:v>B - Strong</x:v>
      </x:c>
      <x:c r="C309" s="72" t="str">
        <x:v>55</x:v>
      </x:c>
      <x:c r="D309" s="60" t="str">
        <x:v>James White Construction, LLC</x:v>
      </x:c>
      <x:c r="E309" s="60" t="str">
        <x:v>https://jwcsitework.com</x:v>
      </x:c>
      <x:c r="F309" s="60" t="str">
        <x:v>https://jwcsitework.com</x:v>
      </x:c>
      <x:c r="G309" s="60" t="str">
        <x:v>Charleston</x:v>
      </x:c>
      <x:c r="H309" s="60" t="str">
        <x:v>South Carolina Metropolitan Area</x:v>
      </x:c>
      <x:c r="I309" s="60" t="str">
        <x:v>General Contractor</x:v>
      </x:c>
      <x:c r="J309" s="60" t="str">
        <x:v>Dan</x:v>
      </x:c>
      <x:c r="K309" s="60" t="str">
        <x:v>Hankins</x:v>
      </x:c>
      <x:c r="L309" s="60" t="str">
        <x:v>Company Owner</x:v>
      </x:c>
      <x:c r="M309" s="60" t="str">
        <x:v>dan@jwcsitework.com</x:v>
      </x:c>
      <x:c r="N309" s="60" t="str">
        <x:v>Verified with BounceBan on 08 Jun 26 12:06</x:v>
      </x:c>
      <x:c r="O309" s="60" t="str"/>
      <x:c r="P309" s="60" t="str">
        <x:v>https://www.linkedin.com/in/dan-hankins-b7b930bb</x:v>
      </x:c>
      <x:c r="Q309" s="60" t="str">
        <x:v>51-200</x:v>
      </x:c>
      <x:c r="R309" s="60" t="str">
        <x:v>500000-999999</x:v>
      </x:c>
      <x:c r="S309" s="60" t="str"/>
      <x:c r="T309" s="74" t="str">
        <x:v>0</x:v>
      </x:c>
      <x:c r="U309" s="60" t="str"/>
      <x:c r="V309" s="74" t="str">
        <x:v>25</x:v>
      </x:c>
      <x:c r="W309" s="74" t="str">
        <x:v>23</x:v>
      </x:c>
      <x:c r="X309" s="74" t="str">
        <x:v>0</x:v>
      </x:c>
      <x:c r="Y309" s="74" t="str">
        <x:v>0</x:v>
      </x:c>
      <x:c r="Z309" s="74" t="str">
        <x:v>7</x:v>
      </x:c>
      <x:c r="AA309" s="74" t="str">
        <x:v>1</x:v>
      </x:c>
      <x:c r="AB309" s="74" t="str">
        <x:v>0</x:v>
      </x:c>
      <x:c r="AC309" s="74" t="str">
        <x:v>1</x:v>
      </x:c>
      <x:c r="AD309" s="74" t="str">
        <x:v>0</x:v>
      </x:c>
      <x:c r="AE309" s="74" t="str">
        <x:v>1</x:v>
      </x:c>
      <x:c r="AF309" s="74" t="str"/>
      <x:c r="AG309" s="74" t="str">
        <x:v>1</x:v>
      </x:c>
      <x:c r="AH309" s="74" t="str">
        <x:v>0</x:v>
      </x:c>
      <x:c r="AI309" s="74" t="str">
        <x:v>0</x:v>
      </x:c>
      <x:c r="AJ309" s="74" t="str">
        <x:v>0</x:v>
      </x:c>
      <x:c r="AK309" s="74" t="str">
        <x:v>0</x:v>
      </x:c>
      <x:c r="AL309" s="74" t="str">
        <x:v>1</x:v>
      </x:c>
      <x:c r="AM309" s="74" t="str">
        <x:v>1</x:v>
      </x:c>
      <x:c r="AN309" s="74" t="str">
        <x:v>1</x:v>
      </x:c>
      <x:c r="AO309" s="60" t="str">
        <x:v>2025</x:v>
      </x:c>
      <x:c r="AP309" s="76" t="str">
        <x:v>Paid-demand technology detected; creative refresh hypothesis</x:v>
      </x:c>
      <x:c r="AQ309" s="76" t="str">
        <x:v>Meta Pixel; call tracking</x:v>
      </x:c>
      <x:c r="AR309" s="76" t="str">
        <x:v>I was reviewing general contractor companies in Charleston, South Carolina Metropolitan Area and James White Construction, LLC looked like a strong fit for a creative test.</x:v>
      </x:c>
      <x:c r="AS309" s="76" t="str">
        <x:v>project walkthrough with proof milestones</x:v>
      </x:c>
      <x:c r="AT309" s="76" t="str">
        <x:v>James White Construction, LLC ad concept</x:v>
      </x:c>
      <x:c r="AU309" s="76" t="str">
        <x:v>Hi Dan — I was reviewing general contractor companies in Charleston, South Carolina Metropolitan Area and James White Construction, LLC looked like a strong fit for a creative test. I mapped a private 15-second project walkthrough with proof milestones for James White Construction, LLC using only public brand context—not for publishing, just to show the angle. We build three client-approved video ad concepts in seven days, then turn the winners into fresh variations. No filming day required. Worth sending the private sample?</x:v>
      </x:c>
      <x:c r="AV309" s="76" t="str">
        <x:v>Quick follow-up: the sample angle is a project walkthrough with proof milestones. If it misses the mark, no problem—I won't keep chasing. Should I send it?</x:v>
      </x:c>
      <x:c r="AW309" s="76" t="str">
        <x:v>Hi Dan, Ryan here. I was looking at James White Construction, LLC's public marketing and noticed: paid-demand technology detected; creative refresh hypothesis. I mapped one private project walkthrough with proof milestones as an example. Did I catch you with 30 seconds?</x:v>
      </x:c>
      <x:c r="AX309" s="60" t="str">
        <x:v>https://www.facebook.com/ads/library/?active_status=active&amp;ad_type=all&amp;country=US&amp;q=James%20White%20Construction%2C%20LLC&amp;search_type=keyword_unordered</x:v>
      </x:c>
      <x:c r="AY309" s="60" t="str">
        <x:v>ok:200</x:v>
      </x:c>
      <x:c r="AZ309" s="60" t="n">
        <x:v>46232.722858796296</x:v>
      </x:c>
      <x:c r="BA309" s="60" t="str">
        <x:v>AI Ark SC trades export</x:v>
      </x:c>
      <x:c r="BB309" s="60" t="str">
        <x:v>https://jwcsitework.com | https://www.linkedin.com/company/jameswhiteconstruction</x:v>
      </x:c>
      <x:c r="BC309" s="60" t="str"/>
    </x:row>
    <x:row r="310" ht="18" customHeight="1">
      <x:c r="A310" s="70" t="str">
        <x:v>309</x:v>
      </x:c>
      <x:c r="B310" s="70" t="str">
        <x:v>B - Strong</x:v>
      </x:c>
      <x:c r="C310" s="72" t="str">
        <x:v>55</x:v>
      </x:c>
      <x:c r="D310" s="60" t="str">
        <x:v>Charles Towne Plumbing</x:v>
      </x:c>
      <x:c r="E310" s="60" t="str">
        <x:v>https://charlestowneplumbing.com</x:v>
      </x:c>
      <x:c r="F310" s="60" t="str">
        <x:v>https://charlestowneplumbing.com</x:v>
      </x:c>
      <x:c r="G310" s="60" t="str">
        <x:v>Charleston</x:v>
      </x:c>
      <x:c r="H310" s="60" t="str">
        <x:v>South Carolina</x:v>
      </x:c>
      <x:c r="I310" s="60" t="str">
        <x:v>Plumbing</x:v>
      </x:c>
      <x:c r="J310" s="60" t="str">
        <x:v>Charles Towne Plumbing</x:v>
      </x:c>
      <x:c r="K310" s="60" t="str"/>
      <x:c r="L310" s="60" t="str">
        <x:v>Owner / decision maker to verify</x:v>
      </x:c>
      <x:c r="M310" s="60" t="str"/>
      <x:c r="N310" s="60" t="str"/>
      <x:c r="O310" s="60" t="str">
        <x:v>(843) 212-4111</x:v>
      </x:c>
      <x:c r="P310" s="60" t="str"/>
      <x:c r="Q310" s="60" t="str"/>
      <x:c r="R310" s="60" t="str"/>
      <x:c r="S310" s="60" t="str">
        <x:v>5</x:v>
      </x:c>
      <x:c r="T310" s="74" t="str">
        <x:v>44</x:v>
      </x:c>
      <x:c r="U310" s="60" t="str"/>
      <x:c r="V310" s="74" t="str">
        <x:v>22</x:v>
      </x:c>
      <x:c r="W310" s="74" t="str">
        <x:v>16</x:v>
      </x:c>
      <x:c r="X310" s="74" t="str">
        <x:v>0</x:v>
      </x:c>
      <x:c r="Y310" s="74" t="str">
        <x:v>12</x:v>
      </x:c>
      <x:c r="Z310" s="74" t="str">
        <x:v>5</x:v>
      </x:c>
      <x:c r="AA310" s="74" t="str">
        <x:v>0</x:v>
      </x:c>
      <x:c r="AB310" s="74" t="str">
        <x:v>1</x:v>
      </x:c>
      <x:c r="AC310" s="74" t="str">
        <x:v>1</x:v>
      </x:c>
      <x:c r="AD310" s="74" t="str">
        <x:v>0</x:v>
      </x:c>
      <x:c r="AE310" s="74" t="str">
        <x:v>0</x:v>
      </x:c>
      <x:c r="AF310" s="74" t="str">
        <x:v>servicetitan</x:v>
      </x:c>
      <x:c r="AG310" s="74" t="str">
        <x:v>1</x:v>
      </x:c>
      <x:c r="AH310" s="74" t="str">
        <x:v>0</x:v>
      </x:c>
      <x:c r="AI310" s="74" t="str">
        <x:v>1</x:v>
      </x:c>
      <x:c r="AJ310" s="74" t="str">
        <x:v>1</x:v>
      </x:c>
      <x:c r="AK310" s="74" t="str">
        <x:v>1</x:v>
      </x:c>
      <x:c r="AL310" s="74" t="str">
        <x:v>1</x:v>
      </x:c>
      <x:c r="AM310" s="74" t="str">
        <x:v>1</x:v>
      </x:c>
      <x:c r="AN310" s="74" t="str">
        <x:v>1</x:v>
      </x:c>
      <x:c r="AO310" s="60" t="str">
        <x:v>2026</x:v>
      </x:c>
      <x:c r="AP310" s="76" t="str">
        <x:v>Paid-demand technology detected; creative refresh hypothesis</x:v>
      </x:c>
      <x:c r="AQ310" s="76" t="str">
        <x:v>Google Ads tag; testimonials; financing; visible service offer</x:v>
      </x:c>
      <x:c r="AR310" s="76" t="str">
        <x:v>I was reviewing plumbing companies in Charleston, South Carolina and Charles Towne Plumbing looked like a strong fit for a creative test.</x:v>
      </x:c>
      <x:c r="AS310" s="76" t="str">
        <x:v>small symptom to prevented-emergency ad</x:v>
      </x:c>
      <x:c r="AT310" s="76" t="str">
        <x:v>Charles Towne Plumbing ad concept</x:v>
      </x:c>
      <x:c r="AU310" s="76" t="str">
        <x:v>Hi Charles Towne Plumbing — I was reviewing plumbing companies in Charleston, South Carolina and Charles Towne Plumbing looked like a strong fit for a creative test. I mapped a private 15-second small symptom to prevented-emergency ad for Charles Towne Plumbing using only public brand context—not for publishing, just to show the angle. We build three client-approved video ad concepts in seven days, then turn the winners into fresh variations. No filming day required. Worth sending the private sample?</x:v>
      </x:c>
      <x:c r="AV310" s="76" t="str">
        <x:v>Quick follow-up: the sample angle is a small symptom to prevented-emergency ad. If it misses the mark, no problem—I won't keep chasing. Should I send it?</x:v>
      </x:c>
      <x:c r="AW310" s="76" t="str">
        <x:v>Hi Charles Towne Plumbing, Ryan here. I was looking at Charles Towne Plumbing's public marketing and noticed: paid-demand technology detected; creative refresh hypothesis. I mapped one private small symptom to prevented-emergency ad as an example. Did I catch you with 30 seconds?</x:v>
      </x:c>
      <x:c r="AX310" s="60" t="str">
        <x:v>https://www.facebook.com/ads/library/?active_status=active&amp;ad_type=all&amp;country=US&amp;q=Charles%20Towne%20Plumbing&amp;search_type=keyword_unordered</x:v>
      </x:c>
      <x:c r="AY310" s="60" t="str">
        <x:v>ok:200</x:v>
      </x:c>
      <x:c r="AZ310" s="60" t="n">
        <x:v>46232.722858796296</x:v>
      </x:c>
      <x:c r="BA310" s="60" t="str">
        <x:v>Google Maps home-services export</x:v>
      </x:c>
      <x:c r="BB310" s="60" t="str">
        <x:v>https://charlestowneplumbing.com | https://maps.google.com/?cid=209409099021353776&amp;g_mp=Cidnb29nbGUubWFwcy5wbGFjZXMudjEuUGxhY2VzLlNlYXJjaFRleHQQAhgEIAA | https://maps.google.com/?cid=4004392008756334571&amp;g_mp=Cidnb29nbGUubWFwcy5wbGFjZXMudjEuUGxhY2VzLlNlYXJjaFRleHQQAhgEIAA</x:v>
      </x:c>
      <x:c r="BC310" s="60" t="str"/>
    </x:row>
    <x:row r="311" ht="18" customHeight="1">
      <x:c r="A311" s="70" t="str">
        <x:v>310</x:v>
      </x:c>
      <x:c r="B311" s="70" t="str">
        <x:v>B - Strong</x:v>
      </x:c>
      <x:c r="C311" s="72" t="str">
        <x:v>55</x:v>
      </x:c>
      <x:c r="D311" s="60" t="str">
        <x:v>Central Electrical Services</x:v>
      </x:c>
      <x:c r="E311" s="60" t="str">
        <x:v>https://powerwithoutpower.com</x:v>
      </x:c>
      <x:c r="F311" s="60" t="str">
        <x:v>https://powerwithoutpower.com</x:v>
      </x:c>
      <x:c r="G311" s="60" t="str">
        <x:v>Greenville</x:v>
      </x:c>
      <x:c r="H311" s="60" t="str">
        <x:v>South Carolina</x:v>
      </x:c>
      <x:c r="I311" s="60" t="str">
        <x:v>Electrical</x:v>
      </x:c>
      <x:c r="J311" s="60" t="str">
        <x:v>Central Electrical Services</x:v>
      </x:c>
      <x:c r="K311" s="60" t="str"/>
      <x:c r="L311" s="60" t="str">
        <x:v>Owner / decision maker to verify</x:v>
      </x:c>
      <x:c r="M311" s="60" t="str"/>
      <x:c r="N311" s="60" t="str"/>
      <x:c r="O311" s="60" t="str">
        <x:v>(864) 303-5253</x:v>
      </x:c>
      <x:c r="P311" s="60" t="str"/>
      <x:c r="Q311" s="60" t="str"/>
      <x:c r="R311" s="60" t="str"/>
      <x:c r="S311" s="60" t="str">
        <x:v>5</x:v>
      </x:c>
      <x:c r="T311" s="74" t="str">
        <x:v>123</x:v>
      </x:c>
      <x:c r="U311" s="60" t="str"/>
      <x:c r="V311" s="74" t="str">
        <x:v>23</x:v>
      </x:c>
      <x:c r="W311" s="74" t="str">
        <x:v>15</x:v>
      </x:c>
      <x:c r="X311" s="74" t="str">
        <x:v>0</x:v>
      </x:c>
      <x:c r="Y311" s="74" t="str">
        <x:v>12</x:v>
      </x:c>
      <x:c r="Z311" s="74" t="str">
        <x:v>5</x:v>
      </x:c>
      <x:c r="AA311" s="74" t="str">
        <x:v>1</x:v>
      </x:c>
      <x:c r="AB311" s="74" t="str">
        <x:v>0</x:v>
      </x:c>
      <x:c r="AC311" s="74" t="str">
        <x:v>1</x:v>
      </x:c>
      <x:c r="AD311" s="74" t="str">
        <x:v>0</x:v>
      </x:c>
      <x:c r="AE311" s="74" t="str">
        <x:v>0</x:v>
      </x:c>
      <x:c r="AF311" s="74" t="str"/>
      <x:c r="AG311" s="74" t="str">
        <x:v>1</x:v>
      </x:c>
      <x:c r="AH311" s="74" t="str">
        <x:v>1</x:v>
      </x:c>
      <x:c r="AI311" s="74" t="str">
        <x:v>1</x:v>
      </x:c>
      <x:c r="AJ311" s="74" t="str">
        <x:v>0</x:v>
      </x:c>
      <x:c r="AK311" s="74" t="str">
        <x:v>0</x:v>
      </x:c>
      <x:c r="AL311" s="74" t="str">
        <x:v>0</x:v>
      </x:c>
      <x:c r="AM311" s="74" t="str">
        <x:v>1</x:v>
      </x:c>
      <x:c r="AN311" s="74" t="str">
        <x:v>1</x:v>
      </x:c>
      <x:c r="AO311" s="60" t="str">
        <x:v>2026</x:v>
      </x:c>
      <x:c r="AP311" s="76" t="str">
        <x:v>Paid-demand technology detected; creative refresh hypothesis</x:v>
      </x:c>
      <x:c r="AQ311" s="76" t="str">
        <x:v>Meta Pixel; project/gallery proof; testimonials</x:v>
      </x:c>
      <x:c r="AR311" s="76" t="str">
        <x:v>I was reviewing electrical companies in Greenville, South Carolina and Central Electrical Services looked like a strong fit for a creative test.</x:v>
      </x:c>
      <x:c r="AS311" s="76" t="str">
        <x:v>safety inspection problem/solution ad</x:v>
      </x:c>
      <x:c r="AT311" s="76" t="str">
        <x:v>Central Electrical Services ad concept</x:v>
      </x:c>
      <x:c r="AU311" s="76" t="str">
        <x:v>Hi Central Electrical Services — I was reviewing electrical companies in Greenville, South Carolina and Central Electrical Services looked like a strong fit for a creative test. I mapped a private 15-second safety inspection problem/solution ad for Central Electrical Services using only public brand context—not for publishing, just to show the angle. We build three client-approved video ad concepts in seven days, then turn the winners into fresh variations. No filming day required. Worth sending the private sample?</x:v>
      </x:c>
      <x:c r="AV311" s="76" t="str">
        <x:v>Quick follow-up: the sample angle is a safety inspection problem/solution ad. If it misses the mark, no problem—I won't keep chasing. Should I send it?</x:v>
      </x:c>
      <x:c r="AW311" s="76" t="str">
        <x:v>Hi Central Electrical Services, Ryan here. I was looking at Central Electrical Services's public marketing and noticed: paid-demand technology detected; creative refresh hypothesis. I mapped one private safety inspection problem/solution ad as an example. Did I catch you with 30 seconds?</x:v>
      </x:c>
      <x:c r="AX311" s="60" t="str">
        <x:v>https://www.facebook.com/ads/library/?active_status=active&amp;ad_type=all&amp;country=US&amp;q=Central%20Electrical%20Services&amp;search_type=keyword_unordered</x:v>
      </x:c>
      <x:c r="AY311" s="60" t="str">
        <x:v>ok:200</x:v>
      </x:c>
      <x:c r="AZ311" s="60" t="n">
        <x:v>46232.722858796296</x:v>
      </x:c>
      <x:c r="BA311" s="60" t="str">
        <x:v>Google Maps home-services export</x:v>
      </x:c>
      <x:c r="BB311" s="60" t="str">
        <x:v>https://maps.google.com/?cid=7271368947957172543&amp;g_mp=Cidnb29nbGUubWFwcy5wbGFjZXMudjEuUGxhY2VzLlNlYXJjaFRleHQQAhgEIAA | https://powerwithoutpower.com</x:v>
      </x:c>
      <x:c r="BC311" s="60" t="str"/>
    </x:row>
    <x:row r="312" ht="18" customHeight="1">
      <x:c r="A312" s="70" t="str">
        <x:v>311</x:v>
      </x:c>
      <x:c r="B312" s="70" t="str">
        <x:v>B - Strong</x:v>
      </x:c>
      <x:c r="C312" s="72" t="str">
        <x:v>55</x:v>
      </x:c>
      <x:c r="D312" s="60" t="str">
        <x:v>Garage Door Guru</x:v>
      </x:c>
      <x:c r="E312" s="60" t="str">
        <x:v>https://hellogaragedoorguru.com</x:v>
      </x:c>
      <x:c r="F312" s="60" t="str">
        <x:v>https://www.hellogaragedoorguru.com/</x:v>
      </x:c>
      <x:c r="G312" s="60" t="str">
        <x:v>Rock Hill</x:v>
      </x:c>
      <x:c r="H312" s="60" t="str">
        <x:v>South Carolina</x:v>
      </x:c>
      <x:c r="I312" s="60" t="str">
        <x:v>Garage Doors</x:v>
      </x:c>
      <x:c r="J312" s="60" t="str">
        <x:v>Garage Door Guru</x:v>
      </x:c>
      <x:c r="K312" s="60" t="str"/>
      <x:c r="L312" s="60" t="str">
        <x:v>Owner / decision maker to verify</x:v>
      </x:c>
      <x:c r="M312" s="60" t="str"/>
      <x:c r="N312" s="60" t="str"/>
      <x:c r="O312" s="60" t="str">
        <x:v>(704) 661-9070</x:v>
      </x:c>
      <x:c r="P312" s="60" t="str"/>
      <x:c r="Q312" s="60" t="str"/>
      <x:c r="R312" s="60" t="str"/>
      <x:c r="S312" s="60" t="str">
        <x:v>4.8</x:v>
      </x:c>
      <x:c r="T312" s="74" t="str">
        <x:v>332</x:v>
      </x:c>
      <x:c r="U312" s="60" t="str"/>
      <x:c r="V312" s="74" t="str">
        <x:v>25</x:v>
      </x:c>
      <x:c r="W312" s="74" t="str">
        <x:v>15</x:v>
      </x:c>
      <x:c r="X312" s="74" t="str">
        <x:v>4</x:v>
      </x:c>
      <x:c r="Y312" s="74" t="str">
        <x:v>6</x:v>
      </x:c>
      <x:c r="Z312" s="74" t="str">
        <x:v>5</x:v>
      </x:c>
      <x:c r="AA312" s="74" t="str">
        <x:v>1</x:v>
      </x:c>
      <x:c r="AB312" s="74" t="str">
        <x:v>0</x:v>
      </x:c>
      <x:c r="AC312" s="74" t="str">
        <x:v>1</x:v>
      </x:c>
      <x:c r="AD312" s="74" t="str">
        <x:v>0</x:v>
      </x:c>
      <x:c r="AE312" s="74" t="str">
        <x:v>0</x:v>
      </x:c>
      <x:c r="AF312" s="74" t="str"/>
      <x:c r="AG312" s="74" t="str">
        <x:v>1</x:v>
      </x:c>
      <x:c r="AH312" s="74" t="str">
        <x:v>0</x:v>
      </x:c>
      <x:c r="AI312" s="74" t="str">
        <x:v>0</x:v>
      </x:c>
      <x:c r="AJ312" s="74" t="str">
        <x:v>0</x:v>
      </x:c>
      <x:c r="AK312" s="74" t="str">
        <x:v>1</x:v>
      </x:c>
      <x:c r="AL312" s="74" t="str">
        <x:v>0</x:v>
      </x:c>
      <x:c r="AM312" s="74" t="str">
        <x:v>1</x:v>
      </x:c>
      <x:c r="AN312" s="74" t="str">
        <x:v>0</x:v>
      </x:c>
      <x:c r="AO312" s="60" t="str">
        <x:v>2026</x:v>
      </x:c>
      <x:c r="AP312" s="76" t="str">
        <x:v>Paid-demand technology detected; creative refresh hypothesis</x:v>
      </x:c>
      <x:c r="AQ312" s="76" t="str">
        <x:v>Meta Pixel; visible service offer</x:v>
      </x:c>
      <x:c r="AR312" s="76" t="str">
        <x:v>I was reviewing garage doors companies in Rock Hill, South Carolina and Garage Door Guru looked like a strong fit for a creative test.</x:v>
      </x:c>
      <x:c r="AS312" s="76" t="str">
        <x:v>curb-appeal transformation ad</x:v>
      </x:c>
      <x:c r="AT312" s="76" t="str">
        <x:v>Garage Door Guru ad concept</x:v>
      </x:c>
      <x:c r="AU312" s="76" t="str">
        <x:v>Hi Garage Door Guru — I was reviewing garage doors companies in Rock Hill, South Carolina and Garage Door Guru looked like a strong fit for a creative test. I mapped a private 15-second curb-appeal transformation ad for Garage Door Guru using only public brand context—not for publishing, just to show the angle. We build three client-approved video ad concepts in seven days, then turn the winners into fresh variations. No filming day required. Worth sending the private sample?</x:v>
      </x:c>
      <x:c r="AV312" s="76" t="str">
        <x:v>Quick follow-up: the sample angle is a curb-appeal transformation ad. If it misses the mark, no problem—I won't keep chasing. Should I send it?</x:v>
      </x:c>
      <x:c r="AW312" s="76" t="str">
        <x:v>Hi Garage Door Guru, Ryan here. I was looking at Garage Door Guru's public marketing and noticed: paid-demand technology detected; creative refresh hypothesis. I mapped one private curb-appeal transformation ad as an example. Did I catch you with 30 seconds?</x:v>
      </x:c>
      <x:c r="AX312" s="60" t="str">
        <x:v>https://www.facebook.com/ads/library/?active_status=active&amp;ad_type=all&amp;country=US&amp;q=Garage%20Door%20Guru&amp;search_type=keyword_unordered</x:v>
      </x:c>
      <x:c r="AY312" s="60" t="str">
        <x:v>ok:200</x:v>
      </x:c>
      <x:c r="AZ312" s="60" t="n">
        <x:v>46232.722858796296</x:v>
      </x:c>
      <x:c r="BA312" s="60" t="str">
        <x:v>Google Maps home-services export</x:v>
      </x:c>
      <x:c r="BB312" s="60" t="str">
        <x:v>https://hellogaragedoorguru.com | https://maps.google.com/?cid=7587538989642178704&amp;g_mp=Cidnb29nbGUubWFwcy5wbGFjZXMudjEuUGxhY2VzLlNlYXJjaFRleHQQAhgEIAA</x:v>
      </x:c>
      <x:c r="BC312" s="60" t="str"/>
    </x:row>
    <x:row r="313" ht="18" customHeight="1">
      <x:c r="A313" s="70" t="str">
        <x:v>312</x:v>
      </x:c>
      <x:c r="B313" s="70" t="str">
        <x:v>B - Strong</x:v>
      </x:c>
      <x:c r="C313" s="72" t="str">
        <x:v>55</x:v>
      </x:c>
      <x:c r="D313" s="60" t="str">
        <x:v>Clutter-Less</x:v>
      </x:c>
      <x:c r="E313" s="60" t="str">
        <x:v>https://clutterlessdemolition.com</x:v>
      </x:c>
      <x:c r="F313" s="60" t="str">
        <x:v>https://clutterlessdemolition.com</x:v>
      </x:c>
      <x:c r="G313" s="60" t="str">
        <x:v>Lexington</x:v>
      </x:c>
      <x:c r="H313" s="60" t="str">
        <x:v>South Carolina</x:v>
      </x:c>
      <x:c r="I313" s="60" t="str">
        <x:v>Remodeling</x:v>
      </x:c>
      <x:c r="J313" s="60" t="str">
        <x:v>Tracy</x:v>
      </x:c>
      <x:c r="K313" s="60" t="str">
        <x:v>Selfridge</x:v>
      </x:c>
      <x:c r="L313" s="60" t="str">
        <x:v>Owner, Clutter-Less - Demolition Contractor</x:v>
      </x:c>
      <x:c r="M313" s="60" t="str"/>
      <x:c r="N313" s="60" t="str"/>
      <x:c r="O313" s="60" t="str"/>
      <x:c r="P313" s="60" t="str">
        <x:v>https://www.linkedin.com/in/tracy-selfridge-baa700237</x:v>
      </x:c>
      <x:c r="Q313" s="60" t="str">
        <x:v>2-10</x:v>
      </x:c>
      <x:c r="R313" s="60" t="str">
        <x:v>0-99999</x:v>
      </x:c>
      <x:c r="S313" s="60" t="str"/>
      <x:c r="T313" s="74" t="str">
        <x:v>0</x:v>
      </x:c>
      <x:c r="U313" s="60" t="str"/>
      <x:c r="V313" s="74" t="str">
        <x:v>25</x:v>
      </x:c>
      <x:c r="W313" s="74" t="str">
        <x:v>13</x:v>
      </x:c>
      <x:c r="X313" s="74" t="str">
        <x:v>15</x:v>
      </x:c>
      <x:c r="Y313" s="74" t="str">
        <x:v>0</x:v>
      </x:c>
      <x:c r="Z313" s="74" t="str">
        <x:v>2</x:v>
      </x:c>
      <x:c r="AA313" s="74" t="str">
        <x:v>0</x:v>
      </x:c>
      <x:c r="AB313" s="74" t="str">
        <x:v>1</x:v>
      </x:c>
      <x:c r="AC313" s="74" t="str">
        <x:v>1</x:v>
      </x:c>
      <x:c r="AD313" s="74" t="str">
        <x:v>0</x:v>
      </x:c>
      <x:c r="AE313" s="74" t="str">
        <x:v>0</x:v>
      </x:c>
      <x:c r="AF313" s="74" t="str"/>
      <x:c r="AG313" s="74" t="str">
        <x:v>0</x:v>
      </x:c>
      <x:c r="AH313" s="74" t="str">
        <x:v>0</x:v>
      </x:c>
      <x:c r="AI313" s="74" t="str">
        <x:v>0</x:v>
      </x:c>
      <x:c r="AJ313" s="74" t="str">
        <x:v>0</x:v>
      </x:c>
      <x:c r="AK313" s="74" t="str">
        <x:v>0</x:v>
      </x:c>
      <x:c r="AL313" s="74" t="str">
        <x:v>1</x:v>
      </x:c>
      <x:c r="AM313" s="74" t="str">
        <x:v>1</x:v>
      </x:c>
      <x:c r="AN313" s="74" t="str">
        <x:v>0</x:v>
      </x:c>
      <x:c r="AO313" s="60" t="str">
        <x:v>2022</x:v>
      </x:c>
      <x:c r="AP313" s="76" t="str">
        <x:v>Google Ads tag detected; no embedded homepage video found</x:v>
      </x:c>
      <x:c r="AQ313" s="76" t="str">
        <x:v>Google Ads tag; no embedded homepage video detected</x:v>
      </x:c>
      <x:c r="AR313" s="76" t="str">
        <x:v>I noticed Clutter-Less's site has a Google Ads tag installed, but I couldn't find an embedded video on the homepage.</x:v>
      </x:c>
      <x:c r="AS313" s="76" t="str">
        <x:v>project reveal with budget-and-timeline proof</x:v>
      </x:c>
      <x:c r="AT313" s="76" t="str">
        <x:v>Clutter-Less ad concept</x:v>
      </x:c>
      <x:c r="AU313" s="76" t="str">
        <x:v>Hi Tracy — I noticed Clutter-Less's site has a Google Ads tag installed, but I couldn't find an embedded video on the homepage. I mapped a private 15-second project reveal with budget-and-timeline proof for Clutter-Less using only public brand context—not for publishing, just to show the angle. We build three client-approved video ad concepts in seven days, then turn the winners into fresh variations. No filming day required. Worth sending the private sample?</x:v>
      </x:c>
      <x:c r="AV313" s="76" t="str">
        <x:v>Quick follow-up: the sample angle is a project reveal with budget-and-timeline proof. If it misses the mark, no problem—I won't keep chasing. Should I send it?</x:v>
      </x:c>
      <x:c r="AW313" s="76" t="str">
        <x:v>Hi Tracy, Ryan here. I was looking at Clutter-Less's public marketing and noticed: google ads tag detected; no embedded homepage video found. I mapped one private project reveal with budget-and-timeline proof as an example. Did I catch you with 30 seconds?</x:v>
      </x:c>
      <x:c r="AX313" s="60" t="str">
        <x:v>https://www.facebook.com/ads/library/?active_status=active&amp;ad_type=all&amp;country=US&amp;q=Clutter-Less&amp;search_type=keyword_unordered</x:v>
      </x:c>
      <x:c r="AY313" s="60" t="str">
        <x:v>ok:200</x:v>
      </x:c>
      <x:c r="AZ313" s="60" t="n">
        <x:v>46232.722858796296</x:v>
      </x:c>
      <x:c r="BA313" s="60" t="str">
        <x:v>AI Ark SC trades export</x:v>
      </x:c>
      <x:c r="BB313" s="60" t="str">
        <x:v>https://clutterlessdemolition.com | https://www.linkedin.com/company/clutter-less</x:v>
      </x:c>
      <x:c r="BC313" s="60" t="str"/>
    </x:row>
    <x:row r="314" ht="18" customHeight="1">
      <x:c r="A314" s="70" t="str">
        <x:v>313</x:v>
      </x:c>
      <x:c r="B314" s="70" t="str">
        <x:v>B - Strong</x:v>
      </x:c>
      <x:c r="C314" s="72" t="str">
        <x:v>55</x:v>
      </x:c>
      <x:c r="D314" s="60" t="str">
        <x:v>1-800 WATER DAMAGE of Lexington County</x:v>
      </x:c>
      <x:c r="E314" s="60" t="str">
        <x:v>https://1800waterdamage.com</x:v>
      </x:c>
      <x:c r="F314" s="60" t="str">
        <x:v>https://www.1800waterdamage.com/</x:v>
      </x:c>
      <x:c r="G314" s="60" t="str">
        <x:v>Columbia</x:v>
      </x:c>
      <x:c r="H314" s="60" t="str">
        <x:v>South Carolina Metropolitan Area</x:v>
      </x:c>
      <x:c r="I314" s="60" t="str">
        <x:v>Restoration</x:v>
      </x:c>
      <x:c r="J314" s="60" t="str">
        <x:v>Gene</x:v>
      </x:c>
      <x:c r="K314" s="60" t="str">
        <x:v>Harvey</x:v>
      </x:c>
      <x:c r="L314" s="60" t="str">
        <x:v>Owner</x:v>
      </x:c>
      <x:c r="M314" s="60" t="str"/>
      <x:c r="N314" s="60" t="str"/>
      <x:c r="O314" s="60" t="str">
        <x:v>+1 803 413 2679</x:v>
      </x:c>
      <x:c r="P314" s="60" t="str">
        <x:v>https://www.linkedin.com/in/gene-harvey-5749a94</x:v>
      </x:c>
      <x:c r="Q314" s="60" t="str">
        <x:v>2-10</x:v>
      </x:c>
      <x:c r="R314" s="60" t="str">
        <x:v>0-99999</x:v>
      </x:c>
      <x:c r="S314" s="60" t="str"/>
      <x:c r="T314" s="74" t="str">
        <x:v>0</x:v>
      </x:c>
      <x:c r="U314" s="60" t="str"/>
      <x:c r="V314" s="74" t="str">
        <x:v>28</x:v>
      </x:c>
      <x:c r="W314" s="74" t="str">
        <x:v>12</x:v>
      </x:c>
      <x:c r="X314" s="74" t="str">
        <x:v>3</x:v>
      </x:c>
      <x:c r="Y314" s="74" t="str">
        <x:v>7</x:v>
      </x:c>
      <x:c r="Z314" s="74" t="str">
        <x:v>5</x:v>
      </x:c>
      <x:c r="AA314" s="74" t="str">
        <x:v>1</x:v>
      </x:c>
      <x:c r="AB314" s="74" t="str">
        <x:v>0</x:v>
      </x:c>
      <x:c r="AC314" s="74" t="str">
        <x:v>0</x:v>
      </x:c>
      <x:c r="AD314" s="74" t="str">
        <x:v>0</x:v>
      </x:c>
      <x:c r="AE314" s="74" t="str">
        <x:v>0</x:v>
      </x:c>
      <x:c r="AF314" s="74" t="str"/>
      <x:c r="AG314" s="74" t="str">
        <x:v>1</x:v>
      </x:c>
      <x:c r="AH314" s="74" t="str">
        <x:v>0</x:v>
      </x:c>
      <x:c r="AI314" s="74" t="str">
        <x:v>1</x:v>
      </x:c>
      <x:c r="AJ314" s="74" t="str">
        <x:v>0</x:v>
      </x:c>
      <x:c r="AK314" s="74" t="str">
        <x:v>1</x:v>
      </x:c>
      <x:c r="AL314" s="74" t="str">
        <x:v>1</x:v>
      </x:c>
      <x:c r="AM314" s="74" t="str">
        <x:v>1</x:v>
      </x:c>
      <x:c r="AN314" s="74" t="str">
        <x:v>1</x:v>
      </x:c>
      <x:c r="AO314" s="60" t="str">
        <x:v>2020</x:v>
      </x:c>
      <x:c r="AP314" s="76" t="str">
        <x:v>Paid-demand technology detected; creative refresh hypothesis</x:v>
      </x:c>
      <x:c r="AQ314" s="76" t="str">
        <x:v>Meta Pixel; testimonials; visible service offer</x:v>
      </x:c>
      <x:c r="AR314" s="76" t="str">
        <x:v>I was reviewing restoration companies in Columbia, South Carolina Metropolitan Area and 1-800 WATER DAMAGE of Lexington County looked like a strong fit for a creative test.</x:v>
      </x:c>
      <x:c r="AS314" s="76" t="str">
        <x:v>first-24-hours emergency-response ad</x:v>
      </x:c>
      <x:c r="AT314" s="76" t="str">
        <x:v>1-800 WATER DAMAGE of Lexington County ad concept</x:v>
      </x:c>
      <x:c r="AU314" s="76" t="str">
        <x:v>Hi Gene — I was reviewing restoration companies in Columbia, South Carolina Metropolitan Area and 1-800 WATER DAMAGE of Lexington County looked like a strong fit for a creative test. I mapped a private 15-second first-24-hours emergency-response ad for 1-800 WATER DAMAGE of Lexington County using only public brand context—not for publishing, just to show the angle. We build three client-approved video ad concepts in seven days, then turn the winners into fresh variations. No filming day required. Worth sending the private sample?</x:v>
      </x:c>
      <x:c r="AV314" s="76" t="str">
        <x:v>Quick follow-up: the sample angle is a first-24-hours emergency-response ad. If it misses the mark, no problem—I won't keep chasing. Should I send it?</x:v>
      </x:c>
      <x:c r="AW314" s="76" t="str">
        <x:v>Hi Gene, Ryan here. I was looking at 1-800 WATER DAMAGE of Lexington County's public marketing and noticed: paid-demand technology detected; creative refresh hypothesis. I mapped one private first-24-hours emergency-response ad as an example. Did I catch you with 30 seconds?</x:v>
      </x:c>
      <x:c r="AX314" s="60" t="str">
        <x:v>https://www.facebook.com/ads/library/?active_status=active&amp;ad_type=all&amp;country=US&amp;q=1-800%20WATER%20DAMAGE%20of%20Lexington%20County&amp;search_type=keyword_unordered</x:v>
      </x:c>
      <x:c r="AY314" s="60" t="str">
        <x:v>ok:200</x:v>
      </x:c>
      <x:c r="AZ314" s="60" t="n">
        <x:v>46232.722858796296</x:v>
      </x:c>
      <x:c r="BA314" s="60" t="str">
        <x:v>AI Ark SC trades export</x:v>
      </x:c>
      <x:c r="BB314" s="60" t="str">
        <x:v>https://1800waterdamage.com | https://www.linkedin.com/company/midlandsrestorationandconstruction-com</x:v>
      </x:c>
      <x:c r="BC314" s="60" t="str"/>
    </x:row>
    <x:row r="315" ht="18" customHeight="1">
      <x:c r="A315" s="70" t="str">
        <x:v>314</x:v>
      </x:c>
      <x:c r="B315" s="70" t="str">
        <x:v>B - Strong</x:v>
      </x:c>
      <x:c r="C315" s="72" t="str">
        <x:v>55</x:v>
      </x:c>
      <x:c r="D315" s="60" t="str">
        <x:v>360clean | Complete Facility Care</x:v>
      </x:c>
      <x:c r="E315" s="60" t="str">
        <x:v>https://360clean.com</x:v>
      </x:c>
      <x:c r="F315" s="60" t="str">
        <x:v>https://360clean.com</x:v>
      </x:c>
      <x:c r="G315" s="60" t="str">
        <x:v>Goose Creek</x:v>
      </x:c>
      <x:c r="H315" s="60" t="str">
        <x:v>South Carolina</x:v>
      </x:c>
      <x:c r="I315" s="60" t="str">
        <x:v>Cleaning &amp; Exterior Care</x:v>
      </x:c>
      <x:c r="J315" s="60" t="str">
        <x:v>Sandra</x:v>
      </x:c>
      <x:c r="K315" s="60" t="str">
        <x:v>W.</x:v>
      </x:c>
      <x:c r="L315" s="60" t="str">
        <x:v>Owner</x:v>
      </x:c>
      <x:c r="M315" s="60" t="str"/>
      <x:c r="N315" s="60" t="str"/>
      <x:c r="O315" s="60" t="str"/>
      <x:c r="P315" s="60" t="str">
        <x:v>https://www.linkedin.com/in/sandra-w-06b762142</x:v>
      </x:c>
      <x:c r="Q315" s="60" t="str">
        <x:v>201-500</x:v>
      </x:c>
      <x:c r="R315" s="60" t="str">
        <x:v>1000000-4999999</x:v>
      </x:c>
      <x:c r="S315" s="60" t="str"/>
      <x:c r="T315" s="74" t="str">
        <x:v>0</x:v>
      </x:c>
      <x:c r="U315" s="60" t="str"/>
      <x:c r="V315" s="74" t="str">
        <x:v>22</x:v>
      </x:c>
      <x:c r="W315" s="74" t="str">
        <x:v>11</x:v>
      </x:c>
      <x:c r="X315" s="74" t="str">
        <x:v>12</x:v>
      </x:c>
      <x:c r="Y315" s="74" t="str">
        <x:v>8</x:v>
      </x:c>
      <x:c r="Z315" s="74" t="str">
        <x:v>2</x:v>
      </x:c>
      <x:c r="AA315" s="74" t="str">
        <x:v>0</x:v>
      </x:c>
      <x:c r="AB315" s="74" t="str">
        <x:v>0</x:v>
      </x:c>
      <x:c r="AC315" s="74" t="str">
        <x:v>1</x:v>
      </x:c>
      <x:c r="AD315" s="74" t="str">
        <x:v>0</x:v>
      </x:c>
      <x:c r="AE315" s="74" t="str">
        <x:v>1</x:v>
      </x:c>
      <x:c r="AF315" s="74" t="str"/>
      <x:c r="AG315" s="74" t="str">
        <x:v>0</x:v>
      </x:c>
      <x:c r="AH315" s="74" t="str">
        <x:v>1</x:v>
      </x:c>
      <x:c r="AI315" s="74" t="str">
        <x:v>0</x:v>
      </x:c>
      <x:c r="AJ315" s="74" t="str">
        <x:v>0</x:v>
      </x:c>
      <x:c r="AK315" s="74" t="str">
        <x:v>1</x:v>
      </x:c>
      <x:c r="AL315" s="74" t="str">
        <x:v>1</x:v>
      </x:c>
      <x:c r="AM315" s="74" t="str">
        <x:v>1</x:v>
      </x:c>
      <x:c r="AN315" s="74" t="str">
        <x:v>0</x:v>
      </x:c>
      <x:c r="AO315" s="60" t="str">
        <x:v>2026</x:v>
      </x:c>
      <x:c r="AP315" s="76" t="str">
        <x:v>Call-tracking stack detected; no embedded homepage video found</x:v>
      </x:c>
      <x:c r="AQ315" s="76" t="str">
        <x:v>call tracking; project/gallery proof; visible service offer; no embedded homepage video detected</x:v>
      </x:c>
      <x:c r="AR315" s="76" t="str">
        <x:v>I noticed 360clean | Complete Facility Care has call tracking in place, but I couldn't find an embedded video on the homepage.</x:v>
      </x:c>
      <x:c r="AS315" s="76" t="str">
        <x:v>high-contrast before/after ad</x:v>
      </x:c>
      <x:c r="AT315" s="76" t="str">
        <x:v>360clean | Complete Facility Care ad concept</x:v>
      </x:c>
      <x:c r="AU315" s="76" t="str">
        <x:v>Hi Sandra — I noticed 360clean | Complete Facility Care has call tracking in place, but I couldn't find an embedded video on the homepage. I mapped a private 15-second high-contrast before/after ad for 360clean | Complete Facility Care using only public brand context—not for publishing, just to show the angle. We build three client-approved video ad concepts in seven days, then turn the winners into fresh variations. No filming day required. Worth sending the private sample?</x:v>
      </x:c>
      <x:c r="AV315" s="76" t="str">
        <x:v>Quick follow-up: the sample angle is a high-contrast before/after ad. If it misses the mark, no problem—I won't keep chasing. Should I send it?</x:v>
      </x:c>
      <x:c r="AW315" s="76" t="str">
        <x:v>Hi Sandra, Ryan here. I was looking at 360clean | Complete Facility Care's public marketing and noticed: call-tracking stack detected; no embedded homepage video found. I mapped one private high-contrast before/after ad as an example. Did I catch you with 30 seconds?</x:v>
      </x:c>
      <x:c r="AX315" s="60" t="str">
        <x:v>https://www.facebook.com/ads/library/?active_status=active&amp;ad_type=all&amp;country=US&amp;q=360clean%20%7C%20Complete%20Facility%20Care&amp;search_type=keyword_unordered</x:v>
      </x:c>
      <x:c r="AY315" s="60" t="str">
        <x:v>ok:200</x:v>
      </x:c>
      <x:c r="AZ315" s="60" t="n">
        <x:v>46232.722858796296</x:v>
      </x:c>
      <x:c r="BA315" s="60" t="str">
        <x:v>AI Ark SC trades export</x:v>
      </x:c>
      <x:c r="BB315" s="60" t="str">
        <x:v>https://360clean.com | https://www.linkedin.com/company/360clean</x:v>
      </x:c>
      <x:c r="BC315" s="60" t="str"/>
    </x:row>
    <x:row r="316" ht="18" customHeight="1">
      <x:c r="A316" s="70" t="str">
        <x:v>315</x:v>
      </x:c>
      <x:c r="B316" s="70" t="str">
        <x:v>B - Strong</x:v>
      </x:c>
      <x:c r="C316" s="72" t="str">
        <x:v>55</x:v>
      </x:c>
      <x:c r="D316" s="60" t="str">
        <x:v>Terminix</x:v>
      </x:c>
      <x:c r="E316" s="60" t="str">
        <x:v>https://terminix.com</x:v>
      </x:c>
      <x:c r="F316" s="60" t="str">
        <x:v>https://www.terminix.com/</x:v>
      </x:c>
      <x:c r="G316" s="60" t="str">
        <x:v>Lexington County</x:v>
      </x:c>
      <x:c r="H316" s="60" t="str">
        <x:v>South Carolina</x:v>
      </x:c>
      <x:c r="I316" s="60" t="str">
        <x:v>Pest Control</x:v>
      </x:c>
      <x:c r="J316" s="60" t="str">
        <x:v>Timothy</x:v>
      </x:c>
      <x:c r="K316" s="60" t="str">
        <x:v>Williams</x:v>
      </x:c>
      <x:c r="L316" s="60" t="str">
        <x:v>Business Owner</x:v>
      </x:c>
      <x:c r="M316" s="60" t="str"/>
      <x:c r="N316" s="60" t="str"/>
      <x:c r="O316" s="60" t="str">
        <x:v>+1 901 859 8545</x:v>
      </x:c>
      <x:c r="P316" s="60" t="str">
        <x:v>https://www.linkedin.com/in/timothy-williams-284b75163</x:v>
      </x:c>
      <x:c r="Q316" s="60" t="str">
        <x:v>10001+</x:v>
      </x:c>
      <x:c r="R316" s="60" t="str">
        <x:v>100000000-499999999</x:v>
      </x:c>
      <x:c r="S316" s="60" t="str"/>
      <x:c r="T316" s="74" t="str">
        <x:v>0</x:v>
      </x:c>
      <x:c r="U316" s="60" t="str"/>
      <x:c r="V316" s="74" t="str">
        <x:v>23</x:v>
      </x:c>
      <x:c r="W316" s="74" t="str">
        <x:v>8</x:v>
      </x:c>
      <x:c r="X316" s="74" t="str">
        <x:v>16</x:v>
      </x:c>
      <x:c r="Y316" s="74" t="str">
        <x:v>3</x:v>
      </x:c>
      <x:c r="Z316" s="74" t="str">
        <x:v>5</x:v>
      </x:c>
      <x:c r="AA316" s="74" t="str">
        <x:v>0</x:v>
      </x:c>
      <x:c r="AB316" s="74" t="str">
        <x:v>0</x:v>
      </x:c>
      <x:c r="AC316" s="74" t="str">
        <x:v>0</x:v>
      </x:c>
      <x:c r="AD316" s="74" t="str">
        <x:v>0</x:v>
      </x:c>
      <x:c r="AE316" s="74" t="str">
        <x:v>1</x:v>
      </x:c>
      <x:c r="AF316" s="74" t="str"/>
      <x:c r="AG316" s="74" t="str">
        <x:v>0</x:v>
      </x:c>
      <x:c r="AH316" s="74" t="str">
        <x:v>0</x:v>
      </x:c>
      <x:c r="AI316" s="74" t="str">
        <x:v>0</x:v>
      </x:c>
      <x:c r="AJ316" s="74" t="str">
        <x:v>0</x:v>
      </x:c>
      <x:c r="AK316" s="74" t="str">
        <x:v>1</x:v>
      </x:c>
      <x:c r="AL316" s="74" t="str">
        <x:v>0</x:v>
      </x:c>
      <x:c r="AM316" s="74" t="str">
        <x:v>0</x:v>
      </x:c>
      <x:c r="AN316" s="74" t="str">
        <x:v>0</x:v>
      </x:c>
      <x:c r="AO316" s="60" t="str">
        <x:v>0</x:v>
      </x:c>
      <x:c r="AP316" s="76" t="str">
        <x:v>Call-tracking stack detected; no embedded homepage video found</x:v>
      </x:c>
      <x:c r="AQ316" s="76" t="str">
        <x:v>call tracking; visible service offer; no embedded homepage video detected</x:v>
      </x:c>
      <x:c r="AR316" s="76" t="str">
        <x:v>I noticed Terminix has call tracking in place, but I couldn't find an embedded video on the homepage.</x:v>
      </x:c>
      <x:c r="AS316" s="76" t="str">
        <x:v>seasonal prevention problem/solution ad</x:v>
      </x:c>
      <x:c r="AT316" s="76" t="str">
        <x:v>Terminix ad concept</x:v>
      </x:c>
      <x:c r="AU316" s="76" t="str">
        <x:v>Hi Timothy — I noticed Terminix has call tracking in place, but I couldn't find an embedded video on the homepage. I mapped a private 15-second seasonal prevention problem/solution ad for Terminix using only public brand context—not for publishing, just to show the angle. We build three client-approved video ad concepts in seven days, then turn the winners into fresh variations. No filming day required. Worth sending the private sample?</x:v>
      </x:c>
      <x:c r="AV316" s="76" t="str">
        <x:v>Quick follow-up: the sample angle is a seasonal prevention problem/solution ad. If it misses the mark, no problem—I won't keep chasing. Should I send it?</x:v>
      </x:c>
      <x:c r="AW316" s="76" t="str">
        <x:v>Hi Timothy, Ryan here. I was looking at Terminix's public marketing and noticed: call-tracking stack detected; no embedded homepage video found. I mapped one private seasonal prevention problem/solution ad as an example. Did I catch you with 30 seconds?</x:v>
      </x:c>
      <x:c r="AX316" s="60" t="str">
        <x:v>https://www.facebook.com/ads/library/?active_status=active&amp;ad_type=all&amp;country=US&amp;q=Terminix&amp;search_type=keyword_unordered</x:v>
      </x:c>
      <x:c r="AY316" s="60" t="str">
        <x:v>ok:200</x:v>
      </x:c>
      <x:c r="AZ316" s="60" t="n">
        <x:v>46232.722858796296</x:v>
      </x:c>
      <x:c r="BA316" s="60" t="str">
        <x:v>AI Ark SC trades export</x:v>
      </x:c>
      <x:c r="BB316" s="60" t="str">
        <x:v>https://terminix.com | https://www.linkedin.com/company/terminix</x:v>
      </x:c>
      <x:c r="BC316" s="60" t="str"/>
    </x:row>
    <x:row r="317" ht="18" customHeight="1">
      <x:c r="A317" s="70" t="str">
        <x:v>316</x:v>
      </x:c>
      <x:c r="B317" s="70" t="str">
        <x:v>B - Strong</x:v>
      </x:c>
      <x:c r="C317" s="72" t="str">
        <x:v>55</x:v>
      </x:c>
      <x:c r="D317" s="60" t="str">
        <x:v>Blue Water Electric</x:v>
      </x:c>
      <x:c r="E317" s="60" t="str">
        <x:v>https://bluewaterelectric.com</x:v>
      </x:c>
      <x:c r="F317" s="60" t="str">
        <x:v>https://www.bluewaterelectric.com/</x:v>
      </x:c>
      <x:c r="G317" s="60" t="str">
        <x:v>Charleston</x:v>
      </x:c>
      <x:c r="H317" s="60" t="str">
        <x:v>South Carolina</x:v>
      </x:c>
      <x:c r="I317" s="60" t="str">
        <x:v>Electrical</x:v>
      </x:c>
      <x:c r="J317" s="60" t="str">
        <x:v>Blue Water Electric</x:v>
      </x:c>
      <x:c r="K317" s="60" t="str"/>
      <x:c r="L317" s="60" t="str">
        <x:v>Owner / decision maker to verify</x:v>
      </x:c>
      <x:c r="M317" s="60" t="str"/>
      <x:c r="N317" s="60" t="str"/>
      <x:c r="O317" s="60" t="str">
        <x:v>(843) 614-9576</x:v>
      </x:c>
      <x:c r="P317" s="60" t="str"/>
      <x:c r="Q317" s="60" t="str"/>
      <x:c r="R317" s="60" t="str"/>
      <x:c r="S317" s="60" t="str">
        <x:v>5</x:v>
      </x:c>
      <x:c r="T317" s="74" t="str">
        <x:v>186</x:v>
      </x:c>
      <x:c r="U317" s="60" t="str"/>
      <x:c r="V317" s="74" t="str">
        <x:v>23</x:v>
      </x:c>
      <x:c r="W317" s="74" t="str">
        <x:v>6</x:v>
      </x:c>
      <x:c r="X317" s="74" t="str">
        <x:v>6</x:v>
      </x:c>
      <x:c r="Y317" s="74" t="str">
        <x:v>15</x:v>
      </x:c>
      <x:c r="Z317" s="74" t="str">
        <x:v>5</x:v>
      </x:c>
      <x:c r="AA317" s="74" t="str">
        <x:v>0</x:v>
      </x:c>
      <x:c r="AB317" s="74" t="str">
        <x:v>0</x:v>
      </x:c>
      <x:c r="AC317" s="74" t="str">
        <x:v>1</x:v>
      </x:c>
      <x:c r="AD317" s="74" t="str">
        <x:v>0</x:v>
      </x:c>
      <x:c r="AE317" s="74" t="str">
        <x:v>0</x:v>
      </x:c>
      <x:c r="AF317" s="74" t="str">
        <x:v>housecallpro</x:v>
      </x:c>
      <x:c r="AG317" s="74" t="str">
        <x:v>0</x:v>
      </x:c>
      <x:c r="AH317" s="74" t="str">
        <x:v>1</x:v>
      </x:c>
      <x:c r="AI317" s="74" t="str">
        <x:v>1</x:v>
      </x:c>
      <x:c r="AJ317" s="74" t="str">
        <x:v>0</x:v>
      </x:c>
      <x:c r="AK317" s="74" t="str">
        <x:v>1</x:v>
      </x:c>
      <x:c r="AL317" s="74" t="str">
        <x:v>1</x:v>
      </x:c>
      <x:c r="AM317" s="74" t="str">
        <x:v>1</x:v>
      </x:c>
      <x:c r="AN317" s="74" t="str">
        <x:v>1</x:v>
      </x:c>
      <x:c r="AO317" s="60" t="str">
        <x:v>2026</x:v>
      </x:c>
      <x:c r="AP317" s="76" t="str">
        <x:v>Project/gallery proof found; no embedded homepage video found</x:v>
      </x:c>
      <x:c r="AQ317" s="76" t="str">
        <x:v>project/gallery proof; testimonials; visible service offer; no embedded homepage video detected</x:v>
      </x:c>
      <x:c r="AR317" s="76" t="str">
        <x:v>I found project/gallery proof on Blue Water Electric's site that could be repackaged into short-form ad concepts.</x:v>
      </x:c>
      <x:c r="AS317" s="76" t="str">
        <x:v>safety inspection problem/solution ad</x:v>
      </x:c>
      <x:c r="AT317" s="76" t="str">
        <x:v>Blue Water Electric ad concept</x:v>
      </x:c>
      <x:c r="AU317" s="76" t="str">
        <x:v>Hi Blue Water Electric — I found project/gallery proof on Blue Water Electric's site that could be repackaged into short-form ad concepts. I mapped a private 15-second safety inspection problem/solution ad for Blue Water Electric using only public brand context—not for publishing, just to show the angle. We build three client-approved video ad concepts in seven days, then turn the winners into fresh variations. No filming day required. Worth sending the private sample?</x:v>
      </x:c>
      <x:c r="AV317" s="76" t="str">
        <x:v>Quick follow-up: the sample angle is a safety inspection problem/solution ad. If it misses the mark, no problem—I won't keep chasing. Should I send it?</x:v>
      </x:c>
      <x:c r="AW317" s="76" t="str">
        <x:v>Hi Blue Water Electric, Ryan here. I was looking at Blue Water Electric's public marketing and noticed: project/gallery proof found; no embedded homepage video found. I mapped one private safety inspection problem/solution ad as an example. Did I catch you with 30 seconds?</x:v>
      </x:c>
      <x:c r="AX317" s="60" t="str">
        <x:v>https://www.facebook.com/ads/library/?active_status=active&amp;ad_type=all&amp;country=US&amp;q=Blue%20Water%20Electric&amp;search_type=keyword_unordered</x:v>
      </x:c>
      <x:c r="AY317" s="60" t="str">
        <x:v>ok:200</x:v>
      </x:c>
      <x:c r="AZ317" s="60" t="n">
        <x:v>46232.722858796296</x:v>
      </x:c>
      <x:c r="BA317" s="60" t="str">
        <x:v>Google Maps home-services export</x:v>
      </x:c>
      <x:c r="BB317" s="60" t="str">
        <x:v>https://bluewaterelectric.com | https://maps.google.com/?cid=15497909070364411517&amp;g_mp=Cidnb29nbGUubWFwcy5wbGFjZXMudjEuUGxhY2VzLlNlYXJjaFRleHQQAhgEIAA</x:v>
      </x:c>
      <x:c r="BC317" s="60" t="str"/>
    </x:row>
    <x:row r="318" ht="18" customHeight="1">
      <x:c r="A318" s="70" t="str">
        <x:v>317</x:v>
      </x:c>
      <x:c r="B318" s="70" t="str">
        <x:v>B - Strong</x:v>
      </x:c>
      <x:c r="C318" s="72" t="str">
        <x:v>55</x:v>
      </x:c>
      <x:c r="D318" s="60" t="str">
        <x:v>A W Electric LLC</x:v>
      </x:c>
      <x:c r="E318" s="60" t="str">
        <x:v>https://awelectricllc.com</x:v>
      </x:c>
      <x:c r="F318" s="60" t="str">
        <x:v>https://awelectricllc.com</x:v>
      </x:c>
      <x:c r="G318" s="60" t="str">
        <x:v>Aiken</x:v>
      </x:c>
      <x:c r="H318" s="60" t="str">
        <x:v>South Carolina</x:v>
      </x:c>
      <x:c r="I318" s="60" t="str">
        <x:v>Electrical</x:v>
      </x:c>
      <x:c r="J318" s="60" t="str">
        <x:v>A W Electric LLC</x:v>
      </x:c>
      <x:c r="K318" s="60" t="str"/>
      <x:c r="L318" s="60" t="str">
        <x:v>Owner / decision maker to verify</x:v>
      </x:c>
      <x:c r="M318" s="60" t="str"/>
      <x:c r="N318" s="60" t="str"/>
      <x:c r="O318" s="60" t="str">
        <x:v>(706) 914-2676</x:v>
      </x:c>
      <x:c r="P318" s="60" t="str"/>
      <x:c r="Q318" s="60" t="str"/>
      <x:c r="R318" s="60" t="str"/>
      <x:c r="S318" s="60" t="str">
        <x:v>4.9</x:v>
      </x:c>
      <x:c r="T318" s="74" t="str">
        <x:v>175</x:v>
      </x:c>
      <x:c r="U318" s="60" t="str"/>
      <x:c r="V318" s="74" t="str">
        <x:v>23</x:v>
      </x:c>
      <x:c r="W318" s="74" t="str">
        <x:v>6</x:v>
      </x:c>
      <x:c r="X318" s="74" t="str">
        <x:v>10</x:v>
      </x:c>
      <x:c r="Y318" s="74" t="str">
        <x:v>11</x:v>
      </x:c>
      <x:c r="Z318" s="74" t="str">
        <x:v>5</x:v>
      </x:c>
      <x:c r="AA318" s="74" t="str">
        <x:v>0</x:v>
      </x:c>
      <x:c r="AB318" s="74" t="str">
        <x:v>0</x:v>
      </x:c>
      <x:c r="AC318" s="74" t="str">
        <x:v>1</x:v>
      </x:c>
      <x:c r="AD318" s="74" t="str">
        <x:v>0</x:v>
      </x:c>
      <x:c r="AE318" s="74" t="str">
        <x:v>0</x:v>
      </x:c>
      <x:c r="AF318" s="74" t="str">
        <x:v>housecallpro</x:v>
      </x:c>
      <x:c r="AG318" s="74" t="str">
        <x:v>0</x:v>
      </x:c>
      <x:c r="AH318" s="74" t="str">
        <x:v>1</x:v>
      </x:c>
      <x:c r="AI318" s="74" t="str">
        <x:v>0</x:v>
      </x:c>
      <x:c r="AJ318" s="74" t="str">
        <x:v>0</x:v>
      </x:c>
      <x:c r="AK318" s="74" t="str">
        <x:v>1</x:v>
      </x:c>
      <x:c r="AL318" s="74" t="str">
        <x:v>0</x:v>
      </x:c>
      <x:c r="AM318" s="74" t="str">
        <x:v>1</x:v>
      </x:c>
      <x:c r="AN318" s="74" t="str">
        <x:v>0</x:v>
      </x:c>
      <x:c r="AO318" s="60" t="str">
        <x:v>2025</x:v>
      </x:c>
      <x:c r="AP318" s="76" t="str">
        <x:v>Project/gallery proof found; no embedded homepage video found</x:v>
      </x:c>
      <x:c r="AQ318" s="76" t="str">
        <x:v>project/gallery proof; visible service offer; no embedded homepage video detected</x:v>
      </x:c>
      <x:c r="AR318" s="76" t="str">
        <x:v>I found project/gallery proof on A W Electric LLC's site that could be repackaged into short-form ad concepts.</x:v>
      </x:c>
      <x:c r="AS318" s="76" t="str">
        <x:v>safety inspection problem/solution ad</x:v>
      </x:c>
      <x:c r="AT318" s="76" t="str">
        <x:v>A W Electric LLC ad concept</x:v>
      </x:c>
      <x:c r="AU318" s="76" t="str">
        <x:v>Hi A W Electric LLC — I found project/gallery proof on A W Electric LLC's site that could be repackaged into short-form ad concepts. I mapped a private 15-second safety inspection problem/solution ad for A W Electric LLC using only public brand context—not for publishing, just to show the angle. We build three client-approved video ad concepts in seven days, then turn the winners into fresh variations. No filming day required. Worth sending the private sample?</x:v>
      </x:c>
      <x:c r="AV318" s="76" t="str">
        <x:v>Quick follow-up: the sample angle is a safety inspection problem/solution ad. If it misses the mark, no problem—I won't keep chasing. Should I send it?</x:v>
      </x:c>
      <x:c r="AW318" s="76" t="str">
        <x:v>Hi A W Electric LLC, Ryan here. I was looking at A W Electric LLC's public marketing and noticed: project/gallery proof found; no embedded homepage video found. I mapped one private safety inspection problem/solution ad as an example. Did I catch you with 30 seconds?</x:v>
      </x:c>
      <x:c r="AX318" s="60" t="str">
        <x:v>https://www.facebook.com/ads/library/?active_status=active&amp;ad_type=all&amp;country=US&amp;q=A%20W%20Electric%20LLC&amp;search_type=keyword_unordered</x:v>
      </x:c>
      <x:c r="AY318" s="60" t="str">
        <x:v>ok:200</x:v>
      </x:c>
      <x:c r="AZ318" s="60" t="n">
        <x:v>46232.722858796296</x:v>
      </x:c>
      <x:c r="BA318" s="60" t="str">
        <x:v>Google Maps home-services export</x:v>
      </x:c>
      <x:c r="BB318" s="60" t="str">
        <x:v>https://awelectricllc.com | https://maps.google.com/?cid=12098947093216558350&amp;g_mp=Cidnb29nbGUubWFwcy5wbGFjZXMudjEuUGxhY2VzLlNlYXJjaFRleHQQAhgEIAA</x:v>
      </x:c>
      <x:c r="BC318" s="60" t="str"/>
    </x:row>
    <x:row r="319" ht="18" customHeight="1">
      <x:c r="A319" s="70" t="str">
        <x:v>318</x:v>
      </x:c>
      <x:c r="B319" s="70" t="str">
        <x:v>B - Strong</x:v>
      </x:c>
      <x:c r="C319" s="72" t="str">
        <x:v>55</x:v>
      </x:c>
      <x:c r="D319" s="60" t="str">
        <x:v>Salty Dog Roofing &amp; Siding</x:v>
      </x:c>
      <x:c r="E319" s="60" t="str">
        <x:v>https://saltydogroofing.com</x:v>
      </x:c>
      <x:c r="F319" s="60" t="str">
        <x:v>https://www.saltydogroofing.com/</x:v>
      </x:c>
      <x:c r="G319" s="60" t="str">
        <x:v>North Charleston</x:v>
      </x:c>
      <x:c r="H319" s="60" t="str">
        <x:v>South Carolina</x:v>
      </x:c>
      <x:c r="I319" s="60" t="str">
        <x:v>Roofing</x:v>
      </x:c>
      <x:c r="J319" s="60" t="str">
        <x:v>Salty Dog Roofing &amp; Siding</x:v>
      </x:c>
      <x:c r="K319" s="60" t="str"/>
      <x:c r="L319" s="60" t="str">
        <x:v>Owner / decision maker to verify</x:v>
      </x:c>
      <x:c r="M319" s="60" t="str"/>
      <x:c r="N319" s="60" t="str"/>
      <x:c r="O319" s="60" t="str">
        <x:v>(843) 474-4245</x:v>
      </x:c>
      <x:c r="P319" s="60" t="str"/>
      <x:c r="Q319" s="60" t="str"/>
      <x:c r="R319" s="60" t="str"/>
      <x:c r="S319" s="60" t="str">
        <x:v>4.9</x:v>
      </x:c>
      <x:c r="T319" s="74" t="str">
        <x:v>113</x:v>
      </x:c>
      <x:c r="U319" s="60" t="str"/>
      <x:c r="V319" s="74" t="str">
        <x:v>29</x:v>
      </x:c>
      <x:c r="W319" s="74" t="str">
        <x:v>6</x:v>
      </x:c>
      <x:c r="X319" s="74" t="str">
        <x:v>6</x:v>
      </x:c>
      <x:c r="Y319" s="74" t="str">
        <x:v>9</x:v>
      </x:c>
      <x:c r="Z319" s="74" t="str">
        <x:v>5</x:v>
      </x:c>
      <x:c r="AA319" s="74" t="str">
        <x:v>0</x:v>
      </x:c>
      <x:c r="AB319" s="74" t="str">
        <x:v>0</x:v>
      </x:c>
      <x:c r="AC319" s="74" t="str">
        <x:v>1</x:v>
      </x:c>
      <x:c r="AD319" s="74" t="str">
        <x:v>0</x:v>
      </x:c>
      <x:c r="AE319" s="74" t="str">
        <x:v>0</x:v>
      </x:c>
      <x:c r="AF319" s="74" t="str">
        <x:v>servicetitan</x:v>
      </x:c>
      <x:c r="AG319" s="74" t="str">
        <x:v>0</x:v>
      </x:c>
      <x:c r="AH319" s="74" t="str">
        <x:v>0</x:v>
      </x:c>
      <x:c r="AI319" s="74" t="str">
        <x:v>0</x:v>
      </x:c>
      <x:c r="AJ319" s="74" t="str">
        <x:v>1</x:v>
      </x:c>
      <x:c r="AK319" s="74" t="str">
        <x:v>1</x:v>
      </x:c>
      <x:c r="AL319" s="74" t="str">
        <x:v>1</x:v>
      </x:c>
      <x:c r="AM319" s="74" t="str">
        <x:v>1</x:v>
      </x:c>
      <x:c r="AN319" s="74" t="str">
        <x:v>1</x:v>
      </x:c>
      <x:c r="AO319" s="60" t="str">
        <x:v>0</x:v>
      </x:c>
      <x:c r="AP319" s="76" t="str">
        <x:v>113 Google reviews; no embedded homepage video found</x:v>
      </x:c>
      <x:c r="AQ319" s="76" t="str">
        <x:v>financing; visible service offer; no embedded homepage video detected</x:v>
      </x:c>
      <x:c r="AR319" s="76" t="str">
        <x:v>Salty Dog Roofing &amp; Siding has 113 Google reviews—strong proof that could be turned into short-form ad concepts.</x:v>
      </x:c>
      <x:c r="AS319" s="76" t="str">
        <x:v>storm-to-inspection before/after ad</x:v>
      </x:c>
      <x:c r="AT319" s="76" t="str">
        <x:v>Salty Dog Roofing &amp; Siding ad concept</x:v>
      </x:c>
      <x:c r="AU319" s="76" t="str">
        <x:v>Hi Salty Dog Roofing &amp; Siding — Salty Dog Roofing &amp; Siding has 113 Google reviews—strong proof that could be turned into short-form ad concepts. I mapped a private 15-second storm-to-inspection before/after ad for Salty Dog Roofing &amp; Siding using only public brand context—not for publishing, just to show the angle. We build three client-approved video ad concepts in seven days, then turn the winners into fresh variations. No filming day required. Worth sending the private sample?</x:v>
      </x:c>
      <x:c r="AV319" s="76" t="str">
        <x:v>Quick follow-up: the sample angle is a storm-to-inspection before/after ad. If it misses the mark, no problem—I won't keep chasing. Should I send it?</x:v>
      </x:c>
      <x:c r="AW319" s="76" t="str">
        <x:v>Hi Salty Dog Roofing &amp; Siding, Ryan here. I was looking at Salty Dog Roofing &amp; Siding's public marketing and noticed: 113 google reviews; no embedded homepage video found. I mapped one private storm-to-inspection before/after ad as an example. Did I catch you with 30 seconds?</x:v>
      </x:c>
      <x:c r="AX319" s="60" t="str">
        <x:v>https://www.facebook.com/ads/library/?active_status=active&amp;ad_type=all&amp;country=US&amp;q=Salty%20Dog%20Roofing%20%26%20Siding&amp;search_type=keyword_unordered</x:v>
      </x:c>
      <x:c r="AY319" s="60" t="str">
        <x:v>ok:200</x:v>
      </x:c>
      <x:c r="AZ319" s="60" t="n">
        <x:v>46232.722858796296</x:v>
      </x:c>
      <x:c r="BA319" s="60" t="str">
        <x:v>Google Maps home-services export</x:v>
      </x:c>
      <x:c r="BB319" s="60" t="str">
        <x:v>https://maps.google.com/?cid=1388831607365093490&amp;g_mp=Cidnb29nbGUubWFwcy5wbGFjZXMudjEuUGxhY2VzLlNlYXJjaFRleHQQAhgEIAA | https://saltydogroofing.com</x:v>
      </x:c>
      <x:c r="BC319" s="60" t="str"/>
    </x:row>
    <x:row r="320" ht="18" customHeight="1">
      <x:c r="A320" s="70" t="str">
        <x:v>319</x:v>
      </x:c>
      <x:c r="B320" s="70" t="str">
        <x:v>B - Strong</x:v>
      </x:c>
      <x:c r="C320" s="72" t="str">
        <x:v>55</x:v>
      </x:c>
      <x:c r="D320" s="60" t="str">
        <x:v>At Your Service Plumbing Heating + Air</x:v>
      </x:c>
      <x:c r="E320" s="60" t="str">
        <x:v>https://atyourserviceplumbingmb.com</x:v>
      </x:c>
      <x:c r="F320" s="60" t="str">
        <x:v>https://atyourserviceplumbingmb.com</x:v>
      </x:c>
      <x:c r="G320" s="60" t="str">
        <x:v>Myrtle Beach</x:v>
      </x:c>
      <x:c r="H320" s="60" t="str">
        <x:v>South Carolina</x:v>
      </x:c>
      <x:c r="I320" s="60" t="str">
        <x:v>HVAC</x:v>
      </x:c>
      <x:c r="J320" s="60" t="str">
        <x:v>At Your Service Plumbing Heating + Air</x:v>
      </x:c>
      <x:c r="K320" s="60" t="str"/>
      <x:c r="L320" s="60" t="str">
        <x:v>Owner / decision maker to verify</x:v>
      </x:c>
      <x:c r="M320" s="60" t="str"/>
      <x:c r="N320" s="60" t="str"/>
      <x:c r="O320" s="60" t="str">
        <x:v>(843) 380-8333</x:v>
      </x:c>
      <x:c r="P320" s="60" t="str"/>
      <x:c r="Q320" s="60" t="str"/>
      <x:c r="R320" s="60" t="str"/>
      <x:c r="S320" s="60" t="str">
        <x:v>4.9</x:v>
      </x:c>
      <x:c r="T320" s="74" t="str">
        <x:v>554</x:v>
      </x:c>
      <x:c r="U320" s="60" t="str"/>
      <x:c r="V320" s="74" t="str">
        <x:v>29</x:v>
      </x:c>
      <x:c r="W320" s="74" t="str">
        <x:v>6</x:v>
      </x:c>
      <x:c r="X320" s="74" t="str">
        <x:v>6</x:v>
      </x:c>
      <x:c r="Y320" s="74" t="str">
        <x:v>9</x:v>
      </x:c>
      <x:c r="Z320" s="74" t="str">
        <x:v>5</x:v>
      </x:c>
      <x:c r="AA320" s="74" t="str">
        <x:v>0</x:v>
      </x:c>
      <x:c r="AB320" s="74" t="str">
        <x:v>0</x:v>
      </x:c>
      <x:c r="AC320" s="74" t="str">
        <x:v>1</x:v>
      </x:c>
      <x:c r="AD320" s="74" t="str">
        <x:v>0</x:v>
      </x:c>
      <x:c r="AE320" s="74" t="str">
        <x:v>0</x:v>
      </x:c>
      <x:c r="AF320" s="74" t="str">
        <x:v>servicetitan</x:v>
      </x:c>
      <x:c r="AG320" s="74" t="str">
        <x:v>0</x:v>
      </x:c>
      <x:c r="AH320" s="74" t="str">
        <x:v>0</x:v>
      </x:c>
      <x:c r="AI320" s="74" t="str">
        <x:v>0</x:v>
      </x:c>
      <x:c r="AJ320" s="74" t="str">
        <x:v>1</x:v>
      </x:c>
      <x:c r="AK320" s="74" t="str">
        <x:v>1</x:v>
      </x:c>
      <x:c r="AL320" s="74" t="str">
        <x:v>1</x:v>
      </x:c>
      <x:c r="AM320" s="74" t="str">
        <x:v>1</x:v>
      </x:c>
      <x:c r="AN320" s="74" t="str">
        <x:v>0</x:v>
      </x:c>
      <x:c r="AO320" s="60" t="str">
        <x:v>2026</x:v>
      </x:c>
      <x:c r="AP320" s="76" t="str">
        <x:v>554 Google reviews; no embedded homepage video found</x:v>
      </x:c>
      <x:c r="AQ320" s="76" t="str">
        <x:v>financing; visible service offer; no embedded homepage video detected</x:v>
      </x:c>
      <x:c r="AR320" s="76" t="str">
        <x:v>At Your Service Plumbing Heating + Air has 554 Google reviews—strong proof that could be turned into short-form ad concepts.</x:v>
      </x:c>
      <x:c r="AS320" s="76" t="str">
        <x:v>no-cool-call to same-day comfort ad</x:v>
      </x:c>
      <x:c r="AT320" s="76" t="str">
        <x:v>At Your Service Plumbing Heating + Air ad concept</x:v>
      </x:c>
      <x:c r="AU320" s="76" t="str">
        <x:v>Hi At Your Service Plumbing Heating + Air — At Your Service Plumbing Heating + Air has 554 Google reviews—strong proof that could be turned into short-form ad concepts. I mapped a private 15-second no-cool-call to same-day comfort ad for At Your Service Plumbing Heating + Air using only public brand context—not for publishing, just to show the angle. We build three client-approved video ad concepts in seven days, then turn the winners into fresh variations. No filming day required. Worth sending the private sample?</x:v>
      </x:c>
      <x:c r="AV320" s="76" t="str">
        <x:v>Quick follow-up: the sample angle is a no-cool-call to same-day comfort ad. If it misses the mark, no problem—I won't keep chasing. Should I send it?</x:v>
      </x:c>
      <x:c r="AW320" s="76" t="str">
        <x:v>Hi At Your Service Plumbing Heating + Air, Ryan here. I was looking at At Your Service Plumbing Heating + Air's public marketing and noticed: 554 google reviews; no embedded homepage video found. I mapped one private no-cool-call to same-day comfort ad as an example. Did I catch you with 30 seconds?</x:v>
      </x:c>
      <x:c r="AX320" s="60" t="str">
        <x:v>https://www.facebook.com/ads/library/?active_status=active&amp;ad_type=all&amp;country=US&amp;q=At%20Your%20Service%20Plumbing%20Heating%20%2B%20Air&amp;search_type=keyword_unordered</x:v>
      </x:c>
      <x:c r="AY320" s="60" t="str">
        <x:v>ok:200</x:v>
      </x:c>
      <x:c r="AZ320" s="60" t="n">
        <x:v>46232.722858796296</x:v>
      </x:c>
      <x:c r="BA320" s="60" t="str">
        <x:v>Google Maps home-services export</x:v>
      </x:c>
      <x:c r="BB320" s="60" t="str">
        <x:v>https://atyourserviceplumbingmb.com | https://maps.google.com/?cid=14374845867475099271&amp;g_mp=Cidnb29nbGUubWFwcy5wbGFjZXMudjEuUGxhY2VzLlNlYXJjaFRleHQQAhgEIAA</x:v>
      </x:c>
      <x:c r="BC320" s="60" t="str"/>
    </x:row>
    <x:row r="321" ht="18" customHeight="1">
      <x:c r="A321" s="70" t="str">
        <x:v>320</x:v>
      </x:c>
      <x:c r="B321" s="70" t="str">
        <x:v>B - Strong</x:v>
      </x:c>
      <x:c r="C321" s="72" t="str">
        <x:v>55</x:v>
      </x:c>
      <x:c r="D321" s="60" t="str">
        <x:v>Holsenback Service Inc.</x:v>
      </x:c>
      <x:c r="E321" s="60" t="str">
        <x:v>https://holsenbackservice.com</x:v>
      </x:c>
      <x:c r="F321" s="60" t="str">
        <x:v>https://holsenbackservice.com</x:v>
      </x:c>
      <x:c r="G321" s="60" t="str">
        <x:v>Aiken</x:v>
      </x:c>
      <x:c r="H321" s="60" t="str">
        <x:v>South Carolina</x:v>
      </x:c>
      <x:c r="I321" s="60" t="str">
        <x:v>HVAC</x:v>
      </x:c>
      <x:c r="J321" s="60" t="str">
        <x:v>Holsenback Service Inc.</x:v>
      </x:c>
      <x:c r="K321" s="60" t="str"/>
      <x:c r="L321" s="60" t="str">
        <x:v>Owner / decision maker to verify</x:v>
      </x:c>
      <x:c r="M321" s="60" t="str"/>
      <x:c r="N321" s="60" t="str"/>
      <x:c r="O321" s="60" t="str">
        <x:v>(803) 262-2360</x:v>
      </x:c>
      <x:c r="P321" s="60" t="str"/>
      <x:c r="Q321" s="60" t="str"/>
      <x:c r="R321" s="60" t="str"/>
      <x:c r="S321" s="60" t="str">
        <x:v>5</x:v>
      </x:c>
      <x:c r="T321" s="74" t="str">
        <x:v>74</x:v>
      </x:c>
      <x:c r="U321" s="60" t="str"/>
      <x:c r="V321" s="74" t="str">
        <x:v>26</x:v>
      </x:c>
      <x:c r="W321" s="74" t="str">
        <x:v>6</x:v>
      </x:c>
      <x:c r="X321" s="74" t="str">
        <x:v>10</x:v>
      </x:c>
      <x:c r="Y321" s="74" t="str">
        <x:v>8</x:v>
      </x:c>
      <x:c r="Z321" s="74" t="str">
        <x:v>5</x:v>
      </x:c>
      <x:c r="AA321" s="74" t="str">
        <x:v>0</x:v>
      </x:c>
      <x:c r="AB321" s="74" t="str">
        <x:v>0</x:v>
      </x:c>
      <x:c r="AC321" s="74" t="str">
        <x:v>1</x:v>
      </x:c>
      <x:c r="AD321" s="74" t="str">
        <x:v>0</x:v>
      </x:c>
      <x:c r="AE321" s="74" t="str">
        <x:v>0</x:v>
      </x:c>
      <x:c r="AF321" s="74" t="str">
        <x:v>podium</x:v>
      </x:c>
      <x:c r="AG321" s="74" t="str">
        <x:v>0</x:v>
      </x:c>
      <x:c r="AH321" s="74" t="str">
        <x:v>0</x:v>
      </x:c>
      <x:c r="AI321" s="74" t="str">
        <x:v>0</x:v>
      </x:c>
      <x:c r="AJ321" s="74" t="str">
        <x:v>1</x:v>
      </x:c>
      <x:c r="AK321" s="74" t="str">
        <x:v>1</x:v>
      </x:c>
      <x:c r="AL321" s="74" t="str">
        <x:v>0</x:v>
      </x:c>
      <x:c r="AM321" s="74" t="str">
        <x:v>1</x:v>
      </x:c>
      <x:c r="AN321" s="74" t="str">
        <x:v>0</x:v>
      </x:c>
      <x:c r="AO321" s="60" t="str">
        <x:v>0</x:v>
      </x:c>
      <x:c r="AP321" s="76" t="str">
        <x:v>Financing language found; no embedded homepage video found</x:v>
      </x:c>
      <x:c r="AQ321" s="76" t="str">
        <x:v>financing; visible service offer; no embedded homepage video detected</x:v>
      </x:c>
      <x:c r="AR321" s="76" t="str">
        <x:v>I found financing language on Holsenback Service Inc.'s site that could make a strong short-form offer angle.</x:v>
      </x:c>
      <x:c r="AS321" s="76" t="str">
        <x:v>no-cool-call to same-day comfort ad</x:v>
      </x:c>
      <x:c r="AT321" s="76" t="str">
        <x:v>Holsenback Service Inc. ad concept</x:v>
      </x:c>
      <x:c r="AU321" s="76" t="str">
        <x:v>Hi Holsenback Service Inc. — I found financing language on Holsenback Service Inc.'s site that could make a strong short-form offer angle. I mapped a private 15-second no-cool-call to same-day comfort ad for Holsenback Service Inc. using only public brand context—not for publishing, just to show the angle. We build three client-approved video ad concepts in seven days, then turn the winners into fresh variations. No filming day required. Worth sending the private sample?</x:v>
      </x:c>
      <x:c r="AV321" s="76" t="str">
        <x:v>Quick follow-up: the sample angle is a no-cool-call to same-day comfort ad. If it misses the mark, no problem—I won't keep chasing. Should I send it?</x:v>
      </x:c>
      <x:c r="AW321" s="76" t="str">
        <x:v>Hi Holsenback Service Inc., Ryan here. I was looking at Holsenback Service Inc.'s public marketing and noticed: financing language found; no embedded homepage video found. I mapped one private no-cool-call to same-day comfort ad as an example. Did I catch you with 30 seconds?</x:v>
      </x:c>
      <x:c r="AX321" s="60" t="str">
        <x:v>https://www.facebook.com/ads/library/?active_status=active&amp;ad_type=all&amp;country=US&amp;q=Holsenback%20Service%20Inc.&amp;search_type=keyword_unordered</x:v>
      </x:c>
      <x:c r="AY321" s="60" t="str">
        <x:v>ok:200</x:v>
      </x:c>
      <x:c r="AZ321" s="60" t="n">
        <x:v>46232.722858796296</x:v>
      </x:c>
      <x:c r="BA321" s="60" t="str">
        <x:v>Google Maps home-services export</x:v>
      </x:c>
      <x:c r="BB321" s="60" t="str">
        <x:v>https://holsenbackservice.com | https://maps.google.com/?cid=11545632757811090179&amp;g_mp=Cidnb29nbGUubWFwcy5wbGFjZXMudjEuUGxhY2VzLlNlYXJjaFRleHQQAhgEIAA</x:v>
      </x:c>
      <x:c r="BC321" s="60" t="str"/>
    </x:row>
    <x:row r="322" ht="18" customHeight="1">
      <x:c r="A322" s="70" t="str">
        <x:v>321</x:v>
      </x:c>
      <x:c r="B322" s="70" t="str">
        <x:v>B - Strong</x:v>
      </x:c>
      <x:c r="C322" s="72" t="str">
        <x:v>55</x:v>
      </x:c>
      <x:c r="D322" s="60" t="str">
        <x:v>Delta Roofing LLC</x:v>
      </x:c>
      <x:c r="E322" s="60" t="str">
        <x:v>https://deltaroofing.co</x:v>
      </x:c>
      <x:c r="F322" s="60" t="str">
        <x:v>https://deltaroofing.co</x:v>
      </x:c>
      <x:c r="G322" s="60" t="str">
        <x:v>Hilton Head Island</x:v>
      </x:c>
      <x:c r="H322" s="60" t="str">
        <x:v>South Carolina</x:v>
      </x:c>
      <x:c r="I322" s="60" t="str">
        <x:v>Roofing</x:v>
      </x:c>
      <x:c r="J322" s="60" t="str">
        <x:v>Richard</x:v>
      </x:c>
      <x:c r="K322" s="60" t="str">
        <x:v>Blyudzhyus</x:v>
      </x:c>
      <x:c r="L322" s="60" t="str">
        <x:v>Owner</x:v>
      </x:c>
      <x:c r="M322" s="60" t="str">
        <x:v>richard.blyudzhyus@deltaroofing.co</x:v>
      </x:c>
      <x:c r="N322" s="60" t="str">
        <x:v>Verified with BounceBan on 08 Jun 26 12:06</x:v>
      </x:c>
      <x:c r="O322" s="60" t="str">
        <x:v>+1 843 489 8555</x:v>
      </x:c>
      <x:c r="P322" s="60" t="str">
        <x:v>https://www.linkedin.com/in/richard-blyudzhyus-b76745119</x:v>
      </x:c>
      <x:c r="Q322" s="60" t="str">
        <x:v>2-10</x:v>
      </x:c>
      <x:c r="R322" s="60" t="str">
        <x:v>100000-499999</x:v>
      </x:c>
      <x:c r="S322" s="60" t="str">
        <x:v>5</x:v>
      </x:c>
      <x:c r="T322" s="74" t="str">
        <x:v>129</x:v>
      </x:c>
      <x:c r="U322" s="60" t="str"/>
      <x:c r="V322" s="74" t="str">
        <x:v>30</x:v>
      </x:c>
      <x:c r="W322" s="74" t="str">
        <x:v>6</x:v>
      </x:c>
      <x:c r="X322" s="74" t="str">
        <x:v>6</x:v>
      </x:c>
      <x:c r="Y322" s="74" t="str">
        <x:v>3</x:v>
      </x:c>
      <x:c r="Z322" s="74" t="str">
        <x:v>10</x:v>
      </x:c>
      <x:c r="AA322" s="74" t="str">
        <x:v>0</x:v>
      </x:c>
      <x:c r="AB322" s="74" t="str">
        <x:v>0</x:v>
      </x:c>
      <x:c r="AC322" s="74" t="str">
        <x:v>1</x:v>
      </x:c>
      <x:c r="AD322" s="74" t="str">
        <x:v>0</x:v>
      </x:c>
      <x:c r="AE322" s="74" t="str">
        <x:v>0</x:v>
      </x:c>
      <x:c r="AF322" s="74" t="str">
        <x:v>podium</x:v>
      </x:c>
      <x:c r="AG322" s="74" t="str">
        <x:v>0</x:v>
      </x:c>
      <x:c r="AH322" s="74" t="str">
        <x:v>0</x:v>
      </x:c>
      <x:c r="AI322" s="74" t="str">
        <x:v>0</x:v>
      </x:c>
      <x:c r="AJ322" s="74" t="str">
        <x:v>0</x:v>
      </x:c>
      <x:c r="AK322" s="74" t="str">
        <x:v>0</x:v>
      </x:c>
      <x:c r="AL322" s="74" t="str">
        <x:v>1</x:v>
      </x:c>
      <x:c r="AM322" s="74" t="str">
        <x:v>1</x:v>
      </x:c>
      <x:c r="AN322" s="74" t="str">
        <x:v>1</x:v>
      </x:c>
      <x:c r="AO322" s="60" t="str">
        <x:v>0</x:v>
      </x:c>
      <x:c r="AP322" s="76" t="str">
        <x:v>129 Google reviews; no embedded homepage video found</x:v>
      </x:c>
      <x:c r="AQ322" s="76" t="str">
        <x:v>no embedded homepage video detected</x:v>
      </x:c>
      <x:c r="AR322" s="76" t="str">
        <x:v>Delta Roofing LLC has 129 Google reviews—strong proof that could be turned into short-form ad concepts.</x:v>
      </x:c>
      <x:c r="AS322" s="76" t="str">
        <x:v>storm-to-inspection before/after ad</x:v>
      </x:c>
      <x:c r="AT322" s="76" t="str">
        <x:v>Delta Roofing LLC ad concept</x:v>
      </x:c>
      <x:c r="AU322" s="76" t="str">
        <x:v>Hi Richard — Delta Roofing LLC has 129 Google reviews—strong proof that could be turned into short-form ad concepts. I mapped a private 15-second storm-to-inspection before/after ad for Delta Roofing LLC using only public brand context—not for publishing, just to show the angle. We build three client-approved video ad concepts in seven days, then turn the winners into fresh variations. No filming day required. Worth sending the private sample?</x:v>
      </x:c>
      <x:c r="AV322" s="76" t="str">
        <x:v>Quick follow-up: the sample angle is a storm-to-inspection before/after ad. If it misses the mark, no problem—I won't keep chasing. Should I send it?</x:v>
      </x:c>
      <x:c r="AW322" s="76" t="str">
        <x:v>Hi Richard, Ryan here. I was looking at Delta Roofing LLC's public marketing and noticed: 129 google reviews; no embedded homepage video found. I mapped one private storm-to-inspection before/after ad as an example. Did I catch you with 30 seconds?</x:v>
      </x:c>
      <x:c r="AX322" s="60" t="str">
        <x:v>https://www.facebook.com/ads/library/?active_status=active&amp;ad_type=all&amp;country=US&amp;q=Delta%20Roofing%20LLC&amp;search_type=keyword_unordered</x:v>
      </x:c>
      <x:c r="AY322" s="60" t="str">
        <x:v>ok:200</x:v>
      </x:c>
      <x:c r="AZ322" s="60" t="n">
        <x:v>46232.722858796296</x:v>
      </x:c>
      <x:c r="BA322" s="60" t="str">
        <x:v>AI Ark SC trades export | Google Maps home-services export</x:v>
      </x:c>
      <x:c r="BB322" s="60" t="str">
        <x:v>https://deltaroofing.co | https://maps.google.com/?cid=11701867277048585273&amp;g_mp=Cidnb29nbGUubWFwcy5wbGFjZXMudjEuUGxhY2VzLlNlYXJjaFRleHQQAhgEIAA | https://www.linkedin.com/company/delta-roofing-llc</x:v>
      </x:c>
      <x:c r="BC322" s="60" t="str"/>
    </x:row>
    <x:row r="323" ht="18" customHeight="1">
      <x:c r="A323" s="70" t="str">
        <x:v>322</x:v>
      </x:c>
      <x:c r="B323" s="70" t="str">
        <x:v>B - Strong</x:v>
      </x:c>
      <x:c r="C323" s="72" t="str">
        <x:v>55</x:v>
      </x:c>
      <x:c r="D323" s="60" t="str">
        <x:v>Reliable Heating and Air, LLC</x:v>
      </x:c>
      <x:c r="E323" s="60" t="str">
        <x:v>https://reliableheatingairllc.com</x:v>
      </x:c>
      <x:c r="F323" s="60" t="str">
        <x:v>https://www.reliableheatingairllc.com/</x:v>
      </x:c>
      <x:c r="G323" s="60" t="str">
        <x:v>Summerville</x:v>
      </x:c>
      <x:c r="H323" s="60" t="str">
        <x:v>South Carolina</x:v>
      </x:c>
      <x:c r="I323" s="60" t="str">
        <x:v>HVAC</x:v>
      </x:c>
      <x:c r="J323" s="60" t="str">
        <x:v>Reliable Heating and Air, LLC</x:v>
      </x:c>
      <x:c r="K323" s="60" t="str"/>
      <x:c r="L323" s="60" t="str">
        <x:v>Owner / decision maker to verify</x:v>
      </x:c>
      <x:c r="M323" s="60" t="str"/>
      <x:c r="N323" s="60" t="str"/>
      <x:c r="O323" s="60" t="str">
        <x:v>(843) 814-0198</x:v>
      </x:c>
      <x:c r="P323" s="60" t="str"/>
      <x:c r="Q323" s="60" t="str"/>
      <x:c r="R323" s="60" t="str"/>
      <x:c r="S323" s="60" t="str">
        <x:v>4.9</x:v>
      </x:c>
      <x:c r="T323" s="74" t="str">
        <x:v>167</x:v>
      </x:c>
      <x:c r="U323" s="60" t="str"/>
      <x:c r="V323" s="74" t="str">
        <x:v>28</x:v>
      </x:c>
      <x:c r="W323" s="74" t="str">
        <x:v>3</x:v>
      </x:c>
      <x:c r="X323" s="74" t="str">
        <x:v>4</x:v>
      </x:c>
      <x:c r="Y323" s="74" t="str">
        <x:v>15</x:v>
      </x:c>
      <x:c r="Z323" s="74" t="str">
        <x:v>5</x:v>
      </x:c>
      <x:c r="AA323" s="74" t="str">
        <x:v>0</x:v>
      </x:c>
      <x:c r="AB323" s="74" t="str">
        <x:v>0</x:v>
      </x:c>
      <x:c r="AC323" s="74" t="str">
        <x:v>1</x:v>
      </x:c>
      <x:c r="AD323" s="74" t="str">
        <x:v>0</x:v>
      </x:c>
      <x:c r="AE323" s="74" t="str">
        <x:v>0</x:v>
      </x:c>
      <x:c r="AF323" s="74" t="str"/>
      <x:c r="AG323" s="74" t="str">
        <x:v>1</x:v>
      </x:c>
      <x:c r="AH323" s="74" t="str">
        <x:v>1</x:v>
      </x:c>
      <x:c r="AI323" s="74" t="str">
        <x:v>1</x:v>
      </x:c>
      <x:c r="AJ323" s="74" t="str">
        <x:v>1</x:v>
      </x:c>
      <x:c r="AK323" s="74" t="str">
        <x:v>1</x:v>
      </x:c>
      <x:c r="AL323" s="74" t="str">
        <x:v>0</x:v>
      </x:c>
      <x:c r="AM323" s="74" t="str">
        <x:v>1</x:v>
      </x:c>
      <x:c r="AN323" s="74" t="str">
        <x:v>0</x:v>
      </x:c>
      <x:c r="AO323" s="60" t="str">
        <x:v>2026</x:v>
      </x:c>
      <x:c r="AP323" s="76" t="str">
        <x:v>ICP fit; paid-demand need requires manual verification</x:v>
      </x:c>
      <x:c r="AQ323" s="76" t="str">
        <x:v>project/gallery proof; testimonials; financing; visible service offer</x:v>
      </x:c>
      <x:c r="AR323" s="76" t="str">
        <x:v>I was reviewing hvac companies in Summerville, South Carolina and Reliable Heating and Air, LLC looked like a strong fit for a creative test.</x:v>
      </x:c>
      <x:c r="AS323" s="76" t="str">
        <x:v>no-cool-call to same-day comfort ad</x:v>
      </x:c>
      <x:c r="AT323" s="76" t="str">
        <x:v>Reliable Heating and Air, LLC ad concept</x:v>
      </x:c>
      <x:c r="AU323" s="76" t="str">
        <x:v>Hi Reliable Heating and Air, LLC — I was reviewing hvac companies in Summerville, South Carolina and Reliable Heating and Air, LLC looked like a strong fit for a creative test. I mapped a private 15-second no-cool-call to same-day comfort ad for Reliable Heating and Air, LLC using only public brand context—not for publishing, just to show the angle. We build three client-approved video ad concepts in seven days, then turn the winners into fresh variations. No filming day required. Worth sending the private sample?</x:v>
      </x:c>
      <x:c r="AV323" s="76" t="str">
        <x:v>Quick follow-up: the sample angle is a no-cool-call to same-day comfort ad. If it misses the mark, no problem—I won't keep chasing. Should I send it?</x:v>
      </x:c>
      <x:c r="AW323" s="76" t="str">
        <x:v>Hi Reliable Heating and Air, LLC, Ryan here. I was looking at Reliable Heating and Air, LLC's public marketing and noticed: icp fit; paid-demand need requires manual verification. I mapped one private no-cool-call to same-day comfort ad as an example. Did I catch you with 30 seconds?</x:v>
      </x:c>
      <x:c r="AX323" s="60" t="str">
        <x:v>https://www.facebook.com/ads/library/?active_status=active&amp;ad_type=all&amp;country=US&amp;q=Reliable%20Heating%20and%20Air%2C%20LLC&amp;search_type=keyword_unordered</x:v>
      </x:c>
      <x:c r="AY323" s="60" t="str">
        <x:v>ok:200</x:v>
      </x:c>
      <x:c r="AZ323" s="60" t="n">
        <x:v>46232.722858796296</x:v>
      </x:c>
      <x:c r="BA323" s="60" t="str">
        <x:v>Google Maps home-services export</x:v>
      </x:c>
      <x:c r="BB323" s="60" t="str">
        <x:v>https://maps.google.com/?cid=7248041557720805771&amp;g_mp=Cidnb29nbGUubWFwcy5wbGFjZXMudjEuUGxhY2VzLlNlYXJjaFRleHQQAhgEIAA | https://reliableheatingairllc.com</x:v>
      </x:c>
      <x:c r="BC323" s="60" t="str"/>
    </x:row>
    <x:row r="324" ht="18" customHeight="1">
      <x:c r="A324" s="70" t="str">
        <x:v>323</x:v>
      </x:c>
      <x:c r="B324" s="70" t="str">
        <x:v>B - Strong</x:v>
      </x:c>
      <x:c r="C324" s="72" t="str">
        <x:v>55</x:v>
      </x:c>
      <x:c r="D324" s="60" t="str">
        <x:v>Zeigler Metal Roofing and Shingles</x:v>
      </x:c>
      <x:c r="E324" s="60" t="str">
        <x:v>https://zeiglermetalroofingandshingles.com</x:v>
      </x:c>
      <x:c r="F324" s="60" t="str">
        <x:v>https://zeiglermetalroofingandshingles.com</x:v>
      </x:c>
      <x:c r="G324" s="60" t="str">
        <x:v>Mount Pleasant</x:v>
      </x:c>
      <x:c r="H324" s="60" t="str">
        <x:v>South Carolina</x:v>
      </x:c>
      <x:c r="I324" s="60" t="str">
        <x:v>Roofing</x:v>
      </x:c>
      <x:c r="J324" s="60" t="str">
        <x:v>Zeigler Metal Roofing and Shingles</x:v>
      </x:c>
      <x:c r="K324" s="60" t="str"/>
      <x:c r="L324" s="60" t="str">
        <x:v>Owner / decision maker to verify</x:v>
      </x:c>
      <x:c r="M324" s="60" t="str"/>
      <x:c r="N324" s="60" t="str"/>
      <x:c r="O324" s="60" t="str">
        <x:v>(843) 212-7013</x:v>
      </x:c>
      <x:c r="P324" s="60" t="str"/>
      <x:c r="Q324" s="60" t="str"/>
      <x:c r="R324" s="60" t="str"/>
      <x:c r="S324" s="60" t="str">
        <x:v>5</x:v>
      </x:c>
      <x:c r="T324" s="74" t="str">
        <x:v>46</x:v>
      </x:c>
      <x:c r="U324" s="60" t="str"/>
      <x:c r="V324" s="74" t="str">
        <x:v>27</x:v>
      </x:c>
      <x:c r="W324" s="74" t="str">
        <x:v>3</x:v>
      </x:c>
      <x:c r="X324" s="74" t="str">
        <x:v>6</x:v>
      </x:c>
      <x:c r="Y324" s="74" t="str">
        <x:v>14</x:v>
      </x:c>
      <x:c r="Z324" s="74" t="str">
        <x:v>5</x:v>
      </x:c>
      <x:c r="AA324" s="74" t="str">
        <x:v>0</x:v>
      </x:c>
      <x:c r="AB324" s="74" t="str">
        <x:v>0</x:v>
      </x:c>
      <x:c r="AC324" s="74" t="str">
        <x:v>1</x:v>
      </x:c>
      <x:c r="AD324" s="74" t="str">
        <x:v>0</x:v>
      </x:c>
      <x:c r="AE324" s="74" t="str">
        <x:v>0</x:v>
      </x:c>
      <x:c r="AF324" s="74" t="str"/>
      <x:c r="AG324" s="74" t="str">
        <x:v>0</x:v>
      </x:c>
      <x:c r="AH324" s="74" t="str">
        <x:v>1</x:v>
      </x:c>
      <x:c r="AI324" s="74" t="str">
        <x:v>1</x:v>
      </x:c>
      <x:c r="AJ324" s="74" t="str">
        <x:v>0</x:v>
      </x:c>
      <x:c r="AK324" s="74" t="str">
        <x:v>1</x:v>
      </x:c>
      <x:c r="AL324" s="74" t="str">
        <x:v>0</x:v>
      </x:c>
      <x:c r="AM324" s="74" t="str">
        <x:v>1</x:v>
      </x:c>
      <x:c r="AN324" s="74" t="str">
        <x:v>1</x:v>
      </x:c>
      <x:c r="AO324" s="60" t="str">
        <x:v>2025</x:v>
      </x:c>
      <x:c r="AP324" s="76" t="str">
        <x:v>Project/gallery proof found; no embedded homepage video found</x:v>
      </x:c>
      <x:c r="AQ324" s="76" t="str">
        <x:v>project/gallery proof; testimonials; visible service offer; no embedded homepage video detected</x:v>
      </x:c>
      <x:c r="AR324" s="76" t="str">
        <x:v>I found project/gallery proof on Zeigler Metal Roofing and Shingles's site that could be repackaged into short-form ad concepts.</x:v>
      </x:c>
      <x:c r="AS324" s="76" t="str">
        <x:v>storm-to-inspection before/after ad</x:v>
      </x:c>
      <x:c r="AT324" s="76" t="str">
        <x:v>Zeigler Metal Roofing and Shingles ad concept</x:v>
      </x:c>
      <x:c r="AU324" s="76" t="str">
        <x:v>Hi Zeigler Metal Roofing and Shingles — I found project/gallery proof on Zeigler Metal Roofing and Shingles's site that could be repackaged into short-form ad concepts. I mapped a private 15-second storm-to-inspection before/after ad for Zeigler Metal Roofing and Shingles using only public brand context—not for publishing, just to show the angle. We build three client-approved video ad concepts in seven days, then turn the winners into fresh variations. No filming day required. Worth sending the private sample?</x:v>
      </x:c>
      <x:c r="AV324" s="76" t="str">
        <x:v>Quick follow-up: the sample angle is a storm-to-inspection before/after ad. If it misses the mark, no problem—I won't keep chasing. Should I send it?</x:v>
      </x:c>
      <x:c r="AW324" s="76" t="str">
        <x:v>Hi Zeigler Metal Roofing and Shingles, Ryan here. I was looking at Zeigler Metal Roofing and Shingles's public marketing and noticed: project/gallery proof found; no embedded homepage video found. I mapped one private storm-to-inspection before/after ad as an example. Did I catch you with 30 seconds?</x:v>
      </x:c>
      <x:c r="AX324" s="60" t="str">
        <x:v>https://www.facebook.com/ads/library/?active_status=active&amp;ad_type=all&amp;country=US&amp;q=Zeigler%20Metal%20Roofing%20and%20Shingles&amp;search_type=keyword_unordered</x:v>
      </x:c>
      <x:c r="AY324" s="60" t="str">
        <x:v>ok:200</x:v>
      </x:c>
      <x:c r="AZ324" s="60" t="n">
        <x:v>46232.722858796296</x:v>
      </x:c>
      <x:c r="BA324" s="60" t="str">
        <x:v>Google Maps home-services export</x:v>
      </x:c>
      <x:c r="BB324" s="60" t="str">
        <x:v>https://maps.google.com/?cid=1917208421852126876&amp;g_mp=Cidnb29nbGUubWFwcy5wbGFjZXMudjEuUGxhY2VzLlNlYXJjaFRleHQQAhgEIAA | https://zeiglermetalroofingandshingles.com</x:v>
      </x:c>
      <x:c r="BC324" s="60" t="str"/>
    </x:row>
    <x:row r="325" ht="18" customHeight="1">
      <x:c r="A325" s="70" t="str">
        <x:v>324</x:v>
      </x:c>
      <x:c r="B325" s="70" t="str">
        <x:v>B - Strong</x:v>
      </x:c>
      <x:c r="C325" s="72" t="str">
        <x:v>55</x:v>
      </x:c>
      <x:c r="D325" s="60" t="str">
        <x:v>Seawright Roofing</x:v>
      </x:c>
      <x:c r="E325" s="60" t="str">
        <x:v>https://seawrightroofing.com</x:v>
      </x:c>
      <x:c r="F325" s="60" t="str">
        <x:v>https://www.seawrightroofing.com/</x:v>
      </x:c>
      <x:c r="G325" s="60" t="str">
        <x:v>Columbia</x:v>
      </x:c>
      <x:c r="H325" s="60" t="str">
        <x:v>South Carolina</x:v>
      </x:c>
      <x:c r="I325" s="60" t="str">
        <x:v>Roofing</x:v>
      </x:c>
      <x:c r="J325" s="60" t="str">
        <x:v>Seawright Roofing</x:v>
      </x:c>
      <x:c r="K325" s="60" t="str"/>
      <x:c r="L325" s="60" t="str">
        <x:v>Owner / decision maker to verify</x:v>
      </x:c>
      <x:c r="M325" s="60" t="str"/>
      <x:c r="N325" s="60" t="str"/>
      <x:c r="O325" s="60" t="str">
        <x:v>(803) 828-4181</x:v>
      </x:c>
      <x:c r="P325" s="60" t="str"/>
      <x:c r="Q325" s="60" t="str"/>
      <x:c r="R325" s="60" t="str"/>
      <x:c r="S325" s="60" t="str">
        <x:v>4.9</x:v>
      </x:c>
      <x:c r="T325" s="74" t="str">
        <x:v>104</x:v>
      </x:c>
      <x:c r="U325" s="60" t="str"/>
      <x:c r="V325" s="74" t="str">
        <x:v>29</x:v>
      </x:c>
      <x:c r="W325" s="74" t="str">
        <x:v>3</x:v>
      </x:c>
      <x:c r="X325" s="74" t="str">
        <x:v>4</x:v>
      </x:c>
      <x:c r="Y325" s="74" t="str">
        <x:v>14</x:v>
      </x:c>
      <x:c r="Z325" s="74" t="str">
        <x:v>5</x:v>
      </x:c>
      <x:c r="AA325" s="74" t="str">
        <x:v>0</x:v>
      </x:c>
      <x:c r="AB325" s="74" t="str">
        <x:v>0</x:v>
      </x:c>
      <x:c r="AC325" s="74" t="str">
        <x:v>1</x:v>
      </x:c>
      <x:c r="AD325" s="74" t="str">
        <x:v>0</x:v>
      </x:c>
      <x:c r="AE325" s="74" t="str">
        <x:v>0</x:v>
      </x:c>
      <x:c r="AF325" s="74" t="str"/>
      <x:c r="AG325" s="74" t="str">
        <x:v>1</x:v>
      </x:c>
      <x:c r="AH325" s="74" t="str">
        <x:v>1</x:v>
      </x:c>
      <x:c r="AI325" s="74" t="str">
        <x:v>0</x:v>
      </x:c>
      <x:c r="AJ325" s="74" t="str">
        <x:v>1</x:v>
      </x:c>
      <x:c r="AK325" s="74" t="str">
        <x:v>1</x:v>
      </x:c>
      <x:c r="AL325" s="74" t="str">
        <x:v>0</x:v>
      </x:c>
      <x:c r="AM325" s="74" t="str">
        <x:v>0</x:v>
      </x:c>
      <x:c r="AN325" s="74" t="str">
        <x:v>0</x:v>
      </x:c>
      <x:c r="AO325" s="60" t="str">
        <x:v>0</x:v>
      </x:c>
      <x:c r="AP325" s="76" t="str">
        <x:v>ICP fit; paid-demand need requires manual verification</x:v>
      </x:c>
      <x:c r="AQ325" s="76" t="str">
        <x:v>project/gallery proof; financing; visible service offer</x:v>
      </x:c>
      <x:c r="AR325" s="76" t="str">
        <x:v>I was reviewing roofing companies in Columbia, South Carolina and Seawright Roofing looked like a strong fit for a creative test.</x:v>
      </x:c>
      <x:c r="AS325" s="76" t="str">
        <x:v>storm-to-inspection before/after ad</x:v>
      </x:c>
      <x:c r="AT325" s="76" t="str">
        <x:v>Seawright Roofing ad concept</x:v>
      </x:c>
      <x:c r="AU325" s="76" t="str">
        <x:v>Hi Seawright Roofing — I was reviewing roofing companies in Columbia, South Carolina and Seawright Roofing looked like a strong fit for a creative test. I mapped a private 15-second storm-to-inspection before/after ad for Seawright Roofing using only public brand context—not for publishing, just to show the angle. We build three client-approved video ad concepts in seven days, then turn the winners into fresh variations. No filming day required. Worth sending the private sample?</x:v>
      </x:c>
      <x:c r="AV325" s="76" t="str">
        <x:v>Quick follow-up: the sample angle is a storm-to-inspection before/after ad. If it misses the mark, no problem—I won't keep chasing. Should I send it?</x:v>
      </x:c>
      <x:c r="AW325" s="76" t="str">
        <x:v>Hi Seawright Roofing, Ryan here. I was looking at Seawright Roofing's public marketing and noticed: icp fit; paid-demand need requires manual verification. I mapped one private storm-to-inspection before/after ad as an example. Did I catch you with 30 seconds?</x:v>
      </x:c>
      <x:c r="AX325" s="60" t="str">
        <x:v>https://www.facebook.com/ads/library/?active_status=active&amp;ad_type=all&amp;country=US&amp;q=Seawright%20Roofing&amp;search_type=keyword_unordered</x:v>
      </x:c>
      <x:c r="AY325" s="60" t="str">
        <x:v>ok:200</x:v>
      </x:c>
      <x:c r="AZ325" s="60" t="n">
        <x:v>46232.722858796296</x:v>
      </x:c>
      <x:c r="BA325" s="60" t="str">
        <x:v>Google Maps home-services export</x:v>
      </x:c>
      <x:c r="BB325" s="60" t="str">
        <x:v>https://maps.google.com/?cid=8853673132537491871&amp;g_mp=Cidnb29nbGUubWFwcy5wbGFjZXMudjEuUGxhY2VzLlNlYXJjaFRleHQQAhgEIAA | https://seawrightroofing.com</x:v>
      </x:c>
      <x:c r="BC325" s="60" t="str"/>
    </x:row>
    <x:row r="326" ht="18" customHeight="1">
      <x:c r="A326" s="70" t="str">
        <x:v>325</x:v>
      </x:c>
      <x:c r="B326" s="70" t="str">
        <x:v>B - Strong</x:v>
      </x:c>
      <x:c r="C326" s="72" t="str">
        <x:v>55</x:v>
      </x:c>
      <x:c r="D326" s="60" t="str">
        <x:v>Southern Seasons Heating &amp; Air Conditioning</x:v>
      </x:c>
      <x:c r="E326" s="60" t="str">
        <x:v>https://southernseasonshvac.com</x:v>
      </x:c>
      <x:c r="F326" s="60" t="str">
        <x:v>https://www.southernseasonshvac.com/</x:v>
      </x:c>
      <x:c r="G326" s="60" t="str">
        <x:v>Mount Pleasant</x:v>
      </x:c>
      <x:c r="H326" s="60" t="str">
        <x:v>South Carolina</x:v>
      </x:c>
      <x:c r="I326" s="60" t="str">
        <x:v>HVAC</x:v>
      </x:c>
      <x:c r="J326" s="60" t="str">
        <x:v>Southern Seasons Heating &amp; Air Conditioning</x:v>
      </x:c>
      <x:c r="K326" s="60" t="str"/>
      <x:c r="L326" s="60" t="str">
        <x:v>Owner / decision maker to verify</x:v>
      </x:c>
      <x:c r="M326" s="60" t="str"/>
      <x:c r="N326" s="60" t="str"/>
      <x:c r="O326" s="60" t="str">
        <x:v>(803) 837-4115</x:v>
      </x:c>
      <x:c r="P326" s="60" t="str"/>
      <x:c r="Q326" s="60" t="str"/>
      <x:c r="R326" s="60" t="str"/>
      <x:c r="S326" s="60" t="str">
        <x:v>4.8</x:v>
      </x:c>
      <x:c r="T326" s="74" t="str">
        <x:v>134</x:v>
      </x:c>
      <x:c r="U326" s="60" t="str">
        <x:v>missed_calls, slow_response</x:v>
      </x:c>
      <x:c r="V326" s="74" t="str">
        <x:v>28</x:v>
      </x:c>
      <x:c r="W326" s="74" t="str">
        <x:v>3</x:v>
      </x:c>
      <x:c r="X326" s="74" t="str">
        <x:v>8</x:v>
      </x:c>
      <x:c r="Y326" s="74" t="str">
        <x:v>11</x:v>
      </x:c>
      <x:c r="Z326" s="74" t="str">
        <x:v>5</x:v>
      </x:c>
      <x:c r="AA326" s="74" t="str">
        <x:v>0</x:v>
      </x:c>
      <x:c r="AB326" s="74" t="str">
        <x:v>0</x:v>
      </x:c>
      <x:c r="AC326" s="74" t="str">
        <x:v>1</x:v>
      </x:c>
      <x:c r="AD326" s="74" t="str">
        <x:v>0</x:v>
      </x:c>
      <x:c r="AE326" s="74" t="str">
        <x:v>0</x:v>
      </x:c>
      <x:c r="AF326" s="74" t="str"/>
      <x:c r="AG326" s="74" t="str">
        <x:v>0</x:v>
      </x:c>
      <x:c r="AH326" s="74" t="str">
        <x:v>1</x:v>
      </x:c>
      <x:c r="AI326" s="74" t="str">
        <x:v>0</x:v>
      </x:c>
      <x:c r="AJ326" s="74" t="str">
        <x:v>0</x:v>
      </x:c>
      <x:c r="AK326" s="74" t="str">
        <x:v>1</x:v>
      </x:c>
      <x:c r="AL326" s="74" t="str">
        <x:v>0</x:v>
      </x:c>
      <x:c r="AM326" s="74" t="str">
        <x:v>1</x:v>
      </x:c>
      <x:c r="AN326" s="74" t="str">
        <x:v>1</x:v>
      </x:c>
      <x:c r="AO326" s="60" t="str">
        <x:v>0</x:v>
      </x:c>
      <x:c r="AP326" s="76" t="str">
        <x:v>Project/gallery proof found; no embedded homepage video found</x:v>
      </x:c>
      <x:c r="AQ326" s="76" t="str">
        <x:v>project/gallery proof; visible service offer; no embedded homepage video detected</x:v>
      </x:c>
      <x:c r="AR326" s="76" t="str">
        <x:v>I found project/gallery proof on Southern Seasons Heating &amp; Air Conditioning's site that could be repackaged into short-form ad concepts.</x:v>
      </x:c>
      <x:c r="AS326" s="76" t="str">
        <x:v>no-cool-call to same-day comfort ad</x:v>
      </x:c>
      <x:c r="AT326" s="76" t="str">
        <x:v>Southern Seasons Heating &amp; Air Conditioning ad concept</x:v>
      </x:c>
      <x:c r="AU326" s="76" t="str">
        <x:v>Hi Southern Seasons Heating &amp; Air Conditioning — I found project/gallery proof on Southern Seasons Heating &amp; Air Conditioning's site that could be repackaged into short-form ad concepts. I mapped a private 15-second no-cool-call to same-day comfort ad for Southern Seasons Heating &amp; Air Conditioning using only public brand context—not for publishing, just to show the angle. We build three client-approved video ad concepts in seven days, then turn the winners into fresh variations. No filming day required. Worth sending the private sample?</x:v>
      </x:c>
      <x:c r="AV326" s="76" t="str">
        <x:v>Quick follow-up: the sample angle is a no-cool-call to same-day comfort ad. If it misses the mark, no problem—I won't keep chasing. Should I send it?</x:v>
      </x:c>
      <x:c r="AW326" s="76" t="str">
        <x:v>Hi Southern Seasons Heating &amp; Air Conditioning, Ryan here. I was looking at Southern Seasons Heating &amp; Air Conditioning's public marketing and noticed: project/gallery proof found; no embedded homepage video found. I mapped one private no-cool-call to same-day comfort ad as an example. Did I catch you with 30 seconds?</x:v>
      </x:c>
      <x:c r="AX326" s="60" t="str">
        <x:v>https://www.facebook.com/ads/library/?active_status=active&amp;ad_type=all&amp;country=US&amp;q=Southern%20Seasons%20Heating%20%26%20Air%20Conditioning&amp;search_type=keyword_unordered</x:v>
      </x:c>
      <x:c r="AY326" s="60" t="str">
        <x:v>ok:200</x:v>
      </x:c>
      <x:c r="AZ326" s="60" t="n">
        <x:v>46232.722858796296</x:v>
      </x:c>
      <x:c r="BA326" s="60" t="str">
        <x:v>Google Maps home-services export</x:v>
      </x:c>
      <x:c r="BB326" s="60" t="str">
        <x:v>https://maps.google.com/?cid=5480343875558116799&amp;g_mp=Cidnb29nbGUubWFwcy5wbGFjZXMudjEuUGxhY2VzLlNlYXJjaFRleHQQAhgEIAA | https://southernseasonshvac.com</x:v>
      </x:c>
      <x:c r="BC326" s="60" t="str"/>
    </x:row>
    <x:row r="327" ht="18" customHeight="1">
      <x:c r="A327" s="70" t="str">
        <x:v>326</x:v>
      </x:c>
      <x:c r="B327" s="70" t="str">
        <x:v>B - Strong</x:v>
      </x:c>
      <x:c r="C327" s="72" t="str">
        <x:v>55</x:v>
      </x:c>
      <x:c r="D327" s="60" t="str">
        <x:v>Customer's Preference</x:v>
      </x:c>
      <x:c r="E327" s="60" t="str">
        <x:v>https://customerspreference.com</x:v>
      </x:c>
      <x:c r="F327" s="60" t="str">
        <x:v>https://customerspreference.com</x:v>
      </x:c>
      <x:c r="G327" s="60" t="str">
        <x:v>Goose Creek</x:v>
      </x:c>
      <x:c r="H327" s="60" t="str">
        <x:v>South Carolina</x:v>
      </x:c>
      <x:c r="I327" s="60" t="str">
        <x:v>HVAC</x:v>
      </x:c>
      <x:c r="J327" s="60" t="str">
        <x:v>Customer's Preference</x:v>
      </x:c>
      <x:c r="K327" s="60" t="str"/>
      <x:c r="L327" s="60" t="str">
        <x:v>Owner / decision maker to verify</x:v>
      </x:c>
      <x:c r="M327" s="60" t="str"/>
      <x:c r="N327" s="60" t="str"/>
      <x:c r="O327" s="60" t="str">
        <x:v>(843) 557-5446</x:v>
      </x:c>
      <x:c r="P327" s="60" t="str"/>
      <x:c r="Q327" s="60" t="str"/>
      <x:c r="R327" s="60" t="str"/>
      <x:c r="S327" s="60" t="str">
        <x:v>5</x:v>
      </x:c>
      <x:c r="T327" s="74" t="str">
        <x:v>39</x:v>
      </x:c>
      <x:c r="U327" s="60" t="str"/>
      <x:c r="V327" s="74" t="str">
        <x:v>26</x:v>
      </x:c>
      <x:c r="W327" s="74" t="str">
        <x:v>3</x:v>
      </x:c>
      <x:c r="X327" s="74" t="str">
        <x:v>10</x:v>
      </x:c>
      <x:c r="Y327" s="74" t="str">
        <x:v>11</x:v>
      </x:c>
      <x:c r="Z327" s="74" t="str">
        <x:v>5</x:v>
      </x:c>
      <x:c r="AA327" s="74" t="str">
        <x:v>0</x:v>
      </x:c>
      <x:c r="AB327" s="74" t="str">
        <x:v>0</x:v>
      </x:c>
      <x:c r="AC327" s="74" t="str">
        <x:v>1</x:v>
      </x:c>
      <x:c r="AD327" s="74" t="str">
        <x:v>0</x:v>
      </x:c>
      <x:c r="AE327" s="74" t="str">
        <x:v>0</x:v>
      </x:c>
      <x:c r="AF327" s="74" t="str"/>
      <x:c r="AG327" s="74" t="str">
        <x:v>0</x:v>
      </x:c>
      <x:c r="AH327" s="74" t="str">
        <x:v>1</x:v>
      </x:c>
      <x:c r="AI327" s="74" t="str">
        <x:v>1</x:v>
      </x:c>
      <x:c r="AJ327" s="74" t="str">
        <x:v>0</x:v>
      </x:c>
      <x:c r="AK327" s="74" t="str">
        <x:v>0</x:v>
      </x:c>
      <x:c r="AL327" s="74" t="str">
        <x:v>0</x:v>
      </x:c>
      <x:c r="AM327" s="74" t="str">
        <x:v>1</x:v>
      </x:c>
      <x:c r="AN327" s="74" t="str">
        <x:v>0</x:v>
      </x:c>
      <x:c r="AO327" s="60" t="str">
        <x:v>2026</x:v>
      </x:c>
      <x:c r="AP327" s="76" t="str">
        <x:v>Project/gallery proof found; no embedded homepage video found</x:v>
      </x:c>
      <x:c r="AQ327" s="76" t="str">
        <x:v>project/gallery proof; testimonials; no embedded homepage video detected</x:v>
      </x:c>
      <x:c r="AR327" s="76" t="str">
        <x:v>I found project/gallery proof on Customer's Preference's site that could be repackaged into short-form ad concepts.</x:v>
      </x:c>
      <x:c r="AS327" s="76" t="str">
        <x:v>no-cool-call to same-day comfort ad</x:v>
      </x:c>
      <x:c r="AT327" s="76" t="str">
        <x:v>Customer's Preference ad concept</x:v>
      </x:c>
      <x:c r="AU327" s="76" t="str">
        <x:v>Hi Customer's Preference — I found project/gallery proof on Customer's Preference's site that could be repackaged into short-form ad concepts. I mapped a private 15-second no-cool-call to same-day comfort ad for Customer's Preference using only public brand context—not for publishing, just to show the angle. We build three client-approved video ad concepts in seven days, then turn the winners into fresh variations. No filming day required. Worth sending the private sample?</x:v>
      </x:c>
      <x:c r="AV327" s="76" t="str">
        <x:v>Quick follow-up: the sample angle is a no-cool-call to same-day comfort ad. If it misses the mark, no problem—I won't keep chasing. Should I send it?</x:v>
      </x:c>
      <x:c r="AW327" s="76" t="str">
        <x:v>Hi Customer's Preference, Ryan here. I was looking at Customer's Preference's public marketing and noticed: project/gallery proof found; no embedded homepage video found. I mapped one private no-cool-call to same-day comfort ad as an example. Did I catch you with 30 seconds?</x:v>
      </x:c>
      <x:c r="AX327" s="60" t="str">
        <x:v>https://www.facebook.com/ads/library/?active_status=active&amp;ad_type=all&amp;country=US&amp;q=Customer%27s%20Preference&amp;search_type=keyword_unordered</x:v>
      </x:c>
      <x:c r="AY327" s="60" t="str">
        <x:v>ok:200</x:v>
      </x:c>
      <x:c r="AZ327" s="60" t="n">
        <x:v>46232.722858796296</x:v>
      </x:c>
      <x:c r="BA327" s="60" t="str">
        <x:v>Google Maps home-services export</x:v>
      </x:c>
      <x:c r="BB327" s="60" t="str">
        <x:v>https://customerspreference.com | https://maps.google.com/?cid=1887889265959447979&amp;g_mp=Cidnb29nbGUubWFwcy5wbGFjZXMudjEuUGxhY2VzLlNlYXJjaFRleHQQAhgEIAA</x:v>
      </x:c>
      <x:c r="BC327" s="60" t="str"/>
    </x:row>
    <x:row r="328" ht="18" customHeight="1">
      <x:c r="A328" s="70" t="str">
        <x:v>327</x:v>
      </x:c>
      <x:c r="B328" s="70" t="str">
        <x:v>B - Strong</x:v>
      </x:c>
      <x:c r="C328" s="72" t="str">
        <x:v>55</x:v>
      </x:c>
      <x:c r="D328" s="60" t="str">
        <x:v>DK Mason Construction Company</x:v>
      </x:c>
      <x:c r="E328" s="60" t="str">
        <x:v>https://upstateroofer.com</x:v>
      </x:c>
      <x:c r="F328" s="60" t="str">
        <x:v>https://www.dkmasonroofing.com/</x:v>
      </x:c>
      <x:c r="G328" s="60" t="str">
        <x:v>Greenville-spartanburg-anderson</x:v>
      </x:c>
      <x:c r="H328" s="60" t="str">
        <x:v>South Carolina Area</x:v>
      </x:c>
      <x:c r="I328" s="60" t="str">
        <x:v>Roofing</x:v>
      </x:c>
      <x:c r="J328" s="60" t="str">
        <x:v>Darren</x:v>
      </x:c>
      <x:c r="K328" s="60" t="str">
        <x:v>Mason</x:v>
      </x:c>
      <x:c r="L328" s="60" t="str">
        <x:v>Business Owner</x:v>
      </x:c>
      <x:c r="M328" s="60" t="str"/>
      <x:c r="N328" s="60" t="str"/>
      <x:c r="O328" s="60" t="str">
        <x:v>+1 864 921 0449</x:v>
      </x:c>
      <x:c r="P328" s="60" t="str">
        <x:v>https://www.linkedin.com/in/darren-mason-1a300b112</x:v>
      </x:c>
      <x:c r="Q328" s="60" t="str">
        <x:v>11-50</x:v>
      </x:c>
      <x:c r="R328" s="60" t="str">
        <x:v>100000-499999</x:v>
      </x:c>
      <x:c r="S328" s="60" t="str"/>
      <x:c r="T328" s="74" t="str">
        <x:v>0</x:v>
      </x:c>
      <x:c r="U328" s="60" t="str"/>
      <x:c r="V328" s="74" t="str">
        <x:v>30</x:v>
      </x:c>
      <x:c r="W328" s="74" t="str">
        <x:v>3</x:v>
      </x:c>
      <x:c r="X328" s="74" t="str">
        <x:v>7</x:v>
      </x:c>
      <x:c r="Y328" s="74" t="str">
        <x:v>10</x:v>
      </x:c>
      <x:c r="Z328" s="74" t="str">
        <x:v>5</x:v>
      </x:c>
      <x:c r="AA328" s="74" t="str">
        <x:v>0</x:v>
      </x:c>
      <x:c r="AB328" s="74" t="str">
        <x:v>0</x:v>
      </x:c>
      <x:c r="AC328" s="74" t="str">
        <x:v>1</x:v>
      </x:c>
      <x:c r="AD328" s="74" t="str">
        <x:v>0</x:v>
      </x:c>
      <x:c r="AE328" s="74" t="str">
        <x:v>0</x:v>
      </x:c>
      <x:c r="AF328" s="74" t="str"/>
      <x:c r="AG328" s="74" t="str">
        <x:v>1</x:v>
      </x:c>
      <x:c r="AH328" s="74" t="str">
        <x:v>0</x:v>
      </x:c>
      <x:c r="AI328" s="74" t="str">
        <x:v>1</x:v>
      </x:c>
      <x:c r="AJ328" s="74" t="str">
        <x:v>1</x:v>
      </x:c>
      <x:c r="AK328" s="74" t="str">
        <x:v>1</x:v>
      </x:c>
      <x:c r="AL328" s="74" t="str">
        <x:v>0</x:v>
      </x:c>
      <x:c r="AM328" s="74" t="str">
        <x:v>1</x:v>
      </x:c>
      <x:c r="AN328" s="74" t="str">
        <x:v>0</x:v>
      </x:c>
      <x:c r="AO328" s="60" t="str">
        <x:v>2024</x:v>
      </x:c>
      <x:c r="AP328" s="76" t="str">
        <x:v>ICP fit; paid-demand need requires manual verification</x:v>
      </x:c>
      <x:c r="AQ328" s="76" t="str">
        <x:v>testimonials; financing; visible service offer</x:v>
      </x:c>
      <x:c r="AR328" s="76" t="str">
        <x:v>I was reviewing roofing companies in Greenville-spartanburg-anderson, South Carolina Area and DK Mason Construction Company looked like a strong fit for a creative test.</x:v>
      </x:c>
      <x:c r="AS328" s="76" t="str">
        <x:v>storm-to-inspection before/after ad</x:v>
      </x:c>
      <x:c r="AT328" s="76" t="str">
        <x:v>DK Mason Construction Company ad concept</x:v>
      </x:c>
      <x:c r="AU328" s="76" t="str">
        <x:v>Hi Darren — I was reviewing roofing companies in Greenville-spartanburg-anderson, South Carolina Area and DK Mason Construction Company looked like a strong fit for a creative test. I mapped a private 15-second storm-to-inspection before/after ad for DK Mason Construction Company using only public brand context—not for publishing, just to show the angle. We build three client-approved video ad concepts in seven days, then turn the winners into fresh variations. No filming day required. Worth sending the private sample?</x:v>
      </x:c>
      <x:c r="AV328" s="76" t="str">
        <x:v>Quick follow-up: the sample angle is a storm-to-inspection before/after ad. If it misses the mark, no problem—I won't keep chasing. Should I send it?</x:v>
      </x:c>
      <x:c r="AW328" s="76" t="str">
        <x:v>Hi Darren, Ryan here. I was looking at DK Mason Construction Company's public marketing and noticed: icp fit; paid-demand need requires manual verification. I mapped one private storm-to-inspection before/after ad as an example. Did I catch you with 30 seconds?</x:v>
      </x:c>
      <x:c r="AX328" s="60" t="str">
        <x:v>https://www.facebook.com/ads/library/?active_status=active&amp;ad_type=all&amp;country=US&amp;q=DK%20Mason%20Construction%20Company&amp;search_type=keyword_unordered</x:v>
      </x:c>
      <x:c r="AY328" s="60" t="str">
        <x:v>ok:200</x:v>
      </x:c>
      <x:c r="AZ328" s="60" t="n">
        <x:v>46232.722858796296</x:v>
      </x:c>
      <x:c r="BA328" s="60" t="str">
        <x:v>AI Ark SC trades export</x:v>
      </x:c>
      <x:c r="BB328" s="60" t="str">
        <x:v>https://upstateroofer.com | https://www.linkedin.com/company/d-k-mason-construction</x:v>
      </x:c>
      <x:c r="BC328" s="60" t="str"/>
    </x:row>
    <x:row r="329" ht="18" customHeight="1">
      <x:c r="A329" s="70" t="str">
        <x:v>328</x:v>
      </x:c>
      <x:c r="B329" s="70" t="str">
        <x:v>B - Strong</x:v>
      </x:c>
      <x:c r="C329" s="72" t="str">
        <x:v>55</x:v>
      </x:c>
      <x:c r="D329" s="60" t="str">
        <x:v>Pipeline Landscape</x:v>
      </x:c>
      <x:c r="E329" s="60" t="str">
        <x:v>https://pipelinenc.net</x:v>
      </x:c>
      <x:c r="F329" s="60" t="str">
        <x:v>https://pipelinenc.net</x:v>
      </x:c>
      <x:c r="G329" s="60" t="str">
        <x:v>Rock Hill</x:v>
      </x:c>
      <x:c r="H329" s="60" t="str">
        <x:v>South Carolina</x:v>
      </x:c>
      <x:c r="I329" s="60" t="str">
        <x:v>Landscaping &amp; Tree</x:v>
      </x:c>
      <x:c r="J329" s="60" t="str">
        <x:v>Alan</x:v>
      </x:c>
      <x:c r="K329" s="60" t="str">
        <x:v>Smith</x:v>
      </x:c>
      <x:c r="L329" s="60" t="str">
        <x:v>Owner / General Manager / Sales / Customer Service</x:v>
      </x:c>
      <x:c r="M329" s="60" t="str">
        <x:v>alan.smith@pipelinenc.net</x:v>
      </x:c>
      <x:c r="N329" s="60" t="str">
        <x:v>Verified with BounceBan on 08 Jun 26 12:06</x:v>
      </x:c>
      <x:c r="O329" s="60" t="str">
        <x:v>+1 208 591 0675</x:v>
      </x:c>
      <x:c r="P329" s="60" t="str">
        <x:v>https://www.linkedin.com/in/alan-smith-7839b089</x:v>
      </x:c>
      <x:c r="Q329" s="60" t="str">
        <x:v>11-50</x:v>
      </x:c>
      <x:c r="R329" s="60" t="str">
        <x:v>500000-999999</x:v>
      </x:c>
      <x:c r="S329" s="60" t="str"/>
      <x:c r="T329" s="74" t="str">
        <x:v>0</x:v>
      </x:c>
      <x:c r="U329" s="60" t="str"/>
      <x:c r="V329" s="74" t="str">
        <x:v>27</x:v>
      </x:c>
      <x:c r="W329" s="74" t="str">
        <x:v>3</x:v>
      </x:c>
      <x:c r="X329" s="74" t="str">
        <x:v>6</x:v>
      </x:c>
      <x:c r="Y329" s="74" t="str">
        <x:v>9</x:v>
      </x:c>
      <x:c r="Z329" s="74" t="str">
        <x:v>10</x:v>
      </x:c>
      <x:c r="AA329" s="74" t="str">
        <x:v>0</x:v>
      </x:c>
      <x:c r="AB329" s="74" t="str">
        <x:v>0</x:v>
      </x:c>
      <x:c r="AC329" s="74" t="str">
        <x:v>1</x:v>
      </x:c>
      <x:c r="AD329" s="74" t="str">
        <x:v>0</x:v>
      </x:c>
      <x:c r="AE329" s="74" t="str">
        <x:v>0</x:v>
      </x:c>
      <x:c r="AF329" s="74" t="str"/>
      <x:c r="AG329" s="74" t="str">
        <x:v>0</x:v>
      </x:c>
      <x:c r="AH329" s="74" t="str">
        <x:v>1</x:v>
      </x:c>
      <x:c r="AI329" s="74" t="str">
        <x:v>1</x:v>
      </x:c>
      <x:c r="AJ329" s="74" t="str">
        <x:v>0</x:v>
      </x:c>
      <x:c r="AK329" s="74" t="str">
        <x:v>0</x:v>
      </x:c>
      <x:c r="AL329" s="74" t="str">
        <x:v>1</x:v>
      </x:c>
      <x:c r="AM329" s="74" t="str">
        <x:v>1</x:v>
      </x:c>
      <x:c r="AN329" s="74" t="str">
        <x:v>0</x:v>
      </x:c>
      <x:c r="AO329" s="60" t="str">
        <x:v>2026</x:v>
      </x:c>
      <x:c r="AP329" s="76" t="str">
        <x:v>Project/gallery proof found; no embedded homepage video found</x:v>
      </x:c>
      <x:c r="AQ329" s="76" t="str">
        <x:v>project/gallery proof; testimonials; no embedded homepage video detected</x:v>
      </x:c>
      <x:c r="AR329" s="76" t="str">
        <x:v>I found project/gallery proof on Pipeline Landscape's site that could be repackaged into short-form ad concepts.</x:v>
      </x:c>
      <x:c r="AS329" s="76" t="str">
        <x:v>property transformation ad</x:v>
      </x:c>
      <x:c r="AT329" s="76" t="str">
        <x:v>Pipeline Landscape ad concept</x:v>
      </x:c>
      <x:c r="AU329" s="76" t="str">
        <x:v>Hi Alan — I found project/gallery proof on Pipeline Landscape's site that could be repackaged into short-form ad concepts. I mapped a private 15-second property transformation ad for Pipeline Landscape using only public brand context—not for publishing, just to show the angle. We build three client-approved video ad concepts in seven days, then turn the winners into fresh variations. No filming day required. Worth sending the private sample?</x:v>
      </x:c>
      <x:c r="AV329" s="76" t="str">
        <x:v>Quick follow-up: the sample angle is a property transformation ad. If it misses the mark, no problem—I won't keep chasing. Should I send it?</x:v>
      </x:c>
      <x:c r="AW329" s="76" t="str">
        <x:v>Hi Alan, Ryan here. I was looking at Pipeline Landscape's public marketing and noticed: project/gallery proof found; no embedded homepage video found. I mapped one private property transformation ad as an example. Did I catch you with 30 seconds?</x:v>
      </x:c>
      <x:c r="AX329" s="60" t="str">
        <x:v>https://www.facebook.com/ads/library/?active_status=active&amp;ad_type=all&amp;country=US&amp;q=Pipeline%20Landscape&amp;search_type=keyword_unordered</x:v>
      </x:c>
      <x:c r="AY329" s="60" t="str">
        <x:v>ok:200</x:v>
      </x:c>
      <x:c r="AZ329" s="60" t="n">
        <x:v>46232.722858796296</x:v>
      </x:c>
      <x:c r="BA329" s="60" t="str">
        <x:v>AI Ark SC trades export</x:v>
      </x:c>
      <x:c r="BB329" s="60" t="str">
        <x:v>https://pipelinenc.net | https://www.linkedin.com/company/pipeline-landscape-irrigation</x:v>
      </x:c>
      <x:c r="BC329" s="60" t="str"/>
    </x:row>
    <x:row r="330" ht="18" customHeight="1">
      <x:c r="A330" s="70" t="str">
        <x:v>329</x:v>
      </x:c>
      <x:c r="B330" s="70" t="str">
        <x:v>B - Strong</x:v>
      </x:c>
      <x:c r="C330" s="72" t="str">
        <x:v>55</x:v>
      </x:c>
      <x:c r="D330" s="60" t="str">
        <x:v>Coastal Structures Corporation</x:v>
      </x:c>
      <x:c r="E330" s="60" t="str">
        <x:v>https://coastalstructures.com</x:v>
      </x:c>
      <x:c r="F330" s="60" t="str">
        <x:v>https://coastalstructures.com</x:v>
      </x:c>
      <x:c r="G330" s="60" t="str">
        <x:v>Georgetown</x:v>
      </x:c>
      <x:c r="H330" s="60" t="str">
        <x:v>South Carolina</x:v>
      </x:c>
      <x:c r="I330" s="60" t="str">
        <x:v>General Contractor</x:v>
      </x:c>
      <x:c r="J330" s="60" t="str">
        <x:v>Harby</x:v>
      </x:c>
      <x:c r="K330" s="60" t="str">
        <x:v>Moses</x:v>
      </x:c>
      <x:c r="L330" s="60" t="str">
        <x:v>Owner</x:v>
      </x:c>
      <x:c r="M330" s="60" t="str">
        <x:v>harby@coastalstructures.com</x:v>
      </x:c>
      <x:c r="N330" s="60" t="str">
        <x:v>Verified with BounceBan on 08 Jun 26 12:06</x:v>
      </x:c>
      <x:c r="O330" s="60" t="str">
        <x:v>+1 843 340 9375</x:v>
      </x:c>
      <x:c r="P330" s="60" t="str">
        <x:v>https://www.linkedin.com/in/harbymoses</x:v>
      </x:c>
      <x:c r="Q330" s="60" t="str">
        <x:v>11-50</x:v>
      </x:c>
      <x:c r="R330" s="60" t="str">
        <x:v>1000000-4999999</x:v>
      </x:c>
      <x:c r="S330" s="60" t="str"/>
      <x:c r="T330" s="74" t="str">
        <x:v>0</x:v>
      </x:c>
      <x:c r="U330" s="60" t="str"/>
      <x:c r="V330" s="74" t="str">
        <x:v>27</x:v>
      </x:c>
      <x:c r="W330" s="74" t="str">
        <x:v>3</x:v>
      </x:c>
      <x:c r="X330" s="74" t="str">
        <x:v>6</x:v>
      </x:c>
      <x:c r="Y330" s="74" t="str">
        <x:v>9</x:v>
      </x:c>
      <x:c r="Z330" s="74" t="str">
        <x:v>10</x:v>
      </x:c>
      <x:c r="AA330" s="74" t="str">
        <x:v>0</x:v>
      </x:c>
      <x:c r="AB330" s="74" t="str">
        <x:v>0</x:v>
      </x:c>
      <x:c r="AC330" s="74" t="str">
        <x:v>1</x:v>
      </x:c>
      <x:c r="AD330" s="74" t="str">
        <x:v>0</x:v>
      </x:c>
      <x:c r="AE330" s="74" t="str">
        <x:v>0</x:v>
      </x:c>
      <x:c r="AF330" s="74" t="str"/>
      <x:c r="AG330" s="74" t="str">
        <x:v>0</x:v>
      </x:c>
      <x:c r="AH330" s="74" t="str">
        <x:v>1</x:v>
      </x:c>
      <x:c r="AI330" s="74" t="str">
        <x:v>1</x:v>
      </x:c>
      <x:c r="AJ330" s="74" t="str">
        <x:v>0</x:v>
      </x:c>
      <x:c r="AK330" s="74" t="str">
        <x:v>0</x:v>
      </x:c>
      <x:c r="AL330" s="74" t="str">
        <x:v>1</x:v>
      </x:c>
      <x:c r="AM330" s="74" t="str">
        <x:v>1</x:v>
      </x:c>
      <x:c r="AN330" s="74" t="str">
        <x:v>0</x:v>
      </x:c>
      <x:c r="AO330" s="60" t="str">
        <x:v>2025</x:v>
      </x:c>
      <x:c r="AP330" s="76" t="str">
        <x:v>Project/gallery proof found; no embedded homepage video found</x:v>
      </x:c>
      <x:c r="AQ330" s="76" t="str">
        <x:v>project/gallery proof; testimonials; no embedded homepage video detected</x:v>
      </x:c>
      <x:c r="AR330" s="76" t="str">
        <x:v>I found project/gallery proof on Coastal Structures Corporation's site that could be repackaged into short-form ad concepts.</x:v>
      </x:c>
      <x:c r="AS330" s="76" t="str">
        <x:v>project walkthrough with proof milestones</x:v>
      </x:c>
      <x:c r="AT330" s="76" t="str">
        <x:v>Coastal Structures Corporation ad concept</x:v>
      </x:c>
      <x:c r="AU330" s="76" t="str">
        <x:v>Hi Harby — I found project/gallery proof on Coastal Structures Corporation's site that could be repackaged into short-form ad concepts. I mapped a private 15-second project walkthrough with proof milestones for Coastal Structures Corporation using only public brand context—not for publishing, just to show the angle. We build three client-approved video ad concepts in seven days, then turn the winners into fresh variations. No filming day required. Worth sending the private sample?</x:v>
      </x:c>
      <x:c r="AV330" s="76" t="str">
        <x:v>Quick follow-up: the sample angle is a project walkthrough with proof milestones. If it misses the mark, no problem—I won't keep chasing. Should I send it?</x:v>
      </x:c>
      <x:c r="AW330" s="76" t="str">
        <x:v>Hi Harby, Ryan here. I was looking at Coastal Structures Corporation's public marketing and noticed: project/gallery proof found; no embedded homepage video found. I mapped one private project walkthrough with proof milestones as an example. Did I catch you with 30 seconds?</x:v>
      </x:c>
      <x:c r="AX330" s="60" t="str">
        <x:v>https://www.facebook.com/ads/library/?active_status=active&amp;ad_type=all&amp;country=US&amp;q=Coastal%20Structures%20Corporation&amp;search_type=keyword_unordered</x:v>
      </x:c>
      <x:c r="AY330" s="60" t="str">
        <x:v>ok:200</x:v>
      </x:c>
      <x:c r="AZ330" s="60" t="n">
        <x:v>46232.722858796296</x:v>
      </x:c>
      <x:c r="BA330" s="60" t="str">
        <x:v>AI Ark SC trades export</x:v>
      </x:c>
      <x:c r="BB330" s="60" t="str">
        <x:v>https://coastalstructures.com | https://www.linkedin.com/company/coastalstructures</x:v>
      </x:c>
      <x:c r="BC330" s="60" t="str"/>
    </x:row>
    <x:row r="331" ht="18" customHeight="1">
      <x:c r="A331" s="70" t="str">
        <x:v>330</x:v>
      </x:c>
      <x:c r="B331" s="70" t="str">
        <x:v>B - Strong</x:v>
      </x:c>
      <x:c r="C331" s="72" t="str">
        <x:v>55</x:v>
      </x:c>
      <x:c r="D331" s="60" t="str">
        <x:v>Weather Roofing</x:v>
      </x:c>
      <x:c r="E331" s="60" t="str">
        <x:v>https://weatherroofing.com</x:v>
      </x:c>
      <x:c r="F331" s="60" t="str">
        <x:v>https://weatherroofing.com</x:v>
      </x:c>
      <x:c r="G331" s="60" t="str">
        <x:v>Fort Mill</x:v>
      </x:c>
      <x:c r="H331" s="60" t="str">
        <x:v>South Carolina</x:v>
      </x:c>
      <x:c r="I331" s="60" t="str">
        <x:v>Roofing</x:v>
      </x:c>
      <x:c r="J331" s="60" t="str">
        <x:v>Rob</x:v>
      </x:c>
      <x:c r="K331" s="60" t="str">
        <x:v>Tebbutt Jr</x:v>
      </x:c>
      <x:c r="L331" s="60" t="str">
        <x:v>Owner</x:v>
      </x:c>
      <x:c r="M331" s="60" t="str">
        <x:v>rob.tebbutt@weatherroofing.com</x:v>
      </x:c>
      <x:c r="N331" s="60" t="str">
        <x:v>Verified with BounceBan on 08 Jun 26 12:06</x:v>
      </x:c>
      <x:c r="O331" s="60" t="str">
        <x:v>+1 980 428 1708, +1 518 593 9075</x:v>
      </x:c>
      <x:c r="P331" s="60" t="str">
        <x:v>https://www.linkedin.com/in/rob-tebbutt-jr-934b2724</x:v>
      </x:c>
      <x:c r="Q331" s="60" t="str">
        <x:v>2-10</x:v>
      </x:c>
      <x:c r="R331" s="60" t="str">
        <x:v>100000-499999</x:v>
      </x:c>
      <x:c r="S331" s="60" t="str"/>
      <x:c r="T331" s="74" t="str">
        <x:v>0</x:v>
      </x:c>
      <x:c r="U331" s="60" t="str"/>
      <x:c r="V331" s="74" t="str">
        <x:v>28</x:v>
      </x:c>
      <x:c r="W331" s="74" t="str">
        <x:v>3</x:v>
      </x:c>
      <x:c r="X331" s="74" t="str">
        <x:v>6</x:v>
      </x:c>
      <x:c r="Y331" s="74" t="str">
        <x:v>8</x:v>
      </x:c>
      <x:c r="Z331" s="74" t="str">
        <x:v>10</x:v>
      </x:c>
      <x:c r="AA331" s="74" t="str">
        <x:v>0</x:v>
      </x:c>
      <x:c r="AB331" s="74" t="str">
        <x:v>0</x:v>
      </x:c>
      <x:c r="AC331" s="74" t="str">
        <x:v>1</x:v>
      </x:c>
      <x:c r="AD331" s="74" t="str">
        <x:v>0</x:v>
      </x:c>
      <x:c r="AE331" s="74" t="str">
        <x:v>0</x:v>
      </x:c>
      <x:c r="AF331" s="74" t="str"/>
      <x:c r="AG331" s="74" t="str">
        <x:v>0</x:v>
      </x:c>
      <x:c r="AH331" s="74" t="str">
        <x:v>1</x:v>
      </x:c>
      <x:c r="AI331" s="74" t="str">
        <x:v>0</x:v>
      </x:c>
      <x:c r="AJ331" s="74" t="str">
        <x:v>0</x:v>
      </x:c>
      <x:c r="AK331" s="74" t="str">
        <x:v>1</x:v>
      </x:c>
      <x:c r="AL331" s="74" t="str">
        <x:v>1</x:v>
      </x:c>
      <x:c r="AM331" s="74" t="str">
        <x:v>1</x:v>
      </x:c>
      <x:c r="AN331" s="74" t="str">
        <x:v>0</x:v>
      </x:c>
      <x:c r="AO331" s="60" t="str">
        <x:v>0</x:v>
      </x:c>
      <x:c r="AP331" s="76" t="str">
        <x:v>Project/gallery proof found; no embedded homepage video found</x:v>
      </x:c>
      <x:c r="AQ331" s="76" t="str">
        <x:v>project/gallery proof; visible service offer; no embedded homepage video detected</x:v>
      </x:c>
      <x:c r="AR331" s="76" t="str">
        <x:v>I found project/gallery proof on Weather Roofing's site that could be repackaged into short-form ad concepts.</x:v>
      </x:c>
      <x:c r="AS331" s="76" t="str">
        <x:v>storm-to-inspection before/after ad</x:v>
      </x:c>
      <x:c r="AT331" s="76" t="str">
        <x:v>Weather Roofing ad concept</x:v>
      </x:c>
      <x:c r="AU331" s="76" t="str">
        <x:v>Hi Rob — I found project/gallery proof on Weather Roofing's site that could be repackaged into short-form ad concepts. I mapped a private 15-second storm-to-inspection before/after ad for Weather Roofing using only public brand context—not for publishing, just to show the angle. We build three client-approved video ad concepts in seven days, then turn the winners into fresh variations. No filming day required. Worth sending the private sample?</x:v>
      </x:c>
      <x:c r="AV331" s="76" t="str">
        <x:v>Quick follow-up: the sample angle is a storm-to-inspection before/after ad. If it misses the mark, no problem—I won't keep chasing. Should I send it?</x:v>
      </x:c>
      <x:c r="AW331" s="76" t="str">
        <x:v>Hi Rob, Ryan here. I was looking at Weather Roofing's public marketing and noticed: project/gallery proof found; no embedded homepage video found. I mapped one private storm-to-inspection before/after ad as an example. Did I catch you with 30 seconds?</x:v>
      </x:c>
      <x:c r="AX331" s="60" t="str">
        <x:v>https://www.facebook.com/ads/library/?active_status=active&amp;ad_type=all&amp;country=US&amp;q=Weather%20Roofing&amp;search_type=keyword_unordered</x:v>
      </x:c>
      <x:c r="AY331" s="60" t="str">
        <x:v>ok:200</x:v>
      </x:c>
      <x:c r="AZ331" s="60" t="n">
        <x:v>46232.722858796296</x:v>
      </x:c>
      <x:c r="BA331" s="60" t="str">
        <x:v>AI Ark SC trades export</x:v>
      </x:c>
      <x:c r="BB331" s="60" t="str">
        <x:v>https://weatherroofing.com | https://www.linkedin.com/company/weather-roofing</x:v>
      </x:c>
      <x:c r="BC331" s="60" t="str"/>
    </x:row>
    <x:row r="332" ht="18" customHeight="1">
      <x:c r="A332" s="70" t="str">
        <x:v>331</x:v>
      </x:c>
      <x:c r="B332" s="70" t="str">
        <x:v>B - Strong</x:v>
      </x:c>
      <x:c r="C332" s="72" t="str">
        <x:v>55</x:v>
      </x:c>
      <x:c r="D332" s="60" t="str">
        <x:v>Action Heating &amp; Air Conditioning, Inc.</x:v>
      </x:c>
      <x:c r="E332" s="60" t="str">
        <x:v>https://actionac.us</x:v>
      </x:c>
      <x:c r="F332" s="60" t="str">
        <x:v>https://actionac.us</x:v>
      </x:c>
      <x:c r="G332" s="60" t="str">
        <x:v>Summerville</x:v>
      </x:c>
      <x:c r="H332" s="60" t="str">
        <x:v>South Carolina</x:v>
      </x:c>
      <x:c r="I332" s="60" t="str">
        <x:v>HVAC</x:v>
      </x:c>
      <x:c r="J332" s="60" t="str">
        <x:v>Action Heating &amp; Air Conditioning, Inc.</x:v>
      </x:c>
      <x:c r="K332" s="60" t="str"/>
      <x:c r="L332" s="60" t="str">
        <x:v>Owner / decision maker to verify</x:v>
      </x:c>
      <x:c r="M332" s="60" t="str"/>
      <x:c r="N332" s="60" t="str"/>
      <x:c r="O332" s="60" t="str">
        <x:v>(843) 875-2993</x:v>
      </x:c>
      <x:c r="P332" s="60" t="str"/>
      <x:c r="Q332" s="60" t="str"/>
      <x:c r="R332" s="60" t="str"/>
      <x:c r="S332" s="60" t="str">
        <x:v>4.8</x:v>
      </x:c>
      <x:c r="T332" s="74" t="str">
        <x:v>65</x:v>
      </x:c>
      <x:c r="U332" s="60" t="str"/>
      <x:c r="V332" s="74" t="str">
        <x:v>26</x:v>
      </x:c>
      <x:c r="W332" s="74" t="str">
        <x:v>3</x:v>
      </x:c>
      <x:c r="X332" s="74" t="str">
        <x:v>13</x:v>
      </x:c>
      <x:c r="Y332" s="74" t="str">
        <x:v>8</x:v>
      </x:c>
      <x:c r="Z332" s="74" t="str">
        <x:v>5</x:v>
      </x:c>
      <x:c r="AA332" s="74" t="str">
        <x:v>0</x:v>
      </x:c>
      <x:c r="AB332" s="74" t="str">
        <x:v>0</x:v>
      </x:c>
      <x:c r="AC332" s="74" t="str">
        <x:v>1</x:v>
      </x:c>
      <x:c r="AD332" s="74" t="str">
        <x:v>0</x:v>
      </x:c>
      <x:c r="AE332" s="74" t="str">
        <x:v>0</x:v>
      </x:c>
      <x:c r="AF332" s="74" t="str"/>
      <x:c r="AG332" s="74" t="str">
        <x:v>0</x:v>
      </x:c>
      <x:c r="AH332" s="74" t="str">
        <x:v>0</x:v>
      </x:c>
      <x:c r="AI332" s="74" t="str">
        <x:v>0</x:v>
      </x:c>
      <x:c r="AJ332" s="74" t="str">
        <x:v>1</x:v>
      </x:c>
      <x:c r="AK332" s="74" t="str">
        <x:v>1</x:v>
      </x:c>
      <x:c r="AL332" s="74" t="str">
        <x:v>0</x:v>
      </x:c>
      <x:c r="AM332" s="74" t="str">
        <x:v>1</x:v>
      </x:c>
      <x:c r="AN332" s="74" t="str">
        <x:v>0</x:v>
      </x:c>
      <x:c r="AO332" s="60" t="str">
        <x:v>2021</x:v>
      </x:c>
      <x:c r="AP332" s="76" t="str">
        <x:v>Financing language found; no embedded homepage video found</x:v>
      </x:c>
      <x:c r="AQ332" s="76" t="str">
        <x:v>financing; visible service offer; no embedded homepage video detected</x:v>
      </x:c>
      <x:c r="AR332" s="76" t="str">
        <x:v>I found financing language on Action Heating &amp; Air Conditioning, Inc.'s site that could make a strong short-form offer angle.</x:v>
      </x:c>
      <x:c r="AS332" s="76" t="str">
        <x:v>no-cool-call to same-day comfort ad</x:v>
      </x:c>
      <x:c r="AT332" s="76" t="str">
        <x:v>Action Heating &amp; Air Conditioning, Inc. ad concept</x:v>
      </x:c>
      <x:c r="AU332" s="76" t="str">
        <x:v>Hi Action Heating &amp; Air Conditioning, Inc. — I found financing language on Action Heating &amp; Air Conditioning, Inc.'s site that could make a strong short-form offer angle. I mapped a private 15-second no-cool-call to same-day comfort ad for Action Heating &amp; Air Conditioning, Inc. using only public brand context—not for publishing, just to show the angle. We build three client-approved video ad concepts in seven days, then turn the winners into fresh variations. No filming day required. Worth sending the private sample?</x:v>
      </x:c>
      <x:c r="AV332" s="76" t="str">
        <x:v>Quick follow-up: the sample angle is a no-cool-call to same-day comfort ad. If it misses the mark, no problem—I won't keep chasing. Should I send it?</x:v>
      </x:c>
      <x:c r="AW332" s="76" t="str">
        <x:v>Hi Action Heating &amp; Air Conditioning, Inc., Ryan here. I was looking at Action Heating &amp; Air Conditioning, Inc.'s public marketing and noticed: financing language found; no embedded homepage video found. I mapped one private no-cool-call to same-day comfort ad as an example. Did I catch you with 30 seconds?</x:v>
      </x:c>
      <x:c r="AX332" s="60" t="str">
        <x:v>https://www.facebook.com/ads/library/?active_status=active&amp;ad_type=all&amp;country=US&amp;q=Action%20Heating%20%26%20Air%20Conditioning%2C%20Inc.&amp;search_type=keyword_unordered</x:v>
      </x:c>
      <x:c r="AY332" s="60" t="str">
        <x:v>ok:200</x:v>
      </x:c>
      <x:c r="AZ332" s="60" t="n">
        <x:v>46232.722858796296</x:v>
      </x:c>
      <x:c r="BA332" s="60" t="str">
        <x:v>Google Maps home-services export</x:v>
      </x:c>
      <x:c r="BB332" s="60" t="str">
        <x:v>https://actionac.us | https://maps.google.com/?cid=15071277996127376839&amp;g_mp=Cidnb29nbGUubWFwcy5wbGFjZXMudjEuUGxhY2VzLlNlYXJjaFRleHQQAhgEIAA</x:v>
      </x:c>
      <x:c r="BC332" s="60" t="str"/>
    </x:row>
    <x:row r="333" ht="18" customHeight="1">
      <x:c r="A333" s="70" t="str">
        <x:v>332</x:v>
      </x:c>
      <x:c r="B333" s="70" t="str">
        <x:v>B - Strong</x:v>
      </x:c>
      <x:c r="C333" s="72" t="str">
        <x:v>55</x:v>
      </x:c>
      <x:c r="D333" s="60" t="str">
        <x:v>Classic Roofing SC</x:v>
      </x:c>
      <x:c r="E333" s="60" t="str">
        <x:v>https://classicroofingsc.com</x:v>
      </x:c>
      <x:c r="F333" s="60" t="str">
        <x:v>https://classicroofingsc.com</x:v>
      </x:c>
      <x:c r="G333" s="60" t="str">
        <x:v>Columbia</x:v>
      </x:c>
      <x:c r="H333" s="60" t="str">
        <x:v>South Carolina</x:v>
      </x:c>
      <x:c r="I333" s="60" t="str">
        <x:v>Roofing</x:v>
      </x:c>
      <x:c r="J333" s="60" t="str">
        <x:v>Joe</x:v>
      </x:c>
      <x:c r="K333" s="60" t="str">
        <x:v>Reeder</x:v>
      </x:c>
      <x:c r="L333" s="60" t="str">
        <x:v>Owner</x:v>
      </x:c>
      <x:c r="M333" s="60" t="str">
        <x:v>joe@classicroofingsc.com</x:v>
      </x:c>
      <x:c r="N333" s="60" t="str">
        <x:v>Verified with BounceBan on 08 Jun 26 12:06</x:v>
      </x:c>
      <x:c r="O333" s="60" t="str">
        <x:v>+1 803 295 1118</x:v>
      </x:c>
      <x:c r="P333" s="60" t="str">
        <x:v>https://www.linkedin.com/in/joe-reeder-6ab1861b</x:v>
      </x:c>
      <x:c r="Q333" s="60" t="str">
        <x:v>2-10</x:v>
      </x:c>
      <x:c r="R333" s="60" t="str">
        <x:v>100000-499999</x:v>
      </x:c>
      <x:c r="S333" s="60" t="str">
        <x:v>5</x:v>
      </x:c>
      <x:c r="T333" s="74" t="str">
        <x:v>60</x:v>
      </x:c>
      <x:c r="U333" s="60" t="str"/>
      <x:c r="V333" s="74" t="str">
        <x:v>30</x:v>
      </x:c>
      <x:c r="W333" s="74" t="str">
        <x:v>3</x:v>
      </x:c>
      <x:c r="X333" s="74" t="str">
        <x:v>7</x:v>
      </x:c>
      <x:c r="Y333" s="74" t="str">
        <x:v>5</x:v>
      </x:c>
      <x:c r="Z333" s="74" t="str">
        <x:v>10</x:v>
      </x:c>
      <x:c r="AA333" s="74" t="str">
        <x:v>0</x:v>
      </x:c>
      <x:c r="AB333" s="74" t="str">
        <x:v>0</x:v>
      </x:c>
      <x:c r="AC333" s="74" t="str">
        <x:v>1</x:v>
      </x:c>
      <x:c r="AD333" s="74" t="str">
        <x:v>0</x:v>
      </x:c>
      <x:c r="AE333" s="74" t="str">
        <x:v>0</x:v>
      </x:c>
      <x:c r="AF333" s="74" t="str"/>
      <x:c r="AG333" s="74" t="str">
        <x:v>1</x:v>
      </x:c>
      <x:c r="AH333" s="74" t="str">
        <x:v>0</x:v>
      </x:c>
      <x:c r="AI333" s="74" t="str">
        <x:v>0</x:v>
      </x:c>
      <x:c r="AJ333" s="74" t="str">
        <x:v>0</x:v>
      </x:c>
      <x:c r="AK333" s="74" t="str">
        <x:v>1</x:v>
      </x:c>
      <x:c r="AL333" s="74" t="str">
        <x:v>0</x:v>
      </x:c>
      <x:c r="AM333" s="74" t="str">
        <x:v>0</x:v>
      </x:c>
      <x:c r="AN333" s="74" t="str">
        <x:v>0</x:v>
      </x:c>
      <x:c r="AO333" s="60" t="str">
        <x:v>2023</x:v>
      </x:c>
      <x:c r="AP333" s="76" t="str">
        <x:v>ICP fit; paid-demand need requires manual verification</x:v>
      </x:c>
      <x:c r="AQ333" s="76" t="str">
        <x:v>visible service offer</x:v>
      </x:c>
      <x:c r="AR333" s="76" t="str">
        <x:v>I was reviewing roofing companies in Columbia, South Carolina and Classic Roofing SC looked like a strong fit for a creative test.</x:v>
      </x:c>
      <x:c r="AS333" s="76" t="str">
        <x:v>storm-to-inspection before/after ad</x:v>
      </x:c>
      <x:c r="AT333" s="76" t="str">
        <x:v>Classic Roofing SC ad concept</x:v>
      </x:c>
      <x:c r="AU333" s="76" t="str">
        <x:v>Hi Joe — I was reviewing roofing companies in Columbia, South Carolina and Classic Roofing SC looked like a strong fit for a creative test. I mapped a private 15-second storm-to-inspection before/after ad for Classic Roofing SC using only public brand context—not for publishing, just to show the angle. We build three client-approved video ad concepts in seven days, then turn the winners into fresh variations. No filming day required. Worth sending the private sample?</x:v>
      </x:c>
      <x:c r="AV333" s="76" t="str">
        <x:v>Quick follow-up: the sample angle is a storm-to-inspection before/after ad. If it misses the mark, no problem—I won't keep chasing. Should I send it?</x:v>
      </x:c>
      <x:c r="AW333" s="76" t="str">
        <x:v>Hi Joe, Ryan here. I was looking at Classic Roofing SC's public marketing and noticed: icp fit; paid-demand need requires manual verification. I mapped one private storm-to-inspection before/after ad as an example. Did I catch you with 30 seconds?</x:v>
      </x:c>
      <x:c r="AX333" s="60" t="str">
        <x:v>https://www.facebook.com/ads/library/?active_status=active&amp;ad_type=all&amp;country=US&amp;q=Classic%20Roofing%20SC&amp;search_type=keyword_unordered</x:v>
      </x:c>
      <x:c r="AY333" s="60" t="str">
        <x:v>ok:200</x:v>
      </x:c>
      <x:c r="AZ333" s="60" t="n">
        <x:v>46232.722858796296</x:v>
      </x:c>
      <x:c r="BA333" s="60" t="str">
        <x:v>AI Ark SC trades export | Google Maps home-services export</x:v>
      </x:c>
      <x:c r="BB333" s="60" t="str">
        <x:v>https://classicroofingsc.com | https://maps.google.com/?cid=5663049609739555523&amp;g_mp=Cidnb29nbGUubWFwcy5wbGFjZXMudjEuUGxhY2VzLlNlYXJjaFRleHQQAhgEIAA | https://www.linkedin.com/company/classic-roofing-sc</x:v>
      </x:c>
      <x:c r="BC333" s="60" t="str"/>
    </x:row>
    <x:row r="334" ht="18" customHeight="1">
      <x:c r="A334" s="70" t="str">
        <x:v>333</x:v>
      </x:c>
      <x:c r="B334" s="70" t="str">
        <x:v>B - Strong</x:v>
      </x:c>
      <x:c r="C334" s="72" t="str">
        <x:v>55</x:v>
      </x:c>
      <x:c r="D334" s="60" t="str">
        <x:v>Revive Roofing &amp; Exteriors</x:v>
      </x:c>
      <x:c r="E334" s="60" t="str">
        <x:v>https://revive-gc.com</x:v>
      </x:c>
      <x:c r="F334" s="60" t="str">
        <x:v>https://www.revive-gc.com/</x:v>
      </x:c>
      <x:c r="G334" s="60" t="str">
        <x:v>Goose Creek</x:v>
      </x:c>
      <x:c r="H334" s="60" t="str">
        <x:v>South Carolina</x:v>
      </x:c>
      <x:c r="I334" s="60" t="str">
        <x:v>Roofing</x:v>
      </x:c>
      <x:c r="J334" s="60" t="str">
        <x:v>Revive Roofing &amp; Exteriors</x:v>
      </x:c>
      <x:c r="K334" s="60" t="str"/>
      <x:c r="L334" s="60" t="str">
        <x:v>Owner / decision maker to verify</x:v>
      </x:c>
      <x:c r="M334" s="60" t="str"/>
      <x:c r="N334" s="60" t="str"/>
      <x:c r="O334" s="60" t="str">
        <x:v>(843) 823-7777</x:v>
      </x:c>
      <x:c r="P334" s="60" t="str"/>
      <x:c r="Q334" s="60" t="str"/>
      <x:c r="R334" s="60" t="str"/>
      <x:c r="S334" s="60" t="str">
        <x:v>5</x:v>
      </x:c>
      <x:c r="T334" s="74" t="str">
        <x:v>102</x:v>
      </x:c>
      <x:c r="U334" s="60" t="str"/>
      <x:c r="V334" s="74" t="str">
        <x:v>29</x:v>
      </x:c>
      <x:c r="W334" s="74" t="str">
        <x:v>0</x:v>
      </x:c>
      <x:c r="X334" s="74" t="str">
        <x:v>6</x:v>
      </x:c>
      <x:c r="Y334" s="74" t="str">
        <x:v>15</x:v>
      </x:c>
      <x:c r="Z334" s="74" t="str">
        <x:v>5</x:v>
      </x:c>
      <x:c r="AA334" s="74" t="str">
        <x:v>0</x:v>
      </x:c>
      <x:c r="AB334" s="74" t="str">
        <x:v>0</x:v>
      </x:c>
      <x:c r="AC334" s="74" t="str">
        <x:v>0</x:v>
      </x:c>
      <x:c r="AD334" s="74" t="str">
        <x:v>0</x:v>
      </x:c>
      <x:c r="AE334" s="74" t="str">
        <x:v>0</x:v>
      </x:c>
      <x:c r="AF334" s="74" t="str"/>
      <x:c r="AG334" s="74" t="str">
        <x:v>0</x:v>
      </x:c>
      <x:c r="AH334" s="74" t="str">
        <x:v>1</x:v>
      </x:c>
      <x:c r="AI334" s="74" t="str">
        <x:v>1</x:v>
      </x:c>
      <x:c r="AJ334" s="74" t="str">
        <x:v>0</x:v>
      </x:c>
      <x:c r="AK334" s="74" t="str">
        <x:v>1</x:v>
      </x:c>
      <x:c r="AL334" s="74" t="str">
        <x:v>1</x:v>
      </x:c>
      <x:c r="AM334" s="74" t="str">
        <x:v>1</x:v>
      </x:c>
      <x:c r="AN334" s="74" t="str">
        <x:v>0</x:v>
      </x:c>
      <x:c r="AO334" s="60" t="str">
        <x:v>2026</x:v>
      </x:c>
      <x:c r="AP334" s="76" t="str">
        <x:v>Project/gallery proof found; no embedded homepage video found</x:v>
      </x:c>
      <x:c r="AQ334" s="76" t="str">
        <x:v>project/gallery proof; testimonials; visible service offer; no embedded homepage video detected</x:v>
      </x:c>
      <x:c r="AR334" s="76" t="str">
        <x:v>I found project/gallery proof on Revive Roofing &amp; Exteriors's site that could be repackaged into short-form ad concepts.</x:v>
      </x:c>
      <x:c r="AS334" s="76" t="str">
        <x:v>storm-to-inspection before/after ad</x:v>
      </x:c>
      <x:c r="AT334" s="76" t="str">
        <x:v>Revive Roofing &amp; Exteriors ad concept</x:v>
      </x:c>
      <x:c r="AU334" s="76" t="str">
        <x:v>Hi Revive Roofing &amp; Exteriors — I found project/gallery proof on Revive Roofing &amp; Exteriors's site that could be repackaged into short-form ad concepts. I mapped a private 15-second storm-to-inspection before/after ad for Revive Roofing &amp; Exteriors using only public brand context—not for publishing, just to show the angle. We build three client-approved video ad concepts in seven days, then turn the winners into fresh variations. No filming day required. Worth sending the private sample?</x:v>
      </x:c>
      <x:c r="AV334" s="76" t="str">
        <x:v>Quick follow-up: the sample angle is a storm-to-inspection before/after ad. If it misses the mark, no problem—I won't keep chasing. Should I send it?</x:v>
      </x:c>
      <x:c r="AW334" s="76" t="str">
        <x:v>Hi Revive Roofing &amp; Exteriors, Ryan here. I was looking at Revive Roofing &amp; Exteriors's public marketing and noticed: project/gallery proof found; no embedded homepage video found. I mapped one private storm-to-inspection before/after ad as an example. Did I catch you with 30 seconds?</x:v>
      </x:c>
      <x:c r="AX334" s="60" t="str">
        <x:v>https://www.facebook.com/ads/library/?active_status=active&amp;ad_type=all&amp;country=US&amp;q=Revive%20Roofing%20%26%20Exteriors&amp;search_type=keyword_unordered</x:v>
      </x:c>
      <x:c r="AY334" s="60" t="str">
        <x:v>ok:200</x:v>
      </x:c>
      <x:c r="AZ334" s="60" t="n">
        <x:v>46232.722858796296</x:v>
      </x:c>
      <x:c r="BA334" s="60" t="str">
        <x:v>Google Maps home-services export</x:v>
      </x:c>
      <x:c r="BB334" s="60" t="str">
        <x:v>https://maps.google.com/?cid=5893874451751308250&amp;g_mp=Cidnb29nbGUubWFwcy5wbGFjZXMudjEuUGxhY2VzLlNlYXJjaFRleHQQAhgEIAA | https://revive-gc.com</x:v>
      </x:c>
      <x:c r="BC334" s="60" t="str"/>
    </x:row>
    <x:row r="335" ht="18" customHeight="1">
      <x:c r="A335" s="70" t="str">
        <x:v>334</x:v>
      </x:c>
      <x:c r="B335" s="70" t="str">
        <x:v>B - Strong</x:v>
      </x:c>
      <x:c r="C335" s="72" t="str">
        <x:v>55</x:v>
      </x:c>
      <x:c r="D335" s="60" t="str">
        <x:v>Dan's Exterior Home Services, LLC</x:v>
      </x:c>
      <x:c r="E335" s="60" t="str">
        <x:v>https://danstreecare.com</x:v>
      </x:c>
      <x:c r="F335" s="60" t="str">
        <x:v>https://danstreecare.com</x:v>
      </x:c>
      <x:c r="G335" s="60" t="str">
        <x:v>Easley</x:v>
      </x:c>
      <x:c r="H335" s="60" t="str">
        <x:v>South Carolina</x:v>
      </x:c>
      <x:c r="I335" s="60" t="str">
        <x:v>Roofing</x:v>
      </x:c>
      <x:c r="J335" s="60" t="str">
        <x:v>Daniel</x:v>
      </x:c>
      <x:c r="K335" s="60" t="str">
        <x:v>Wagner</x:v>
      </x:c>
      <x:c r="L335" s="60" t="str">
        <x:v>Owner/Operator</x:v>
      </x:c>
      <x:c r="M335" s="60" t="str"/>
      <x:c r="N335" s="60" t="str"/>
      <x:c r="O335" s="60" t="str">
        <x:v>+1 864 630 7266</x:v>
      </x:c>
      <x:c r="P335" s="60" t="str">
        <x:v>https://www.linkedin.com/in/danstreecare</x:v>
      </x:c>
      <x:c r="Q335" s="60" t="str">
        <x:v>2-10</x:v>
      </x:c>
      <x:c r="R335" s="60" t="str">
        <x:v>100000-499999</x:v>
      </x:c>
      <x:c r="S335" s="60" t="str"/>
      <x:c r="T335" s="74" t="str">
        <x:v>0</x:v>
      </x:c>
      <x:c r="U335" s="60" t="str"/>
      <x:c r="V335" s="74" t="str">
        <x:v>28</x:v>
      </x:c>
      <x:c r="W335" s="74" t="str">
        <x:v>0</x:v>
      </x:c>
      <x:c r="X335" s="74" t="str">
        <x:v>13</x:v>
      </x:c>
      <x:c r="Y335" s="74" t="str">
        <x:v>9</x:v>
      </x:c>
      <x:c r="Z335" s="74" t="str">
        <x:v>5</x:v>
      </x:c>
      <x:c r="AA335" s="74" t="str">
        <x:v>0</x:v>
      </x:c>
      <x:c r="AB335" s="74" t="str">
        <x:v>0</x:v>
      </x:c>
      <x:c r="AC335" s="74" t="str">
        <x:v>0</x:v>
      </x:c>
      <x:c r="AD335" s="74" t="str">
        <x:v>0</x:v>
      </x:c>
      <x:c r="AE335" s="74" t="str">
        <x:v>0</x:v>
      </x:c>
      <x:c r="AF335" s="74" t="str"/>
      <x:c r="AG335" s="74" t="str">
        <x:v>0</x:v>
      </x:c>
      <x:c r="AH335" s="74" t="str">
        <x:v>1</x:v>
      </x:c>
      <x:c r="AI335" s="74" t="str">
        <x:v>1</x:v>
      </x:c>
      <x:c r="AJ335" s="74" t="str">
        <x:v>0</x:v>
      </x:c>
      <x:c r="AK335" s="74" t="str">
        <x:v>0</x:v>
      </x:c>
      <x:c r="AL335" s="74" t="str">
        <x:v>0</x:v>
      </x:c>
      <x:c r="AM335" s="74" t="str">
        <x:v>1</x:v>
      </x:c>
      <x:c r="AN335" s="74" t="str">
        <x:v>0</x:v>
      </x:c>
      <x:c r="AO335" s="60" t="str">
        <x:v>2013</x:v>
      </x:c>
      <x:c r="AP335" s="76" t="str">
        <x:v>Project/gallery proof found; no embedded homepage video found</x:v>
      </x:c>
      <x:c r="AQ335" s="76" t="str">
        <x:v>project/gallery proof; testimonials; no embedded homepage video detected</x:v>
      </x:c>
      <x:c r="AR335" s="76" t="str">
        <x:v>I found project/gallery proof on Dan's Exterior Home Services, LLC's site that could be repackaged into short-form ad concepts.</x:v>
      </x:c>
      <x:c r="AS335" s="76" t="str">
        <x:v>storm-to-inspection before/after ad</x:v>
      </x:c>
      <x:c r="AT335" s="76" t="str">
        <x:v>Dan's Exterior Home Services, LLC ad concept</x:v>
      </x:c>
      <x:c r="AU335" s="76" t="str">
        <x:v>Hi Daniel — I found project/gallery proof on Dan's Exterior Home Services, LLC's site that could be repackaged into short-form ad concepts. I mapped a private 15-second storm-to-inspection before/after ad for Dan's Exterior Home Services, LLC using only public brand context—not for publishing, just to show the angle. We build three client-approved video ad concepts in seven days, then turn the winners into fresh variations. No filming day required. Worth sending the private sample?</x:v>
      </x:c>
      <x:c r="AV335" s="76" t="str">
        <x:v>Quick follow-up: the sample angle is a storm-to-inspection before/after ad. If it misses the mark, no problem—I won't keep chasing. Should I send it?</x:v>
      </x:c>
      <x:c r="AW335" s="76" t="str">
        <x:v>Hi Daniel, Ryan here. I was looking at Dan's Exterior Home Services, LLC's public marketing and noticed: project/gallery proof found; no embedded homepage video found. I mapped one private storm-to-inspection before/after ad as an example. Did I catch you with 30 seconds?</x:v>
      </x:c>
      <x:c r="AX335" s="60" t="str">
        <x:v>https://www.facebook.com/ads/library/?active_status=active&amp;ad_type=all&amp;country=US&amp;q=Dan%27s%20Exterior%20Home%20Services%2C%20LLC&amp;search_type=keyword_unordered</x:v>
      </x:c>
      <x:c r="AY335" s="60" t="str">
        <x:v>ok:200</x:v>
      </x:c>
      <x:c r="AZ335" s="60" t="n">
        <x:v>46232.722858796296</x:v>
      </x:c>
      <x:c r="BA335" s="60" t="str">
        <x:v>AI Ark SC trades export</x:v>
      </x:c>
      <x:c r="BB335" s="60" t="str">
        <x:v>https://danstreecare.com | https://www.linkedin.com/company/dan's-exterior-home-services-llc</x:v>
      </x:c>
      <x:c r="BC335" s="60" t="str"/>
    </x:row>
    <x:row r="336" ht="18" customHeight="1">
      <x:c r="A336" s="70" t="str">
        <x:v>335</x:v>
      </x:c>
      <x:c r="B336" s="70" t="str">
        <x:v>B - Strong</x:v>
      </x:c>
      <x:c r="C336" s="72" t="str">
        <x:v>55</x:v>
      </x:c>
      <x:c r="D336" s="60" t="str">
        <x:v>Mechanical Systems Technology, Inc.</x:v>
      </x:c>
      <x:c r="E336" s="60" t="str">
        <x:v>https://mst-hvac.com</x:v>
      </x:c>
      <x:c r="F336" s="60" t="str">
        <x:v>https://www.mst-hvac.com/</x:v>
      </x:c>
      <x:c r="G336" s="60" t="str">
        <x:v>Longs</x:v>
      </x:c>
      <x:c r="H336" s="60" t="str">
        <x:v>South Carolina</x:v>
      </x:c>
      <x:c r="I336" s="60" t="str">
        <x:v>HVAC</x:v>
      </x:c>
      <x:c r="J336" s="60" t="str">
        <x:v>Scott</x:v>
      </x:c>
      <x:c r="K336" s="60" t="str">
        <x:v>Tripp</x:v>
      </x:c>
      <x:c r="L336" s="60" t="str">
        <x:v>Owner</x:v>
      </x:c>
      <x:c r="M336" s="60" t="str">
        <x:v>scott@mst-hvac.com</x:v>
      </x:c>
      <x:c r="N336" s="60" t="str">
        <x:v>Verified with BounceBan on 07 Jun 26 06:59</x:v>
      </x:c>
      <x:c r="O336" s="60" t="str">
        <x:v>+1 843 385 6610</x:v>
      </x:c>
      <x:c r="P336" s="60" t="str">
        <x:v>https://www.linkedin.com/in/scott-tripp-a2aba930</x:v>
      </x:c>
      <x:c r="Q336" s="60" t="str">
        <x:v>11-50</x:v>
      </x:c>
      <x:c r="R336" s="60" t="str">
        <x:v>500000-999999</x:v>
      </x:c>
      <x:c r="S336" s="60" t="str"/>
      <x:c r="T336" s="74" t="str">
        <x:v>0</x:v>
      </x:c>
      <x:c r="U336" s="60" t="str"/>
      <x:c r="V336" s="74" t="str">
        <x:v>30</x:v>
      </x:c>
      <x:c r="W336" s="74" t="str">
        <x:v>0</x:v>
      </x:c>
      <x:c r="X336" s="74" t="str">
        <x:v>10</x:v>
      </x:c>
      <x:c r="Y336" s="74" t="str">
        <x:v>5</x:v>
      </x:c>
      <x:c r="Z336" s="74" t="str">
        <x:v>10</x:v>
      </x:c>
      <x:c r="AA336" s="74" t="str">
        <x:v>0</x:v>
      </x:c>
      <x:c r="AB336" s="74" t="str">
        <x:v>0</x:v>
      </x:c>
      <x:c r="AC336" s="74" t="str">
        <x:v>0</x:v>
      </x:c>
      <x:c r="AD336" s="74" t="str">
        <x:v>0</x:v>
      </x:c>
      <x:c r="AE336" s="74" t="str">
        <x:v>0</x:v>
      </x:c>
      <x:c r="AF336" s="74" t="str"/>
      <x:c r="AG336" s="74" t="str">
        <x:v>0</x:v>
      </x:c>
      <x:c r="AH336" s="74" t="str">
        <x:v>1</x:v>
      </x:c>
      <x:c r="AI336" s="74" t="str">
        <x:v>0</x:v>
      </x:c>
      <x:c r="AJ336" s="74" t="str">
        <x:v>0</x:v>
      </x:c>
      <x:c r="AK336" s="74" t="str">
        <x:v>0</x:v>
      </x:c>
      <x:c r="AL336" s="74" t="str">
        <x:v>0</x:v>
      </x:c>
      <x:c r="AM336" s="74" t="str">
        <x:v>1</x:v>
      </x:c>
      <x:c r="AN336" s="74" t="str">
        <x:v>0</x:v>
      </x:c>
      <x:c r="AO336" s="60" t="str">
        <x:v>2026</x:v>
      </x:c>
      <x:c r="AP336" s="76" t="str">
        <x:v>Project/gallery proof found; no embedded homepage video found</x:v>
      </x:c>
      <x:c r="AQ336" s="76" t="str">
        <x:v>project/gallery proof; no embedded homepage video detected</x:v>
      </x:c>
      <x:c r="AR336" s="76" t="str">
        <x:v>I found project/gallery proof on Mechanical Systems Technology, Inc.'s site that could be repackaged into short-form ad concepts.</x:v>
      </x:c>
      <x:c r="AS336" s="76" t="str">
        <x:v>no-cool-call to same-day comfort ad</x:v>
      </x:c>
      <x:c r="AT336" s="76" t="str">
        <x:v>Mechanical Systems Technology, Inc. ad concept</x:v>
      </x:c>
      <x:c r="AU336" s="76" t="str">
        <x:v>Hi Scott — I found project/gallery proof on Mechanical Systems Technology, Inc.'s site that could be repackaged into short-form ad concepts. I mapped a private 15-second no-cool-call to same-day comfort ad for Mechanical Systems Technology, Inc. using only public brand context—not for publishing, just to show the angle. We build three client-approved video ad concepts in seven days, then turn the winners into fresh variations. No filming day required. Worth sending the private sample?</x:v>
      </x:c>
      <x:c r="AV336" s="76" t="str">
        <x:v>Quick follow-up: the sample angle is a no-cool-call to same-day comfort ad. If it misses the mark, no problem—I won't keep chasing. Should I send it?</x:v>
      </x:c>
      <x:c r="AW336" s="76" t="str">
        <x:v>Hi Scott, Ryan here. I was looking at Mechanical Systems Technology, Inc.'s public marketing and noticed: project/gallery proof found; no embedded homepage video found. I mapped one private no-cool-call to same-day comfort ad as an example. Did I catch you with 30 seconds?</x:v>
      </x:c>
      <x:c r="AX336" s="60" t="str">
        <x:v>https://www.facebook.com/ads/library/?active_status=active&amp;ad_type=all&amp;country=US&amp;q=Mechanical%20Systems%20Technology%2C%20Inc.&amp;search_type=keyword_unordered</x:v>
      </x:c>
      <x:c r="AY336" s="60" t="str">
        <x:v>ok:200</x:v>
      </x:c>
      <x:c r="AZ336" s="60" t="n">
        <x:v>46232.722858796296</x:v>
      </x:c>
      <x:c r="BA336" s="60" t="str">
        <x:v>AI Ark SC trades export</x:v>
      </x:c>
      <x:c r="BB336" s="60" t="str">
        <x:v>https://mst-hvac.com | https://www.linkedin.com/company/msthvac</x:v>
      </x:c>
      <x:c r="BC336" s="60" t="str"/>
    </x:row>
    <x:row r="337" ht="18" customHeight="1">
      <x:c r="A337" s="70" t="str">
        <x:v>336</x:v>
      </x:c>
      <x:c r="B337" s="70" t="str">
        <x:v>B - Strong</x:v>
      </x:c>
      <x:c r="C337" s="72" t="str">
        <x:v>55</x:v>
      </x:c>
      <x:c r="D337" s="60" t="str">
        <x:v>LESCO Restorations, Inc.</x:v>
      </x:c>
      <x:c r="E337" s="60" t="str">
        <x:v>https://lesco.net</x:v>
      </x:c>
      <x:c r="F337" s="60" t="str">
        <x:v>https://www.lesco.net/</x:v>
      </x:c>
      <x:c r="G337" s="60" t="str">
        <x:v>Spartanburg</x:v>
      </x:c>
      <x:c r="H337" s="60" t="str">
        <x:v>South Carolina</x:v>
      </x:c>
      <x:c r="I337" s="60" t="str">
        <x:v>Roofing</x:v>
      </x:c>
      <x:c r="J337" s="60" t="str">
        <x:v>Toby</x:v>
      </x:c>
      <x:c r="K337" s="60" t="str">
        <x:v>Chapman</x:v>
      </x:c>
      <x:c r="L337" s="60" t="str">
        <x:v>Owner &amp; President</x:v>
      </x:c>
      <x:c r="M337" s="60" t="str">
        <x:v>tchapman@lesco.net</x:v>
      </x:c>
      <x:c r="N337" s="60" t="str">
        <x:v>Verified with BounceBan on 07 Jun 26 21:06</x:v>
      </x:c>
      <x:c r="O337" s="60" t="str">
        <x:v>+1 864 706 0334</x:v>
      </x:c>
      <x:c r="P337" s="60" t="str">
        <x:v>https://www.linkedin.com/in/toby-chapman-18297b5</x:v>
      </x:c>
      <x:c r="Q337" s="60" t="str">
        <x:v>11-50</x:v>
      </x:c>
      <x:c r="R337" s="60" t="str">
        <x:v>1000000-4999999</x:v>
      </x:c>
      <x:c r="S337" s="60" t="str"/>
      <x:c r="T337" s="74" t="str">
        <x:v>0</x:v>
      </x:c>
      <x:c r="U337" s="60" t="str"/>
      <x:c r="V337" s="74" t="str">
        <x:v>30</x:v>
      </x:c>
      <x:c r="W337" s="74" t="str">
        <x:v>0</x:v>
      </x:c>
      <x:c r="X337" s="74" t="str">
        <x:v>10</x:v>
      </x:c>
      <x:c r="Y337" s="74" t="str">
        <x:v>5</x:v>
      </x:c>
      <x:c r="Z337" s="74" t="str">
        <x:v>10</x:v>
      </x:c>
      <x:c r="AA337" s="74" t="str">
        <x:v>0</x:v>
      </x:c>
      <x:c r="AB337" s="74" t="str">
        <x:v>0</x:v>
      </x:c>
      <x:c r="AC337" s="74" t="str">
        <x:v>0</x:v>
      </x:c>
      <x:c r="AD337" s="74" t="str">
        <x:v>0</x:v>
      </x:c>
      <x:c r="AE337" s="74" t="str">
        <x:v>0</x:v>
      </x:c>
      <x:c r="AF337" s="74" t="str"/>
      <x:c r="AG337" s="74" t="str">
        <x:v>0</x:v>
      </x:c>
      <x:c r="AH337" s="74" t="str">
        <x:v>1</x:v>
      </x:c>
      <x:c r="AI337" s="74" t="str">
        <x:v>0</x:v>
      </x:c>
      <x:c r="AJ337" s="74" t="str">
        <x:v>0</x:v>
      </x:c>
      <x:c r="AK337" s="74" t="str">
        <x:v>0</x:v>
      </x:c>
      <x:c r="AL337" s="74" t="str">
        <x:v>0</x:v>
      </x:c>
      <x:c r="AM337" s="74" t="str">
        <x:v>1</x:v>
      </x:c>
      <x:c r="AN337" s="74" t="str">
        <x:v>0</x:v>
      </x:c>
      <x:c r="AO337" s="60" t="str">
        <x:v>0</x:v>
      </x:c>
      <x:c r="AP337" s="76" t="str">
        <x:v>Project/gallery proof found; no embedded homepage video found</x:v>
      </x:c>
      <x:c r="AQ337" s="76" t="str">
        <x:v>project/gallery proof; no embedded homepage video detected</x:v>
      </x:c>
      <x:c r="AR337" s="76" t="str">
        <x:v>I found project/gallery proof on LESCO Restorations, Inc.'s site that could be repackaged into short-form ad concepts.</x:v>
      </x:c>
      <x:c r="AS337" s="76" t="str">
        <x:v>storm-to-inspection before/after ad</x:v>
      </x:c>
      <x:c r="AT337" s="76" t="str">
        <x:v>LESCO Restorations, Inc. ad concept</x:v>
      </x:c>
      <x:c r="AU337" s="76" t="str">
        <x:v>Hi Toby — I found project/gallery proof on LESCO Restorations, Inc.'s site that could be repackaged into short-form ad concepts. I mapped a private 15-second storm-to-inspection before/after ad for LESCO Restorations, Inc. using only public brand context—not for publishing, just to show the angle. We build three client-approved video ad concepts in seven days, then turn the winners into fresh variations. No filming day required. Worth sending the private sample?</x:v>
      </x:c>
      <x:c r="AV337" s="76" t="str">
        <x:v>Quick follow-up: the sample angle is a storm-to-inspection before/after ad. If it misses the mark, no problem—I won't keep chasing. Should I send it?</x:v>
      </x:c>
      <x:c r="AW337" s="76" t="str">
        <x:v>Hi Toby, Ryan here. I was looking at LESCO Restorations, Inc.'s public marketing and noticed: project/gallery proof found; no embedded homepage video found. I mapped one private storm-to-inspection before/after ad as an example. Did I catch you with 30 seconds?</x:v>
      </x:c>
      <x:c r="AX337" s="60" t="str">
        <x:v>https://www.facebook.com/ads/library/?active_status=active&amp;ad_type=all&amp;country=US&amp;q=LESCO%20Restorations%2C%20Inc.&amp;search_type=keyword_unordered</x:v>
      </x:c>
      <x:c r="AY337" s="60" t="str">
        <x:v>ok:200</x:v>
      </x:c>
      <x:c r="AZ337" s="60" t="n">
        <x:v>46232.722858796296</x:v>
      </x:c>
      <x:c r="BA337" s="60" t="str">
        <x:v>AI Ark SC trades export</x:v>
      </x:c>
      <x:c r="BB337" s="60" t="str">
        <x:v>https://lesco.net | https://www.linkedin.com/company/lesco-restorations-inc.</x:v>
      </x:c>
      <x:c r="BC337" s="60" t="str"/>
    </x:row>
    <x:row r="338" ht="18" customHeight="1">
      <x:c r="A338" s="70" t="str">
        <x:v>337</x:v>
      </x:c>
      <x:c r="B338" s="70" t="str">
        <x:v>B - Strong</x:v>
      </x:c>
      <x:c r="C338" s="72" t="str">
        <x:v>55</x:v>
      </x:c>
      <x:c r="D338" s="60" t="str">
        <x:v>One Hour Heating &amp; Air Conditioning</x:v>
      </x:c>
      <x:c r="E338" s="60" t="str">
        <x:v>https://onehourmagic.com</x:v>
      </x:c>
      <x:c r="F338" s="60" t="str">
        <x:v>https://www.onehourheatandair.com/myrtle-beach/</x:v>
      </x:c>
      <x:c r="G338" s="60" t="str">
        <x:v>Myrtle Beach</x:v>
      </x:c>
      <x:c r="H338" s="60" t="str">
        <x:v>South Carolina</x:v>
      </x:c>
      <x:c r="I338" s="60" t="str">
        <x:v>HVAC</x:v>
      </x:c>
      <x:c r="J338" s="60" t="str">
        <x:v>Richie</x:v>
      </x:c>
      <x:c r="K338" s="60" t="str">
        <x:v>Drew</x:v>
      </x:c>
      <x:c r="L338" s="60" t="str">
        <x:v>President / Owner</x:v>
      </x:c>
      <x:c r="M338" s="60" t="str">
        <x:v>richie@onehourmagic.com</x:v>
      </x:c>
      <x:c r="N338" s="60" t="str">
        <x:v>Verified with BounceBan on 07 Jun 26 21:17</x:v>
      </x:c>
      <x:c r="O338" s="60" t="str">
        <x:v>+1 843 340 9200</x:v>
      </x:c>
      <x:c r="P338" s="60" t="str">
        <x:v>https://www.linkedin.com/in/richie-drew-468b7712</x:v>
      </x:c>
      <x:c r="Q338" s="60" t="str">
        <x:v>51-200</x:v>
      </x:c>
      <x:c r="R338" s="60" t="str">
        <x:v>5000000-9999999</x:v>
      </x:c>
      <x:c r="S338" s="60" t="str">
        <x:v>4.8</x:v>
      </x:c>
      <x:c r="T338" s="74" t="str">
        <x:v>435</x:v>
      </x:c>
      <x:c r="U338" s="60" t="str">
        <x:v>scheduling, no_show</x:v>
      </x:c>
      <x:c r="V338" s="74" t="str">
        <x:v>30</x:v>
      </x:c>
      <x:c r="W338" s="74" t="str">
        <x:v>0</x:v>
      </x:c>
      <x:c r="X338" s="74" t="str">
        <x:v>12</x:v>
      </x:c>
      <x:c r="Y338" s="74" t="str">
        <x:v>3</x:v>
      </x:c>
      <x:c r="Z338" s="74" t="str">
        <x:v>10</x:v>
      </x:c>
      <x:c r="AA338" s="74" t="str">
        <x:v>0</x:v>
      </x:c>
      <x:c r="AB338" s="74" t="str">
        <x:v>0</x:v>
      </x:c>
      <x:c r="AC338" s="74" t="str">
        <x:v>0</x:v>
      </x:c>
      <x:c r="AD338" s="74" t="str">
        <x:v>0</x:v>
      </x:c>
      <x:c r="AE338" s="74" t="str">
        <x:v>0</x:v>
      </x:c>
      <x:c r="AF338" s="74" t="str"/>
      <x:c r="AG338" s="74" t="str">
        <x:v>0</x:v>
      </x:c>
      <x:c r="AH338" s="74" t="str">
        <x:v>0</x:v>
      </x:c>
      <x:c r="AI338" s="74" t="str">
        <x:v>0</x:v>
      </x:c>
      <x:c r="AJ338" s="74" t="str">
        <x:v>0</x:v>
      </x:c>
      <x:c r="AK338" s="74" t="str">
        <x:v>0</x:v>
      </x:c>
      <x:c r="AL338" s="74" t="str">
        <x:v>0</x:v>
      </x:c>
      <x:c r="AM338" s="74" t="str">
        <x:v>0</x:v>
      </x:c>
      <x:c r="AN338" s="74" t="str">
        <x:v>0</x:v>
      </x:c>
      <x:c r="AO338" s="60" t="str">
        <x:v>0</x:v>
      </x:c>
      <x:c r="AP338" s="76" t="str">
        <x:v>435 Google reviews; no embedded homepage video found</x:v>
      </x:c>
      <x:c r="AQ338" s="76" t="str">
        <x:v>no embedded homepage video detected</x:v>
      </x:c>
      <x:c r="AR338" s="76" t="str">
        <x:v>One Hour Heating &amp; Air Conditioning has 435 Google reviews—strong proof that could be turned into short-form ad concepts.</x:v>
      </x:c>
      <x:c r="AS338" s="76" t="str">
        <x:v>no-cool-call to same-day comfort ad</x:v>
      </x:c>
      <x:c r="AT338" s="76" t="str">
        <x:v>One Hour Heating &amp; Air Conditioning ad concept</x:v>
      </x:c>
      <x:c r="AU338" s="76" t="str">
        <x:v>Hi Richie — One Hour Heating &amp; Air Conditioning has 435 Google reviews—strong proof that could be turned into short-form ad concepts. I mapped a private 15-second no-cool-call to same-day comfort ad for One Hour Heating &amp; Air Conditioning using only public brand context—not for publishing, just to show the angle. We build three client-approved video ad concepts in seven days, then turn the winners into fresh variations. No filming day required. Worth sending the private sample?</x:v>
      </x:c>
      <x:c r="AV338" s="76" t="str">
        <x:v>Quick follow-up: the sample angle is a no-cool-call to same-day comfort ad. If it misses the mark, no problem—I won't keep chasing. Should I send it?</x:v>
      </x:c>
      <x:c r="AW338" s="76" t="str">
        <x:v>Hi Richie, Ryan here. I was looking at One Hour Heating &amp; Air Conditioning's public marketing and noticed: 435 google reviews; no embedded homepage video found. I mapped one private no-cool-call to same-day comfort ad as an example. Did I catch you with 30 seconds?</x:v>
      </x:c>
      <x:c r="AX338" s="60" t="str">
        <x:v>https://www.facebook.com/ads/library/?active_status=active&amp;ad_type=all&amp;country=US&amp;q=One%20Hour%20Heating%20%26%20Air%20Conditioning&amp;search_type=keyword_unordered</x:v>
      </x:c>
      <x:c r="AY338" s="60" t="str">
        <x:v>ok:200</x:v>
      </x:c>
      <x:c r="AZ338" s="60" t="n">
        <x:v>46232.722858796296</x:v>
      </x:c>
      <x:c r="BA338" s="60" t="str">
        <x:v>AI Ark SC trades export | Google Maps home-services export</x:v>
      </x:c>
      <x:c r="BB338" s="60" t="str">
        <x:v>https://maps.google.com/?cid=13397778031485990550&amp;g_mp=Cidnb29nbGUubWFwcy5wbGFjZXMudjEuUGxhY2VzLlNlYXJjaFRleHQQAhgEIAA | https://onehourmagic.com | https://www.linkedin.com/company/one-hour-heating-&amp;-air-conditioning</x:v>
      </x:c>
      <x:c r="BC338" s="60" t="str"/>
    </x:row>
    <x:row r="339" ht="18" customHeight="1">
      <x:c r="A339" s="70" t="str">
        <x:v>338</x:v>
      </x:c>
      <x:c r="B339" s="70" t="str">
        <x:v>C - Verify</x:v>
      </x:c>
      <x:c r="C339" s="72" t="str">
        <x:v>54</x:v>
      </x:c>
      <x:c r="D339" s="60" t="str">
        <x:v>Charleston Electric &amp; Air</x:v>
      </x:c>
      <x:c r="E339" s="60" t="str">
        <x:v>https://charleston-electric.com</x:v>
      </x:c>
      <x:c r="F339" s="60" t="str">
        <x:v>https://www.charleston-electric.com/</x:v>
      </x:c>
      <x:c r="G339" s="60" t="str">
        <x:v>Mount Pleasant</x:v>
      </x:c>
      <x:c r="H339" s="60" t="str">
        <x:v>South Carolina</x:v>
      </x:c>
      <x:c r="I339" s="60" t="str">
        <x:v>Electrical</x:v>
      </x:c>
      <x:c r="J339" s="60" t="str">
        <x:v>Charleston Electric &amp; Air</x:v>
      </x:c>
      <x:c r="K339" s="60" t="str"/>
      <x:c r="L339" s="60" t="str">
        <x:v>Owner / decision maker to verify</x:v>
      </x:c>
      <x:c r="M339" s="60" t="str"/>
      <x:c r="N339" s="60" t="str"/>
      <x:c r="O339" s="60" t="str">
        <x:v>(843) 408-0245</x:v>
      </x:c>
      <x:c r="P339" s="60" t="str"/>
      <x:c r="Q339" s="60" t="str"/>
      <x:c r="R339" s="60" t="str"/>
      <x:c r="S339" s="60" t="str">
        <x:v>4.8</x:v>
      </x:c>
      <x:c r="T339" s="74" t="str">
        <x:v>219</x:v>
      </x:c>
      <x:c r="U339" s="60" t="str"/>
      <x:c r="V339" s="74" t="str">
        <x:v>23</x:v>
      </x:c>
      <x:c r="W339" s="74" t="str">
        <x:v>15</x:v>
      </x:c>
      <x:c r="X339" s="74" t="str">
        <x:v>0</x:v>
      </x:c>
      <x:c r="Y339" s="74" t="str">
        <x:v>11</x:v>
      </x:c>
      <x:c r="Z339" s="74" t="str">
        <x:v>5</x:v>
      </x:c>
      <x:c r="AA339" s="74" t="str">
        <x:v>1</x:v>
      </x:c>
      <x:c r="AB339" s="74" t="str">
        <x:v>0</x:v>
      </x:c>
      <x:c r="AC339" s="74" t="str">
        <x:v>1</x:v>
      </x:c>
      <x:c r="AD339" s="74" t="str">
        <x:v>0</x:v>
      </x:c>
      <x:c r="AE339" s="74" t="str">
        <x:v>0</x:v>
      </x:c>
      <x:c r="AF339" s="74" t="str"/>
      <x:c r="AG339" s="74" t="str">
        <x:v>1</x:v>
      </x:c>
      <x:c r="AH339" s="74" t="str">
        <x:v>1</x:v>
      </x:c>
      <x:c r="AI339" s="74" t="str">
        <x:v>0</x:v>
      </x:c>
      <x:c r="AJ339" s="74" t="str">
        <x:v>0</x:v>
      </x:c>
      <x:c r="AK339" s="74" t="str">
        <x:v>1</x:v>
      </x:c>
      <x:c r="AL339" s="74" t="str">
        <x:v>1</x:v>
      </x:c>
      <x:c r="AM339" s="74" t="str">
        <x:v>1</x:v>
      </x:c>
      <x:c r="AN339" s="74" t="str">
        <x:v>0</x:v>
      </x:c>
      <x:c r="AO339" s="60" t="str">
        <x:v>2026</x:v>
      </x:c>
      <x:c r="AP339" s="76" t="str">
        <x:v>Paid-demand technology detected; creative refresh hypothesis</x:v>
      </x:c>
      <x:c r="AQ339" s="76" t="str">
        <x:v>Meta Pixel; project/gallery proof; visible service offer</x:v>
      </x:c>
      <x:c r="AR339" s="76" t="str">
        <x:v>I was reviewing electrical companies in Mount Pleasant, South Carolina and Charleston Electric &amp; Air looked like a strong fit for a creative test.</x:v>
      </x:c>
      <x:c r="AS339" s="76" t="str">
        <x:v>safety inspection problem/solution ad</x:v>
      </x:c>
      <x:c r="AT339" s="76" t="str">
        <x:v>Charleston Electric &amp; Air ad concept</x:v>
      </x:c>
      <x:c r="AU339" s="76" t="str">
        <x:v>Hi Charleston Electric &amp; Air — I was reviewing electrical companies in Mount Pleasant, South Carolina and Charleston Electric &amp; Air looked like a strong fit for a creative test. I mapped a private 15-second safety inspection problem/solution ad for Charleston Electric &amp; Air using only public brand context—not for publishing, just to show the angle. We build three client-approved video ad concepts in seven days, then turn the winners into fresh variations. No filming day required. Worth sending the private sample?</x:v>
      </x:c>
      <x:c r="AV339" s="76" t="str">
        <x:v>Quick follow-up: the sample angle is a safety inspection problem/solution ad. If it misses the mark, no problem—I won't keep chasing. Should I send it?</x:v>
      </x:c>
      <x:c r="AW339" s="76" t="str">
        <x:v>Hi Charleston Electric &amp; Air, Ryan here. I was looking at Charleston Electric &amp; Air's public marketing and noticed: paid-demand technology detected; creative refresh hypothesis. I mapped one private safety inspection problem/solution ad as an example. Did I catch you with 30 seconds?</x:v>
      </x:c>
      <x:c r="AX339" s="60" t="str">
        <x:v>https://www.facebook.com/ads/library/?active_status=active&amp;ad_type=all&amp;country=US&amp;q=Charleston%20Electric%20%26%20Air&amp;search_type=keyword_unordered</x:v>
      </x:c>
      <x:c r="AY339" s="60" t="str">
        <x:v>ok:200</x:v>
      </x:c>
      <x:c r="AZ339" s="60" t="n">
        <x:v>46232.722858796296</x:v>
      </x:c>
      <x:c r="BA339" s="60" t="str">
        <x:v>Google Maps home-services export</x:v>
      </x:c>
      <x:c r="BB339" s="60" t="str">
        <x:v>https://charleston-electric.com | https://maps.google.com/?cid=6305253437960042792&amp;g_mp=Cidnb29nbGUubWFwcy5wbGFjZXMudjEuUGxhY2VzLlNlYXJjaFRleHQQAhgEIAA</x:v>
      </x:c>
      <x:c r="BC339" s="60" t="str"/>
    </x:row>
    <x:row r="340" ht="18" customHeight="1">
      <x:c r="A340" s="70" t="str">
        <x:v>339</x:v>
      </x:c>
      <x:c r="B340" s="70" t="str">
        <x:v>C - Verify</x:v>
      </x:c>
      <x:c r="C340" s="72" t="str">
        <x:v>54</x:v>
      </x:c>
      <x:c r="D340" s="60" t="str">
        <x:v>The Driveway Company Headquarters</x:v>
      </x:c>
      <x:c r="E340" s="60" t="str">
        <x:v>https://thedrivewaycompany.com</x:v>
      </x:c>
      <x:c r="F340" s="60" t="str">
        <x:v>https://thedrivewaycompany.com</x:v>
      </x:c>
      <x:c r="G340" s="60" t="str">
        <x:v>Goose Creek</x:v>
      </x:c>
      <x:c r="H340" s="60" t="str">
        <x:v>South Carolina</x:v>
      </x:c>
      <x:c r="I340" s="60" t="str">
        <x:v>General Contractor</x:v>
      </x:c>
      <x:c r="J340" s="60" t="str">
        <x:v>Bill</x:v>
      </x:c>
      <x:c r="K340" s="60" t="str">
        <x:v>Dyer</x:v>
      </x:c>
      <x:c r="L340" s="60" t="str">
        <x:v>Principal Owner</x:v>
      </x:c>
      <x:c r="M340" s="60" t="str">
        <x:v>bill.dyer@thedrivewaycompany.com</x:v>
      </x:c>
      <x:c r="N340" s="60" t="str">
        <x:v>Verified with BounceBan on 08 Jun 26 12:06</x:v>
      </x:c>
      <x:c r="O340" s="60" t="str">
        <x:v>+1 304 545 2518</x:v>
      </x:c>
      <x:c r="P340" s="60" t="str">
        <x:v>https://www.linkedin.com/in/bill-dyer-54911014a</x:v>
      </x:c>
      <x:c r="Q340" s="60" t="str">
        <x:v>2-10</x:v>
      </x:c>
      <x:c r="R340" s="60" t="str">
        <x:v>500000-999999</x:v>
      </x:c>
      <x:c r="S340" s="60" t="str"/>
      <x:c r="T340" s="74" t="str">
        <x:v>0</x:v>
      </x:c>
      <x:c r="U340" s="60" t="str"/>
      <x:c r="V340" s="74" t="str">
        <x:v>22</x:v>
      </x:c>
      <x:c r="W340" s="74" t="str">
        <x:v>15</x:v>
      </x:c>
      <x:c r="X340" s="74" t="str">
        <x:v>0</x:v>
      </x:c>
      <x:c r="Y340" s="74" t="str">
        <x:v>7</x:v>
      </x:c>
      <x:c r="Z340" s="74" t="str">
        <x:v>10</x:v>
      </x:c>
      <x:c r="AA340" s="74" t="str">
        <x:v>1</x:v>
      </x:c>
      <x:c r="AB340" s="74" t="str">
        <x:v>0</x:v>
      </x:c>
      <x:c r="AC340" s="74" t="str">
        <x:v>1</x:v>
      </x:c>
      <x:c r="AD340" s="74" t="str">
        <x:v>0</x:v>
      </x:c>
      <x:c r="AE340" s="74" t="str">
        <x:v>0</x:v>
      </x:c>
      <x:c r="AF340" s="74" t="str"/>
      <x:c r="AG340" s="74" t="str">
        <x:v>1</x:v>
      </x:c>
      <x:c r="AH340" s="74" t="str">
        <x:v>0</x:v>
      </x:c>
      <x:c r="AI340" s="74" t="str">
        <x:v>1</x:v>
      </x:c>
      <x:c r="AJ340" s="74" t="str">
        <x:v>0</x:v>
      </x:c>
      <x:c r="AK340" s="74" t="str">
        <x:v>1</x:v>
      </x:c>
      <x:c r="AL340" s="74" t="str">
        <x:v>1</x:v>
      </x:c>
      <x:c r="AM340" s="74" t="str">
        <x:v>1</x:v>
      </x:c>
      <x:c r="AN340" s="74" t="str">
        <x:v>1</x:v>
      </x:c>
      <x:c r="AO340" s="60" t="str">
        <x:v>2026</x:v>
      </x:c>
      <x:c r="AP340" s="76" t="str">
        <x:v>Paid-demand technology detected; creative refresh hypothesis</x:v>
      </x:c>
      <x:c r="AQ340" s="76" t="str">
        <x:v>Meta Pixel; testimonials; visible service offer</x:v>
      </x:c>
      <x:c r="AR340" s="76" t="str">
        <x:v>I was reviewing general contractor companies in Goose Creek, South Carolina and The Driveway Company Headquarters looked like a strong fit for a creative test.</x:v>
      </x:c>
      <x:c r="AS340" s="76" t="str">
        <x:v>project walkthrough with proof milestones</x:v>
      </x:c>
      <x:c r="AT340" s="76" t="str">
        <x:v>The Driveway Company Headquarters ad concept</x:v>
      </x:c>
      <x:c r="AU340" s="76" t="str">
        <x:v>Hi Bill — I was reviewing general contractor companies in Goose Creek, South Carolina and The Driveway Company Headquarters looked like a strong fit for a creative test. I mapped a private 15-second project walkthrough with proof milestones for The Driveway Company Headquarters using only public brand context—not for publishing, just to show the angle. We build three client-approved video ad concepts in seven days, then turn the winners into fresh variations. No filming day required. Worth sending the private sample?</x:v>
      </x:c>
      <x:c r="AV340" s="76" t="str">
        <x:v>Quick follow-up: the sample angle is a project walkthrough with proof milestones. If it misses the mark, no problem—I won't keep chasing. Should I send it?</x:v>
      </x:c>
      <x:c r="AW340" s="76" t="str">
        <x:v>Hi Bill, Ryan here. I was looking at The Driveway Company Headquarters's public marketing and noticed: paid-demand technology detected; creative refresh hypothesis. I mapped one private project walkthrough with proof milestones as an example. Did I catch you with 30 seconds?</x:v>
      </x:c>
      <x:c r="AX340" s="60" t="str">
        <x:v>https://www.facebook.com/ads/library/?active_status=active&amp;ad_type=all&amp;country=US&amp;q=The%20Driveway%20Company%20Headquarters&amp;search_type=keyword_unordered</x:v>
      </x:c>
      <x:c r="AY340" s="60" t="str">
        <x:v>ok:200</x:v>
      </x:c>
      <x:c r="AZ340" s="60" t="n">
        <x:v>46232.722858796296</x:v>
      </x:c>
      <x:c r="BA340" s="60" t="str">
        <x:v>AI Ark SC trades export</x:v>
      </x:c>
      <x:c r="BB340" s="60" t="str">
        <x:v>https://thedrivewaycompany.com | https://www.linkedin.com/company/the-driveway-company-franchising</x:v>
      </x:c>
      <x:c r="BC340" s="60" t="str"/>
    </x:row>
    <x:row r="341" ht="18" customHeight="1">
      <x:c r="A341" s="70" t="str">
        <x:v>340</x:v>
      </x:c>
      <x:c r="B341" s="70" t="str">
        <x:v>C - Verify</x:v>
      </x:c>
      <x:c r="C341" s="72" t="str">
        <x:v>54</x:v>
      </x:c>
      <x:c r="D341" s="60" t="str">
        <x:v>JAN-PRO of Utah</x:v>
      </x:c>
      <x:c r="E341" s="60" t="str">
        <x:v>https://jan-pro.com</x:v>
      </x:c>
      <x:c r="F341" s="60" t="str">
        <x:v>https://jan-pro.com</x:v>
      </x:c>
      <x:c r="G341" s="60" t="str">
        <x:v>Mount Pleasant</x:v>
      </x:c>
      <x:c r="H341" s="60" t="str">
        <x:v>South Carolina</x:v>
      </x:c>
      <x:c r="I341" s="60" t="str">
        <x:v>Windows &amp; Doors</x:v>
      </x:c>
      <x:c r="J341" s="60" t="str">
        <x:v>Michael</x:v>
      </x:c>
      <x:c r="K341" s="60" t="str">
        <x:v>Webb</x:v>
      </x:c>
      <x:c r="L341" s="60" t="str">
        <x:v>Owner</x:v>
      </x:c>
      <x:c r="M341" s="60" t="str"/>
      <x:c r="N341" s="60" t="str"/>
      <x:c r="O341" s="60" t="str"/>
      <x:c r="P341" s="60" t="str">
        <x:v>https://www.linkedin.com/in/michael-webb-815692</x:v>
      </x:c>
      <x:c r="Q341" s="60" t="str">
        <x:v>11-50</x:v>
      </x:c>
      <x:c r="R341" s="60" t="str">
        <x:v>50000000-99999999</x:v>
      </x:c>
      <x:c r="S341" s="60" t="str"/>
      <x:c r="T341" s="74" t="str">
        <x:v>0</x:v>
      </x:c>
      <x:c r="U341" s="60" t="str"/>
      <x:c r="V341" s="74" t="str">
        <x:v>30</x:v>
      </x:c>
      <x:c r="W341" s="74" t="str">
        <x:v>15</x:v>
      </x:c>
      <x:c r="X341" s="74" t="str">
        <x:v>0</x:v>
      </x:c>
      <x:c r="Y341" s="74" t="str">
        <x:v>7</x:v>
      </x:c>
      <x:c r="Z341" s="74" t="str">
        <x:v>2</x:v>
      </x:c>
      <x:c r="AA341" s="74" t="str">
        <x:v>1</x:v>
      </x:c>
      <x:c r="AB341" s="74" t="str">
        <x:v>0</x:v>
      </x:c>
      <x:c r="AC341" s="74" t="str">
        <x:v>1</x:v>
      </x:c>
      <x:c r="AD341" s="74" t="str">
        <x:v>0</x:v>
      </x:c>
      <x:c r="AE341" s="74" t="str">
        <x:v>0</x:v>
      </x:c>
      <x:c r="AF341" s="74" t="str"/>
      <x:c r="AG341" s="74" t="str">
        <x:v>1</x:v>
      </x:c>
      <x:c r="AH341" s="74" t="str">
        <x:v>0</x:v>
      </x:c>
      <x:c r="AI341" s="74" t="str">
        <x:v>1</x:v>
      </x:c>
      <x:c r="AJ341" s="74" t="str">
        <x:v>0</x:v>
      </x:c>
      <x:c r="AK341" s="74" t="str">
        <x:v>1</x:v>
      </x:c>
      <x:c r="AL341" s="74" t="str">
        <x:v>1</x:v>
      </x:c>
      <x:c r="AM341" s="74" t="str">
        <x:v>1</x:v>
      </x:c>
      <x:c r="AN341" s="74" t="str">
        <x:v>1</x:v>
      </x:c>
      <x:c r="AO341" s="60" t="str">
        <x:v>2026</x:v>
      </x:c>
      <x:c r="AP341" s="76" t="str">
        <x:v>Paid-demand technology detected; creative refresh hypothesis</x:v>
      </x:c>
      <x:c r="AQ341" s="76" t="str">
        <x:v>Meta Pixel; testimonials; visible service offer</x:v>
      </x:c>
      <x:c r="AR341" s="76" t="str">
        <x:v>I was reviewing windows &amp; doors companies in Mount Pleasant, South Carolina and JAN-PRO of Utah looked like a strong fit for a creative test.</x:v>
      </x:c>
      <x:c r="AS341" s="76" t="str">
        <x:v>energy-loss to installed-window transformation ad</x:v>
      </x:c>
      <x:c r="AT341" s="76" t="str">
        <x:v>JAN-PRO of Utah ad concept</x:v>
      </x:c>
      <x:c r="AU341" s="76" t="str">
        <x:v>Hi Michael — I was reviewing windows &amp; doors companies in Mount Pleasant, South Carolina and JAN-PRO of Utah looked like a strong fit for a creative test. I mapped a private 15-second energy-loss to installed-window transformation ad for JAN-PRO of Utah using only public brand context—not for publishing, just to show the angle. We build three client-approved video ad concepts in seven days, then turn the winners into fresh variations. No filming day required. Worth sending the private sample?</x:v>
      </x:c>
      <x:c r="AV341" s="76" t="str">
        <x:v>Quick follow-up: the sample angle is a energy-loss to installed-window transformation ad. If it misses the mark, no problem—I won't keep chasing. Should I send it?</x:v>
      </x:c>
      <x:c r="AW341" s="76" t="str">
        <x:v>Hi Michael, Ryan here. I was looking at JAN-PRO of Utah's public marketing and noticed: paid-demand technology detected; creative refresh hypothesis. I mapped one private energy-loss to installed-window transformation ad as an example. Did I catch you with 30 seconds?</x:v>
      </x:c>
      <x:c r="AX341" s="60" t="str">
        <x:v>https://www.facebook.com/ads/library/?active_status=active&amp;ad_type=all&amp;country=US&amp;q=JAN-PRO%20of%20Utah&amp;search_type=keyword_unordered</x:v>
      </x:c>
      <x:c r="AY341" s="60" t="str">
        <x:v>ok:200</x:v>
      </x:c>
      <x:c r="AZ341" s="60" t="n">
        <x:v>46232.722858796296</x:v>
      </x:c>
      <x:c r="BA341" s="60" t="str">
        <x:v>AI Ark SC trades export</x:v>
      </x:c>
      <x:c r="BB341" s="60" t="str">
        <x:v>https://jan-pro.com | https://www.linkedin.com/company/jan-pro-com-utah</x:v>
      </x:c>
      <x:c r="BC341" s="60" t="str"/>
    </x:row>
    <x:row r="342" ht="18" customHeight="1">
      <x:c r="A342" s="70" t="str">
        <x:v>341</x:v>
      </x:c>
      <x:c r="B342" s="70" t="str">
        <x:v>C - Verify</x:v>
      </x:c>
      <x:c r="C342" s="72" t="str">
        <x:v>54</x:v>
      </x:c>
      <x:c r="D342" s="60" t="str">
        <x:v>Dave's Roofing</x:v>
      </x:c>
      <x:c r="E342" s="60" t="str">
        <x:v>https://davesroofingonline.com</x:v>
      </x:c>
      <x:c r="F342" s="60" t="str">
        <x:v>https://davesroofingonline.com</x:v>
      </x:c>
      <x:c r="G342" s="60" t="str">
        <x:v>Spartanburg</x:v>
      </x:c>
      <x:c r="H342" s="60" t="str">
        <x:v>South Carolina</x:v>
      </x:c>
      <x:c r="I342" s="60" t="str">
        <x:v>Roofing</x:v>
      </x:c>
      <x:c r="J342" s="60" t="str">
        <x:v>Dave's Roofing</x:v>
      </x:c>
      <x:c r="K342" s="60" t="str"/>
      <x:c r="L342" s="60" t="str">
        <x:v>Owner / decision maker to verify</x:v>
      </x:c>
      <x:c r="M342" s="60" t="str"/>
      <x:c r="N342" s="60" t="str"/>
      <x:c r="O342" s="60" t="str">
        <x:v>(864) 574-7638</x:v>
      </x:c>
      <x:c r="P342" s="60" t="str"/>
      <x:c r="Q342" s="60" t="str"/>
      <x:c r="R342" s="60" t="str"/>
      <x:c r="S342" s="60" t="str">
        <x:v>4.5</x:v>
      </x:c>
      <x:c r="T342" s="74" t="str">
        <x:v>97</x:v>
      </x:c>
      <x:c r="U342" s="60" t="str">
        <x:v>scheduling, no_show, slow_response</x:v>
      </x:c>
      <x:c r="V342" s="74" t="str">
        <x:v>27</x:v>
      </x:c>
      <x:c r="W342" s="74" t="str">
        <x:v>15</x:v>
      </x:c>
      <x:c r="X342" s="74" t="str">
        <x:v>2</x:v>
      </x:c>
      <x:c r="Y342" s="74" t="str">
        <x:v>5</x:v>
      </x:c>
      <x:c r="Z342" s="74" t="str">
        <x:v>5</x:v>
      </x:c>
      <x:c r="AA342" s="74" t="str">
        <x:v>1</x:v>
      </x:c>
      <x:c r="AB342" s="74" t="str">
        <x:v>0</x:v>
      </x:c>
      <x:c r="AC342" s="74" t="str">
        <x:v>1</x:v>
      </x:c>
      <x:c r="AD342" s="74" t="str">
        <x:v>0</x:v>
      </x:c>
      <x:c r="AE342" s="74" t="str">
        <x:v>0</x:v>
      </x:c>
      <x:c r="AF342" s="74" t="str"/>
      <x:c r="AG342" s="74" t="str">
        <x:v>1</x:v>
      </x:c>
      <x:c r="AH342" s="74" t="str">
        <x:v>0</x:v>
      </x:c>
      <x:c r="AI342" s="74" t="str">
        <x:v>0</x:v>
      </x:c>
      <x:c r="AJ342" s="74" t="str">
        <x:v>0</x:v>
      </x:c>
      <x:c r="AK342" s="74" t="str">
        <x:v>1</x:v>
      </x:c>
      <x:c r="AL342" s="74" t="str">
        <x:v>1</x:v>
      </x:c>
      <x:c r="AM342" s="74" t="str">
        <x:v>1</x:v>
      </x:c>
      <x:c r="AN342" s="74" t="str">
        <x:v>1</x:v>
      </x:c>
      <x:c r="AO342" s="60" t="str">
        <x:v>2026</x:v>
      </x:c>
      <x:c r="AP342" s="76" t="str">
        <x:v>Paid-demand technology detected; creative refresh hypothesis</x:v>
      </x:c>
      <x:c r="AQ342" s="76" t="str">
        <x:v>Meta Pixel; visible service offer</x:v>
      </x:c>
      <x:c r="AR342" s="76" t="str">
        <x:v>I was reviewing roofing companies in Spartanburg, South Carolina and Dave's Roofing looked like a strong fit for a creative test.</x:v>
      </x:c>
      <x:c r="AS342" s="76" t="str">
        <x:v>storm-to-inspection before/after ad</x:v>
      </x:c>
      <x:c r="AT342" s="76" t="str">
        <x:v>Dave's Roofing ad concept</x:v>
      </x:c>
      <x:c r="AU342" s="76" t="str">
        <x:v>Hi Dave's Roofing — I was reviewing roofing companies in Spartanburg, South Carolina and Dave's Roofing looked like a strong fit for a creative test. I mapped a private 15-second storm-to-inspection before/after ad for Dave's Roofing using only public brand context—not for publishing, just to show the angle. We build three client-approved video ad concepts in seven days, then turn the winners into fresh variations. No filming day required. Worth sending the private sample?</x:v>
      </x:c>
      <x:c r="AV342" s="76" t="str">
        <x:v>Quick follow-up: the sample angle is a storm-to-inspection before/after ad. If it misses the mark, no problem—I won't keep chasing. Should I send it?</x:v>
      </x:c>
      <x:c r="AW342" s="76" t="str">
        <x:v>Hi Dave's Roofing, Ryan here. I was looking at Dave's Roofing's public marketing and noticed: paid-demand technology detected; creative refresh hypothesis. I mapped one private storm-to-inspection before/after ad as an example. Did I catch you with 30 seconds?</x:v>
      </x:c>
      <x:c r="AX342" s="60" t="str">
        <x:v>https://www.facebook.com/ads/library/?active_status=active&amp;ad_type=all&amp;country=US&amp;q=Dave%27s%20Roofing&amp;search_type=keyword_unordered</x:v>
      </x:c>
      <x:c r="AY342" s="60" t="str">
        <x:v>ok:200</x:v>
      </x:c>
      <x:c r="AZ342" s="60" t="n">
        <x:v>46232.722858796296</x:v>
      </x:c>
      <x:c r="BA342" s="60" t="str">
        <x:v>Google Maps home-services export</x:v>
      </x:c>
      <x:c r="BB342" s="60" t="str">
        <x:v>https://davesroofingonline.com | https://maps.google.com/?cid=18196560850999292498&amp;g_mp=Cidnb29nbGUubWFwcy5wbGFjZXMudjEuUGxhY2VzLlNlYXJjaFRleHQQAhgEIAA</x:v>
      </x:c>
      <x:c r="BC342" s="60" t="str"/>
    </x:row>
    <x:row r="343" ht="18" customHeight="1">
      <x:c r="A343" s="70" t="str">
        <x:v>342</x:v>
      </x:c>
      <x:c r="B343" s="70" t="str">
        <x:v>C - Verify</x:v>
      </x:c>
      <x:c r="C343" s="72" t="str">
        <x:v>54</x:v>
      </x:c>
      <x:c r="D343" s="60" t="str">
        <x:v>3 Rivers Commercial Construction: General Contracting</x:v>
      </x:c>
      <x:c r="E343" s="60" t="str">
        <x:v>https://3rccontracting.com</x:v>
      </x:c>
      <x:c r="F343" s="60" t="str">
        <x:v>https://www.3rccontracting.com/</x:v>
      </x:c>
      <x:c r="G343" s="60" t="str">
        <x:v>Charleston</x:v>
      </x:c>
      <x:c r="H343" s="60" t="str">
        <x:v>South Carolina Metropolitan Area</x:v>
      </x:c>
      <x:c r="I343" s="60" t="str">
        <x:v>Remodeling</x:v>
      </x:c>
      <x:c r="J343" s="60" t="str">
        <x:v>Bennett</x:v>
      </x:c>
      <x:c r="K343" s="60" t="str">
        <x:v>Ranson</x:v>
      </x:c>
      <x:c r="L343" s="60" t="str">
        <x:v>Business Owner</x:v>
      </x:c>
      <x:c r="M343" s="60" t="str"/>
      <x:c r="N343" s="60" t="str"/>
      <x:c r="O343" s="60" t="str"/>
      <x:c r="P343" s="60" t="str">
        <x:v>https://www.linkedin.com/in/bennett-ranson-928a86301</x:v>
      </x:c>
      <x:c r="Q343" s="60" t="str">
        <x:v>2-10</x:v>
      </x:c>
      <x:c r="R343" s="60" t="str">
        <x:v>0-99999</x:v>
      </x:c>
      <x:c r="S343" s="60" t="str"/>
      <x:c r="T343" s="74" t="str">
        <x:v>0</x:v>
      </x:c>
      <x:c r="U343" s="60" t="str"/>
      <x:c r="V343" s="74" t="str">
        <x:v>25</x:v>
      </x:c>
      <x:c r="W343" s="74" t="str">
        <x:v>15</x:v>
      </x:c>
      <x:c r="X343" s="74" t="str">
        <x:v>12</x:v>
      </x:c>
      <x:c r="Y343" s="74" t="str">
        <x:v>0</x:v>
      </x:c>
      <x:c r="Z343" s="74" t="str">
        <x:v>2</x:v>
      </x:c>
      <x:c r="AA343" s="74" t="str">
        <x:v>1</x:v>
      </x:c>
      <x:c r="AB343" s="74" t="str">
        <x:v>0</x:v>
      </x:c>
      <x:c r="AC343" s="74" t="str">
        <x:v>1</x:v>
      </x:c>
      <x:c r="AD343" s="74" t="str">
        <x:v>0</x:v>
      </x:c>
      <x:c r="AE343" s="74" t="str">
        <x:v>0</x:v>
      </x:c>
      <x:c r="AF343" s="74" t="str"/>
      <x:c r="AG343" s="74" t="str">
        <x:v>0</x:v>
      </x:c>
      <x:c r="AH343" s="74" t="str">
        <x:v>0</x:v>
      </x:c>
      <x:c r="AI343" s="74" t="str">
        <x:v>0</x:v>
      </x:c>
      <x:c r="AJ343" s="74" t="str">
        <x:v>0</x:v>
      </x:c>
      <x:c r="AK343" s="74" t="str">
        <x:v>0</x:v>
      </x:c>
      <x:c r="AL343" s="74" t="str">
        <x:v>1</x:v>
      </x:c>
      <x:c r="AM343" s="74" t="str">
        <x:v>1</x:v>
      </x:c>
      <x:c r="AN343" s="74" t="str">
        <x:v>0</x:v>
      </x:c>
      <x:c r="AO343" s="60" t="str">
        <x:v>0</x:v>
      </x:c>
      <x:c r="AP343" s="76" t="str">
        <x:v>Meta tracking detected; no embedded homepage video found</x:v>
      </x:c>
      <x:c r="AQ343" s="76" t="str">
        <x:v>Meta Pixel; no embedded homepage video detected</x:v>
      </x:c>
      <x:c r="AR343" s="76" t="str">
        <x:v>I noticed 3 Rivers Commercial Construction: General Contracting's site has Meta tracking installed, but I couldn't find an embedded video on the homepage.</x:v>
      </x:c>
      <x:c r="AS343" s="76" t="str">
        <x:v>project reveal with budget-and-timeline proof</x:v>
      </x:c>
      <x:c r="AT343" s="76" t="str">
        <x:v>3 Rivers Commercial Construction: General Contracting ad concept</x:v>
      </x:c>
      <x:c r="AU343" s="76" t="str">
        <x:v>Hi Bennett — I noticed 3 Rivers Commercial Construction: General Contracting's site has Meta tracking installed, but I couldn't find an embedded video on the homepage. I mapped a private 15-second project reveal with budget-and-timeline proof for 3 Rivers Commercial Construction: General Contracting using only public brand context—not for publishing, just to show the angle. We build three client-approved video ad concepts in seven days, then turn the winners into fresh variations. No filming day required. Worth sending the private sample?</x:v>
      </x:c>
      <x:c r="AV343" s="76" t="str">
        <x:v>Quick follow-up: the sample angle is a project reveal with budget-and-timeline proof. If it misses the mark, no problem—I won't keep chasing. Should I send it?</x:v>
      </x:c>
      <x:c r="AW343" s="76" t="str">
        <x:v>Hi Bennett, Ryan here. I was looking at 3 Rivers Commercial Construction: General Contracting's public marketing and noticed: meta tracking detected; no embedded homepage video found. I mapped one private project reveal with budget-and-timeline proof as an example. Did I catch you with 30 seconds?</x:v>
      </x:c>
      <x:c r="AX343" s="60" t="str">
        <x:v>https://www.facebook.com/ads/library/?active_status=active&amp;ad_type=all&amp;country=US&amp;q=3%20Rivers%20Commercial%20Construction%3A%20General%20Contracting&amp;search_type=keyword_unordered</x:v>
      </x:c>
      <x:c r="AY343" s="60" t="str">
        <x:v>ok:200</x:v>
      </x:c>
      <x:c r="AZ343" s="60" t="n">
        <x:v>46232.722858796296</x:v>
      </x:c>
      <x:c r="BA343" s="60" t="str">
        <x:v>AI Ark SC trades export</x:v>
      </x:c>
      <x:c r="BB343" s="60" t="str">
        <x:v>https://3rccontracting.com | https://www.linkedin.com/company/3-rivers-commercial-construction-general-contracting</x:v>
      </x:c>
      <x:c r="BC343" s="60" t="str"/>
    </x:row>
    <x:row r="344" ht="18" customHeight="1">
      <x:c r="A344" s="70" t="str">
        <x:v>343</x:v>
      </x:c>
      <x:c r="B344" s="70" t="str">
        <x:v>C - Verify</x:v>
      </x:c>
      <x:c r="C344" s="72" t="str">
        <x:v>54</x:v>
      </x:c>
      <x:c r="D344" s="60" t="str">
        <x:v>Grand Strand Garage Door</x:v>
      </x:c>
      <x:c r="E344" s="60" t="str">
        <x:v>https://grandstrandgaragedoor.com</x:v>
      </x:c>
      <x:c r="F344" s="60" t="str">
        <x:v>https://www.grandstrandgaragedoor.com/</x:v>
      </x:c>
      <x:c r="G344" s="60" t="str">
        <x:v>Myrtle Beach</x:v>
      </x:c>
      <x:c r="H344" s="60" t="str">
        <x:v>South Carolina</x:v>
      </x:c>
      <x:c r="I344" s="60" t="str">
        <x:v>Garage Doors</x:v>
      </x:c>
      <x:c r="J344" s="60" t="str">
        <x:v>Grand Strand Garage Door</x:v>
      </x:c>
      <x:c r="K344" s="60" t="str"/>
      <x:c r="L344" s="60" t="str">
        <x:v>Owner / decision maker to verify</x:v>
      </x:c>
      <x:c r="M344" s="60" t="str"/>
      <x:c r="N344" s="60" t="str"/>
      <x:c r="O344" s="60" t="str">
        <x:v>(843) 358-4100</x:v>
      </x:c>
      <x:c r="P344" s="60" t="str"/>
      <x:c r="Q344" s="60" t="str"/>
      <x:c r="R344" s="60" t="str"/>
      <x:c r="S344" s="60" t="str">
        <x:v>4.7</x:v>
      </x:c>
      <x:c r="T344" s="74" t="str">
        <x:v>113</x:v>
      </x:c>
      <x:c r="U344" s="60" t="str"/>
      <x:c r="V344" s="74" t="str">
        <x:v>24</x:v>
      </x:c>
      <x:c r="W344" s="74" t="str">
        <x:v>13</x:v>
      </x:c>
      <x:c r="X344" s="74" t="str">
        <x:v>0</x:v>
      </x:c>
      <x:c r="Y344" s="74" t="str">
        <x:v>12</x:v>
      </x:c>
      <x:c r="Z344" s="74" t="str">
        <x:v>5</x:v>
      </x:c>
      <x:c r="AA344" s="74" t="str">
        <x:v>0</x:v>
      </x:c>
      <x:c r="AB344" s="74" t="str">
        <x:v>1</x:v>
      </x:c>
      <x:c r="AC344" s="74" t="str">
        <x:v>1</x:v>
      </x:c>
      <x:c r="AD344" s="74" t="str">
        <x:v>0</x:v>
      </x:c>
      <x:c r="AE344" s="74" t="str">
        <x:v>0</x:v>
      </x:c>
      <x:c r="AF344" s="74" t="str"/>
      <x:c r="AG344" s="74" t="str">
        <x:v>1</x:v>
      </x:c>
      <x:c r="AH344" s="74" t="str">
        <x:v>1</x:v>
      </x:c>
      <x:c r="AI344" s="74" t="str">
        <x:v>1</x:v>
      </x:c>
      <x:c r="AJ344" s="74" t="str">
        <x:v>0</x:v>
      </x:c>
      <x:c r="AK344" s="74" t="str">
        <x:v>0</x:v>
      </x:c>
      <x:c r="AL344" s="74" t="str">
        <x:v>1</x:v>
      </x:c>
      <x:c r="AM344" s="74" t="str">
        <x:v>1</x:v>
      </x:c>
      <x:c r="AN344" s="74" t="str">
        <x:v>0</x:v>
      </x:c>
      <x:c r="AO344" s="60" t="str">
        <x:v>0</x:v>
      </x:c>
      <x:c r="AP344" s="76" t="str">
        <x:v>Paid-demand technology detected; creative refresh hypothesis</x:v>
      </x:c>
      <x:c r="AQ344" s="76" t="str">
        <x:v>Google Ads tag; project/gallery proof; testimonials</x:v>
      </x:c>
      <x:c r="AR344" s="76" t="str">
        <x:v>I was reviewing garage doors companies in Myrtle Beach, South Carolina and Grand Strand Garage Door looked like a strong fit for a creative test.</x:v>
      </x:c>
      <x:c r="AS344" s="76" t="str">
        <x:v>curb-appeal transformation ad</x:v>
      </x:c>
      <x:c r="AT344" s="76" t="str">
        <x:v>Grand Strand Garage Door ad concept</x:v>
      </x:c>
      <x:c r="AU344" s="76" t="str">
        <x:v>Hi Grand Strand Garage Door — I was reviewing garage doors companies in Myrtle Beach, South Carolina and Grand Strand Garage Door looked like a strong fit for a creative test. I mapped a private 15-second curb-appeal transformation ad for Grand Strand Garage Door using only public brand context—not for publishing, just to show the angle. We build three client-approved video ad concepts in seven days, then turn the winners into fresh variations. No filming day required. Worth sending the private sample?</x:v>
      </x:c>
      <x:c r="AV344" s="76" t="str">
        <x:v>Quick follow-up: the sample angle is a curb-appeal transformation ad. If it misses the mark, no problem—I won't keep chasing. Should I send it?</x:v>
      </x:c>
      <x:c r="AW344" s="76" t="str">
        <x:v>Hi Grand Strand Garage Door, Ryan here. I was looking at Grand Strand Garage Door's public marketing and noticed: paid-demand technology detected; creative refresh hypothesis. I mapped one private curb-appeal transformation ad as an example. Did I catch you with 30 seconds?</x:v>
      </x:c>
      <x:c r="AX344" s="60" t="str">
        <x:v>https://www.facebook.com/ads/library/?active_status=active&amp;ad_type=all&amp;country=US&amp;q=Grand%20Strand%20Garage%20Door&amp;search_type=keyword_unordered</x:v>
      </x:c>
      <x:c r="AY344" s="60" t="str">
        <x:v>ok:200</x:v>
      </x:c>
      <x:c r="AZ344" s="60" t="n">
        <x:v>46232.722858796296</x:v>
      </x:c>
      <x:c r="BA344" s="60" t="str">
        <x:v>Google Maps home-services export</x:v>
      </x:c>
      <x:c r="BB344" s="60" t="str">
        <x:v>https://grandstrandgaragedoor.com | https://maps.google.com/?cid=8395583843222352718&amp;g_mp=Cidnb29nbGUubWFwcy5wbGFjZXMudjEuUGxhY2VzLlNlYXJjaFRleHQQAhgEIAA</x:v>
      </x:c>
      <x:c r="BC344" s="60" t="str"/>
    </x:row>
    <x:row r="345" ht="18" customHeight="1">
      <x:c r="A345" s="70" t="str">
        <x:v>344</x:v>
      </x:c>
      <x:c r="B345" s="70" t="str">
        <x:v>C - Verify</x:v>
      </x:c>
      <x:c r="C345" s="72" t="str">
        <x:v>54</x:v>
      </x:c>
      <x:c r="D345" s="60" t="str">
        <x:v>Mooberry Plumbing</x:v>
      </x:c>
      <x:c r="E345" s="60" t="str">
        <x:v>https://mooberryplumbingllc.com</x:v>
      </x:c>
      <x:c r="F345" s="60" t="str">
        <x:v>https://www.mooberryplumbingllc.com/</x:v>
      </x:c>
      <x:c r="G345" s="60" t="str">
        <x:v>Rock Hill</x:v>
      </x:c>
      <x:c r="H345" s="60" t="str">
        <x:v>South Carolina</x:v>
      </x:c>
      <x:c r="I345" s="60" t="str">
        <x:v>Plumbing</x:v>
      </x:c>
      <x:c r="J345" s="60" t="str">
        <x:v>Mooberry Plumbing</x:v>
      </x:c>
      <x:c r="K345" s="60" t="str"/>
      <x:c r="L345" s="60" t="str">
        <x:v>Owner / decision maker to verify</x:v>
      </x:c>
      <x:c r="M345" s="60" t="str"/>
      <x:c r="N345" s="60" t="str"/>
      <x:c r="O345" s="60" t="str">
        <x:v>(803) 246-4236</x:v>
      </x:c>
      <x:c r="P345" s="60" t="str"/>
      <x:c r="Q345" s="60" t="str"/>
      <x:c r="R345" s="60" t="str"/>
      <x:c r="S345" s="60" t="str">
        <x:v>5</x:v>
      </x:c>
      <x:c r="T345" s="74" t="str">
        <x:v>14</x:v>
      </x:c>
      <x:c r="U345" s="60" t="str"/>
      <x:c r="V345" s="74" t="str">
        <x:v>20</x:v>
      </x:c>
      <x:c r="W345" s="74" t="str">
        <x:v>13</x:v>
      </x:c>
      <x:c r="X345" s="74" t="str">
        <x:v>16</x:v>
      </x:c>
      <x:c r="Y345" s="74" t="str">
        <x:v>0</x:v>
      </x:c>
      <x:c r="Z345" s="74" t="str">
        <x:v>5</x:v>
      </x:c>
      <x:c r="AA345" s="74" t="str">
        <x:v>0</x:v>
      </x:c>
      <x:c r="AB345" s="74" t="str">
        <x:v>1</x:v>
      </x:c>
      <x:c r="AC345" s="74" t="str">
        <x:v>1</x:v>
      </x:c>
      <x:c r="AD345" s="74" t="str">
        <x:v>0</x:v>
      </x:c>
      <x:c r="AE345" s="74" t="str">
        <x:v>0</x:v>
      </x:c>
      <x:c r="AF345" s="74" t="str"/>
      <x:c r="AG345" s="74" t="str">
        <x:v>0</x:v>
      </x:c>
      <x:c r="AH345" s="74" t="str">
        <x:v>0</x:v>
      </x:c>
      <x:c r="AI345" s="74" t="str">
        <x:v>0</x:v>
      </x:c>
      <x:c r="AJ345" s="74" t="str">
        <x:v>0</x:v>
      </x:c>
      <x:c r="AK345" s="74" t="str">
        <x:v>0</x:v>
      </x:c>
      <x:c r="AL345" s="74" t="str">
        <x:v>0</x:v>
      </x:c>
      <x:c r="AM345" s="74" t="str">
        <x:v>1</x:v>
      </x:c>
      <x:c r="AN345" s="74" t="str">
        <x:v>0</x:v>
      </x:c>
      <x:c r="AO345" s="60" t="str">
        <x:v>0</x:v>
      </x:c>
      <x:c r="AP345" s="76" t="str">
        <x:v>Google Ads tag detected; no embedded homepage video found</x:v>
      </x:c>
      <x:c r="AQ345" s="76" t="str">
        <x:v>Google Ads tag; no embedded homepage video detected</x:v>
      </x:c>
      <x:c r="AR345" s="76" t="str">
        <x:v>I noticed Mooberry Plumbing's site has a Google Ads tag installed, but I couldn't find an embedded video on the homepage.</x:v>
      </x:c>
      <x:c r="AS345" s="76" t="str">
        <x:v>small symptom to prevented-emergency ad</x:v>
      </x:c>
      <x:c r="AT345" s="76" t="str">
        <x:v>Mooberry Plumbing ad concept</x:v>
      </x:c>
      <x:c r="AU345" s="76" t="str">
        <x:v>Hi Mooberry Plumbing — I noticed Mooberry Plumbing's site has a Google Ads tag installed, but I couldn't find an embedded video on the homepage. I mapped a private 15-second small symptom to prevented-emergency ad for Mooberry Plumbing using only public brand context—not for publishing, just to show the angle. We build three client-approved video ad concepts in seven days, then turn the winners into fresh variations. No filming day required. Worth sending the private sample?</x:v>
      </x:c>
      <x:c r="AV345" s="76" t="str">
        <x:v>Quick follow-up: the sample angle is a small symptom to prevented-emergency ad. If it misses the mark, no problem—I won't keep chasing. Should I send it?</x:v>
      </x:c>
      <x:c r="AW345" s="76" t="str">
        <x:v>Hi Mooberry Plumbing, Ryan here. I was looking at Mooberry Plumbing's public marketing and noticed: google ads tag detected; no embedded homepage video found. I mapped one private small symptom to prevented-emergency ad as an example. Did I catch you with 30 seconds?</x:v>
      </x:c>
      <x:c r="AX345" s="60" t="str">
        <x:v>https://www.facebook.com/ads/library/?active_status=active&amp;ad_type=all&amp;country=US&amp;q=Mooberry%20Plumbing&amp;search_type=keyword_unordered</x:v>
      </x:c>
      <x:c r="AY345" s="60" t="str">
        <x:v>ok:200</x:v>
      </x:c>
      <x:c r="AZ345" s="60" t="n">
        <x:v>46232.722858796296</x:v>
      </x:c>
      <x:c r="BA345" s="60" t="str">
        <x:v>Google Maps home-services export</x:v>
      </x:c>
      <x:c r="BB345" s="60" t="str">
        <x:v>https://maps.google.com/?cid=15639750822785998472&amp;g_mp=Cidnb29nbGUubWFwcy5wbGFjZXMudjEuUGxhY2VzLlNlYXJjaFRleHQQAhgEIAA | https://mooberryplumbingllc.com</x:v>
      </x:c>
      <x:c r="BC345" s="60" t="str"/>
    </x:row>
    <x:row r="346" ht="18" customHeight="1">
      <x:c r="A346" s="70" t="str">
        <x:v>345</x:v>
      </x:c>
      <x:c r="B346" s="70" t="str">
        <x:v>C - Verify</x:v>
      </x:c>
      <x:c r="C346" s="72" t="str">
        <x:v>54</x:v>
      </x:c>
      <x:c r="D346" s="60" t="str">
        <x:v>LawnStarter</x:v>
      </x:c>
      <x:c r="E346" s="60" t="str">
        <x:v>https://lawnstarter.com</x:v>
      </x:c>
      <x:c r="F346" s="60" t="str">
        <x:v>https://www.lawnstarter.com/</x:v>
      </x:c>
      <x:c r="G346" s="60" t="str">
        <x:v>Greenville</x:v>
      </x:c>
      <x:c r="H346" s="60" t="str">
        <x:v>South Carolina</x:v>
      </x:c>
      <x:c r="I346" s="60" t="str">
        <x:v>Landscaping &amp; Tree</x:v>
      </x:c>
      <x:c r="J346" s="60" t="str">
        <x:v>Josh</x:v>
      </x:c>
      <x:c r="K346" s="60" t="str">
        <x:v>Keravuori</x:v>
      </x:c>
      <x:c r="L346" s="60" t="str">
        <x:v>Landscape Business Owner</x:v>
      </x:c>
      <x:c r="M346" s="60" t="str"/>
      <x:c r="N346" s="60" t="str"/>
      <x:c r="O346" s="60" t="str"/>
      <x:c r="P346" s="60" t="str">
        <x:v>https://www.linkedin.com/in/josh-keravuori-03375230b</x:v>
      </x:c>
      <x:c r="Q346" s="60" t="str">
        <x:v>201-500</x:v>
      </x:c>
      <x:c r="R346" s="60" t="str">
        <x:v>25000000-49999999</x:v>
      </x:c>
      <x:c r="S346" s="60" t="str"/>
      <x:c r="T346" s="74" t="str">
        <x:v>0</x:v>
      </x:c>
      <x:c r="U346" s="60" t="str"/>
      <x:c r="V346" s="74" t="str">
        <x:v>27</x:v>
      </x:c>
      <x:c r="W346" s="74" t="str">
        <x:v>13</x:v>
      </x:c>
      <x:c r="X346" s="74" t="str">
        <x:v>12</x:v>
      </x:c>
      <x:c r="Y346" s="74" t="str">
        <x:v>0</x:v>
      </x:c>
      <x:c r="Z346" s="74" t="str">
        <x:v>2</x:v>
      </x:c>
      <x:c r="AA346" s="74" t="str">
        <x:v>0</x:v>
      </x:c>
      <x:c r="AB346" s="74" t="str">
        <x:v>1</x:v>
      </x:c>
      <x:c r="AC346" s="74" t="str">
        <x:v>1</x:v>
      </x:c>
      <x:c r="AD346" s="74" t="str">
        <x:v>0</x:v>
      </x:c>
      <x:c r="AE346" s="74" t="str">
        <x:v>0</x:v>
      </x:c>
      <x:c r="AF346" s="74" t="str"/>
      <x:c r="AG346" s="74" t="str">
        <x:v>0</x:v>
      </x:c>
      <x:c r="AH346" s="74" t="str">
        <x:v>0</x:v>
      </x:c>
      <x:c r="AI346" s="74" t="str">
        <x:v>0</x:v>
      </x:c>
      <x:c r="AJ346" s="74" t="str">
        <x:v>0</x:v>
      </x:c>
      <x:c r="AK346" s="74" t="str">
        <x:v>0</x:v>
      </x:c>
      <x:c r="AL346" s="74" t="str">
        <x:v>1</x:v>
      </x:c>
      <x:c r="AM346" s="74" t="str">
        <x:v>1</x:v>
      </x:c>
      <x:c r="AN346" s="74" t="str">
        <x:v>0</x:v>
      </x:c>
      <x:c r="AO346" s="60" t="str">
        <x:v>2026</x:v>
      </x:c>
      <x:c r="AP346" s="76" t="str">
        <x:v>Google Ads tag detected; no embedded homepage video found</x:v>
      </x:c>
      <x:c r="AQ346" s="76" t="str">
        <x:v>Google Ads tag; no embedded homepage video detected</x:v>
      </x:c>
      <x:c r="AR346" s="76" t="str">
        <x:v>I noticed LawnStarter's site has a Google Ads tag installed, but I couldn't find an embedded video on the homepage.</x:v>
      </x:c>
      <x:c r="AS346" s="76" t="str">
        <x:v>property transformation ad</x:v>
      </x:c>
      <x:c r="AT346" s="76" t="str">
        <x:v>LawnStarter ad concept</x:v>
      </x:c>
      <x:c r="AU346" s="76" t="str">
        <x:v>Hi Josh — I noticed LawnStarter's site has a Google Ads tag installed, but I couldn't find an embedded video on the homepage. I mapped a private 15-second property transformation ad for LawnStarter using only public brand context—not for publishing, just to show the angle. We build three client-approved video ad concepts in seven days, then turn the winners into fresh variations. No filming day required. Worth sending the private sample?</x:v>
      </x:c>
      <x:c r="AV346" s="76" t="str">
        <x:v>Quick follow-up: the sample angle is a property transformation ad. If it misses the mark, no problem—I won't keep chasing. Should I send it?</x:v>
      </x:c>
      <x:c r="AW346" s="76" t="str">
        <x:v>Hi Josh, Ryan here. I was looking at LawnStarter's public marketing and noticed: google ads tag detected; no embedded homepage video found. I mapped one private property transformation ad as an example. Did I catch you with 30 seconds?</x:v>
      </x:c>
      <x:c r="AX346" s="60" t="str">
        <x:v>https://www.facebook.com/ads/library/?active_status=active&amp;ad_type=all&amp;country=US&amp;q=LawnStarter&amp;search_type=keyword_unordered</x:v>
      </x:c>
      <x:c r="AY346" s="60" t="str">
        <x:v>ok:200</x:v>
      </x:c>
      <x:c r="AZ346" s="60" t="n">
        <x:v>46232.722858796296</x:v>
      </x:c>
      <x:c r="BA346" s="60" t="str">
        <x:v>AI Ark SC trades export</x:v>
      </x:c>
      <x:c r="BB346" s="60" t="str">
        <x:v>https://lawnstarter.com | https://www.linkedin.com/company/lawnstarter</x:v>
      </x:c>
      <x:c r="BC346" s="60" t="str"/>
    </x:row>
    <x:row r="347" ht="18" customHeight="1">
      <x:c r="A347" s="70" t="str">
        <x:v>346</x:v>
      </x:c>
      <x:c r="B347" s="70" t="str">
        <x:v>C - Verify</x:v>
      </x:c>
      <x:c r="C347" s="72" t="str">
        <x:v>54</x:v>
      </x:c>
      <x:c r="D347" s="60" t="str">
        <x:v>Family Fence Co.</x:v>
      </x:c>
      <x:c r="E347" s="60" t="str">
        <x:v>https://familyfenceny.com</x:v>
      </x:c>
      <x:c r="F347" s="60" t="str">
        <x:v>https://familyfenceny.com</x:v>
      </x:c>
      <x:c r="G347" s="60" t="str">
        <x:v>Walhalla</x:v>
      </x:c>
      <x:c r="H347" s="60" t="str">
        <x:v>South Carolina</x:v>
      </x:c>
      <x:c r="I347" s="60" t="str">
        <x:v>Fence &amp; Deck</x:v>
      </x:c>
      <x:c r="J347" s="60" t="str">
        <x:v>Cindy</x:v>
      </x:c>
      <x:c r="K347" s="60" t="str">
        <x:v>Reitano</x:v>
      </x:c>
      <x:c r="L347" s="60" t="str">
        <x:v>Business Owner</x:v>
      </x:c>
      <x:c r="M347" s="60" t="str"/>
      <x:c r="N347" s="60" t="str"/>
      <x:c r="O347" s="60" t="str">
        <x:v>+1 516 221 3294</x:v>
      </x:c>
      <x:c r="P347" s="60" t="str">
        <x:v>https://www.linkedin.com/in/cindy-reitano-67186a123</x:v>
      </x:c>
      <x:c r="Q347" s="60" t="str">
        <x:v>2-10</x:v>
      </x:c>
      <x:c r="R347" s="60" t="str">
        <x:v>500000-999999</x:v>
      </x:c>
      <x:c r="S347" s="60" t="str"/>
      <x:c r="T347" s="74" t="str">
        <x:v>0</x:v>
      </x:c>
      <x:c r="U347" s="60" t="str"/>
      <x:c r="V347" s="74" t="str">
        <x:v>23</x:v>
      </x:c>
      <x:c r="W347" s="74" t="str">
        <x:v>11</x:v>
      </x:c>
      <x:c r="X347" s="74" t="str">
        <x:v>0</x:v>
      </x:c>
      <x:c r="Y347" s="74" t="str">
        <x:v>15</x:v>
      </x:c>
      <x:c r="Z347" s="74" t="str">
        <x:v>5</x:v>
      </x:c>
      <x:c r="AA347" s="74" t="str">
        <x:v>0</x:v>
      </x:c>
      <x:c r="AB347" s="74" t="str">
        <x:v>0</x:v>
      </x:c>
      <x:c r="AC347" s="74" t="str">
        <x:v>1</x:v>
      </x:c>
      <x:c r="AD347" s="74" t="str">
        <x:v>0</x:v>
      </x:c>
      <x:c r="AE347" s="74" t="str">
        <x:v>1</x:v>
      </x:c>
      <x:c r="AF347" s="74" t="str"/>
      <x:c r="AG347" s="74" t="str">
        <x:v>1</x:v>
      </x:c>
      <x:c r="AH347" s="74" t="str">
        <x:v>1</x:v>
      </x:c>
      <x:c r="AI347" s="74" t="str">
        <x:v>1</x:v>
      </x:c>
      <x:c r="AJ347" s="74" t="str">
        <x:v>1</x:v>
      </x:c>
      <x:c r="AK347" s="74" t="str">
        <x:v>1</x:v>
      </x:c>
      <x:c r="AL347" s="74" t="str">
        <x:v>1</x:v>
      </x:c>
      <x:c r="AM347" s="74" t="str">
        <x:v>1</x:v>
      </x:c>
      <x:c r="AN347" s="74" t="str">
        <x:v>1</x:v>
      </x:c>
      <x:c r="AO347" s="60" t="str">
        <x:v>2026</x:v>
      </x:c>
      <x:c r="AP347" s="76" t="str">
        <x:v>Paid-demand technology detected; creative refresh hypothesis</x:v>
      </x:c>
      <x:c r="AQ347" s="76" t="str">
        <x:v>call tracking; project/gallery proof; testimonials; financing; visible service offer</x:v>
      </x:c>
      <x:c r="AR347" s="76" t="str">
        <x:v>I was reviewing fence &amp; deck companies in Walhalla, South Carolina and Family Fence Co. looked like a strong fit for a creative test.</x:v>
      </x:c>
      <x:c r="AS347" s="76" t="str">
        <x:v>yard privacy transformation ad</x:v>
      </x:c>
      <x:c r="AT347" s="76" t="str">
        <x:v>Family Fence Co. ad concept</x:v>
      </x:c>
      <x:c r="AU347" s="76" t="str">
        <x:v>Hi Cindy — I was reviewing fence &amp; deck companies in Walhalla, South Carolina and Family Fence Co. looked like a strong fit for a creative test. I mapped a private 15-second yard privacy transformation ad for Family Fence Co. using only public brand context—not for publishing, just to show the angle. We build three client-approved video ad concepts in seven days, then turn the winners into fresh variations. No filming day required. Worth sending the private sample?</x:v>
      </x:c>
      <x:c r="AV347" s="76" t="str">
        <x:v>Quick follow-up: the sample angle is a yard privacy transformation ad. If it misses the mark, no problem—I won't keep chasing. Should I send it?</x:v>
      </x:c>
      <x:c r="AW347" s="76" t="str">
        <x:v>Hi Cindy, Ryan here. I was looking at Family Fence Co.'s public marketing and noticed: paid-demand technology detected; creative refresh hypothesis. I mapped one private yard privacy transformation ad as an example. Did I catch you with 30 seconds?</x:v>
      </x:c>
      <x:c r="AX347" s="60" t="str">
        <x:v>https://www.facebook.com/ads/library/?active_status=active&amp;ad_type=all&amp;country=US&amp;q=Family%20Fence%20Co.&amp;search_type=keyword_unordered</x:v>
      </x:c>
      <x:c r="AY347" s="60" t="str">
        <x:v>ok:200</x:v>
      </x:c>
      <x:c r="AZ347" s="60" t="n">
        <x:v>46232.722858796296</x:v>
      </x:c>
      <x:c r="BA347" s="60" t="str">
        <x:v>AI Ark SC trades export</x:v>
      </x:c>
      <x:c r="BB347" s="60" t="str">
        <x:v>https://familyfenceny.com | https://www.linkedin.com/company/family-fence-co-</x:v>
      </x:c>
      <x:c r="BC347" s="60" t="str"/>
    </x:row>
    <x:row r="348" ht="18" customHeight="1">
      <x:c r="A348" s="70" t="str">
        <x:v>347</x:v>
      </x:c>
      <x:c r="B348" s="70" t="str">
        <x:v>C - Verify</x:v>
      </x:c>
      <x:c r="C348" s="72" t="str">
        <x:v>54</x:v>
      </x:c>
      <x:c r="D348" s="60" t="str">
        <x:v>Palmetto Heating &amp; Air of the Lowcountry</x:v>
      </x:c>
      <x:c r="E348" s="60" t="str">
        <x:v>https://palmettoheatingandair.com</x:v>
      </x:c>
      <x:c r="F348" s="60" t="str">
        <x:v>https://howellchase.com/</x:v>
      </x:c>
      <x:c r="G348" s="60" t="str">
        <x:v>Hilton Head</x:v>
      </x:c>
      <x:c r="H348" s="60" t="str">
        <x:v>South Carolina</x:v>
      </x:c>
      <x:c r="I348" s="60" t="str">
        <x:v>HVAC</x:v>
      </x:c>
      <x:c r="J348" s="60" t="str">
        <x:v>Palmetto Heating &amp; Air of the Lowcountry</x:v>
      </x:c>
      <x:c r="K348" s="60" t="str"/>
      <x:c r="L348" s="60" t="str">
        <x:v>Owner / decision maker to verify</x:v>
      </x:c>
      <x:c r="M348" s="60" t="str"/>
      <x:c r="N348" s="60" t="str"/>
      <x:c r="O348" s="60" t="str">
        <x:v>(843) 258-9902</x:v>
      </x:c>
      <x:c r="P348" s="60" t="str"/>
      <x:c r="Q348" s="60" t="str"/>
      <x:c r="R348" s="60" t="str"/>
      <x:c r="S348" s="60" t="str">
        <x:v>4.6</x:v>
      </x:c>
      <x:c r="T348" s="74" t="str">
        <x:v>17</x:v>
      </x:c>
      <x:c r="U348" s="60" t="str"/>
      <x:c r="V348" s="74" t="str">
        <x:v>24</x:v>
      </x:c>
      <x:c r="W348" s="74" t="str">
        <x:v>11</x:v>
      </x:c>
      <x:c r="X348" s="74" t="str">
        <x:v>4</x:v>
      </x:c>
      <x:c r="Y348" s="74" t="str">
        <x:v>10</x:v>
      </x:c>
      <x:c r="Z348" s="74" t="str">
        <x:v>5</x:v>
      </x:c>
      <x:c r="AA348" s="74" t="str">
        <x:v>0</x:v>
      </x:c>
      <x:c r="AB348" s="74" t="str">
        <x:v>0</x:v>
      </x:c>
      <x:c r="AC348" s="74" t="str">
        <x:v>1</x:v>
      </x:c>
      <x:c r="AD348" s="74" t="str">
        <x:v>0</x:v>
      </x:c>
      <x:c r="AE348" s="74" t="str">
        <x:v>1</x:v>
      </x:c>
      <x:c r="AF348" s="74" t="str"/>
      <x:c r="AG348" s="74" t="str">
        <x:v>1</x:v>
      </x:c>
      <x:c r="AH348" s="74" t="str">
        <x:v>0</x:v>
      </x:c>
      <x:c r="AI348" s="74" t="str">
        <x:v>1</x:v>
      </x:c>
      <x:c r="AJ348" s="74" t="str">
        <x:v>1</x:v>
      </x:c>
      <x:c r="AK348" s="74" t="str">
        <x:v>1</x:v>
      </x:c>
      <x:c r="AL348" s="74" t="str">
        <x:v>0</x:v>
      </x:c>
      <x:c r="AM348" s="74" t="str">
        <x:v>0</x:v>
      </x:c>
      <x:c r="AN348" s="74" t="str">
        <x:v>0</x:v>
      </x:c>
      <x:c r="AO348" s="60" t="str">
        <x:v>2026</x:v>
      </x:c>
      <x:c r="AP348" s="76" t="str">
        <x:v>Paid-demand technology detected; creative refresh hypothesis</x:v>
      </x:c>
      <x:c r="AQ348" s="76" t="str">
        <x:v>call tracking; testimonials; financing; visible service offer</x:v>
      </x:c>
      <x:c r="AR348" s="76" t="str">
        <x:v>I was reviewing hvac companies in Hilton Head, South Carolina and Palmetto Heating &amp; Air of the Lowcountry looked like a strong fit for a creative test.</x:v>
      </x:c>
      <x:c r="AS348" s="76" t="str">
        <x:v>no-cool-call to same-day comfort ad</x:v>
      </x:c>
      <x:c r="AT348" s="76" t="str">
        <x:v>Palmetto Heating &amp; Air of the Lowcountry ad concept</x:v>
      </x:c>
      <x:c r="AU348" s="76" t="str">
        <x:v>Hi Palmetto Heating &amp; Air of the Lowcountry — I was reviewing hvac companies in Hilton Head, South Carolina and Palmetto Heating &amp; Air of the Lowcountry looked like a strong fit for a creative test. I mapped a private 15-second no-cool-call to same-day comfort ad for Palmetto Heating &amp; Air of the Lowcountry using only public brand context—not for publishing, just to show the angle. We build three client-approved video ad concepts in seven days, then turn the winners into fresh variations. No filming day required. Worth sending the private sample?</x:v>
      </x:c>
      <x:c r="AV348" s="76" t="str">
        <x:v>Quick follow-up: the sample angle is a no-cool-call to same-day comfort ad. If it misses the mark, no problem—I won't keep chasing. Should I send it?</x:v>
      </x:c>
      <x:c r="AW348" s="76" t="str">
        <x:v>Hi Palmetto Heating &amp; Air of the Lowcountry, Ryan here. I was looking at Palmetto Heating &amp; Air of the Lowcountry's public marketing and noticed: paid-demand technology detected; creative refresh hypothesis. I mapped one private no-cool-call to same-day comfort ad as an example. Did I catch you with 30 seconds?</x:v>
      </x:c>
      <x:c r="AX348" s="60" t="str">
        <x:v>https://www.facebook.com/ads/library/?active_status=active&amp;ad_type=all&amp;country=US&amp;q=Palmetto%20Heating%20%26%20Air%20of%20the%20Lowcountry&amp;search_type=keyword_unordered</x:v>
      </x:c>
      <x:c r="AY348" s="60" t="str">
        <x:v>ok:200</x:v>
      </x:c>
      <x:c r="AZ348" s="60" t="n">
        <x:v>46232.722858796296</x:v>
      </x:c>
      <x:c r="BA348" s="60" t="str">
        <x:v>Google Maps home-services export</x:v>
      </x:c>
      <x:c r="BB348" s="60" t="str">
        <x:v>https://maps.google.com/?cid=12546533065463050474&amp;g_mp=Cidnb29nbGUubWFwcy5wbGFjZXMudjEuUGxhY2VzLlNlYXJjaFRleHQQAhgEIAA | https://maps.google.com/?cid=6439075082801909596&amp;g_mp=Cidnb29nbGUubWFwcy5wbGFjZXMudjEuUGxhY2VzLlNlYXJjaFRleHQQAhgEIAA | https://palmettoheatingandair.com</x:v>
      </x:c>
      <x:c r="BC348" s="60" t="str"/>
    </x:row>
    <x:row r="349" ht="18" customHeight="1">
      <x:c r="A349" s="70" t="str">
        <x:v>348</x:v>
      </x:c>
      <x:c r="B349" s="70" t="str">
        <x:v>C - Verify</x:v>
      </x:c>
      <x:c r="C349" s="72" t="str">
        <x:v>54</x:v>
      </x:c>
      <x:c r="D349" s="60" t="str">
        <x:v>Powerful Electrical LLC</x:v>
      </x:c>
      <x:c r="E349" s="60" t="str">
        <x:v>https://powerfulelectricalllc.com</x:v>
      </x:c>
      <x:c r="F349" s="60" t="str">
        <x:v>https://powerfulelectricalllc.com</x:v>
      </x:c>
      <x:c r="G349" s="60" t="str">
        <x:v>Charleston</x:v>
      </x:c>
      <x:c r="H349" s="60" t="str">
        <x:v>South Carolina</x:v>
      </x:c>
      <x:c r="I349" s="60" t="str">
        <x:v>Electrical</x:v>
      </x:c>
      <x:c r="J349" s="60" t="str">
        <x:v>Powerful Electrical LLC</x:v>
      </x:c>
      <x:c r="K349" s="60" t="str"/>
      <x:c r="L349" s="60" t="str">
        <x:v>Owner / decision maker to verify</x:v>
      </x:c>
      <x:c r="M349" s="60" t="str"/>
      <x:c r="N349" s="60" t="str"/>
      <x:c r="O349" s="60" t="str">
        <x:v>(843) 300-9675</x:v>
      </x:c>
      <x:c r="P349" s="60" t="str"/>
      <x:c r="Q349" s="60" t="str"/>
      <x:c r="R349" s="60" t="str"/>
      <x:c r="S349" s="60" t="str">
        <x:v>4.9</x:v>
      </x:c>
      <x:c r="T349" s="74" t="str">
        <x:v>58</x:v>
      </x:c>
      <x:c r="U349" s="60" t="str"/>
      <x:c r="V349" s="74" t="str">
        <x:v>21</x:v>
      </x:c>
      <x:c r="W349" s="74" t="str">
        <x:v>6</x:v>
      </x:c>
      <x:c r="X349" s="74" t="str">
        <x:v>9</x:v>
      </x:c>
      <x:c r="Y349" s="74" t="str">
        <x:v>13</x:v>
      </x:c>
      <x:c r="Z349" s="74" t="str">
        <x:v>5</x:v>
      </x:c>
      <x:c r="AA349" s="74" t="str">
        <x:v>0</x:v>
      </x:c>
      <x:c r="AB349" s="74" t="str">
        <x:v>0</x:v>
      </x:c>
      <x:c r="AC349" s="74" t="str">
        <x:v>1</x:v>
      </x:c>
      <x:c r="AD349" s="74" t="str">
        <x:v>0</x:v>
      </x:c>
      <x:c r="AE349" s="74" t="str">
        <x:v>0</x:v>
      </x:c>
      <x:c r="AF349" s="74" t="str">
        <x:v>housecallpro</x:v>
      </x:c>
      <x:c r="AG349" s="74" t="str">
        <x:v>0</x:v>
      </x:c>
      <x:c r="AH349" s="74" t="str">
        <x:v>1</x:v>
      </x:c>
      <x:c r="AI349" s="74" t="str">
        <x:v>0</x:v>
      </x:c>
      <x:c r="AJ349" s="74" t="str">
        <x:v>1</x:v>
      </x:c>
      <x:c r="AK349" s="74" t="str">
        <x:v>1</x:v>
      </x:c>
      <x:c r="AL349" s="74" t="str">
        <x:v>1</x:v>
      </x:c>
      <x:c r="AM349" s="74" t="str">
        <x:v>1</x:v>
      </x:c>
      <x:c r="AN349" s="74" t="str">
        <x:v>0</x:v>
      </x:c>
      <x:c r="AO349" s="60" t="str">
        <x:v>2024</x:v>
      </x:c>
      <x:c r="AP349" s="76" t="str">
        <x:v>Project/gallery proof found; no embedded homepage video found</x:v>
      </x:c>
      <x:c r="AQ349" s="76" t="str">
        <x:v>project/gallery proof; financing; visible service offer; no embedded homepage video detected</x:v>
      </x:c>
      <x:c r="AR349" s="76" t="str">
        <x:v>I found project/gallery proof on Powerful Electrical LLC's site that could be repackaged into short-form ad concepts.</x:v>
      </x:c>
      <x:c r="AS349" s="76" t="str">
        <x:v>safety inspection problem/solution ad</x:v>
      </x:c>
      <x:c r="AT349" s="76" t="str">
        <x:v>Powerful Electrical LLC ad concept</x:v>
      </x:c>
      <x:c r="AU349" s="76" t="str">
        <x:v>Hi Powerful Electrical LLC — I found project/gallery proof on Powerful Electrical LLC's site that could be repackaged into short-form ad concepts. I mapped a private 15-second safety inspection problem/solution ad for Powerful Electrical LLC using only public brand context—not for publishing, just to show the angle. We build three client-approved video ad concepts in seven days, then turn the winners into fresh variations. No filming day required. Worth sending the private sample?</x:v>
      </x:c>
      <x:c r="AV349" s="76" t="str">
        <x:v>Quick follow-up: the sample angle is a safety inspection problem/solution ad. If it misses the mark, no problem—I won't keep chasing. Should I send it?</x:v>
      </x:c>
      <x:c r="AW349" s="76" t="str">
        <x:v>Hi Powerful Electrical LLC, Ryan here. I was looking at Powerful Electrical LLC's public marketing and noticed: project/gallery proof found; no embedded homepage video found. I mapped one private safety inspection problem/solution ad as an example. Did I catch you with 30 seconds?</x:v>
      </x:c>
      <x:c r="AX349" s="60" t="str">
        <x:v>https://www.facebook.com/ads/library/?active_status=active&amp;ad_type=all&amp;country=US&amp;q=Powerful%20Electrical%20LLC&amp;search_type=keyword_unordered</x:v>
      </x:c>
      <x:c r="AY349" s="60" t="str">
        <x:v>ok:200</x:v>
      </x:c>
      <x:c r="AZ349" s="60" t="n">
        <x:v>46232.722858796296</x:v>
      </x:c>
      <x:c r="BA349" s="60" t="str">
        <x:v>Google Maps home-services export</x:v>
      </x:c>
      <x:c r="BB349" s="60" t="str">
        <x:v>https://maps.google.com/?cid=7063253149759965303&amp;g_mp=Cidnb29nbGUubWFwcy5wbGFjZXMudjEuUGxhY2VzLlNlYXJjaFRleHQQAhgEIAA | https://maps.google.com/?cid=751327324301653222&amp;g_mp=Cidnb29nbGUubWFwcy5wbGFjZXMudjEuUGxhY2VzLlNlYXJjaFRleHQQAhgEIAA | https://powerfulelectricalllc.com</x:v>
      </x:c>
      <x:c r="BC349" s="60" t="str"/>
    </x:row>
    <x:row r="350" ht="18" customHeight="1">
      <x:c r="A350" s="70" t="str">
        <x:v>349</x:v>
      </x:c>
      <x:c r="B350" s="70" t="str">
        <x:v>C - Verify</x:v>
      </x:c>
      <x:c r="C350" s="72" t="str">
        <x:v>54</x:v>
      </x:c>
      <x:c r="D350" s="60" t="str">
        <x:v>Call Dad</x:v>
      </x:c>
      <x:c r="E350" s="60" t="str">
        <x:v>https://calldad.com</x:v>
      </x:c>
      <x:c r="F350" s="60" t="str">
        <x:v>https://www.calldad.com/</x:v>
      </x:c>
      <x:c r="G350" s="60" t="str">
        <x:v>Greenville</x:v>
      </x:c>
      <x:c r="H350" s="60" t="str">
        <x:v>South Carolina</x:v>
      </x:c>
      <x:c r="I350" s="60" t="str">
        <x:v>HVAC</x:v>
      </x:c>
      <x:c r="J350" s="60" t="str">
        <x:v>Call Dad</x:v>
      </x:c>
      <x:c r="K350" s="60" t="str"/>
      <x:c r="L350" s="60" t="str">
        <x:v>Owner / decision maker to verify</x:v>
      </x:c>
      <x:c r="M350" s="60" t="str"/>
      <x:c r="N350" s="60" t="str"/>
      <x:c r="O350" s="60" t="str">
        <x:v>(833) 425-9752</x:v>
      </x:c>
      <x:c r="P350" s="60" t="str"/>
      <x:c r="Q350" s="60" t="str"/>
      <x:c r="R350" s="60" t="str"/>
      <x:c r="S350" s="60" t="str">
        <x:v>4.9</x:v>
      </x:c>
      <x:c r="T350" s="74" t="str">
        <x:v>183</x:v>
      </x:c>
      <x:c r="U350" s="60" t="str"/>
      <x:c r="V350" s="74" t="str">
        <x:v>28</x:v>
      </x:c>
      <x:c r="W350" s="74" t="str">
        <x:v>6</x:v>
      </x:c>
      <x:c r="X350" s="74" t="str">
        <x:v>6</x:v>
      </x:c>
      <x:c r="Y350" s="74" t="str">
        <x:v>9</x:v>
      </x:c>
      <x:c r="Z350" s="74" t="str">
        <x:v>5</x:v>
      </x:c>
      <x:c r="AA350" s="74" t="str">
        <x:v>0</x:v>
      </x:c>
      <x:c r="AB350" s="74" t="str">
        <x:v>0</x:v>
      </x:c>
      <x:c r="AC350" s="74" t="str">
        <x:v>1</x:v>
      </x:c>
      <x:c r="AD350" s="74" t="str">
        <x:v>0</x:v>
      </x:c>
      <x:c r="AE350" s="74" t="str">
        <x:v>0</x:v>
      </x:c>
      <x:c r="AF350" s="74" t="str">
        <x:v>servicetitan</x:v>
      </x:c>
      <x:c r="AG350" s="74" t="str">
        <x:v>0</x:v>
      </x:c>
      <x:c r="AH350" s="74" t="str">
        <x:v>0</x:v>
      </x:c>
      <x:c r="AI350" s="74" t="str">
        <x:v>0</x:v>
      </x:c>
      <x:c r="AJ350" s="74" t="str">
        <x:v>1</x:v>
      </x:c>
      <x:c r="AK350" s="74" t="str">
        <x:v>1</x:v>
      </x:c>
      <x:c r="AL350" s="74" t="str">
        <x:v>1</x:v>
      </x:c>
      <x:c r="AM350" s="74" t="str">
        <x:v>1</x:v>
      </x:c>
      <x:c r="AN350" s="74" t="str">
        <x:v>1</x:v>
      </x:c>
      <x:c r="AO350" s="60" t="str">
        <x:v>2026</x:v>
      </x:c>
      <x:c r="AP350" s="76" t="str">
        <x:v>183 Google reviews; no embedded homepage video found</x:v>
      </x:c>
      <x:c r="AQ350" s="76" t="str">
        <x:v>financing; visible service offer; no embedded homepage video detected</x:v>
      </x:c>
      <x:c r="AR350" s="76" t="str">
        <x:v>Call Dad has 183 Google reviews—strong proof that could be turned into short-form ad concepts.</x:v>
      </x:c>
      <x:c r="AS350" s="76" t="str">
        <x:v>no-cool-call to same-day comfort ad</x:v>
      </x:c>
      <x:c r="AT350" s="76" t="str">
        <x:v>Call Dad ad concept</x:v>
      </x:c>
      <x:c r="AU350" s="76" t="str">
        <x:v>Hi Call Dad — Call Dad has 183 Google reviews—strong proof that could be turned into short-form ad concepts. I mapped a private 15-second no-cool-call to same-day comfort ad for Call Dad using only public brand context—not for publishing, just to show the angle. We build three client-approved video ad concepts in seven days, then turn the winners into fresh variations. No filming day required. Worth sending the private sample?</x:v>
      </x:c>
      <x:c r="AV350" s="76" t="str">
        <x:v>Quick follow-up: the sample angle is a no-cool-call to same-day comfort ad. If it misses the mark, no problem—I won't keep chasing. Should I send it?</x:v>
      </x:c>
      <x:c r="AW350" s="76" t="str">
        <x:v>Hi Call Dad, Ryan here. I was looking at Call Dad's public marketing and noticed: 183 google reviews; no embedded homepage video found. I mapped one private no-cool-call to same-day comfort ad as an example. Did I catch you with 30 seconds?</x:v>
      </x:c>
      <x:c r="AX350" s="60" t="str">
        <x:v>https://www.facebook.com/ads/library/?active_status=active&amp;ad_type=all&amp;country=US&amp;q=Call%20Dad&amp;search_type=keyword_unordered</x:v>
      </x:c>
      <x:c r="AY350" s="60" t="str">
        <x:v>ok:200</x:v>
      </x:c>
      <x:c r="AZ350" s="60" t="n">
        <x:v>46232.722858796296</x:v>
      </x:c>
      <x:c r="BA350" s="60" t="str">
        <x:v>Google Maps home-services export</x:v>
      </x:c>
      <x:c r="BB350" s="60" t="str">
        <x:v>https://calldad.com | https://maps.google.com/?cid=9159813324949981660&amp;g_mp=Cidnb29nbGUubWFwcy5wbGFjZXMudjEuUGxhY2VzLlNlYXJjaFRleHQQAhgEIAA</x:v>
      </x:c>
      <x:c r="BC350" s="60" t="str"/>
    </x:row>
    <x:row r="351" ht="18" customHeight="1">
      <x:c r="A351" s="70" t="str">
        <x:v>350</x:v>
      </x:c>
      <x:c r="B351" s="70" t="str">
        <x:v>C - Verify</x:v>
      </x:c>
      <x:c r="C351" s="72" t="str">
        <x:v>54</x:v>
      </x:c>
      <x:c r="D351" s="60" t="str">
        <x:v>Southern Roofing</x:v>
      </x:c>
      <x:c r="E351" s="60" t="str">
        <x:v>https://srroof.com</x:v>
      </x:c>
      <x:c r="F351" s="60" t="str">
        <x:v>https://srroof.com</x:v>
      </x:c>
      <x:c r="G351" s="60" t="str">
        <x:v>Charleston</x:v>
      </x:c>
      <x:c r="H351" s="60" t="str">
        <x:v>South Carolina</x:v>
      </x:c>
      <x:c r="I351" s="60" t="str">
        <x:v>Roofing</x:v>
      </x:c>
      <x:c r="J351" s="60" t="str">
        <x:v>Southern Roofing</x:v>
      </x:c>
      <x:c r="K351" s="60" t="str"/>
      <x:c r="L351" s="60" t="str">
        <x:v>Owner / decision maker to verify</x:v>
      </x:c>
      <x:c r="M351" s="60" t="str"/>
      <x:c r="N351" s="60" t="str"/>
      <x:c r="O351" s="60" t="str">
        <x:v>(704) 451-8909</x:v>
      </x:c>
      <x:c r="P351" s="60" t="str"/>
      <x:c r="Q351" s="60" t="str"/>
      <x:c r="R351" s="60" t="str"/>
      <x:c r="S351" s="60" t="str">
        <x:v>5</x:v>
      </x:c>
      <x:c r="T351" s="74" t="str">
        <x:v>29</x:v>
      </x:c>
      <x:c r="U351" s="60" t="str"/>
      <x:c r="V351" s="74" t="str">
        <x:v>25</x:v>
      </x:c>
      <x:c r="W351" s="74" t="str">
        <x:v>3</x:v>
      </x:c>
      <x:c r="X351" s="74" t="str">
        <x:v>6</x:v>
      </x:c>
      <x:c r="Y351" s="74" t="str">
        <x:v>15</x:v>
      </x:c>
      <x:c r="Z351" s="74" t="str">
        <x:v>5</x:v>
      </x:c>
      <x:c r="AA351" s="74" t="str">
        <x:v>0</x:v>
      </x:c>
      <x:c r="AB351" s="74" t="str">
        <x:v>0</x:v>
      </x:c>
      <x:c r="AC351" s="74" t="str">
        <x:v>1</x:v>
      </x:c>
      <x:c r="AD351" s="74" t="str">
        <x:v>0</x:v>
      </x:c>
      <x:c r="AE351" s="74" t="str">
        <x:v>0</x:v>
      </x:c>
      <x:c r="AF351" s="74" t="str"/>
      <x:c r="AG351" s="74" t="str">
        <x:v>0</x:v>
      </x:c>
      <x:c r="AH351" s="74" t="str">
        <x:v>1</x:v>
      </x:c>
      <x:c r="AI351" s="74" t="str">
        <x:v>1</x:v>
      </x:c>
      <x:c r="AJ351" s="74" t="str">
        <x:v>1</x:v>
      </x:c>
      <x:c r="AK351" s="74" t="str">
        <x:v>1</x:v>
      </x:c>
      <x:c r="AL351" s="74" t="str">
        <x:v>1</x:v>
      </x:c>
      <x:c r="AM351" s="74" t="str">
        <x:v>1</x:v>
      </x:c>
      <x:c r="AN351" s="74" t="str">
        <x:v>0</x:v>
      </x:c>
      <x:c r="AO351" s="60" t="str">
        <x:v>2026</x:v>
      </x:c>
      <x:c r="AP351" s="76" t="str">
        <x:v>Project/gallery proof found; no embedded homepage video found</x:v>
      </x:c>
      <x:c r="AQ351" s="76" t="str">
        <x:v>project/gallery proof; testimonials; financing; visible service offer; no embedded homepage video detected</x:v>
      </x:c>
      <x:c r="AR351" s="76" t="str">
        <x:v>I found project/gallery proof on Southern Roofing's site that could be repackaged into short-form ad concepts.</x:v>
      </x:c>
      <x:c r="AS351" s="76" t="str">
        <x:v>storm-to-inspection before/after ad</x:v>
      </x:c>
      <x:c r="AT351" s="76" t="str">
        <x:v>Southern Roofing ad concept</x:v>
      </x:c>
      <x:c r="AU351" s="76" t="str">
        <x:v>Hi Southern Roofing — I found project/gallery proof on Southern Roofing's site that could be repackaged into short-form ad concepts. I mapped a private 15-second storm-to-inspection before/after ad for Southern Roofing using only public brand context—not for publishing, just to show the angle. We build three client-approved video ad concepts in seven days, then turn the winners into fresh variations. No filming day required. Worth sending the private sample?</x:v>
      </x:c>
      <x:c r="AV351" s="76" t="str">
        <x:v>Quick follow-up: the sample angle is a storm-to-inspection before/after ad. If it misses the mark, no problem—I won't keep chasing. Should I send it?</x:v>
      </x:c>
      <x:c r="AW351" s="76" t="str">
        <x:v>Hi Southern Roofing, Ryan here. I was looking at Southern Roofing's public marketing and noticed: project/gallery proof found; no embedded homepage video found. I mapped one private storm-to-inspection before/after ad as an example. Did I catch you with 30 seconds?</x:v>
      </x:c>
      <x:c r="AX351" s="60" t="str">
        <x:v>https://www.facebook.com/ads/library/?active_status=active&amp;ad_type=all&amp;country=US&amp;q=Southern%20Roofing&amp;search_type=keyword_unordered</x:v>
      </x:c>
      <x:c r="AY351" s="60" t="str">
        <x:v>ok:200</x:v>
      </x:c>
      <x:c r="AZ351" s="60" t="n">
        <x:v>46232.722858796296</x:v>
      </x:c>
      <x:c r="BA351" s="60" t="str">
        <x:v>Google Maps home-services export</x:v>
      </x:c>
      <x:c r="BB351" s="60" t="str">
        <x:v>https://maps.google.com/?cid=1509214021063351130&amp;g_mp=Cidnb29nbGUubWFwcy5wbGFjZXMudjEuUGxhY2VzLlNlYXJjaFRleHQQAhgEIAA | https://srroof.com</x:v>
      </x:c>
      <x:c r="BC351" s="60" t="str"/>
    </x:row>
    <x:row r="352" ht="18" customHeight="1">
      <x:c r="A352" s="70" t="str">
        <x:v>351</x:v>
      </x:c>
      <x:c r="B352" s="70" t="str">
        <x:v>C - Verify</x:v>
      </x:c>
      <x:c r="C352" s="72" t="str">
        <x:v>54</x:v>
      </x:c>
      <x:c r="D352" s="60" t="str">
        <x:v>Live Oak Electrical Services</x:v>
      </x:c>
      <x:c r="E352" s="60" t="str">
        <x:v>https://liveoakelectrical.com</x:v>
      </x:c>
      <x:c r="F352" s="60" t="str">
        <x:v>https://liveoakelectrical.com</x:v>
      </x:c>
      <x:c r="G352" s="60" t="str">
        <x:v>Hilton Head</x:v>
      </x:c>
      <x:c r="H352" s="60" t="str">
        <x:v>South Carolina</x:v>
      </x:c>
      <x:c r="I352" s="60" t="str">
        <x:v>Electrical</x:v>
      </x:c>
      <x:c r="J352" s="60" t="str">
        <x:v>Live Oak Electrical Services</x:v>
      </x:c>
      <x:c r="K352" s="60" t="str"/>
      <x:c r="L352" s="60" t="str">
        <x:v>Owner / decision maker to verify</x:v>
      </x:c>
      <x:c r="M352" s="60" t="str"/>
      <x:c r="N352" s="60" t="str"/>
      <x:c r="O352" s="60" t="str">
        <x:v>(843) 505-1167</x:v>
      </x:c>
      <x:c r="P352" s="60" t="str"/>
      <x:c r="Q352" s="60" t="str"/>
      <x:c r="R352" s="60" t="str"/>
      <x:c r="S352" s="60" t="str">
        <x:v>5</x:v>
      </x:c>
      <x:c r="T352" s="74" t="str">
        <x:v>532</x:v>
      </x:c>
      <x:c r="U352" s="60" t="str"/>
      <x:c r="V352" s="74" t="str">
        <x:v>24</x:v>
      </x:c>
      <x:c r="W352" s="74" t="str">
        <x:v>3</x:v>
      </x:c>
      <x:c r="X352" s="74" t="str">
        <x:v>10</x:v>
      </x:c>
      <x:c r="Y352" s="74" t="str">
        <x:v>12</x:v>
      </x:c>
      <x:c r="Z352" s="74" t="str">
        <x:v>5</x:v>
      </x:c>
      <x:c r="AA352" s="74" t="str">
        <x:v>0</x:v>
      </x:c>
      <x:c r="AB352" s="74" t="str">
        <x:v>0</x:v>
      </x:c>
      <x:c r="AC352" s="74" t="str">
        <x:v>1</x:v>
      </x:c>
      <x:c r="AD352" s="74" t="str">
        <x:v>0</x:v>
      </x:c>
      <x:c r="AE352" s="74" t="str">
        <x:v>0</x:v>
      </x:c>
      <x:c r="AF352" s="74" t="str"/>
      <x:c r="AG352" s="74" t="str">
        <x:v>0</x:v>
      </x:c>
      <x:c r="AH352" s="74" t="str">
        <x:v>1</x:v>
      </x:c>
      <x:c r="AI352" s="74" t="str">
        <x:v>1</x:v>
      </x:c>
      <x:c r="AJ352" s="74" t="str">
        <x:v>0</x:v>
      </x:c>
      <x:c r="AK352" s="74" t="str">
        <x:v>0</x:v>
      </x:c>
      <x:c r="AL352" s="74" t="str">
        <x:v>0</x:v>
      </x:c>
      <x:c r="AM352" s="74" t="str">
        <x:v>1</x:v>
      </x:c>
      <x:c r="AN352" s="74" t="str">
        <x:v>0</x:v>
      </x:c>
      <x:c r="AO352" s="60" t="str">
        <x:v>2026</x:v>
      </x:c>
      <x:c r="AP352" s="76" t="str">
        <x:v>Project/gallery proof found; no embedded homepage video found</x:v>
      </x:c>
      <x:c r="AQ352" s="76" t="str">
        <x:v>project/gallery proof; testimonials; no embedded homepage video detected</x:v>
      </x:c>
      <x:c r="AR352" s="76" t="str">
        <x:v>I found project/gallery proof on Live Oak Electrical Services's site that could be repackaged into short-form ad concepts.</x:v>
      </x:c>
      <x:c r="AS352" s="76" t="str">
        <x:v>safety inspection problem/solution ad</x:v>
      </x:c>
      <x:c r="AT352" s="76" t="str">
        <x:v>Live Oak Electrical Services ad concept</x:v>
      </x:c>
      <x:c r="AU352" s="76" t="str">
        <x:v>Hi Live Oak Electrical Services — I found project/gallery proof on Live Oak Electrical Services's site that could be repackaged into short-form ad concepts. I mapped a private 15-second safety inspection problem/solution ad for Live Oak Electrical Services using only public brand context—not for publishing, just to show the angle. We build three client-approved video ad concepts in seven days, then turn the winners into fresh variations. No filming day required. Worth sending the private sample?</x:v>
      </x:c>
      <x:c r="AV352" s="76" t="str">
        <x:v>Quick follow-up: the sample angle is a safety inspection problem/solution ad. If it misses the mark, no problem—I won't keep chasing. Should I send it?</x:v>
      </x:c>
      <x:c r="AW352" s="76" t="str">
        <x:v>Hi Live Oak Electrical Services, Ryan here. I was looking at Live Oak Electrical Services's public marketing and noticed: project/gallery proof found; no embedded homepage video found. I mapped one private safety inspection problem/solution ad as an example. Did I catch you with 30 seconds?</x:v>
      </x:c>
      <x:c r="AX352" s="60" t="str">
        <x:v>https://www.facebook.com/ads/library/?active_status=active&amp;ad_type=all&amp;country=US&amp;q=Live%20Oak%20Electrical%20Services&amp;search_type=keyword_unordered</x:v>
      </x:c>
      <x:c r="AY352" s="60" t="str">
        <x:v>ok:200</x:v>
      </x:c>
      <x:c r="AZ352" s="60" t="n">
        <x:v>46232.722858796296</x:v>
      </x:c>
      <x:c r="BA352" s="60" t="str">
        <x:v>Google Maps home-services export</x:v>
      </x:c>
      <x:c r="BB352" s="60" t="str">
        <x:v>https://liveoakelectrical.com | https://maps.google.com/?cid=294431462642800793&amp;g_mp=Cidnb29nbGUubWFwcy5wbGFjZXMudjEuUGxhY2VzLlNlYXJjaFRleHQQAhgEIAA</x:v>
      </x:c>
      <x:c r="BC352" s="60" t="str"/>
    </x:row>
    <x:row r="353" ht="18" customHeight="1">
      <x:c r="A353" s="70" t="str">
        <x:v>352</x:v>
      </x:c>
      <x:c r="B353" s="70" t="str">
        <x:v>C - Verify</x:v>
      </x:c>
      <x:c r="C353" s="72" t="str">
        <x:v>54</x:v>
      </x:c>
      <x:c r="D353" s="60" t="str">
        <x:v>CPS Drain &amp; Plumbing</x:v>
      </x:c>
      <x:c r="E353" s="60" t="str">
        <x:v>https://cpsdrain.com</x:v>
      </x:c>
      <x:c r="F353" s="60" t="str">
        <x:v>https://cpsdrain.com</x:v>
      </x:c>
      <x:c r="G353" s="60" t="str">
        <x:v>Columbia</x:v>
      </x:c>
      <x:c r="H353" s="60" t="str">
        <x:v>South Carolina</x:v>
      </x:c>
      <x:c r="I353" s="60" t="str">
        <x:v>Plumbing</x:v>
      </x:c>
      <x:c r="J353" s="60" t="str">
        <x:v>CPS Drain &amp; Plumbing</x:v>
      </x:c>
      <x:c r="K353" s="60" t="str"/>
      <x:c r="L353" s="60" t="str">
        <x:v>Owner / decision maker to verify</x:v>
      </x:c>
      <x:c r="M353" s="60" t="str"/>
      <x:c r="N353" s="60" t="str"/>
      <x:c r="O353" s="60" t="str">
        <x:v>(803) 357-2211</x:v>
      </x:c>
      <x:c r="P353" s="60" t="str"/>
      <x:c r="Q353" s="60" t="str"/>
      <x:c r="R353" s="60" t="str"/>
      <x:c r="S353" s="60" t="str">
        <x:v>5</x:v>
      </x:c>
      <x:c r="T353" s="74" t="str">
        <x:v>393</x:v>
      </x:c>
      <x:c r="U353" s="60" t="str"/>
      <x:c r="V353" s="74" t="str">
        <x:v>25</x:v>
      </x:c>
      <x:c r="W353" s="74" t="str">
        <x:v>3</x:v>
      </x:c>
      <x:c r="X353" s="74" t="str">
        <x:v>10</x:v>
      </x:c>
      <x:c r="Y353" s="74" t="str">
        <x:v>11</x:v>
      </x:c>
      <x:c r="Z353" s="74" t="str">
        <x:v>5</x:v>
      </x:c>
      <x:c r="AA353" s="74" t="str">
        <x:v>0</x:v>
      </x:c>
      <x:c r="AB353" s="74" t="str">
        <x:v>0</x:v>
      </x:c>
      <x:c r="AC353" s="74" t="str">
        <x:v>1</x:v>
      </x:c>
      <x:c r="AD353" s="74" t="str">
        <x:v>0</x:v>
      </x:c>
      <x:c r="AE353" s="74" t="str">
        <x:v>0</x:v>
      </x:c>
      <x:c r="AF353" s="74" t="str"/>
      <x:c r="AG353" s="74" t="str">
        <x:v>0</x:v>
      </x:c>
      <x:c r="AH353" s="74" t="str">
        <x:v>1</x:v>
      </x:c>
      <x:c r="AI353" s="74" t="str">
        <x:v>0</x:v>
      </x:c>
      <x:c r="AJ353" s="74" t="str">
        <x:v>0</x:v>
      </x:c>
      <x:c r="AK353" s="74" t="str">
        <x:v>1</x:v>
      </x:c>
      <x:c r="AL353" s="74" t="str">
        <x:v>0</x:v>
      </x:c>
      <x:c r="AM353" s="74" t="str">
        <x:v>1</x:v>
      </x:c>
      <x:c r="AN353" s="74" t="str">
        <x:v>0</x:v>
      </x:c>
      <x:c r="AO353" s="60" t="str">
        <x:v>0</x:v>
      </x:c>
      <x:c r="AP353" s="76" t="str">
        <x:v>Project/gallery proof found; no embedded homepage video found</x:v>
      </x:c>
      <x:c r="AQ353" s="76" t="str">
        <x:v>project/gallery proof; visible service offer; no embedded homepage video detected</x:v>
      </x:c>
      <x:c r="AR353" s="76" t="str">
        <x:v>I found project/gallery proof on CPS Drain &amp; Plumbing's site that could be repackaged into short-form ad concepts.</x:v>
      </x:c>
      <x:c r="AS353" s="76" t="str">
        <x:v>small symptom to prevented-emergency ad</x:v>
      </x:c>
      <x:c r="AT353" s="76" t="str">
        <x:v>CPS Drain &amp; Plumbing ad concept</x:v>
      </x:c>
      <x:c r="AU353" s="76" t="str">
        <x:v>Hi CPS Drain &amp; Plumbing — I found project/gallery proof on CPS Drain &amp; Plumbing's site that could be repackaged into short-form ad concepts. I mapped a private 15-second small symptom to prevented-emergency ad for CPS Drain &amp; Plumbing using only public brand context—not for publishing, just to show the angle. We build three client-approved video ad concepts in seven days, then turn the winners into fresh variations. No filming day required. Worth sending the private sample?</x:v>
      </x:c>
      <x:c r="AV353" s="76" t="str">
        <x:v>Quick follow-up: the sample angle is a small symptom to prevented-emergency ad. If it misses the mark, no problem—I won't keep chasing. Should I send it?</x:v>
      </x:c>
      <x:c r="AW353" s="76" t="str">
        <x:v>Hi CPS Drain &amp; Plumbing, Ryan here. I was looking at CPS Drain &amp; Plumbing's public marketing and noticed: project/gallery proof found; no embedded homepage video found. I mapped one private small symptom to prevented-emergency ad as an example. Did I catch you with 30 seconds?</x:v>
      </x:c>
      <x:c r="AX353" s="60" t="str">
        <x:v>https://www.facebook.com/ads/library/?active_status=active&amp;ad_type=all&amp;country=US&amp;q=CPS%20Drain%20%26%20Plumbing&amp;search_type=keyword_unordered</x:v>
      </x:c>
      <x:c r="AY353" s="60" t="str">
        <x:v>ok:200</x:v>
      </x:c>
      <x:c r="AZ353" s="60" t="n">
        <x:v>46232.722858796296</x:v>
      </x:c>
      <x:c r="BA353" s="60" t="str">
        <x:v>Google Maps home-services export</x:v>
      </x:c>
      <x:c r="BB353" s="60" t="str">
        <x:v>https://cpsdrain.com | https://maps.google.com/?cid=16387976916622606179&amp;g_mp=Cidnb29nbGUubWFwcy5wbGFjZXMudjEuUGxhY2VzLlNlYXJjaFRleHQQAhgEIAA</x:v>
      </x:c>
      <x:c r="BC353" s="60" t="str"/>
    </x:row>
    <x:row r="354" ht="18" customHeight="1">
      <x:c r="A354" s="70" t="str">
        <x:v>353</x:v>
      </x:c>
      <x:c r="B354" s="70" t="str">
        <x:v>C - Verify</x:v>
      </x:c>
      <x:c r="C354" s="72" t="str">
        <x:v>54</x:v>
      </x:c>
      <x:c r="D354" s="60" t="str">
        <x:v>Monraga Roofing of South Carolina</x:v>
      </x:c>
      <x:c r="E354" s="60" t="str">
        <x:v>https://monragaroofing.com</x:v>
      </x:c>
      <x:c r="F354" s="60" t="str">
        <x:v>https://monragaroofing.com</x:v>
      </x:c>
      <x:c r="G354" s="60" t="str">
        <x:v>Florence</x:v>
      </x:c>
      <x:c r="H354" s="60" t="str">
        <x:v>South Carolina</x:v>
      </x:c>
      <x:c r="I354" s="60" t="str">
        <x:v>Roofing</x:v>
      </x:c>
      <x:c r="J354" s="60" t="str">
        <x:v>Monraga Roofing of South Carolina</x:v>
      </x:c>
      <x:c r="K354" s="60" t="str"/>
      <x:c r="L354" s="60" t="str">
        <x:v>Owner / decision maker to verify</x:v>
      </x:c>
      <x:c r="M354" s="60" t="str"/>
      <x:c r="N354" s="60" t="str"/>
      <x:c r="O354" s="60" t="str">
        <x:v>(843) 618-4944</x:v>
      </x:c>
      <x:c r="P354" s="60" t="str"/>
      <x:c r="Q354" s="60" t="str"/>
      <x:c r="R354" s="60" t="str"/>
      <x:c r="S354" s="60" t="str">
        <x:v>4.9</x:v>
      </x:c>
      <x:c r="T354" s="74" t="str">
        <x:v>254</x:v>
      </x:c>
      <x:c r="U354" s="60" t="str"/>
      <x:c r="V354" s="74" t="str">
        <x:v>30</x:v>
      </x:c>
      <x:c r="W354" s="74" t="str">
        <x:v>3</x:v>
      </x:c>
      <x:c r="X354" s="74" t="str">
        <x:v>6</x:v>
      </x:c>
      <x:c r="Y354" s="74" t="str">
        <x:v>10</x:v>
      </x:c>
      <x:c r="Z354" s="74" t="str">
        <x:v>5</x:v>
      </x:c>
      <x:c r="AA354" s="74" t="str">
        <x:v>0</x:v>
      </x:c>
      <x:c r="AB354" s="74" t="str">
        <x:v>0</x:v>
      </x:c>
      <x:c r="AC354" s="74" t="str">
        <x:v>1</x:v>
      </x:c>
      <x:c r="AD354" s="74" t="str">
        <x:v>0</x:v>
      </x:c>
      <x:c r="AE354" s="74" t="str">
        <x:v>0</x:v>
      </x:c>
      <x:c r="AF354" s="74" t="str"/>
      <x:c r="AG354" s="74" t="str">
        <x:v>0</x:v>
      </x:c>
      <x:c r="AH354" s="74" t="str">
        <x:v>0</x:v>
      </x:c>
      <x:c r="AI354" s="74" t="str">
        <x:v>1</x:v>
      </x:c>
      <x:c r="AJ354" s="74" t="str">
        <x:v>0</x:v>
      </x:c>
      <x:c r="AK354" s="74" t="str">
        <x:v>1</x:v>
      </x:c>
      <x:c r="AL354" s="74" t="str">
        <x:v>1</x:v>
      </x:c>
      <x:c r="AM354" s="74" t="str">
        <x:v>1</x:v>
      </x:c>
      <x:c r="AN354" s="74" t="str">
        <x:v>1</x:v>
      </x:c>
      <x:c r="AO354" s="60" t="str">
        <x:v>2026</x:v>
      </x:c>
      <x:c r="AP354" s="76" t="str">
        <x:v>254 Google reviews; no embedded homepage video found</x:v>
      </x:c>
      <x:c r="AQ354" s="76" t="str">
        <x:v>testimonials; visible service offer; no embedded homepage video detected</x:v>
      </x:c>
      <x:c r="AR354" s="76" t="str">
        <x:v>Monraga Roofing of South Carolina has 254 Google reviews—strong proof that could be turned into short-form ad concepts.</x:v>
      </x:c>
      <x:c r="AS354" s="76" t="str">
        <x:v>storm-to-inspection before/after ad</x:v>
      </x:c>
      <x:c r="AT354" s="76" t="str">
        <x:v>Monraga Roofing of South Carolina ad concept</x:v>
      </x:c>
      <x:c r="AU354" s="76" t="str">
        <x:v>Hi Monraga Roofing of South Carolina — Monraga Roofing of South Carolina has 254 Google reviews—strong proof that could be turned into short-form ad concepts. I mapped a private 15-second storm-to-inspection before/after ad for Monraga Roofing of South Carolina using only public brand context—not for publishing, just to show the angle. We build three client-approved video ad concepts in seven days, then turn the winners into fresh variations. No filming day required. Worth sending the private sample?</x:v>
      </x:c>
      <x:c r="AV354" s="76" t="str">
        <x:v>Quick follow-up: the sample angle is a storm-to-inspection before/after ad. If it misses the mark, no problem—I won't keep chasing. Should I send it?</x:v>
      </x:c>
      <x:c r="AW354" s="76" t="str">
        <x:v>Hi Monraga Roofing of South Carolina, Ryan here. I was looking at Monraga Roofing of South Carolina's public marketing and noticed: 254 google reviews; no embedded homepage video found. I mapped one private storm-to-inspection before/after ad as an example. Did I catch you with 30 seconds?</x:v>
      </x:c>
      <x:c r="AX354" s="60" t="str">
        <x:v>https://www.facebook.com/ads/library/?active_status=active&amp;ad_type=all&amp;country=US&amp;q=Monraga%20Roofing%20of%20South%20Carolina&amp;search_type=keyword_unordered</x:v>
      </x:c>
      <x:c r="AY354" s="60" t="str">
        <x:v>ok:200</x:v>
      </x:c>
      <x:c r="AZ354" s="60" t="n">
        <x:v>46232.722858796296</x:v>
      </x:c>
      <x:c r="BA354" s="60" t="str">
        <x:v>Google Maps home-services export</x:v>
      </x:c>
      <x:c r="BB354" s="60" t="str">
        <x:v>https://maps.google.com/?cid=15634581962794899489&amp;g_mp=Cidnb29nbGUubWFwcy5wbGFjZXMudjEuUGxhY2VzLlNlYXJjaFRleHQQAhgEIAA | https://monragaroofing.com</x:v>
      </x:c>
      <x:c r="BC354" s="60" t="str"/>
    </x:row>
    <x:row r="355" ht="18" customHeight="1">
      <x:c r="A355" s="70" t="str">
        <x:v>354</x:v>
      </x:c>
      <x:c r="B355" s="70" t="str">
        <x:v>C - Verify</x:v>
      </x:c>
      <x:c r="C355" s="72" t="str">
        <x:v>54</x:v>
      </x:c>
      <x:c r="D355" s="60" t="str">
        <x:v>THE SEALS - Refrigeration Gasket Specialists</x:v>
      </x:c>
      <x:c r="E355" s="60" t="str">
        <x:v>https://callintheseals.com</x:v>
      </x:c>
      <x:c r="F355" s="60" t="str">
        <x:v>https://thesealsgaskets.com/</x:v>
      </x:c>
      <x:c r="G355" s="60" t="str">
        <x:v>Irmo</x:v>
      </x:c>
      <x:c r="H355" s="60" t="str">
        <x:v>South Carolina</x:v>
      </x:c>
      <x:c r="I355" s="60" t="str">
        <x:v>HVAC</x:v>
      </x:c>
      <x:c r="J355" s="60" t="str">
        <x:v>Payden</x:v>
      </x:c>
      <x:c r="K355" s="60" t="str">
        <x:v>Mitchell</x:v>
      </x:c>
      <x:c r="L355" s="60" t="str">
        <x:v>Owner</x:v>
      </x:c>
      <x:c r="M355" s="60" t="str">
        <x:v>payden.mitchell@callintheseals.com</x:v>
      </x:c>
      <x:c r="N355" s="60" t="str">
        <x:v>Verified with BounceBan on 08 Jun 26 12:06</x:v>
      </x:c>
      <x:c r="O355" s="60" t="str"/>
      <x:c r="P355" s="60" t="str">
        <x:v>https://www.linkedin.com/in/payden-mitchell-872234246</x:v>
      </x:c>
      <x:c r="Q355" s="60" t="str">
        <x:v>11-50</x:v>
      </x:c>
      <x:c r="R355" s="60" t="str">
        <x:v>1000000-4999999</x:v>
      </x:c>
      <x:c r="S355" s="60" t="str"/>
      <x:c r="T355" s="74" t="str">
        <x:v>0</x:v>
      </x:c>
      <x:c r="U355" s="60" t="str"/>
      <x:c r="V355" s="74" t="str">
        <x:v>30</x:v>
      </x:c>
      <x:c r="W355" s="74" t="str">
        <x:v>3</x:v>
      </x:c>
      <x:c r="X355" s="74" t="str">
        <x:v>6</x:v>
      </x:c>
      <x:c r="Y355" s="74" t="str">
        <x:v>8</x:v>
      </x:c>
      <x:c r="Z355" s="74" t="str">
        <x:v>7</x:v>
      </x:c>
      <x:c r="AA355" s="74" t="str">
        <x:v>0</x:v>
      </x:c>
      <x:c r="AB355" s="74" t="str">
        <x:v>0</x:v>
      </x:c>
      <x:c r="AC355" s="74" t="str">
        <x:v>1</x:v>
      </x:c>
      <x:c r="AD355" s="74" t="str">
        <x:v>0</x:v>
      </x:c>
      <x:c r="AE355" s="74" t="str">
        <x:v>0</x:v>
      </x:c>
      <x:c r="AF355" s="74" t="str"/>
      <x:c r="AG355" s="74" t="str">
        <x:v>0</x:v>
      </x:c>
      <x:c r="AH355" s="74" t="str">
        <x:v>1</x:v>
      </x:c>
      <x:c r="AI355" s="74" t="str">
        <x:v>0</x:v>
      </x:c>
      <x:c r="AJ355" s="74" t="str">
        <x:v>0</x:v>
      </x:c>
      <x:c r="AK355" s="74" t="str">
        <x:v>1</x:v>
      </x:c>
      <x:c r="AL355" s="74" t="str">
        <x:v>1</x:v>
      </x:c>
      <x:c r="AM355" s="74" t="str">
        <x:v>1</x:v>
      </x:c>
      <x:c r="AN355" s="74" t="str">
        <x:v>1</x:v>
      </x:c>
      <x:c r="AO355" s="60" t="str">
        <x:v>2026</x:v>
      </x:c>
      <x:c r="AP355" s="76" t="str">
        <x:v>Project/gallery proof found; no embedded homepage video found</x:v>
      </x:c>
      <x:c r="AQ355" s="76" t="str">
        <x:v>project/gallery proof; visible service offer; no embedded homepage video detected</x:v>
      </x:c>
      <x:c r="AR355" s="76" t="str">
        <x:v>I found project/gallery proof on THE SEALS - Refrigeration Gasket Specialists's site that could be repackaged into short-form ad concepts.</x:v>
      </x:c>
      <x:c r="AS355" s="76" t="str">
        <x:v>no-cool-call to same-day comfort ad</x:v>
      </x:c>
      <x:c r="AT355" s="76" t="str">
        <x:v>THE SEALS - Refrigeration Gasket Specialists ad concept</x:v>
      </x:c>
      <x:c r="AU355" s="76" t="str">
        <x:v>Hi Payden — I found project/gallery proof on THE SEALS - Refrigeration Gasket Specialists's site that could be repackaged into short-form ad concepts. I mapped a private 15-second no-cool-call to same-day comfort ad for THE SEALS - Refrigeration Gasket Specialists using only public brand context—not for publishing, just to show the angle. We build three client-approved video ad concepts in seven days, then turn the winners into fresh variations. No filming day required. Worth sending the private sample?</x:v>
      </x:c>
      <x:c r="AV355" s="76" t="str">
        <x:v>Quick follow-up: the sample angle is a no-cool-call to same-day comfort ad. If it misses the mark, no problem—I won't keep chasing. Should I send it?</x:v>
      </x:c>
      <x:c r="AW355" s="76" t="str">
        <x:v>Hi Payden, Ryan here. I was looking at THE SEALS - Refrigeration Gasket Specialists's public marketing and noticed: project/gallery proof found; no embedded homepage video found. I mapped one private no-cool-call to same-day comfort ad as an example. Did I catch you with 30 seconds?</x:v>
      </x:c>
      <x:c r="AX355" s="60" t="str">
        <x:v>https://www.facebook.com/ads/library/?active_status=active&amp;ad_type=all&amp;country=US&amp;q=THE%20SEALS%20-%20Refrigeration%20Gasket%20Specialists&amp;search_type=keyword_unordered</x:v>
      </x:c>
      <x:c r="AY355" s="60" t="str">
        <x:v>ok:200</x:v>
      </x:c>
      <x:c r="AZ355" s="60" t="n">
        <x:v>46232.722858796296</x:v>
      </x:c>
      <x:c r="BA355" s="60" t="str">
        <x:v>AI Ark SC trades export</x:v>
      </x:c>
      <x:c r="BB355" s="60" t="str">
        <x:v>https://callintheseals.com | https://www.linkedin.com/company/the-seals</x:v>
      </x:c>
      <x:c r="BC355" s="60" t="str"/>
    </x:row>
    <x:row r="356" ht="18" customHeight="1">
      <x:c r="A356" s="70" t="str">
        <x:v>355</x:v>
      </x:c>
      <x:c r="B356" s="70" t="str">
        <x:v>C - Verify</x:v>
      </x:c>
      <x:c r="C356" s="72" t="str">
        <x:v>54</x:v>
      </x:c>
      <x:c r="D356" s="60" t="str">
        <x:v>Gray’s Heating &amp; Air Conditioning</x:v>
      </x:c>
      <x:c r="E356" s="60" t="str">
        <x:v>https://graysinc.com</x:v>
      </x:c>
      <x:c r="F356" s="60" t="str">
        <x:v>https://graysinc.com</x:v>
      </x:c>
      <x:c r="G356" s="60" t="str">
        <x:v>Hilton Head</x:v>
      </x:c>
      <x:c r="H356" s="60" t="str">
        <x:v>South Carolina</x:v>
      </x:c>
      <x:c r="I356" s="60" t="str">
        <x:v>HVAC</x:v>
      </x:c>
      <x:c r="J356" s="60" t="str">
        <x:v>Gray’s Heating &amp; Air Conditioning</x:v>
      </x:c>
      <x:c r="K356" s="60" t="str"/>
      <x:c r="L356" s="60" t="str">
        <x:v>Owner / decision maker to verify</x:v>
      </x:c>
      <x:c r="M356" s="60" t="str"/>
      <x:c r="N356" s="60" t="str"/>
      <x:c r="O356" s="60" t="str">
        <x:v>(843) 689-3111</x:v>
      </x:c>
      <x:c r="P356" s="60" t="str"/>
      <x:c r="Q356" s="60" t="str"/>
      <x:c r="R356" s="60" t="str"/>
      <x:c r="S356" s="60" t="str">
        <x:v>4.7</x:v>
      </x:c>
      <x:c r="T356" s="74" t="str">
        <x:v>123</x:v>
      </x:c>
      <x:c r="U356" s="60" t="str">
        <x:v>missed_calls, slow_response, communication</x:v>
      </x:c>
      <x:c r="V356" s="74" t="str">
        <x:v>28</x:v>
      </x:c>
      <x:c r="W356" s="74" t="str">
        <x:v>3</x:v>
      </x:c>
      <x:c r="X356" s="74" t="str">
        <x:v>12</x:v>
      </x:c>
      <x:c r="Y356" s="74" t="str">
        <x:v>6</x:v>
      </x:c>
      <x:c r="Z356" s="74" t="str">
        <x:v>5</x:v>
      </x:c>
      <x:c r="AA356" s="74" t="str">
        <x:v>0</x:v>
      </x:c>
      <x:c r="AB356" s="74" t="str">
        <x:v>0</x:v>
      </x:c>
      <x:c r="AC356" s="74" t="str">
        <x:v>1</x:v>
      </x:c>
      <x:c r="AD356" s="74" t="str">
        <x:v>0</x:v>
      </x:c>
      <x:c r="AE356" s="74" t="str">
        <x:v>0</x:v>
      </x:c>
      <x:c r="AF356" s="74" t="str"/>
      <x:c r="AG356" s="74" t="str">
        <x:v>0</x:v>
      </x:c>
      <x:c r="AH356" s="74" t="str">
        <x:v>0</x:v>
      </x:c>
      <x:c r="AI356" s="74" t="str">
        <x:v>0</x:v>
      </x:c>
      <x:c r="AJ356" s="74" t="str">
        <x:v>0</x:v>
      </x:c>
      <x:c r="AK356" s="74" t="str">
        <x:v>1</x:v>
      </x:c>
      <x:c r="AL356" s="74" t="str">
        <x:v>0</x:v>
      </x:c>
      <x:c r="AM356" s="74" t="str">
        <x:v>1</x:v>
      </x:c>
      <x:c r="AN356" s="74" t="str">
        <x:v>0</x:v>
      </x:c>
      <x:c r="AO356" s="60" t="str">
        <x:v>2026</x:v>
      </x:c>
      <x:c r="AP356" s="76" t="str">
        <x:v>123 Google reviews; no embedded homepage video found</x:v>
      </x:c>
      <x:c r="AQ356" s="76" t="str">
        <x:v>visible service offer; no embedded homepage video detected</x:v>
      </x:c>
      <x:c r="AR356" s="76" t="str">
        <x:v>Gray’s Heating &amp; Air Conditioning has 123 Google reviews—strong proof that could be turned into short-form ad concepts.</x:v>
      </x:c>
      <x:c r="AS356" s="76" t="str">
        <x:v>no-cool-call to same-day comfort ad</x:v>
      </x:c>
      <x:c r="AT356" s="76" t="str">
        <x:v>Gray’s Heating &amp; Air Conditioning ad concept</x:v>
      </x:c>
      <x:c r="AU356" s="76" t="str">
        <x:v>Hi Gray’s Heating &amp; Air Conditioning — Gray’s Heating &amp; Air Conditioning has 123 Google reviews—strong proof that could be turned into short-form ad concepts. I mapped a private 15-second no-cool-call to same-day comfort ad for Gray’s Heating &amp; Air Conditioning using only public brand context—not for publishing, just to show the angle. We build three client-approved video ad concepts in seven days, then turn the winners into fresh variations. No filming day required. Worth sending the private sample?</x:v>
      </x:c>
      <x:c r="AV356" s="76" t="str">
        <x:v>Quick follow-up: the sample angle is a no-cool-call to same-day comfort ad. If it misses the mark, no problem—I won't keep chasing. Should I send it?</x:v>
      </x:c>
      <x:c r="AW356" s="76" t="str">
        <x:v>Hi Gray’s Heating &amp; Air Conditioning, Ryan here. I was looking at Gray’s Heating &amp; Air Conditioning's public marketing and noticed: 123 google reviews; no embedded homepage video found. I mapped one private no-cool-call to same-day comfort ad as an example. Did I catch you with 30 seconds?</x:v>
      </x:c>
      <x:c r="AX356" s="60" t="str">
        <x:v>https://www.facebook.com/ads/library/?active_status=active&amp;ad_type=all&amp;country=US&amp;q=Gray%E2%80%99s%20Heating%20%26%20Air%20Conditioning&amp;search_type=keyword_unordered</x:v>
      </x:c>
      <x:c r="AY356" s="60" t="str">
        <x:v>ok:200</x:v>
      </x:c>
      <x:c r="AZ356" s="60" t="n">
        <x:v>46232.722858796296</x:v>
      </x:c>
      <x:c r="BA356" s="60" t="str">
        <x:v>Google Maps home-services export</x:v>
      </x:c>
      <x:c r="BB356" s="60" t="str">
        <x:v>https://graysinc.com | https://maps.google.com/?cid=11691797625404047258&amp;g_mp=Cidnb29nbGUubWFwcy5wbGFjZXMudjEuUGxhY2VzLlNlYXJjaFRleHQQAhgEIAA</x:v>
      </x:c>
      <x:c r="BC356" s="60" t="str"/>
    </x:row>
    <x:row r="357" ht="18" customHeight="1">
      <x:c r="A357" s="70" t="str">
        <x:v>356</x:v>
      </x:c>
      <x:c r="B357" s="70" t="str">
        <x:v>C - Verify</x:v>
      </x:c>
      <x:c r="C357" s="72" t="str">
        <x:v>54</x:v>
      </x:c>
      <x:c r="D357" s="60" t="str">
        <x:v>Industrial Project Innovation</x:v>
      </x:c>
      <x:c r="E357" s="60" t="str">
        <x:v>https://ipi.build</x:v>
      </x:c>
      <x:c r="F357" s="60" t="str">
        <x:v>https://ipi.build</x:v>
      </x:c>
      <x:c r="G357" s="60" t="str">
        <x:v>Greenville</x:v>
      </x:c>
      <x:c r="H357" s="60" t="str">
        <x:v>South Carolina</x:v>
      </x:c>
      <x:c r="I357" s="60" t="str">
        <x:v>General Contractor</x:v>
      </x:c>
      <x:c r="J357" s="60" t="str">
        <x:v>Dennis</x:v>
      </x:c>
      <x:c r="K357" s="60" t="str">
        <x:v>Braasch</x:v>
      </x:c>
      <x:c r="L357" s="60" t="str">
        <x:v>Owner/advisory board chairman</x:v>
      </x:c>
      <x:c r="M357" s="60" t="str">
        <x:v>dennis.braasch@ipi.build</x:v>
      </x:c>
      <x:c r="N357" s="60" t="str">
        <x:v>Verified with BounceBan on 08 Jun 26 12:06</x:v>
      </x:c>
      <x:c r="O357" s="60" t="str">
        <x:v>+1 864 884 7025</x:v>
      </x:c>
      <x:c r="P357" s="60" t="str">
        <x:v>https://www.linkedin.com/in/dennis-braasch-b6a539124</x:v>
      </x:c>
      <x:c r="Q357" s="60" t="str">
        <x:v>51-200</x:v>
      </x:c>
      <x:c r="R357" s="60" t="str">
        <x:v>5000000-9999999</x:v>
      </x:c>
      <x:c r="S357" s="60" t="str"/>
      <x:c r="T357" s="74" t="str">
        <x:v>0</x:v>
      </x:c>
      <x:c r="U357" s="60" t="str"/>
      <x:c r="V357" s="74" t="str">
        <x:v>27</x:v>
      </x:c>
      <x:c r="W357" s="74" t="str">
        <x:v>3</x:v>
      </x:c>
      <x:c r="X357" s="74" t="str">
        <x:v>9</x:v>
      </x:c>
      <x:c r="Y357" s="74" t="str">
        <x:v>5</x:v>
      </x:c>
      <x:c r="Z357" s="74" t="str">
        <x:v>10</x:v>
      </x:c>
      <x:c r="AA357" s="74" t="str">
        <x:v>0</x:v>
      </x:c>
      <x:c r="AB357" s="74" t="str">
        <x:v>0</x:v>
      </x:c>
      <x:c r="AC357" s="74" t="str">
        <x:v>1</x:v>
      </x:c>
      <x:c r="AD357" s="74" t="str">
        <x:v>0</x:v>
      </x:c>
      <x:c r="AE357" s="74" t="str">
        <x:v>0</x:v>
      </x:c>
      <x:c r="AF357" s="74" t="str"/>
      <x:c r="AG357" s="74" t="str">
        <x:v>0</x:v>
      </x:c>
      <x:c r="AH357" s="74" t="str">
        <x:v>1</x:v>
      </x:c>
      <x:c r="AI357" s="74" t="str">
        <x:v>0</x:v>
      </x:c>
      <x:c r="AJ357" s="74" t="str">
        <x:v>0</x:v>
      </x:c>
      <x:c r="AK357" s="74" t="str">
        <x:v>0</x:v>
      </x:c>
      <x:c r="AL357" s="74" t="str">
        <x:v>1</x:v>
      </x:c>
      <x:c r="AM357" s="74" t="str">
        <x:v>0</x:v>
      </x:c>
      <x:c r="AN357" s="74" t="str">
        <x:v>0</x:v>
      </x:c>
      <x:c r="AO357" s="60" t="str">
        <x:v>2023</x:v>
      </x:c>
      <x:c r="AP357" s="76" t="str">
        <x:v>Project/gallery proof found; no embedded homepage video found</x:v>
      </x:c>
      <x:c r="AQ357" s="76" t="str">
        <x:v>project/gallery proof; no embedded homepage video detected</x:v>
      </x:c>
      <x:c r="AR357" s="76" t="str">
        <x:v>I found project/gallery proof on Industrial Project Innovation's site that could be repackaged into short-form ad concepts.</x:v>
      </x:c>
      <x:c r="AS357" s="76" t="str">
        <x:v>project walkthrough with proof milestones</x:v>
      </x:c>
      <x:c r="AT357" s="76" t="str">
        <x:v>Industrial Project Innovation ad concept</x:v>
      </x:c>
      <x:c r="AU357" s="76" t="str">
        <x:v>Hi Dennis — I found project/gallery proof on Industrial Project Innovation's site that could be repackaged into short-form ad concepts. I mapped a private 15-second project walkthrough with proof milestones for Industrial Project Innovation using only public brand context—not for publishing, just to show the angle. We build three client-approved video ad concepts in seven days, then turn the winners into fresh variations. No filming day required. Worth sending the private sample?</x:v>
      </x:c>
      <x:c r="AV357" s="76" t="str">
        <x:v>Quick follow-up: the sample angle is a project walkthrough with proof milestones. If it misses the mark, no problem—I won't keep chasing. Should I send it?</x:v>
      </x:c>
      <x:c r="AW357" s="76" t="str">
        <x:v>Hi Dennis, Ryan here. I was looking at Industrial Project Innovation's public marketing and noticed: project/gallery proof found; no embedded homepage video found. I mapped one private project walkthrough with proof milestones as an example. Did I catch you with 30 seconds?</x:v>
      </x:c>
      <x:c r="AX357" s="60" t="str">
        <x:v>https://www.facebook.com/ads/library/?active_status=active&amp;ad_type=all&amp;country=US&amp;q=Industrial%20Project%20Innovation&amp;search_type=keyword_unordered</x:v>
      </x:c>
      <x:c r="AY357" s="60" t="str">
        <x:v>ok:200</x:v>
      </x:c>
      <x:c r="AZ357" s="60" t="n">
        <x:v>46232.722858796296</x:v>
      </x:c>
      <x:c r="BA357" s="60" t="str">
        <x:v>AI Ark SC trades export</x:v>
      </x:c>
      <x:c r="BB357" s="60" t="str">
        <x:v>https://ipi.build | https://www.linkedin.com/company/industrial-project-innovation-llc</x:v>
      </x:c>
      <x:c r="BC357" s="60" t="str"/>
    </x:row>
    <x:row r="358" ht="18" customHeight="1">
      <x:c r="A358" s="70" t="str">
        <x:v>357</x:v>
      </x:c>
      <x:c r="B358" s="70" t="str">
        <x:v>C - Verify</x:v>
      </x:c>
      <x:c r="C358" s="72" t="str">
        <x:v>54</x:v>
      </x:c>
      <x:c r="D358" s="60" t="str">
        <x:v>Glory Utilities LLC</x:v>
      </x:c>
      <x:c r="E358" s="60" t="str">
        <x:v>https://gloryutilities.com</x:v>
      </x:c>
      <x:c r="F358" s="60" t="str">
        <x:v>https://gloryutilities.com</x:v>
      </x:c>
      <x:c r="G358" s="60" t="str">
        <x:v>Van Wyck</x:v>
      </x:c>
      <x:c r="H358" s="60" t="str">
        <x:v>South Carolina</x:v>
      </x:c>
      <x:c r="I358" s="60" t="str">
        <x:v>Plumbing</x:v>
      </x:c>
      <x:c r="J358" s="60" t="str">
        <x:v>Tyler</x:v>
      </x:c>
      <x:c r="K358" s="60" t="str">
        <x:v>Chilian</x:v>
      </x:c>
      <x:c r="L358" s="60" t="str">
        <x:v>Co-Owner</x:v>
      </x:c>
      <x:c r="M358" s="60" t="str">
        <x:v>tylerchilian@gloryutilities.com</x:v>
      </x:c>
      <x:c r="N358" s="60" t="str">
        <x:v>Verified with BounceBan on 08 Jun 26 12:06</x:v>
      </x:c>
      <x:c r="O358" s="60" t="str">
        <x:v>+1 701 721 0312</x:v>
      </x:c>
      <x:c r="P358" s="60" t="str">
        <x:v>https://www.linkedin.com/in/tyler-chilian-19574396</x:v>
      </x:c>
      <x:c r="Q358" s="60" t="str">
        <x:v>11-50</x:v>
      </x:c>
      <x:c r="R358" s="60" t="str">
        <x:v>100000-499999</x:v>
      </x:c>
      <x:c r="S358" s="60" t="str"/>
      <x:c r="T358" s="74" t="str">
        <x:v>0</x:v>
      </x:c>
      <x:c r="U358" s="60" t="str"/>
      <x:c r="V358" s="74" t="str">
        <x:v>26</x:v>
      </x:c>
      <x:c r="W358" s="74" t="str">
        <x:v>3</x:v>
      </x:c>
      <x:c r="X358" s="74" t="str">
        <x:v>10</x:v>
      </x:c>
      <x:c r="Y358" s="74" t="str">
        <x:v>5</x:v>
      </x:c>
      <x:c r="Z358" s="74" t="str">
        <x:v>10</x:v>
      </x:c>
      <x:c r="AA358" s="74" t="str">
        <x:v>0</x:v>
      </x:c>
      <x:c r="AB358" s="74" t="str">
        <x:v>0</x:v>
      </x:c>
      <x:c r="AC358" s="74" t="str">
        <x:v>1</x:v>
      </x:c>
      <x:c r="AD358" s="74" t="str">
        <x:v>0</x:v>
      </x:c>
      <x:c r="AE358" s="74" t="str">
        <x:v>0</x:v>
      </x:c>
      <x:c r="AF358" s="74" t="str"/>
      <x:c r="AG358" s="74" t="str">
        <x:v>0</x:v>
      </x:c>
      <x:c r="AH358" s="74" t="str">
        <x:v>1</x:v>
      </x:c>
      <x:c r="AI358" s="74" t="str">
        <x:v>0</x:v>
      </x:c>
      <x:c r="AJ358" s="74" t="str">
        <x:v>0</x:v>
      </x:c>
      <x:c r="AK358" s="74" t="str">
        <x:v>0</x:v>
      </x:c>
      <x:c r="AL358" s="74" t="str">
        <x:v>0</x:v>
      </x:c>
      <x:c r="AM358" s="74" t="str">
        <x:v>1</x:v>
      </x:c>
      <x:c r="AN358" s="74" t="str">
        <x:v>0</x:v>
      </x:c>
      <x:c r="AO358" s="60" t="str">
        <x:v>2026</x:v>
      </x:c>
      <x:c r="AP358" s="76" t="str">
        <x:v>Project/gallery proof found; no embedded homepage video found</x:v>
      </x:c>
      <x:c r="AQ358" s="76" t="str">
        <x:v>project/gallery proof; no embedded homepage video detected</x:v>
      </x:c>
      <x:c r="AR358" s="76" t="str">
        <x:v>I found project/gallery proof on Glory Utilities LLC's site that could be repackaged into short-form ad concepts.</x:v>
      </x:c>
      <x:c r="AS358" s="76" t="str">
        <x:v>small symptom to prevented-emergency ad</x:v>
      </x:c>
      <x:c r="AT358" s="76" t="str">
        <x:v>Glory Utilities LLC ad concept</x:v>
      </x:c>
      <x:c r="AU358" s="76" t="str">
        <x:v>Hi Tyler — I found project/gallery proof on Glory Utilities LLC's site that could be repackaged into short-form ad concepts. I mapped a private 15-second small symptom to prevented-emergency ad for Glory Utilities LLC using only public brand context—not for publishing, just to show the angle. We build three client-approved video ad concepts in seven days, then turn the winners into fresh variations. No filming day required. Worth sending the private sample?</x:v>
      </x:c>
      <x:c r="AV358" s="76" t="str">
        <x:v>Quick follow-up: the sample angle is a small symptom to prevented-emergency ad. If it misses the mark, no problem—I won't keep chasing. Should I send it?</x:v>
      </x:c>
      <x:c r="AW358" s="76" t="str">
        <x:v>Hi Tyler, Ryan here. I was looking at Glory Utilities LLC's public marketing and noticed: project/gallery proof found; no embedded homepage video found. I mapped one private small symptom to prevented-emergency ad as an example. Did I catch you with 30 seconds?</x:v>
      </x:c>
      <x:c r="AX358" s="60" t="str">
        <x:v>https://www.facebook.com/ads/library/?active_status=active&amp;ad_type=all&amp;country=US&amp;q=Glory%20Utilities%20LLC&amp;search_type=keyword_unordered</x:v>
      </x:c>
      <x:c r="AY358" s="60" t="str">
        <x:v>ok:200</x:v>
      </x:c>
      <x:c r="AZ358" s="60" t="n">
        <x:v>46232.722858796296</x:v>
      </x:c>
      <x:c r="BA358" s="60" t="str">
        <x:v>AI Ark SC trades export</x:v>
      </x:c>
      <x:c r="BB358" s="60" t="str">
        <x:v>https://gloryutilities.com | https://www.linkedin.com/company/glory-utilities-llc</x:v>
      </x:c>
      <x:c r="BC358" s="60" t="str"/>
    </x:row>
    <x:row r="359" ht="18" customHeight="1">
      <x:c r="A359" s="70" t="str">
        <x:v>358</x:v>
      </x:c>
      <x:c r="B359" s="70" t="str">
        <x:v>C - Verify</x:v>
      </x:c>
      <x:c r="C359" s="72" t="str">
        <x:v>54</x:v>
      </x:c>
      <x:c r="D359" s="60" t="str">
        <x:v>B&amp;L Construction, Inc.</x:v>
      </x:c>
      <x:c r="E359" s="60" t="str">
        <x:v>https://bandlconstructioninc.com</x:v>
      </x:c>
      <x:c r="F359" s="60" t="str">
        <x:v>https://bandlconstructioninc.com</x:v>
      </x:c>
      <x:c r="G359" s="60" t="str">
        <x:v>Hilton Head Island</x:v>
      </x:c>
      <x:c r="H359" s="60" t="str">
        <x:v>South Carolina</x:v>
      </x:c>
      <x:c r="I359" s="60" t="str">
        <x:v>Remodeling</x:v>
      </x:c>
      <x:c r="J359" s="60" t="str">
        <x:v>Brian</x:v>
      </x:c>
      <x:c r="K359" s="60" t="str">
        <x:v>Newton</x:v>
      </x:c>
      <x:c r="L359" s="60" t="str">
        <x:v>Owner and Chief Operating Officer</x:v>
      </x:c>
      <x:c r="M359" s="60" t="str">
        <x:v>bnewton@bandlconstructioninc.com</x:v>
      </x:c>
      <x:c r="N359" s="60" t="str">
        <x:v>Verified with BounceBan on 08 Jun 26 12:06</x:v>
      </x:c>
      <x:c r="O359" s="60" t="str">
        <x:v>+1 434 372 0730, +1 724 972 1936</x:v>
      </x:c>
      <x:c r="P359" s="60" t="str">
        <x:v>https://www.linkedin.com/in/brian-newton-7b0189145</x:v>
      </x:c>
      <x:c r="Q359" s="60" t="str">
        <x:v>11-50</x:v>
      </x:c>
      <x:c r="R359" s="60" t="str">
        <x:v>1000000-4999999</x:v>
      </x:c>
      <x:c r="S359" s="60" t="str"/>
      <x:c r="T359" s="74" t="str">
        <x:v>0</x:v>
      </x:c>
      <x:c r="U359" s="60" t="str"/>
      <x:c r="V359" s="74" t="str">
        <x:v>30</x:v>
      </x:c>
      <x:c r="W359" s="74" t="str">
        <x:v>3</x:v>
      </x:c>
      <x:c r="X359" s="74" t="str">
        <x:v>6</x:v>
      </x:c>
      <x:c r="Y359" s="74" t="str">
        <x:v>5</x:v>
      </x:c>
      <x:c r="Z359" s="74" t="str">
        <x:v>10</x:v>
      </x:c>
      <x:c r="AA359" s="74" t="str">
        <x:v>0</x:v>
      </x:c>
      <x:c r="AB359" s="74" t="str">
        <x:v>0</x:v>
      </x:c>
      <x:c r="AC359" s="74" t="str">
        <x:v>1</x:v>
      </x:c>
      <x:c r="AD359" s="74" t="str">
        <x:v>0</x:v>
      </x:c>
      <x:c r="AE359" s="74" t="str">
        <x:v>0</x:v>
      </x:c>
      <x:c r="AF359" s="74" t="str"/>
      <x:c r="AG359" s="74" t="str">
        <x:v>0</x:v>
      </x:c>
      <x:c r="AH359" s="74" t="str">
        <x:v>1</x:v>
      </x:c>
      <x:c r="AI359" s="74" t="str">
        <x:v>0</x:v>
      </x:c>
      <x:c r="AJ359" s="74" t="str">
        <x:v>0</x:v>
      </x:c>
      <x:c r="AK359" s="74" t="str">
        <x:v>0</x:v>
      </x:c>
      <x:c r="AL359" s="74" t="str">
        <x:v>1</x:v>
      </x:c>
      <x:c r="AM359" s="74" t="str">
        <x:v>1</x:v>
      </x:c>
      <x:c r="AN359" s="74" t="str">
        <x:v>0</x:v>
      </x:c>
      <x:c r="AO359" s="60" t="str">
        <x:v>2026</x:v>
      </x:c>
      <x:c r="AP359" s="76" t="str">
        <x:v>Project/gallery proof found; no embedded homepage video found</x:v>
      </x:c>
      <x:c r="AQ359" s="76" t="str">
        <x:v>project/gallery proof; no embedded homepage video detected</x:v>
      </x:c>
      <x:c r="AR359" s="76" t="str">
        <x:v>I found project/gallery proof on B&amp;L Construction, Inc.'s site that could be repackaged into short-form ad concepts.</x:v>
      </x:c>
      <x:c r="AS359" s="76" t="str">
        <x:v>project reveal with budget-and-timeline proof</x:v>
      </x:c>
      <x:c r="AT359" s="76" t="str">
        <x:v>B&amp;L Construction, Inc. ad concept</x:v>
      </x:c>
      <x:c r="AU359" s="76" t="str">
        <x:v>Hi Brian — I found project/gallery proof on B&amp;L Construction, Inc.'s site that could be repackaged into short-form ad concepts. I mapped a private 15-second project reveal with budget-and-timeline proof for B&amp;L Construction, Inc. using only public brand context—not for publishing, just to show the angle. We build three client-approved video ad concepts in seven days, then turn the winners into fresh variations. No filming day required. Worth sending the private sample?</x:v>
      </x:c>
      <x:c r="AV359" s="76" t="str">
        <x:v>Quick follow-up: the sample angle is a project reveal with budget-and-timeline proof. If it misses the mark, no problem—I won't keep chasing. Should I send it?</x:v>
      </x:c>
      <x:c r="AW359" s="76" t="str">
        <x:v>Hi Brian, Ryan here. I was looking at B&amp;L Construction, Inc.'s public marketing and noticed: project/gallery proof found; no embedded homepage video found. I mapped one private project reveal with budget-and-timeline proof as an example. Did I catch you with 30 seconds?</x:v>
      </x:c>
      <x:c r="AX359" s="60" t="str">
        <x:v>https://www.facebook.com/ads/library/?active_status=active&amp;ad_type=all&amp;country=US&amp;q=B%26L%20Construction%2C%20Inc.&amp;search_type=keyword_unordered</x:v>
      </x:c>
      <x:c r="AY359" s="60" t="str">
        <x:v>ok:200</x:v>
      </x:c>
      <x:c r="AZ359" s="60" t="n">
        <x:v>46232.722858796296</x:v>
      </x:c>
      <x:c r="BA359" s="60" t="str">
        <x:v>AI Ark SC trades export</x:v>
      </x:c>
      <x:c r="BB359" s="60" t="str">
        <x:v>https://bandlconstructioninc.com | https://www.linkedin.com/company/b-l-construction-inc</x:v>
      </x:c>
      <x:c r="BC359" s="60" t="str"/>
    </x:row>
    <x:row r="360" ht="18" customHeight="1">
      <x:c r="A360" s="70" t="str">
        <x:v>359</x:v>
      </x:c>
      <x:c r="B360" s="70" t="str">
        <x:v>C - Verify</x:v>
      </x:c>
      <x:c r="C360" s="72" t="str">
        <x:v>54</x:v>
      </x:c>
      <x:c r="D360" s="60" t="str">
        <x:v>Duraclean Fire &amp; Water Restoration Inc</x:v>
      </x:c>
      <x:c r="E360" s="60" t="str">
        <x:v>https://duracleanupstate.com</x:v>
      </x:c>
      <x:c r="F360" s="60" t="str">
        <x:v>https://duracleanupstate.com</x:v>
      </x:c>
      <x:c r="G360" s="60" t="str">
        <x:v>Greenville-spartanburg-anderson</x:v>
      </x:c>
      <x:c r="H360" s="60" t="str">
        <x:v>South Carolina Area</x:v>
      </x:c>
      <x:c r="I360" s="60" t="str">
        <x:v>Roofing</x:v>
      </x:c>
      <x:c r="J360" s="60" t="str">
        <x:v>Allan</x:v>
      </x:c>
      <x:c r="K360" s="60" t="str">
        <x:v>Thomas</x:v>
      </x:c>
      <x:c r="L360" s="60" t="str">
        <x:v>Co-Owner</x:v>
      </x:c>
      <x:c r="M360" s="60" t="str">
        <x:v>athomas@duracleanupstate.com</x:v>
      </x:c>
      <x:c r="N360" s="60" t="str">
        <x:v>Verified with BounceBan on 08 Jun 26 12:06</x:v>
      </x:c>
      <x:c r="O360" s="60" t="str">
        <x:v>+1 864 346 8222</x:v>
      </x:c>
      <x:c r="P360" s="60" t="str">
        <x:v>https://www.linkedin.com/in/duracleanupstate</x:v>
      </x:c>
      <x:c r="Q360" s="60" t="str">
        <x:v>2-10</x:v>
      </x:c>
      <x:c r="R360" s="60" t="str">
        <x:v>0-99999</x:v>
      </x:c>
      <x:c r="S360" s="60" t="str"/>
      <x:c r="T360" s="74" t="str">
        <x:v>0</x:v>
      </x:c>
      <x:c r="U360" s="60" t="str"/>
      <x:c r="V360" s="74" t="str">
        <x:v>28</x:v>
      </x:c>
      <x:c r="W360" s="74" t="str">
        <x:v>3</x:v>
      </x:c>
      <x:c r="X360" s="74" t="str">
        <x:v>10</x:v>
      </x:c>
      <x:c r="Y360" s="74" t="str">
        <x:v>3</x:v>
      </x:c>
      <x:c r="Z360" s="74" t="str">
        <x:v>10</x:v>
      </x:c>
      <x:c r="AA360" s="74" t="str">
        <x:v>0</x:v>
      </x:c>
      <x:c r="AB360" s="74" t="str">
        <x:v>0</x:v>
      </x:c>
      <x:c r="AC360" s="74" t="str">
        <x:v>1</x:v>
      </x:c>
      <x:c r="AD360" s="74" t="str">
        <x:v>0</x:v>
      </x:c>
      <x:c r="AE360" s="74" t="str">
        <x:v>0</x:v>
      </x:c>
      <x:c r="AF360" s="74" t="str"/>
      <x:c r="AG360" s="74" t="str">
        <x:v>0</x:v>
      </x:c>
      <x:c r="AH360" s="74" t="str">
        <x:v>0</x:v>
      </x:c>
      <x:c r="AI360" s="74" t="str">
        <x:v>0</x:v>
      </x:c>
      <x:c r="AJ360" s="74" t="str">
        <x:v>0</x:v>
      </x:c>
      <x:c r="AK360" s="74" t="str">
        <x:v>1</x:v>
      </x:c>
      <x:c r="AL360" s="74" t="str">
        <x:v>0</x:v>
      </x:c>
      <x:c r="AM360" s="74" t="str">
        <x:v>1</x:v>
      </x:c>
      <x:c r="AN360" s="74" t="str">
        <x:v>0</x:v>
      </x:c>
      <x:c r="AO360" s="60" t="str">
        <x:v>2026</x:v>
      </x:c>
      <x:c r="AP360" s="76" t="str">
        <x:v>ICP fit; paid-demand need requires manual verification</x:v>
      </x:c>
      <x:c r="AQ360" s="76" t="str">
        <x:v>visible service offer; no embedded homepage video detected</x:v>
      </x:c>
      <x:c r="AR360" s="76" t="str">
        <x:v>I was reviewing roofing companies in Greenville-spartanburg-anderson, South Carolina Area and Duraclean Fire &amp; Water Restoration Inc looked like a strong fit for a creative test.</x:v>
      </x:c>
      <x:c r="AS360" s="76" t="str">
        <x:v>storm-to-inspection before/after ad</x:v>
      </x:c>
      <x:c r="AT360" s="76" t="str">
        <x:v>Duraclean Fire &amp; Water Restoration Inc ad concept</x:v>
      </x:c>
      <x:c r="AU360" s="76" t="str">
        <x:v>Hi Allan — I was reviewing roofing companies in Greenville-spartanburg-anderson, South Carolina Area and Duraclean Fire &amp; Water Restoration Inc looked like a strong fit for a creative test. I mapped a private 15-second storm-to-inspection before/after ad for Duraclean Fire &amp; Water Restoration Inc using only public brand context—not for publishing, just to show the angle. We build three client-approved video ad concepts in seven days, then turn the winners into fresh variations. No filming day required. Worth sending the private sample?</x:v>
      </x:c>
      <x:c r="AV360" s="76" t="str">
        <x:v>Quick follow-up: the sample angle is a storm-to-inspection before/after ad. If it misses the mark, no problem—I won't keep chasing. Should I send it?</x:v>
      </x:c>
      <x:c r="AW360" s="76" t="str">
        <x:v>Hi Allan, Ryan here. I was looking at Duraclean Fire &amp; Water Restoration Inc's public marketing and noticed: icp fit; paid-demand need requires manual verification. I mapped one private storm-to-inspection before/after ad as an example. Did I catch you with 30 seconds?</x:v>
      </x:c>
      <x:c r="AX360" s="60" t="str">
        <x:v>https://www.facebook.com/ads/library/?active_status=active&amp;ad_type=all&amp;country=US&amp;q=Duraclean%20Fire%20%26%20Water%20Restoration%20Inc&amp;search_type=keyword_unordered</x:v>
      </x:c>
      <x:c r="AY360" s="60" t="str">
        <x:v>ok:200</x:v>
      </x:c>
      <x:c r="AZ360" s="60" t="n">
        <x:v>46232.722858796296</x:v>
      </x:c>
      <x:c r="BA360" s="60" t="str">
        <x:v>AI Ark SC trades export</x:v>
      </x:c>
      <x:c r="BB360" s="60" t="str">
        <x:v>https://duracleanupstate.com | https://www.linkedin.com/company/duraclean-fire-&amp;-water-restoration-inc</x:v>
      </x:c>
      <x:c r="BC360" s="60" t="str"/>
    </x:row>
    <x:row r="361" ht="18" customHeight="1">
      <x:c r="A361" s="70" t="str">
        <x:v>360</x:v>
      </x:c>
      <x:c r="B361" s="70" t="str">
        <x:v>C - Verify</x:v>
      </x:c>
      <x:c r="C361" s="72" t="str">
        <x:v>54</x:v>
      </x:c>
      <x:c r="D361" s="60" t="str">
        <x:v>Garage Door Medics LLC</x:v>
      </x:c>
      <x:c r="E361" s="60" t="str">
        <x:v>https://garagedoorsmedics.com</x:v>
      </x:c>
      <x:c r="F361" s="60" t="str">
        <x:v>https://garagedoorsmedics.com</x:v>
      </x:c>
      <x:c r="G361" s="60" t="str">
        <x:v>Greenville</x:v>
      </x:c>
      <x:c r="H361" s="60" t="str">
        <x:v>South Carolina</x:v>
      </x:c>
      <x:c r="I361" s="60" t="str">
        <x:v>Garage Doors</x:v>
      </x:c>
      <x:c r="J361" s="60" t="str">
        <x:v>Garage Door Medics LLC</x:v>
      </x:c>
      <x:c r="K361" s="60" t="str"/>
      <x:c r="L361" s="60" t="str">
        <x:v>Owner / decision maker to verify</x:v>
      </x:c>
      <x:c r="M361" s="60" t="str"/>
      <x:c r="N361" s="60" t="str"/>
      <x:c r="O361" s="60" t="str">
        <x:v>(864) 524-5043</x:v>
      </x:c>
      <x:c r="P361" s="60" t="str"/>
      <x:c r="Q361" s="60" t="str"/>
      <x:c r="R361" s="60" t="str"/>
      <x:c r="S361" s="60" t="str">
        <x:v>5</x:v>
      </x:c>
      <x:c r="T361" s="74" t="str">
        <x:v>165</x:v>
      </x:c>
      <x:c r="U361" s="60" t="str"/>
      <x:c r="V361" s="74" t="str">
        <x:v>24</x:v>
      </x:c>
      <x:c r="W361" s="74" t="str">
        <x:v>0</x:v>
      </x:c>
      <x:c r="X361" s="74" t="str">
        <x:v>10</x:v>
      </x:c>
      <x:c r="Y361" s="74" t="str">
        <x:v>15</x:v>
      </x:c>
      <x:c r="Z361" s="74" t="str">
        <x:v>5</x:v>
      </x:c>
      <x:c r="AA361" s="74" t="str">
        <x:v>0</x:v>
      </x:c>
      <x:c r="AB361" s="74" t="str">
        <x:v>0</x:v>
      </x:c>
      <x:c r="AC361" s="74" t="str">
        <x:v>0</x:v>
      </x:c>
      <x:c r="AD361" s="74" t="str">
        <x:v>0</x:v>
      </x:c>
      <x:c r="AE361" s="74" t="str">
        <x:v>0</x:v>
      </x:c>
      <x:c r="AF361" s="74" t="str"/>
      <x:c r="AG361" s="74" t="str">
        <x:v>0</x:v>
      </x:c>
      <x:c r="AH361" s="74" t="str">
        <x:v>1</x:v>
      </x:c>
      <x:c r="AI361" s="74" t="str">
        <x:v>1</x:v>
      </x:c>
      <x:c r="AJ361" s="74" t="str">
        <x:v>0</x:v>
      </x:c>
      <x:c r="AK361" s="74" t="str">
        <x:v>1</x:v>
      </x:c>
      <x:c r="AL361" s="74" t="str">
        <x:v>0</x:v>
      </x:c>
      <x:c r="AM361" s="74" t="str">
        <x:v>0</x:v>
      </x:c>
      <x:c r="AN361" s="74" t="str">
        <x:v>0</x:v>
      </x:c>
      <x:c r="AO361" s="60" t="str">
        <x:v>2026</x:v>
      </x:c>
      <x:c r="AP361" s="76" t="str">
        <x:v>Project/gallery proof found; no embedded homepage video found</x:v>
      </x:c>
      <x:c r="AQ361" s="76" t="str">
        <x:v>project/gallery proof; testimonials; visible service offer; no embedded homepage video detected</x:v>
      </x:c>
      <x:c r="AR361" s="76" t="str">
        <x:v>I found project/gallery proof on Garage Door Medics LLC's site that could be repackaged into short-form ad concepts.</x:v>
      </x:c>
      <x:c r="AS361" s="76" t="str">
        <x:v>curb-appeal transformation ad</x:v>
      </x:c>
      <x:c r="AT361" s="76" t="str">
        <x:v>Garage Door Medics LLC ad concept</x:v>
      </x:c>
      <x:c r="AU361" s="76" t="str">
        <x:v>Hi Garage Door Medics LLC — I found project/gallery proof on Garage Door Medics LLC's site that could be repackaged into short-form ad concepts. I mapped a private 15-second curb-appeal transformation ad for Garage Door Medics LLC using only public brand context—not for publishing, just to show the angle. We build three client-approved video ad concepts in seven days, then turn the winners into fresh variations. No filming day required. Worth sending the private sample?</x:v>
      </x:c>
      <x:c r="AV361" s="76" t="str">
        <x:v>Quick follow-up: the sample angle is a curb-appeal transformation ad. If it misses the mark, no problem—I won't keep chasing. Should I send it?</x:v>
      </x:c>
      <x:c r="AW361" s="76" t="str">
        <x:v>Hi Garage Door Medics LLC, Ryan here. I was looking at Garage Door Medics LLC's public marketing and noticed: project/gallery proof found; no embedded homepage video found. I mapped one private curb-appeal transformation ad as an example. Did I catch you with 30 seconds?</x:v>
      </x:c>
      <x:c r="AX361" s="60" t="str">
        <x:v>https://www.facebook.com/ads/library/?active_status=active&amp;ad_type=all&amp;country=US&amp;q=Garage%20Door%20Medics%20LLC&amp;search_type=keyword_unordered</x:v>
      </x:c>
      <x:c r="AY361" s="60" t="str">
        <x:v>ok:200</x:v>
      </x:c>
      <x:c r="AZ361" s="60" t="n">
        <x:v>46232.722858796296</x:v>
      </x:c>
      <x:c r="BA361" s="60" t="str">
        <x:v>Google Maps home-services export</x:v>
      </x:c>
      <x:c r="BB361" s="60" t="str">
        <x:v>https://garagedoorsmedics.com | https://maps.google.com/?cid=6237730982240816778&amp;g_mp=Cidnb29nbGUubWFwcy5wbGFjZXMudjEuUGxhY2VzLlNlYXJjaFRleHQQAhgEIAA</x:v>
      </x:c>
      <x:c r="BC361" s="60" t="str"/>
    </x:row>
    <x:row r="362" ht="18" customHeight="1">
      <x:c r="A362" s="70" t="str">
        <x:v>361</x:v>
      </x:c>
      <x:c r="B362" s="70" t="str">
        <x:v>C - Verify</x:v>
      </x:c>
      <x:c r="C362" s="72" t="str">
        <x:v>54</x:v>
      </x:c>
      <x:c r="D362" s="60" t="str">
        <x:v>Coastal Roofing Solutions LLC</x:v>
      </x:c>
      <x:c r="E362" s="60" t="str">
        <x:v>https://coastalroofllc.com</x:v>
      </x:c>
      <x:c r="F362" s="60" t="str">
        <x:v>https://www.coastalroofllc.com/</x:v>
      </x:c>
      <x:c r="G362" s="60" t="str">
        <x:v>Charleston</x:v>
      </x:c>
      <x:c r="H362" s="60" t="str">
        <x:v>South Carolina</x:v>
      </x:c>
      <x:c r="I362" s="60" t="str">
        <x:v>Roofing</x:v>
      </x:c>
      <x:c r="J362" s="60" t="str">
        <x:v>Coastal Roofing Solutions LLC</x:v>
      </x:c>
      <x:c r="K362" s="60" t="str"/>
      <x:c r="L362" s="60" t="str">
        <x:v>Owner / decision maker to verify</x:v>
      </x:c>
      <x:c r="M362" s="60" t="str"/>
      <x:c r="N362" s="60" t="str"/>
      <x:c r="O362" s="60" t="str">
        <x:v>(843) 830-9509</x:v>
      </x:c>
      <x:c r="P362" s="60" t="str"/>
      <x:c r="Q362" s="60" t="str"/>
      <x:c r="R362" s="60" t="str"/>
      <x:c r="S362" s="60" t="str">
        <x:v>4.9</x:v>
      </x:c>
      <x:c r="T362" s="74" t="str">
        <x:v>41</x:v>
      </x:c>
      <x:c r="U362" s="60" t="str"/>
      <x:c r="V362" s="74" t="str">
        <x:v>27</x:v>
      </x:c>
      <x:c r="W362" s="74" t="str">
        <x:v>0</x:v>
      </x:c>
      <x:c r="X362" s="74" t="str">
        <x:v>9</x:v>
      </x:c>
      <x:c r="Y362" s="74" t="str">
        <x:v>13</x:v>
      </x:c>
      <x:c r="Z362" s="74" t="str">
        <x:v>5</x:v>
      </x:c>
      <x:c r="AA362" s="74" t="str">
        <x:v>0</x:v>
      </x:c>
      <x:c r="AB362" s="74" t="str">
        <x:v>0</x:v>
      </x:c>
      <x:c r="AC362" s="74" t="str">
        <x:v>0</x:v>
      </x:c>
      <x:c r="AD362" s="74" t="str">
        <x:v>0</x:v>
      </x:c>
      <x:c r="AE362" s="74" t="str">
        <x:v>0</x:v>
      </x:c>
      <x:c r="AF362" s="74" t="str"/>
      <x:c r="AG362" s="74" t="str">
        <x:v>0</x:v>
      </x:c>
      <x:c r="AH362" s="74" t="str">
        <x:v>1</x:v>
      </x:c>
      <x:c r="AI362" s="74" t="str">
        <x:v>0</x:v>
      </x:c>
      <x:c r="AJ362" s="74" t="str">
        <x:v>1</x:v>
      </x:c>
      <x:c r="AK362" s="74" t="str">
        <x:v>1</x:v>
      </x:c>
      <x:c r="AL362" s="74" t="str">
        <x:v>1</x:v>
      </x:c>
      <x:c r="AM362" s="74" t="str">
        <x:v>1</x:v>
      </x:c>
      <x:c r="AN362" s="74" t="str">
        <x:v>0</x:v>
      </x:c>
      <x:c r="AO362" s="60" t="str">
        <x:v>2023</x:v>
      </x:c>
      <x:c r="AP362" s="76" t="str">
        <x:v>Project/gallery proof found; no embedded homepage video found</x:v>
      </x:c>
      <x:c r="AQ362" s="76" t="str">
        <x:v>project/gallery proof; financing; visible service offer; no embedded homepage video detected</x:v>
      </x:c>
      <x:c r="AR362" s="76" t="str">
        <x:v>I found project/gallery proof on Coastal Roofing Solutions LLC's site that could be repackaged into short-form ad concepts.</x:v>
      </x:c>
      <x:c r="AS362" s="76" t="str">
        <x:v>storm-to-inspection before/after ad</x:v>
      </x:c>
      <x:c r="AT362" s="76" t="str">
        <x:v>Coastal Roofing Solutions LLC ad concept</x:v>
      </x:c>
      <x:c r="AU362" s="76" t="str">
        <x:v>Hi Coastal Roofing Solutions LLC — I found project/gallery proof on Coastal Roofing Solutions LLC's site that could be repackaged into short-form ad concepts. I mapped a private 15-second storm-to-inspection before/after ad for Coastal Roofing Solutions LLC using only public brand context—not for publishing, just to show the angle. We build three client-approved video ad concepts in seven days, then turn the winners into fresh variations. No filming day required. Worth sending the private sample?</x:v>
      </x:c>
      <x:c r="AV362" s="76" t="str">
        <x:v>Quick follow-up: the sample angle is a storm-to-inspection before/after ad. If it misses the mark, no problem—I won't keep chasing. Should I send it?</x:v>
      </x:c>
      <x:c r="AW362" s="76" t="str">
        <x:v>Hi Coastal Roofing Solutions LLC, Ryan here. I was looking at Coastal Roofing Solutions LLC's public marketing and noticed: project/gallery proof found; no embedded homepage video found. I mapped one private storm-to-inspection before/after ad as an example. Did I catch you with 30 seconds?</x:v>
      </x:c>
      <x:c r="AX362" s="60" t="str">
        <x:v>https://www.facebook.com/ads/library/?active_status=active&amp;ad_type=all&amp;country=US&amp;q=Coastal%20Roofing%20Solutions%20LLC&amp;search_type=keyword_unordered</x:v>
      </x:c>
      <x:c r="AY362" s="60" t="str">
        <x:v>ok:200</x:v>
      </x:c>
      <x:c r="AZ362" s="60" t="n">
        <x:v>46232.722858796296</x:v>
      </x:c>
      <x:c r="BA362" s="60" t="str">
        <x:v>Google Maps home-services export</x:v>
      </x:c>
      <x:c r="BB362" s="60" t="str">
        <x:v>https://coastalroofllc.com | https://maps.google.com/?cid=14567846744052250437&amp;g_mp=Cidnb29nbGUubWFwcy5wbGFjZXMudjEuUGxhY2VzLlNlYXJjaFRleHQQAhgEIAA</x:v>
      </x:c>
      <x:c r="BC362" s="60" t="str"/>
    </x:row>
    <x:row r="363" ht="18" customHeight="1">
      <x:c r="A363" s="70" t="str">
        <x:v>362</x:v>
      </x:c>
      <x:c r="B363" s="70" t="str">
        <x:v>C - Verify</x:v>
      </x:c>
      <x:c r="C363" s="72" t="str">
        <x:v>54</x:v>
      </x:c>
      <x:c r="D363" s="60" t="str">
        <x:v>Carolina Refrigeration Heating and Cooling</x:v>
      </x:c>
      <x:c r="E363" s="60" t="str">
        <x:v>https://crcoolingandheating.com</x:v>
      </x:c>
      <x:c r="F363" s="60" t="str">
        <x:v>https://www.crcoolingandheating.com/</x:v>
      </x:c>
      <x:c r="G363" s="60" t="str">
        <x:v>Rock Hill</x:v>
      </x:c>
      <x:c r="H363" s="60" t="str">
        <x:v>South Carolina</x:v>
      </x:c>
      <x:c r="I363" s="60" t="str">
        <x:v>HVAC</x:v>
      </x:c>
      <x:c r="J363" s="60" t="str">
        <x:v>Carolina Refrigeration Heating and Cooling</x:v>
      </x:c>
      <x:c r="K363" s="60" t="str"/>
      <x:c r="L363" s="60" t="str">
        <x:v>Owner / decision maker to verify</x:v>
      </x:c>
      <x:c r="M363" s="60" t="str"/>
      <x:c r="N363" s="60" t="str"/>
      <x:c r="O363" s="60" t="str">
        <x:v>(803) 984-4173</x:v>
      </x:c>
      <x:c r="P363" s="60" t="str"/>
      <x:c r="Q363" s="60" t="str"/>
      <x:c r="R363" s="60" t="str"/>
      <x:c r="S363" s="60" t="str">
        <x:v>4.9</x:v>
      </x:c>
      <x:c r="T363" s="74" t="str">
        <x:v>250</x:v>
      </x:c>
      <x:c r="U363" s="60" t="str"/>
      <x:c r="V363" s="74" t="str">
        <x:v>29</x:v>
      </x:c>
      <x:c r="W363" s="74" t="str">
        <x:v>0</x:v>
      </x:c>
      <x:c r="X363" s="74" t="str">
        <x:v>10</x:v>
      </x:c>
      <x:c r="Y363" s="74" t="str">
        <x:v>10</x:v>
      </x:c>
      <x:c r="Z363" s="74" t="str">
        <x:v>5</x:v>
      </x:c>
      <x:c r="AA363" s="74" t="str">
        <x:v>0</x:v>
      </x:c>
      <x:c r="AB363" s="74" t="str">
        <x:v>0</x:v>
      </x:c>
      <x:c r="AC363" s="74" t="str">
        <x:v>0</x:v>
      </x:c>
      <x:c r="AD363" s="74" t="str">
        <x:v>0</x:v>
      </x:c>
      <x:c r="AE363" s="74" t="str">
        <x:v>0</x:v>
      </x:c>
      <x:c r="AF363" s="74" t="str"/>
      <x:c r="AG363" s="74" t="str">
        <x:v>0</x:v>
      </x:c>
      <x:c r="AH363" s="74" t="str">
        <x:v>0</x:v>
      </x:c>
      <x:c r="AI363" s="74" t="str">
        <x:v>1</x:v>
      </x:c>
      <x:c r="AJ363" s="74" t="str">
        <x:v>0</x:v>
      </x:c>
      <x:c r="AK363" s="74" t="str">
        <x:v>1</x:v>
      </x:c>
      <x:c r="AL363" s="74" t="str">
        <x:v>0</x:v>
      </x:c>
      <x:c r="AM363" s="74" t="str">
        <x:v>1</x:v>
      </x:c>
      <x:c r="AN363" s="74" t="str">
        <x:v>0</x:v>
      </x:c>
      <x:c r="AO363" s="60" t="str">
        <x:v>2026</x:v>
      </x:c>
      <x:c r="AP363" s="76" t="str">
        <x:v>250 Google reviews; no embedded homepage video found</x:v>
      </x:c>
      <x:c r="AQ363" s="76" t="str">
        <x:v>testimonials; visible service offer; no embedded homepage video detected</x:v>
      </x:c>
      <x:c r="AR363" s="76" t="str">
        <x:v>Carolina Refrigeration Heating and Cooling has 250 Google reviews—strong proof that could be turned into short-form ad concepts.</x:v>
      </x:c>
      <x:c r="AS363" s="76" t="str">
        <x:v>no-cool-call to same-day comfort ad</x:v>
      </x:c>
      <x:c r="AT363" s="76" t="str">
        <x:v>Carolina Refrigeration Heating and Cooling ad concept</x:v>
      </x:c>
      <x:c r="AU363" s="76" t="str">
        <x:v>Hi Carolina Refrigeration Heating and Cooling — Carolina Refrigeration Heating and Cooling has 250 Google reviews—strong proof that could be turned into short-form ad concepts. I mapped a private 15-second no-cool-call to same-day comfort ad for Carolina Refrigeration Heating and Cooling using only public brand context—not for publishing, just to show the angle. We build three client-approved video ad concepts in seven days, then turn the winners into fresh variations. No filming day required. Worth sending the private sample?</x:v>
      </x:c>
      <x:c r="AV363" s="76" t="str">
        <x:v>Quick follow-up: the sample angle is a no-cool-call to same-day comfort ad. If it misses the mark, no problem—I won't keep chasing. Should I send it?</x:v>
      </x:c>
      <x:c r="AW363" s="76" t="str">
        <x:v>Hi Carolina Refrigeration Heating and Cooling, Ryan here. I was looking at Carolina Refrigeration Heating and Cooling's public marketing and noticed: 250 google reviews; no embedded homepage video found. I mapped one private no-cool-call to same-day comfort ad as an example. Did I catch you with 30 seconds?</x:v>
      </x:c>
      <x:c r="AX363" s="60" t="str">
        <x:v>https://www.facebook.com/ads/library/?active_status=active&amp;ad_type=all&amp;country=US&amp;q=Carolina%20Refrigeration%20Heating%20and%20Cooling&amp;search_type=keyword_unordered</x:v>
      </x:c>
      <x:c r="AY363" s="60" t="str">
        <x:v>ok:200</x:v>
      </x:c>
      <x:c r="AZ363" s="60" t="n">
        <x:v>46232.722858796296</x:v>
      </x:c>
      <x:c r="BA363" s="60" t="str">
        <x:v>Google Maps home-services export</x:v>
      </x:c>
      <x:c r="BB363" s="60" t="str">
        <x:v>https://crcoolingandheating.com | https://maps.google.com/?cid=12880283994677317829&amp;g_mp=Cidnb29nbGUubWFwcy5wbGFjZXMudjEuUGxhY2VzLlNlYXJjaFRleHQQAhgEIAA</x:v>
      </x:c>
      <x:c r="BC363" s="60" t="str"/>
    </x:row>
    <x:row r="364" ht="18" customHeight="1">
      <x:c r="A364" s="70" t="str">
        <x:v>363</x:v>
      </x:c>
      <x:c r="B364" s="70" t="str">
        <x:v>C - Verify</x:v>
      </x:c>
      <x:c r="C364" s="72" t="str">
        <x:v>54</x:v>
      </x:c>
      <x:c r="D364" s="60" t="str">
        <x:v>American Inc.</x:v>
      </x:c>
      <x:c r="E364" s="60" t="str">
        <x:v>https://americanaironline.com</x:v>
      </x:c>
      <x:c r="F364" s="60" t="str">
        <x:v>https://www.americanaironline.com/</x:v>
      </x:c>
      <x:c r="G364" s="60" t="str">
        <x:v>Rock Hill</x:v>
      </x:c>
      <x:c r="H364" s="60" t="str">
        <x:v>South Carolina</x:v>
      </x:c>
      <x:c r="I364" s="60" t="str">
        <x:v>HVAC</x:v>
      </x:c>
      <x:c r="J364" s="60" t="str">
        <x:v>American Inc.</x:v>
      </x:c>
      <x:c r="K364" s="60" t="str"/>
      <x:c r="L364" s="60" t="str">
        <x:v>Owner / decision maker to verify</x:v>
      </x:c>
      <x:c r="M364" s="60" t="str"/>
      <x:c r="N364" s="60" t="str"/>
      <x:c r="O364" s="60" t="str">
        <x:v>(866) 710-3339</x:v>
      </x:c>
      <x:c r="P364" s="60" t="str"/>
      <x:c r="Q364" s="60" t="str"/>
      <x:c r="R364" s="60" t="str"/>
      <x:c r="S364" s="60" t="str">
        <x:v>4.6</x:v>
      </x:c>
      <x:c r="T364" s="74" t="str">
        <x:v>197</x:v>
      </x:c>
      <x:c r="U364" s="60" t="str">
        <x:v>slow_response</x:v>
      </x:c>
      <x:c r="V364" s="74" t="str">
        <x:v>28</x:v>
      </x:c>
      <x:c r="W364" s="74" t="str">
        <x:v>0</x:v>
      </x:c>
      <x:c r="X364" s="74" t="str">
        <x:v>12</x:v>
      </x:c>
      <x:c r="Y364" s="74" t="str">
        <x:v>9</x:v>
      </x:c>
      <x:c r="Z364" s="74" t="str">
        <x:v>5</x:v>
      </x:c>
      <x:c r="AA364" s="74" t="str">
        <x:v>0</x:v>
      </x:c>
      <x:c r="AB364" s="74" t="str">
        <x:v>0</x:v>
      </x:c>
      <x:c r="AC364" s="74" t="str">
        <x:v>0</x:v>
      </x:c>
      <x:c r="AD364" s="74" t="str">
        <x:v>0</x:v>
      </x:c>
      <x:c r="AE364" s="74" t="str">
        <x:v>0</x:v>
      </x:c>
      <x:c r="AF364" s="74" t="str"/>
      <x:c r="AG364" s="74" t="str">
        <x:v>0</x:v>
      </x:c>
      <x:c r="AH364" s="74" t="str">
        <x:v>0</x:v>
      </x:c>
      <x:c r="AI364" s="74" t="str">
        <x:v>0</x:v>
      </x:c>
      <x:c r="AJ364" s="74" t="str">
        <x:v>1</x:v>
      </x:c>
      <x:c r="AK364" s="74" t="str">
        <x:v>1</x:v>
      </x:c>
      <x:c r="AL364" s="74" t="str">
        <x:v>0</x:v>
      </x:c>
      <x:c r="AM364" s="74" t="str">
        <x:v>0</x:v>
      </x:c>
      <x:c r="AN364" s="74" t="str">
        <x:v>0</x:v>
      </x:c>
      <x:c r="AO364" s="60" t="str">
        <x:v>2026</x:v>
      </x:c>
      <x:c r="AP364" s="76" t="str">
        <x:v>197 Google reviews; no embedded homepage video found</x:v>
      </x:c>
      <x:c r="AQ364" s="76" t="str">
        <x:v>financing; visible service offer; no embedded homepage video detected</x:v>
      </x:c>
      <x:c r="AR364" s="76" t="str">
        <x:v>American Inc. has 197 Google reviews—strong proof that could be turned into short-form ad concepts.</x:v>
      </x:c>
      <x:c r="AS364" s="76" t="str">
        <x:v>no-cool-call to same-day comfort ad</x:v>
      </x:c>
      <x:c r="AT364" s="76" t="str">
        <x:v>American Inc. ad concept</x:v>
      </x:c>
      <x:c r="AU364" s="76" t="str">
        <x:v>Hi American Inc. — American Inc. has 197 Google reviews—strong proof that could be turned into short-form ad concepts. I mapped a private 15-second no-cool-call to same-day comfort ad for American Inc. using only public brand context—not for publishing, just to show the angle. We build three client-approved video ad concepts in seven days, then turn the winners into fresh variations. No filming day required. Worth sending the private sample?</x:v>
      </x:c>
      <x:c r="AV364" s="76" t="str">
        <x:v>Quick follow-up: the sample angle is a no-cool-call to same-day comfort ad. If it misses the mark, no problem—I won't keep chasing. Should I send it?</x:v>
      </x:c>
      <x:c r="AW364" s="76" t="str">
        <x:v>Hi American Inc., Ryan here. I was looking at American Inc.'s public marketing and noticed: 197 google reviews; no embedded homepage video found. I mapped one private no-cool-call to same-day comfort ad as an example. Did I catch you with 30 seconds?</x:v>
      </x:c>
      <x:c r="AX364" s="60" t="str">
        <x:v>https://www.facebook.com/ads/library/?active_status=active&amp;ad_type=all&amp;country=US&amp;q=American%20Inc.&amp;search_type=keyword_unordered</x:v>
      </x:c>
      <x:c r="AY364" s="60" t="str">
        <x:v>ok:200</x:v>
      </x:c>
      <x:c r="AZ364" s="60" t="n">
        <x:v>46232.722858796296</x:v>
      </x:c>
      <x:c r="BA364" s="60" t="str">
        <x:v>Google Maps home-services export</x:v>
      </x:c>
      <x:c r="BB364" s="60" t="str">
        <x:v>https://americanaironline.com | https://maps.google.com/?cid=2657093240489206799&amp;g_mp=Cidnb29nbGUubWFwcy5wbGFjZXMudjEuUGxhY2VzLlNlYXJjaFRleHQQAhgEIAA</x:v>
      </x:c>
      <x:c r="BC364" s="60" t="str"/>
    </x:row>
    <x:row r="365" ht="18" customHeight="1">
      <x:c r="A365" s="70" t="str">
        <x:v>364</x:v>
      </x:c>
      <x:c r="B365" s="70" t="str">
        <x:v>C - Verify</x:v>
      </x:c>
      <x:c r="C365" s="72" t="str">
        <x:v>54</x:v>
      </x:c>
      <x:c r="D365" s="60" t="str">
        <x:v>Carolina Landscape</x:v>
      </x:c>
      <x:c r="E365" s="60" t="str">
        <x:v>https://carolinalandscape.net</x:v>
      </x:c>
      <x:c r="F365" s="60" t="str">
        <x:v>https://carolinalandscape.net</x:v>
      </x:c>
      <x:c r="G365" s="60" t="str">
        <x:v>Charleston</x:v>
      </x:c>
      <x:c r="H365" s="60" t="str">
        <x:v>South Carolina</x:v>
      </x:c>
      <x:c r="I365" s="60" t="str">
        <x:v>Remodeling</x:v>
      </x:c>
      <x:c r="J365" s="60" t="str">
        <x:v>Sara</x:v>
      </x:c>
      <x:c r="K365" s="60" t="str">
        <x:v>Engstrom</x:v>
      </x:c>
      <x:c r="L365" s="60" t="str">
        <x:v>Co-Owner</x:v>
      </x:c>
      <x:c r="M365" s="60" t="str">
        <x:v>sara@carolinalandscape.net</x:v>
      </x:c>
      <x:c r="N365" s="60" t="str">
        <x:v>Verified with BounceBan on 08 Jun 26 12:06</x:v>
      </x:c>
      <x:c r="O365" s="60" t="str">
        <x:v>+1 954 401 1755</x:v>
      </x:c>
      <x:c r="P365" s="60" t="str">
        <x:v>https://www.linkedin.com/in/saraengstrom</x:v>
      </x:c>
      <x:c r="Q365" s="60" t="str">
        <x:v>11-50</x:v>
      </x:c>
      <x:c r="R365" s="60" t="str">
        <x:v>1000000-4999999</x:v>
      </x:c>
      <x:c r="S365" s="60" t="str"/>
      <x:c r="T365" s="74" t="str">
        <x:v>0</x:v>
      </x:c>
      <x:c r="U365" s="60" t="str"/>
      <x:c r="V365" s="74" t="str">
        <x:v>30</x:v>
      </x:c>
      <x:c r="W365" s="74" t="str">
        <x:v>0</x:v>
      </x:c>
      <x:c r="X365" s="74" t="str">
        <x:v>9</x:v>
      </x:c>
      <x:c r="Y365" s="74" t="str">
        <x:v>5</x:v>
      </x:c>
      <x:c r="Z365" s="74" t="str">
        <x:v>10</x:v>
      </x:c>
      <x:c r="AA365" s="74" t="str">
        <x:v>0</x:v>
      </x:c>
      <x:c r="AB365" s="74" t="str">
        <x:v>0</x:v>
      </x:c>
      <x:c r="AC365" s="74" t="str">
        <x:v>0</x:v>
      </x:c>
      <x:c r="AD365" s="74" t="str">
        <x:v>0</x:v>
      </x:c>
      <x:c r="AE365" s="74" t="str">
        <x:v>0</x:v>
      </x:c>
      <x:c r="AF365" s="74" t="str"/>
      <x:c r="AG365" s="74" t="str">
        <x:v>0</x:v>
      </x:c>
      <x:c r="AH365" s="74" t="str">
        <x:v>1</x:v>
      </x:c>
      <x:c r="AI365" s="74" t="str">
        <x:v>0</x:v>
      </x:c>
      <x:c r="AJ365" s="74" t="str">
        <x:v>0</x:v>
      </x:c>
      <x:c r="AK365" s="74" t="str">
        <x:v>0</x:v>
      </x:c>
      <x:c r="AL365" s="74" t="str">
        <x:v>1</x:v>
      </x:c>
      <x:c r="AM365" s="74" t="str">
        <x:v>1</x:v>
      </x:c>
      <x:c r="AN365" s="74" t="str">
        <x:v>0</x:v>
      </x:c>
      <x:c r="AO365" s="60" t="str">
        <x:v>2022</x:v>
      </x:c>
      <x:c r="AP365" s="76" t="str">
        <x:v>Project/gallery proof found; no embedded homepage video found</x:v>
      </x:c>
      <x:c r="AQ365" s="76" t="str">
        <x:v>project/gallery proof; no embedded homepage video detected</x:v>
      </x:c>
      <x:c r="AR365" s="76" t="str">
        <x:v>I found project/gallery proof on Carolina Landscape's site that could be repackaged into short-form ad concepts.</x:v>
      </x:c>
      <x:c r="AS365" s="76" t="str">
        <x:v>project reveal with budget-and-timeline proof</x:v>
      </x:c>
      <x:c r="AT365" s="76" t="str">
        <x:v>Carolina Landscape ad concept</x:v>
      </x:c>
      <x:c r="AU365" s="76" t="str">
        <x:v>Hi Sara — I found project/gallery proof on Carolina Landscape's site that could be repackaged into short-form ad concepts. I mapped a private 15-second project reveal with budget-and-timeline proof for Carolina Landscape using only public brand context—not for publishing, just to show the angle. We build three client-approved video ad concepts in seven days, then turn the winners into fresh variations. No filming day required. Worth sending the private sample?</x:v>
      </x:c>
      <x:c r="AV365" s="76" t="str">
        <x:v>Quick follow-up: the sample angle is a project reveal with budget-and-timeline proof. If it misses the mark, no problem—I won't keep chasing. Should I send it?</x:v>
      </x:c>
      <x:c r="AW365" s="76" t="str">
        <x:v>Hi Sara, Ryan here. I was looking at Carolina Landscape's public marketing and noticed: project/gallery proof found; no embedded homepage video found. I mapped one private project reveal with budget-and-timeline proof as an example. Did I catch you with 30 seconds?</x:v>
      </x:c>
      <x:c r="AX365" s="60" t="str">
        <x:v>https://www.facebook.com/ads/library/?active_status=active&amp;ad_type=all&amp;country=US&amp;q=Carolina%20Landscape&amp;search_type=keyword_unordered</x:v>
      </x:c>
      <x:c r="AY365" s="60" t="str">
        <x:v>ok:200</x:v>
      </x:c>
      <x:c r="AZ365" s="60" t="n">
        <x:v>46232.722858796296</x:v>
      </x:c>
      <x:c r="BA365" s="60" t="str">
        <x:v>AI Ark SC trades export</x:v>
      </x:c>
      <x:c r="BB365" s="60" t="str">
        <x:v>https://carolinalandscape.net | https://www.linkedin.com/company/carolina-landscape</x:v>
      </x:c>
      <x:c r="BC365" s="60" t="str"/>
    </x:row>
    <x:row r="366" ht="18" customHeight="1">
      <x:c r="A366" s="70" t="str">
        <x:v>365</x:v>
      </x:c>
      <x:c r="B366" s="70" t="str">
        <x:v>C - Verify</x:v>
      </x:c>
      <x:c r="C366" s="72" t="str">
        <x:v>53</x:v>
      </x:c>
      <x:c r="D366" s="60" t="str">
        <x:v>Jani-King International, Inc.</x:v>
      </x:c>
      <x:c r="E366" s="60" t="str">
        <x:v>https://janiking.com</x:v>
      </x:c>
      <x:c r="F366" s="60" t="str">
        <x:v>https://www.janiking.com/</x:v>
      </x:c>
      <x:c r="G366" s="60" t="str">
        <x:v>Simpsonville</x:v>
      </x:c>
      <x:c r="H366" s="60" t="str">
        <x:v>South Carolina</x:v>
      </x:c>
      <x:c r="I366" s="60" t="str">
        <x:v>Cleaning &amp; Exterior Care</x:v>
      </x:c>
      <x:c r="J366" s="60" t="str">
        <x:v>DeBario</x:v>
      </x:c>
      <x:c r="K366" s="60" t="str">
        <x:v>Payton</x:v>
      </x:c>
      <x:c r="L366" s="60" t="str">
        <x:v>Business Owner</x:v>
      </x:c>
      <x:c r="M366" s="60" t="str"/>
      <x:c r="N366" s="60" t="str"/>
      <x:c r="O366" s="60" t="str">
        <x:v>+1 828 242 6348, +1 864 386 4816</x:v>
      </x:c>
      <x:c r="P366" s="60" t="str">
        <x:v>https://www.linkedin.com/in/debario-payton-a2422769</x:v>
      </x:c>
      <x:c r="Q366" s="60" t="str">
        <x:v>10001+</x:v>
      </x:c>
      <x:c r="R366" s="60" t="str">
        <x:v>100000000-499999999</x:v>
      </x:c>
      <x:c r="S366" s="60" t="str"/>
      <x:c r="T366" s="74" t="str">
        <x:v>0</x:v>
      </x:c>
      <x:c r="U366" s="60" t="str"/>
      <x:c r="V366" s="74" t="str">
        <x:v>20</x:v>
      </x:c>
      <x:c r="W366" s="74" t="str">
        <x:v>28</x:v>
      </x:c>
      <x:c r="X366" s="74" t="str">
        <x:v>0</x:v>
      </x:c>
      <x:c r="Y366" s="74" t="str">
        <x:v>0</x:v>
      </x:c>
      <x:c r="Z366" s="74" t="str">
        <x:v>5</x:v>
      </x:c>
      <x:c r="AA366" s="74" t="str">
        <x:v>1</x:v>
      </x:c>
      <x:c r="AB366" s="74" t="str">
        <x:v>1</x:v>
      </x:c>
      <x:c r="AC366" s="74" t="str">
        <x:v>1</x:v>
      </x:c>
      <x:c r="AD366" s="74" t="str">
        <x:v>0</x:v>
      </x:c>
      <x:c r="AE366" s="74" t="str">
        <x:v>0</x:v>
      </x:c>
      <x:c r="AF366" s="74" t="str">
        <x:v>podium</x:v>
      </x:c>
      <x:c r="AG366" s="74" t="str">
        <x:v>1</x:v>
      </x:c>
      <x:c r="AH366" s="74" t="str">
        <x:v>0</x:v>
      </x:c>
      <x:c r="AI366" s="74" t="str">
        <x:v>0</x:v>
      </x:c>
      <x:c r="AJ366" s="74" t="str">
        <x:v>0</x:v>
      </x:c>
      <x:c r="AK366" s="74" t="str">
        <x:v>0</x:v>
      </x:c>
      <x:c r="AL366" s="74" t="str">
        <x:v>1</x:v>
      </x:c>
      <x:c r="AM366" s="74" t="str">
        <x:v>1</x:v>
      </x:c>
      <x:c r="AN366" s="74" t="str">
        <x:v>1</x:v>
      </x:c>
      <x:c r="AO366" s="60" t="str">
        <x:v>2026</x:v>
      </x:c>
      <x:c r="AP366" s="76" t="str">
        <x:v>Paid-demand technology detected; creative refresh hypothesis</x:v>
      </x:c>
      <x:c r="AQ366" s="76" t="str">
        <x:v>Meta Pixel; Google Ads tag</x:v>
      </x:c>
      <x:c r="AR366" s="76" t="str">
        <x:v>I was reviewing cleaning &amp; exterior care companies in Simpsonville, South Carolina and Jani-King International, Inc. looked like a strong fit for a creative test.</x:v>
      </x:c>
      <x:c r="AS366" s="76" t="str">
        <x:v>high-contrast before/after ad</x:v>
      </x:c>
      <x:c r="AT366" s="76" t="str">
        <x:v>Jani-King International, Inc. ad concept</x:v>
      </x:c>
      <x:c r="AU366" s="76" t="str">
        <x:v>Hi DeBario — I was reviewing cleaning &amp; exterior care companies in Simpsonville, South Carolina and Jani-King International, Inc. looked like a strong fit for a creative test. I mapped a private 15-second high-contrast before/after ad for Jani-King International, Inc. using only public brand context—not for publishing, just to show the angle. We build three client-approved video ad concepts in seven days, then turn the winners into fresh variations. No filming day required. Worth sending the private sample?</x:v>
      </x:c>
      <x:c r="AV366" s="76" t="str">
        <x:v>Quick follow-up: the sample angle is a high-contrast before/after ad. If it misses the mark, no problem—I won't keep chasing. Should I send it?</x:v>
      </x:c>
      <x:c r="AW366" s="76" t="str">
        <x:v>Hi DeBario, Ryan here. I was looking at Jani-King International, Inc.'s public marketing and noticed: paid-demand technology detected; creative refresh hypothesis. I mapped one private high-contrast before/after ad as an example. Did I catch you with 30 seconds?</x:v>
      </x:c>
      <x:c r="AX366" s="60" t="str">
        <x:v>https://www.facebook.com/ads/library/?active_status=active&amp;ad_type=all&amp;country=US&amp;q=Jani-King%20International%2C%20Inc.&amp;search_type=keyword_unordered</x:v>
      </x:c>
      <x:c r="AY366" s="60" t="str">
        <x:v>ok:200</x:v>
      </x:c>
      <x:c r="AZ366" s="60" t="n">
        <x:v>46232.722858796296</x:v>
      </x:c>
      <x:c r="BA366" s="60" t="str">
        <x:v>AI Ark SC trades export</x:v>
      </x:c>
      <x:c r="BB366" s="60" t="str">
        <x:v>https://janiking.com | https://www.linkedin.com/company/janikinginternational</x:v>
      </x:c>
      <x:c r="BC366" s="60" t="str"/>
    </x:row>
    <x:row r="367" ht="18" customHeight="1">
      <x:c r="A367" s="70" t="str">
        <x:v>366</x:v>
      </x:c>
      <x:c r="B367" s="70" t="str">
        <x:v>C - Verify</x:v>
      </x:c>
      <x:c r="C367" s="72" t="str">
        <x:v>53</x:v>
      </x:c>
      <x:c r="D367" s="60" t="str">
        <x:v>South Star Granite</x:v>
      </x:c>
      <x:c r="E367" s="60" t="str">
        <x:v>https://southstargranite.net</x:v>
      </x:c>
      <x:c r="F367" s="60" t="str">
        <x:v>https://www.southstargranite.net/</x:v>
      </x:c>
      <x:c r="G367" s="60" t="str">
        <x:v>Myrtle Beach</x:v>
      </x:c>
      <x:c r="H367" s="60" t="str">
        <x:v>South Carolina</x:v>
      </x:c>
      <x:c r="I367" s="60" t="str">
        <x:v>General Contractor</x:v>
      </x:c>
      <x:c r="J367" s="60" t="str">
        <x:v>South Star Granite</x:v>
      </x:c>
      <x:c r="K367" s="60" t="str">
        <x:v>Myrtle Beach</x:v>
      </x:c>
      <x:c r="L367" s="60" t="str">
        <x:v>Business Owner</x:v>
      </x:c>
      <x:c r="M367" s="60" t="str">
        <x:v>myrtlebeach@southstargranite.net</x:v>
      </x:c>
      <x:c r="N367" s="60" t="str">
        <x:v>Verified with BounceBan on 08 Jun 26 12:06</x:v>
      </x:c>
      <x:c r="O367" s="60" t="str">
        <x:v>+1 843 213 1585</x:v>
      </x:c>
      <x:c r="P367" s="60" t="str">
        <x:v>https://www.linkedin.com/in/southstargranite</x:v>
      </x:c>
      <x:c r="Q367" s="60" t="str">
        <x:v>11-50</x:v>
      </x:c>
      <x:c r="R367" s="60" t="str">
        <x:v>500000-999999</x:v>
      </x:c>
      <x:c r="S367" s="60" t="str"/>
      <x:c r="T367" s="74" t="str">
        <x:v>0</x:v>
      </x:c>
      <x:c r="U367" s="60" t="str"/>
      <x:c r="V367" s="74" t="str">
        <x:v>25</x:v>
      </x:c>
      <x:c r="W367" s="74" t="str">
        <x:v>15</x:v>
      </x:c>
      <x:c r="X367" s="74" t="str">
        <x:v>0</x:v>
      </x:c>
      <x:c r="Y367" s="74" t="str">
        <x:v>3</x:v>
      </x:c>
      <x:c r="Z367" s="74" t="str">
        <x:v>10</x:v>
      </x:c>
      <x:c r="AA367" s="74" t="str">
        <x:v>1</x:v>
      </x:c>
      <x:c r="AB367" s="74" t="str">
        <x:v>0</x:v>
      </x:c>
      <x:c r="AC367" s="74" t="str">
        <x:v>1</x:v>
      </x:c>
      <x:c r="AD367" s="74" t="str">
        <x:v>0</x:v>
      </x:c>
      <x:c r="AE367" s="74" t="str">
        <x:v>0</x:v>
      </x:c>
      <x:c r="AF367" s="74" t="str"/>
      <x:c r="AG367" s="74" t="str">
        <x:v>1</x:v>
      </x:c>
      <x:c r="AH367" s="74" t="str">
        <x:v>0</x:v>
      </x:c>
      <x:c r="AI367" s="74" t="str">
        <x:v>0</x:v>
      </x:c>
      <x:c r="AJ367" s="74" t="str">
        <x:v>0</x:v>
      </x:c>
      <x:c r="AK367" s="74" t="str">
        <x:v>1</x:v>
      </x:c>
      <x:c r="AL367" s="74" t="str">
        <x:v>1</x:v>
      </x:c>
      <x:c r="AM367" s="74" t="str">
        <x:v>1</x:v>
      </x:c>
      <x:c r="AN367" s="74" t="str">
        <x:v>1</x:v>
      </x:c>
      <x:c r="AO367" s="60" t="str">
        <x:v>2026</x:v>
      </x:c>
      <x:c r="AP367" s="76" t="str">
        <x:v>Paid-demand technology detected; creative refresh hypothesis</x:v>
      </x:c>
      <x:c r="AQ367" s="76" t="str">
        <x:v>Meta Pixel; visible service offer</x:v>
      </x:c>
      <x:c r="AR367" s="76" t="str">
        <x:v>I was reviewing general contractor companies in Myrtle Beach, South Carolina and South Star Granite looked like a strong fit for a creative test.</x:v>
      </x:c>
      <x:c r="AS367" s="76" t="str">
        <x:v>project walkthrough with proof milestones</x:v>
      </x:c>
      <x:c r="AT367" s="76" t="str">
        <x:v>South Star Granite ad concept</x:v>
      </x:c>
      <x:c r="AU367" s="76" t="str">
        <x:v>Hi South Star Granite — I was reviewing general contractor companies in Myrtle Beach, South Carolina and South Star Granite looked like a strong fit for a creative test. I mapped a private 15-second project walkthrough with proof milestones for South Star Granite using only public brand context—not for publishing, just to show the angle. We build three client-approved video ad concepts in seven days, then turn the winners into fresh variations. No filming day required. Worth sending the private sample?</x:v>
      </x:c>
      <x:c r="AV367" s="76" t="str">
        <x:v>Quick follow-up: the sample angle is a project walkthrough with proof milestones. If it misses the mark, no problem—I won't keep chasing. Should I send it?</x:v>
      </x:c>
      <x:c r="AW367" s="76" t="str">
        <x:v>Hi South Star Granite, Ryan here. I was looking at South Star Granite's public marketing and noticed: paid-demand technology detected; creative refresh hypothesis. I mapped one private project walkthrough with proof milestones as an example. Did I catch you with 30 seconds?</x:v>
      </x:c>
      <x:c r="AX367" s="60" t="str">
        <x:v>https://www.facebook.com/ads/library/?active_status=active&amp;ad_type=all&amp;country=US&amp;q=South%20Star%20Granite&amp;search_type=keyword_unordered</x:v>
      </x:c>
      <x:c r="AY367" s="60" t="str">
        <x:v>ok:200</x:v>
      </x:c>
      <x:c r="AZ367" s="60" t="n">
        <x:v>46232.722858796296</x:v>
      </x:c>
      <x:c r="BA367" s="60" t="str">
        <x:v>AI Ark SC trades export</x:v>
      </x:c>
      <x:c r="BB367" s="60" t="str">
        <x:v>https://southstargranite.net | https://www.linkedin.com/company/southstargranite</x:v>
      </x:c>
      <x:c r="BC367" s="60" t="str"/>
    </x:row>
    <x:row r="368" ht="18" customHeight="1">
      <x:c r="A368" s="70" t="str">
        <x:v>367</x:v>
      </x:c>
      <x:c r="B368" s="70" t="str">
        <x:v>C - Verify</x:v>
      </x:c>
      <x:c r="C368" s="72" t="str">
        <x:v>53</x:v>
      </x:c>
      <x:c r="D368" s="60" t="str">
        <x:v>Cooper Mechanical Services Inc.</x:v>
      </x:c>
      <x:c r="E368" s="60" t="str">
        <x:v>https://coopermechanicalservices.com</x:v>
      </x:c>
      <x:c r="F368" s="60" t="str">
        <x:v>https://www.coopermechanicalservices.com/</x:v>
      </x:c>
      <x:c r="G368" s="60" t="str">
        <x:v>Myrtle Beach</x:v>
      </x:c>
      <x:c r="H368" s="60" t="str">
        <x:v>South Carolina</x:v>
      </x:c>
      <x:c r="I368" s="60" t="str">
        <x:v>HVAC</x:v>
      </x:c>
      <x:c r="J368" s="60" t="str">
        <x:v>Glenn H</x:v>
      </x:c>
      <x:c r="K368" s="60" t="str">
        <x:v>Cooper</x:v>
      </x:c>
      <x:c r="L368" s="60" t="str">
        <x:v>Owner</x:v>
      </x:c>
      <x:c r="M368" s="60" t="str"/>
      <x:c r="N368" s="60" t="str"/>
      <x:c r="O368" s="60" t="str">
        <x:v>+1 843 240 4921, +1 406 861 9923</x:v>
      </x:c>
      <x:c r="P368" s="60" t="str">
        <x:v>https://www.linkedin.com/in/glenn-h-cooper-48b26927</x:v>
      </x:c>
      <x:c r="Q368" s="60" t="str">
        <x:v>51-200</x:v>
      </x:c>
      <x:c r="R368" s="60" t="str">
        <x:v>1000000-4999999</x:v>
      </x:c>
      <x:c r="S368" s="60" t="str"/>
      <x:c r="T368" s="74" t="str">
        <x:v>0</x:v>
      </x:c>
      <x:c r="U368" s="60" t="str"/>
      <x:c r="V368" s="74" t="str">
        <x:v>30</x:v>
      </x:c>
      <x:c r="W368" s="74" t="str">
        <x:v>15</x:v>
      </x:c>
      <x:c r="X368" s="74" t="str">
        <x:v>0</x:v>
      </x:c>
      <x:c r="Y368" s="74" t="str">
        <x:v>3</x:v>
      </x:c>
      <x:c r="Z368" s="74" t="str">
        <x:v>5</x:v>
      </x:c>
      <x:c r="AA368" s="74" t="str">
        <x:v>1</x:v>
      </x:c>
      <x:c r="AB368" s="74" t="str">
        <x:v>0</x:v>
      </x:c>
      <x:c r="AC368" s="74" t="str">
        <x:v>1</x:v>
      </x:c>
      <x:c r="AD368" s="74" t="str">
        <x:v>0</x:v>
      </x:c>
      <x:c r="AE368" s="74" t="str">
        <x:v>0</x:v>
      </x:c>
      <x:c r="AF368" s="74" t="str"/>
      <x:c r="AG368" s="74" t="str">
        <x:v>1</x:v>
      </x:c>
      <x:c r="AH368" s="74" t="str">
        <x:v>0</x:v>
      </x:c>
      <x:c r="AI368" s="74" t="str">
        <x:v>0</x:v>
      </x:c>
      <x:c r="AJ368" s="74" t="str">
        <x:v>0</x:v>
      </x:c>
      <x:c r="AK368" s="74" t="str">
        <x:v>1</x:v>
      </x:c>
      <x:c r="AL368" s="74" t="str">
        <x:v>1</x:v>
      </x:c>
      <x:c r="AM368" s="74" t="str">
        <x:v>1</x:v>
      </x:c>
      <x:c r="AN368" s="74" t="str">
        <x:v>1</x:v>
      </x:c>
      <x:c r="AO368" s="60" t="str">
        <x:v>0</x:v>
      </x:c>
      <x:c r="AP368" s="76" t="str">
        <x:v>Paid-demand technology detected; creative refresh hypothesis</x:v>
      </x:c>
      <x:c r="AQ368" s="76" t="str">
        <x:v>Meta Pixel; visible service offer</x:v>
      </x:c>
      <x:c r="AR368" s="76" t="str">
        <x:v>I was reviewing hvac companies in Myrtle Beach, South Carolina and Cooper Mechanical Services Inc. looked like a strong fit for a creative test.</x:v>
      </x:c>
      <x:c r="AS368" s="76" t="str">
        <x:v>no-cool-call to same-day comfort ad</x:v>
      </x:c>
      <x:c r="AT368" s="76" t="str">
        <x:v>Cooper Mechanical Services Inc. ad concept</x:v>
      </x:c>
      <x:c r="AU368" s="76" t="str">
        <x:v>Hi Glenn H — I was reviewing hvac companies in Myrtle Beach, South Carolina and Cooper Mechanical Services Inc. looked like a strong fit for a creative test. I mapped a private 15-second no-cool-call to same-day comfort ad for Cooper Mechanical Services Inc. using only public brand context—not for publishing, just to show the angle. We build three client-approved video ad concepts in seven days, then turn the winners into fresh variations. No filming day required. Worth sending the private sample?</x:v>
      </x:c>
      <x:c r="AV368" s="76" t="str">
        <x:v>Quick follow-up: the sample angle is a no-cool-call to same-day comfort ad. If it misses the mark, no problem—I won't keep chasing. Should I send it?</x:v>
      </x:c>
      <x:c r="AW368" s="76" t="str">
        <x:v>Hi Glenn H, Ryan here. I was looking at Cooper Mechanical Services Inc.'s public marketing and noticed: paid-demand technology detected; creative refresh hypothesis. I mapped one private no-cool-call to same-day comfort ad as an example. Did I catch you with 30 seconds?</x:v>
      </x:c>
      <x:c r="AX368" s="60" t="str">
        <x:v>https://www.facebook.com/ads/library/?active_status=active&amp;ad_type=all&amp;country=US&amp;q=Cooper%20Mechanical%20Services%20Inc.&amp;search_type=keyword_unordered</x:v>
      </x:c>
      <x:c r="AY368" s="60" t="str">
        <x:v>ok:200</x:v>
      </x:c>
      <x:c r="AZ368" s="60" t="n">
        <x:v>46232.722858796296</x:v>
      </x:c>
      <x:c r="BA368" s="60" t="str">
        <x:v>AI Ark SC trades export</x:v>
      </x:c>
      <x:c r="BB368" s="60" t="str">
        <x:v>https://coopermechanicalservices.com | https://www.linkedin.com/company/cooper-mechanical-services-inc-</x:v>
      </x:c>
      <x:c r="BC368" s="60" t="str"/>
    </x:row>
    <x:row r="369" ht="18" customHeight="1">
      <x:c r="A369" s="70" t="str">
        <x:v>368</x:v>
      </x:c>
      <x:c r="B369" s="70" t="str">
        <x:v>C - Verify</x:v>
      </x:c>
      <x:c r="C369" s="72" t="str">
        <x:v>53</x:v>
      </x:c>
      <x:c r="D369" s="60" t="str">
        <x:v>Spire Contracting LLC</x:v>
      </x:c>
      <x:c r="E369" s="60" t="str">
        <x:v>https://spirecharleston.com</x:v>
      </x:c>
      <x:c r="F369" s="60" t="str">
        <x:v>https://spirecharleston.com</x:v>
      </x:c>
      <x:c r="G369" s="60" t="str">
        <x:v>Charleston</x:v>
      </x:c>
      <x:c r="H369" s="60" t="str">
        <x:v>South Carolina</x:v>
      </x:c>
      <x:c r="I369" s="60" t="str">
        <x:v>Roofing</x:v>
      </x:c>
      <x:c r="J369" s="60" t="str">
        <x:v>Sean</x:v>
      </x:c>
      <x:c r="K369" s="60" t="str">
        <x:v>Oddis</x:v>
      </x:c>
      <x:c r="L369" s="60" t="str">
        <x:v>Founder, Owner</x:v>
      </x:c>
      <x:c r="M369" s="60" t="str">
        <x:v>sean@spirecharleston.com</x:v>
      </x:c>
      <x:c r="N369" s="60" t="str">
        <x:v>Verified with BounceBan on 08 Jun 26 12:06</x:v>
      </x:c>
      <x:c r="O369" s="60" t="str"/>
      <x:c r="P369" s="60" t="str">
        <x:v>https://www.linkedin.com/in/sean-oddis</x:v>
      </x:c>
      <x:c r="Q369" s="60" t="str">
        <x:v>2-10</x:v>
      </x:c>
      <x:c r="R369" s="60" t="str">
        <x:v>100000-499999</x:v>
      </x:c>
      <x:c r="S369" s="60" t="str"/>
      <x:c r="T369" s="74" t="str">
        <x:v>0</x:v>
      </x:c>
      <x:c r="U369" s="60" t="str"/>
      <x:c r="V369" s="74" t="str">
        <x:v>28</x:v>
      </x:c>
      <x:c r="W369" s="74" t="str">
        <x:v>13</x:v>
      </x:c>
      <x:c r="X369" s="74" t="str">
        <x:v>0</x:v>
      </x:c>
      <x:c r="Y369" s="74" t="str">
        <x:v>5</x:v>
      </x:c>
      <x:c r="Z369" s="74" t="str">
        <x:v>7</x:v>
      </x:c>
      <x:c r="AA369" s="74" t="str">
        <x:v>0</x:v>
      </x:c>
      <x:c r="AB369" s="74" t="str">
        <x:v>1</x:v>
      </x:c>
      <x:c r="AC369" s="74" t="str">
        <x:v>1</x:v>
      </x:c>
      <x:c r="AD369" s="74" t="str">
        <x:v>0</x:v>
      </x:c>
      <x:c r="AE369" s="74" t="str">
        <x:v>0</x:v>
      </x:c>
      <x:c r="AF369" s="74" t="str"/>
      <x:c r="AG369" s="74" t="str">
        <x:v>1</x:v>
      </x:c>
      <x:c r="AH369" s="74" t="str">
        <x:v>1</x:v>
      </x:c>
      <x:c r="AI369" s="74" t="str">
        <x:v>0</x:v>
      </x:c>
      <x:c r="AJ369" s="74" t="str">
        <x:v>0</x:v>
      </x:c>
      <x:c r="AK369" s="74" t="str">
        <x:v>0</x:v>
      </x:c>
      <x:c r="AL369" s="74" t="str">
        <x:v>1</x:v>
      </x:c>
      <x:c r="AM369" s="74" t="str">
        <x:v>1</x:v>
      </x:c>
      <x:c r="AN369" s="74" t="str">
        <x:v>0</x:v>
      </x:c>
      <x:c r="AO369" s="60" t="str">
        <x:v>2026</x:v>
      </x:c>
      <x:c r="AP369" s="76" t="str">
        <x:v>Paid-demand technology detected; creative refresh hypothesis</x:v>
      </x:c>
      <x:c r="AQ369" s="76" t="str">
        <x:v>Google Ads tag; project/gallery proof</x:v>
      </x:c>
      <x:c r="AR369" s="76" t="str">
        <x:v>I was reviewing roofing companies in Charleston, South Carolina and Spire Contracting LLC looked like a strong fit for a creative test.</x:v>
      </x:c>
      <x:c r="AS369" s="76" t="str">
        <x:v>storm-to-inspection before/after ad</x:v>
      </x:c>
      <x:c r="AT369" s="76" t="str">
        <x:v>Spire Contracting LLC ad concept</x:v>
      </x:c>
      <x:c r="AU369" s="76" t="str">
        <x:v>Hi Sean — I was reviewing roofing companies in Charleston, South Carolina and Spire Contracting LLC looked like a strong fit for a creative test. I mapped a private 15-second storm-to-inspection before/after ad for Spire Contracting LLC using only public brand context—not for publishing, just to show the angle. We build three client-approved video ad concepts in seven days, then turn the winners into fresh variations. No filming day required. Worth sending the private sample?</x:v>
      </x:c>
      <x:c r="AV369" s="76" t="str">
        <x:v>Quick follow-up: the sample angle is a storm-to-inspection before/after ad. If it misses the mark, no problem—I won't keep chasing. Should I send it?</x:v>
      </x:c>
      <x:c r="AW369" s="76" t="str">
        <x:v>Hi Sean, Ryan here. I was looking at Spire Contracting LLC's public marketing and noticed: paid-demand technology detected; creative refresh hypothesis. I mapped one private storm-to-inspection before/after ad as an example. Did I catch you with 30 seconds?</x:v>
      </x:c>
      <x:c r="AX369" s="60" t="str">
        <x:v>https://www.facebook.com/ads/library/?active_status=active&amp;ad_type=all&amp;country=US&amp;q=Spire%20Contracting%20LLC&amp;search_type=keyword_unordered</x:v>
      </x:c>
      <x:c r="AY369" s="60" t="str">
        <x:v>ok:200</x:v>
      </x:c>
      <x:c r="AZ369" s="60" t="n">
        <x:v>46232.722858796296</x:v>
      </x:c>
      <x:c r="BA369" s="60" t="str">
        <x:v>AI Ark SC trades export</x:v>
      </x:c>
      <x:c r="BB369" s="60" t="str">
        <x:v>https://spirecharleston.com | https://www.linkedin.com/company/spirecharleston</x:v>
      </x:c>
      <x:c r="BC369" s="60" t="str"/>
    </x:row>
    <x:row r="370" ht="18" customHeight="1">
      <x:c r="A370" s="70" t="str">
        <x:v>369</x:v>
      </x:c>
      <x:c r="B370" s="70" t="str">
        <x:v>C - Verify</x:v>
      </x:c>
      <x:c r="C370" s="72" t="str">
        <x:v>53</x:v>
      </x:c>
      <x:c r="D370" s="60" t="str">
        <x:v>Miracle Method Surface Refinishing</x:v>
      </x:c>
      <x:c r="E370" s="60" t="str">
        <x:v>https://miraclemethod.com</x:v>
      </x:c>
      <x:c r="F370" s="60" t="str">
        <x:v>https://www.miraclemethod.com/</x:v>
      </x:c>
      <x:c r="G370" s="60" t="str">
        <x:v>West Columbia</x:v>
      </x:c>
      <x:c r="H370" s="60" t="str">
        <x:v>South Carolina</x:v>
      </x:c>
      <x:c r="I370" s="60" t="str">
        <x:v>Restoration</x:v>
      </x:c>
      <x:c r="J370" s="60" t="str">
        <x:v>Lisa</x:v>
      </x:c>
      <x:c r="K370" s="60" t="str">
        <x:v>Panico-Jackson</x:v>
      </x:c>
      <x:c r="L370" s="60" t="str">
        <x:v>Franchise Owner</x:v>
      </x:c>
      <x:c r="M370" s="60" t="str"/>
      <x:c r="N370" s="60" t="str"/>
      <x:c r="O370" s="60" t="str">
        <x:v>+1 724 454 4549</x:v>
      </x:c>
      <x:c r="P370" s="60" t="str">
        <x:v>https://www.linkedin.com/in/lisa-panico-jackson-ab978124</x:v>
      </x:c>
      <x:c r="Q370" s="60" t="str">
        <x:v>11-50</x:v>
      </x:c>
      <x:c r="R370" s="60" t="str">
        <x:v>10000000-24999999</x:v>
      </x:c>
      <x:c r="S370" s="60" t="str"/>
      <x:c r="T370" s="74" t="str">
        <x:v>0</x:v>
      </x:c>
      <x:c r="U370" s="60" t="str"/>
      <x:c r="V370" s="74" t="str">
        <x:v>30</x:v>
      </x:c>
      <x:c r="W370" s="74" t="str">
        <x:v>13</x:v>
      </x:c>
      <x:c r="X370" s="74" t="str">
        <x:v>0</x:v>
      </x:c>
      <x:c r="Y370" s="74" t="str">
        <x:v>5</x:v>
      </x:c>
      <x:c r="Z370" s="74" t="str">
        <x:v>5</x:v>
      </x:c>
      <x:c r="AA370" s="74" t="str">
        <x:v>0</x:v>
      </x:c>
      <x:c r="AB370" s="74" t="str">
        <x:v>1</x:v>
      </x:c>
      <x:c r="AC370" s="74" t="str">
        <x:v>1</x:v>
      </x:c>
      <x:c r="AD370" s="74" t="str">
        <x:v>0</x:v>
      </x:c>
      <x:c r="AE370" s="74" t="str">
        <x:v>0</x:v>
      </x:c>
      <x:c r="AF370" s="74" t="str"/>
      <x:c r="AG370" s="74" t="str">
        <x:v>1</x:v>
      </x:c>
      <x:c r="AH370" s="74" t="str">
        <x:v>1</x:v>
      </x:c>
      <x:c r="AI370" s="74" t="str">
        <x:v>0</x:v>
      </x:c>
      <x:c r="AJ370" s="74" t="str">
        <x:v>0</x:v>
      </x:c>
      <x:c r="AK370" s="74" t="str">
        <x:v>0</x:v>
      </x:c>
      <x:c r="AL370" s="74" t="str">
        <x:v>1</x:v>
      </x:c>
      <x:c r="AM370" s="74" t="str">
        <x:v>1</x:v>
      </x:c>
      <x:c r="AN370" s="74" t="str">
        <x:v>0</x:v>
      </x:c>
      <x:c r="AO370" s="60" t="str">
        <x:v>2026</x:v>
      </x:c>
      <x:c r="AP370" s="76" t="str">
        <x:v>Paid-demand technology detected; creative refresh hypothesis</x:v>
      </x:c>
      <x:c r="AQ370" s="76" t="str">
        <x:v>Google Ads tag; project/gallery proof</x:v>
      </x:c>
      <x:c r="AR370" s="76" t="str">
        <x:v>I was reviewing restoration companies in West Columbia, South Carolina and Miracle Method Surface Refinishing looked like a strong fit for a creative test.</x:v>
      </x:c>
      <x:c r="AS370" s="76" t="str">
        <x:v>first-24-hours emergency-response ad</x:v>
      </x:c>
      <x:c r="AT370" s="76" t="str">
        <x:v>Miracle Method Surface Refinishing ad concept</x:v>
      </x:c>
      <x:c r="AU370" s="76" t="str">
        <x:v>Hi Lisa — I was reviewing restoration companies in West Columbia, South Carolina and Miracle Method Surface Refinishing looked like a strong fit for a creative test. I mapped a private 15-second first-24-hours emergency-response ad for Miracle Method Surface Refinishing using only public brand context—not for publishing, just to show the angle. We build three client-approved video ad concepts in seven days, then turn the winners into fresh variations. No filming day required. Worth sending the private sample?</x:v>
      </x:c>
      <x:c r="AV370" s="76" t="str">
        <x:v>Quick follow-up: the sample angle is a first-24-hours emergency-response ad. If it misses the mark, no problem—I won't keep chasing. Should I send it?</x:v>
      </x:c>
      <x:c r="AW370" s="76" t="str">
        <x:v>Hi Lisa, Ryan here. I was looking at Miracle Method Surface Refinishing's public marketing and noticed: paid-demand technology detected; creative refresh hypothesis. I mapped one private first-24-hours emergency-response ad as an example. Did I catch you with 30 seconds?</x:v>
      </x:c>
      <x:c r="AX370" s="60" t="str">
        <x:v>https://www.facebook.com/ads/library/?active_status=active&amp;ad_type=all&amp;country=US&amp;q=Miracle%20Method%20Surface%20Refinishing&amp;search_type=keyword_unordered</x:v>
      </x:c>
      <x:c r="AY370" s="60" t="str">
        <x:v>ok:200</x:v>
      </x:c>
      <x:c r="AZ370" s="60" t="n">
        <x:v>46232.722858796296</x:v>
      </x:c>
      <x:c r="BA370" s="60" t="str">
        <x:v>AI Ark SC trades export</x:v>
      </x:c>
      <x:c r="BB370" s="60" t="str">
        <x:v>https://miraclemethod.com | https://www.linkedin.com/company/miracle-method-surface-refinishing</x:v>
      </x:c>
      <x:c r="BC370" s="60" t="str"/>
    </x:row>
    <x:row r="371" ht="18" customHeight="1">
      <x:c r="A371" s="70" t="str">
        <x:v>370</x:v>
      </x:c>
      <x:c r="B371" s="70" t="str">
        <x:v>C - Verify</x:v>
      </x:c>
      <x:c r="C371" s="72" t="str">
        <x:v>53</x:v>
      </x:c>
      <x:c r="D371" s="60" t="str">
        <x:v>Energy One America</x:v>
      </x:c>
      <x:c r="E371" s="60" t="str">
        <x:v>https://energyoneamerica.com</x:v>
      </x:c>
      <x:c r="F371" s="60" t="str">
        <x:v>https://energyoneamerica.com</x:v>
      </x:c>
      <x:c r="G371" s="60" t="str">
        <x:v>Charleston County</x:v>
      </x:c>
      <x:c r="H371" s="60" t="str">
        <x:v>South Carolina</x:v>
      </x:c>
      <x:c r="I371" s="60" t="str">
        <x:v>Roofing</x:v>
      </x:c>
      <x:c r="J371" s="60" t="str">
        <x:v>Clint</x:v>
      </x:c>
      <x:c r="K371" s="60" t="str">
        <x:v>Allen</x:v>
      </x:c>
      <x:c r="L371" s="60" t="str">
        <x:v>Owner and Chief Executive</x:v>
      </x:c>
      <x:c r="M371" s="60" t="str">
        <x:v>clint@energyoneamerica.com</x:v>
      </x:c>
      <x:c r="N371" s="60" t="str">
        <x:v>Verified with BounceBan on 08 Jun 26 12:06</x:v>
      </x:c>
      <x:c r="O371" s="60" t="str"/>
      <x:c r="P371" s="60" t="str">
        <x:v>https://www.linkedin.com/in/clintballen</x:v>
      </x:c>
      <x:c r="Q371" s="60" t="str">
        <x:v>51-200</x:v>
      </x:c>
      <x:c r="R371" s="60" t="str">
        <x:v>1000000-4999999</x:v>
      </x:c>
      <x:c r="S371" s="60" t="str"/>
      <x:c r="T371" s="74" t="str">
        <x:v>0</x:v>
      </x:c>
      <x:c r="U371" s="60" t="str"/>
      <x:c r="V371" s="74" t="str">
        <x:v>30</x:v>
      </x:c>
      <x:c r="W371" s="74" t="str">
        <x:v>11</x:v>
      </x:c>
      <x:c r="X371" s="74" t="str">
        <x:v>0</x:v>
      </x:c>
      <x:c r="Y371" s="74" t="str">
        <x:v>5</x:v>
      </x:c>
      <x:c r="Z371" s="74" t="str">
        <x:v>7</x:v>
      </x:c>
      <x:c r="AA371" s="74" t="str">
        <x:v>0</x:v>
      </x:c>
      <x:c r="AB371" s="74" t="str">
        <x:v>0</x:v>
      </x:c>
      <x:c r="AC371" s="74" t="str">
        <x:v>1</x:v>
      </x:c>
      <x:c r="AD371" s="74" t="str">
        <x:v>0</x:v>
      </x:c>
      <x:c r="AE371" s="74" t="str">
        <x:v>1</x:v>
      </x:c>
      <x:c r="AF371" s="74" t="str"/>
      <x:c r="AG371" s="74" t="str">
        <x:v>1</x:v>
      </x:c>
      <x:c r="AH371" s="74" t="str">
        <x:v>1</x:v>
      </x:c>
      <x:c r="AI371" s="74" t="str">
        <x:v>0</x:v>
      </x:c>
      <x:c r="AJ371" s="74" t="str">
        <x:v>0</x:v>
      </x:c>
      <x:c r="AK371" s="74" t="str">
        <x:v>0</x:v>
      </x:c>
      <x:c r="AL371" s="74" t="str">
        <x:v>0</x:v>
      </x:c>
      <x:c r="AM371" s="74" t="str">
        <x:v>1</x:v>
      </x:c>
      <x:c r="AN371" s="74" t="str">
        <x:v>1</x:v>
      </x:c>
      <x:c r="AO371" s="60" t="str">
        <x:v>2025</x:v>
      </x:c>
      <x:c r="AP371" s="76" t="str">
        <x:v>Paid-demand technology detected; creative refresh hypothesis</x:v>
      </x:c>
      <x:c r="AQ371" s="76" t="str">
        <x:v>call tracking; project/gallery proof</x:v>
      </x:c>
      <x:c r="AR371" s="76" t="str">
        <x:v>I was reviewing roofing companies in Charleston County, South Carolina and Energy One America looked like a strong fit for a creative test.</x:v>
      </x:c>
      <x:c r="AS371" s="76" t="str">
        <x:v>storm-to-inspection before/after ad</x:v>
      </x:c>
      <x:c r="AT371" s="76" t="str">
        <x:v>Energy One America ad concept</x:v>
      </x:c>
      <x:c r="AU371" s="76" t="str">
        <x:v>Hi Clint — I was reviewing roofing companies in Charleston County, South Carolina and Energy One America looked like a strong fit for a creative test. I mapped a private 15-second storm-to-inspection before/after ad for Energy One America using only public brand context—not for publishing, just to show the angle. We build three client-approved video ad concepts in seven days, then turn the winners into fresh variations. No filming day required. Worth sending the private sample?</x:v>
      </x:c>
      <x:c r="AV371" s="76" t="str">
        <x:v>Quick follow-up: the sample angle is a storm-to-inspection before/after ad. If it misses the mark, no problem—I won't keep chasing. Should I send it?</x:v>
      </x:c>
      <x:c r="AW371" s="76" t="str">
        <x:v>Hi Clint, Ryan here. I was looking at Energy One America's public marketing and noticed: paid-demand technology detected; creative refresh hypothesis. I mapped one private storm-to-inspection before/after ad as an example. Did I catch you with 30 seconds?</x:v>
      </x:c>
      <x:c r="AX371" s="60" t="str">
        <x:v>https://www.facebook.com/ads/library/?active_status=active&amp;ad_type=all&amp;country=US&amp;q=Energy%20One%20America&amp;search_type=keyword_unordered</x:v>
      </x:c>
      <x:c r="AY371" s="60" t="str">
        <x:v>ok:200</x:v>
      </x:c>
      <x:c r="AZ371" s="60" t="n">
        <x:v>46232.722858796296</x:v>
      </x:c>
      <x:c r="BA371" s="60" t="str">
        <x:v>AI Ark SC trades export</x:v>
      </x:c>
      <x:c r="BB371" s="60" t="str">
        <x:v>https://energyoneamerica.com | https://www.linkedin.com/company/energy-one-america</x:v>
      </x:c>
      <x:c r="BC371" s="60" t="str"/>
    </x:row>
    <x:row r="372" ht="18" customHeight="1">
      <x:c r="A372" s="70" t="str">
        <x:v>371</x:v>
      </x:c>
      <x:c r="B372" s="70" t="str">
        <x:v>C - Verify</x:v>
      </x:c>
      <x:c r="C372" s="72" t="str">
        <x:v>53</x:v>
      </x:c>
      <x:c r="D372" s="60" t="str">
        <x:v>Tip Top Garage Doors Fort Mill</x:v>
      </x:c>
      <x:c r="E372" s="60" t="str">
        <x:v>https://tiptopgaragedoors.com</x:v>
      </x:c>
      <x:c r="F372" s="60" t="str">
        <x:v>https://www.tiptopgaragedoors.com/</x:v>
      </x:c>
      <x:c r="G372" s="60" t="str">
        <x:v>Rock Hill</x:v>
      </x:c>
      <x:c r="H372" s="60" t="str">
        <x:v>South Carolina</x:v>
      </x:c>
      <x:c r="I372" s="60" t="str">
        <x:v>Garage Doors</x:v>
      </x:c>
      <x:c r="J372" s="60" t="str">
        <x:v>Tip Top Garage Doors Fort Mill</x:v>
      </x:c>
      <x:c r="K372" s="60" t="str"/>
      <x:c r="L372" s="60" t="str">
        <x:v>Owner / decision maker to verify</x:v>
      </x:c>
      <x:c r="M372" s="60" t="str"/>
      <x:c r="N372" s="60" t="str"/>
      <x:c r="O372" s="60" t="str">
        <x:v>(803) 659-3272</x:v>
      </x:c>
      <x:c r="P372" s="60" t="str"/>
      <x:c r="Q372" s="60" t="str"/>
      <x:c r="R372" s="60" t="str"/>
      <x:c r="S372" s="60" t="str">
        <x:v>4.9</x:v>
      </x:c>
      <x:c r="T372" s="74" t="str">
        <x:v>561</x:v>
      </x:c>
      <x:c r="U372" s="60" t="str"/>
      <x:c r="V372" s="74" t="str">
        <x:v>25</x:v>
      </x:c>
      <x:c r="W372" s="74" t="str">
        <x:v>6</x:v>
      </x:c>
      <x:c r="X372" s="74" t="str">
        <x:v>6</x:v>
      </x:c>
      <x:c r="Y372" s="74" t="str">
        <x:v>11</x:v>
      </x:c>
      <x:c r="Z372" s="74" t="str">
        <x:v>5</x:v>
      </x:c>
      <x:c r="AA372" s="74" t="str">
        <x:v>0</x:v>
      </x:c>
      <x:c r="AB372" s="74" t="str">
        <x:v>0</x:v>
      </x:c>
      <x:c r="AC372" s="74" t="str">
        <x:v>1</x:v>
      </x:c>
      <x:c r="AD372" s="74" t="str">
        <x:v>0</x:v>
      </x:c>
      <x:c r="AE372" s="74" t="str">
        <x:v>0</x:v>
      </x:c>
      <x:c r="AF372" s="74" t="str">
        <x:v>servicetitan</x:v>
      </x:c>
      <x:c r="AG372" s="74" t="str">
        <x:v>0</x:v>
      </x:c>
      <x:c r="AH372" s="74" t="str">
        <x:v>1</x:v>
      </x:c>
      <x:c r="AI372" s="74" t="str">
        <x:v>0</x:v>
      </x:c>
      <x:c r="AJ372" s="74" t="str">
        <x:v>0</x:v>
      </x:c>
      <x:c r="AK372" s="74" t="str">
        <x:v>1</x:v>
      </x:c>
      <x:c r="AL372" s="74" t="str">
        <x:v>1</x:v>
      </x:c>
      <x:c r="AM372" s="74" t="str">
        <x:v>1</x:v>
      </x:c>
      <x:c r="AN372" s="74" t="str">
        <x:v>1</x:v>
      </x:c>
      <x:c r="AO372" s="60" t="str">
        <x:v>0</x:v>
      </x:c>
      <x:c r="AP372" s="76" t="str">
        <x:v>Project/gallery proof found; no embedded homepage video found</x:v>
      </x:c>
      <x:c r="AQ372" s="76" t="str">
        <x:v>project/gallery proof; visible service offer; no embedded homepage video detected</x:v>
      </x:c>
      <x:c r="AR372" s="76" t="str">
        <x:v>I found project/gallery proof on Tip Top Garage Doors Fort Mill's site that could be repackaged into short-form ad concepts.</x:v>
      </x:c>
      <x:c r="AS372" s="76" t="str">
        <x:v>curb-appeal transformation ad</x:v>
      </x:c>
      <x:c r="AT372" s="76" t="str">
        <x:v>Tip Top Garage Doors Fort Mill ad concept</x:v>
      </x:c>
      <x:c r="AU372" s="76" t="str">
        <x:v>Hi Tip Top Garage Doors Fort Mill — I found project/gallery proof on Tip Top Garage Doors Fort Mill's site that could be repackaged into short-form ad concepts. I mapped a private 15-second curb-appeal transformation ad for Tip Top Garage Doors Fort Mill using only public brand context—not for publishing, just to show the angle. We build three client-approved video ad concepts in seven days, then turn the winners into fresh variations. No filming day required. Worth sending the private sample?</x:v>
      </x:c>
      <x:c r="AV372" s="76" t="str">
        <x:v>Quick follow-up: the sample angle is a curb-appeal transformation ad. If it misses the mark, no problem—I won't keep chasing. Should I send it?</x:v>
      </x:c>
      <x:c r="AW372" s="76" t="str">
        <x:v>Hi Tip Top Garage Doors Fort Mill, Ryan here. I was looking at Tip Top Garage Doors Fort Mill's public marketing and noticed: project/gallery proof found; no embedded homepage video found. I mapped one private curb-appeal transformation ad as an example. Did I catch you with 30 seconds?</x:v>
      </x:c>
      <x:c r="AX372" s="60" t="str">
        <x:v>https://www.facebook.com/ads/library/?active_status=active&amp;ad_type=all&amp;country=US&amp;q=Tip%20Top%20Garage%20Doors%20Fort%20Mill&amp;search_type=keyword_unordered</x:v>
      </x:c>
      <x:c r="AY372" s="60" t="str">
        <x:v>ok:200</x:v>
      </x:c>
      <x:c r="AZ372" s="60" t="n">
        <x:v>46232.722858796296</x:v>
      </x:c>
      <x:c r="BA372" s="60" t="str">
        <x:v>Google Maps home-services export</x:v>
      </x:c>
      <x:c r="BB372" s="60" t="str">
        <x:v>https://maps.google.com/?cid=1704173866222100024&amp;g_mp=Cidnb29nbGUubWFwcy5wbGFjZXMudjEuUGxhY2VzLlNlYXJjaFRleHQQAhgEIAA | https://tiptopgaragedoors.com</x:v>
      </x:c>
      <x:c r="BC372" s="60" t="str"/>
    </x:row>
    <x:row r="373" ht="18" customHeight="1">
      <x:c r="A373" s="70" t="str">
        <x:v>372</x:v>
      </x:c>
      <x:c r="B373" s="70" t="str">
        <x:v>C - Verify</x:v>
      </x:c>
      <x:c r="C373" s="72" t="str">
        <x:v>53</x:v>
      </x:c>
      <x:c r="D373" s="60" t="str">
        <x:v>Sterling Craft Plumbing</x:v>
      </x:c>
      <x:c r="E373" s="60" t="str">
        <x:v>https://sterlingcraftplumbing.com</x:v>
      </x:c>
      <x:c r="F373" s="60" t="str">
        <x:v>https://www.sterlingcraftplumbing.com/</x:v>
      </x:c>
      <x:c r="G373" s="60" t="str">
        <x:v>Spartanburg</x:v>
      </x:c>
      <x:c r="H373" s="60" t="str">
        <x:v>South Carolina</x:v>
      </x:c>
      <x:c r="I373" s="60" t="str">
        <x:v>Plumbing</x:v>
      </x:c>
      <x:c r="J373" s="60" t="str">
        <x:v>Sterling Craft Plumbing</x:v>
      </x:c>
      <x:c r="K373" s="60" t="str"/>
      <x:c r="L373" s="60" t="str">
        <x:v>Owner / decision maker to verify</x:v>
      </x:c>
      <x:c r="M373" s="60" t="str"/>
      <x:c r="N373" s="60" t="str"/>
      <x:c r="O373" s="60" t="str">
        <x:v>(864) 810-1010</x:v>
      </x:c>
      <x:c r="P373" s="60" t="str"/>
      <x:c r="Q373" s="60" t="str"/>
      <x:c r="R373" s="60" t="str"/>
      <x:c r="S373" s="60" t="str">
        <x:v>4.9</x:v>
      </x:c>
      <x:c r="T373" s="74" t="str">
        <x:v>361</x:v>
      </x:c>
      <x:c r="U373" s="60" t="str"/>
      <x:c r="V373" s="74" t="str">
        <x:v>25</x:v>
      </x:c>
      <x:c r="W373" s="74" t="str">
        <x:v>6</x:v>
      </x:c>
      <x:c r="X373" s="74" t="str">
        <x:v>6</x:v>
      </x:c>
      <x:c r="Y373" s="74" t="str">
        <x:v>11</x:v>
      </x:c>
      <x:c r="Z373" s="74" t="str">
        <x:v>5</x:v>
      </x:c>
      <x:c r="AA373" s="74" t="str">
        <x:v>0</x:v>
      </x:c>
      <x:c r="AB373" s="74" t="str">
        <x:v>0</x:v>
      </x:c>
      <x:c r="AC373" s="74" t="str">
        <x:v>1</x:v>
      </x:c>
      <x:c r="AD373" s="74" t="str">
        <x:v>0</x:v>
      </x:c>
      <x:c r="AE373" s="74" t="str">
        <x:v>0</x:v>
      </x:c>
      <x:c r="AF373" s="74" t="str">
        <x:v>servicetitan</x:v>
      </x:c>
      <x:c r="AG373" s="74" t="str">
        <x:v>0</x:v>
      </x:c>
      <x:c r="AH373" s="74" t="str">
        <x:v>1</x:v>
      </x:c>
      <x:c r="AI373" s="74" t="str">
        <x:v>0</x:v>
      </x:c>
      <x:c r="AJ373" s="74" t="str">
        <x:v>0</x:v>
      </x:c>
      <x:c r="AK373" s="74" t="str">
        <x:v>1</x:v>
      </x:c>
      <x:c r="AL373" s="74" t="str">
        <x:v>1</x:v>
      </x:c>
      <x:c r="AM373" s="74" t="str">
        <x:v>1</x:v>
      </x:c>
      <x:c r="AN373" s="74" t="str">
        <x:v>0</x:v>
      </x:c>
      <x:c r="AO373" s="60" t="str">
        <x:v>2026</x:v>
      </x:c>
      <x:c r="AP373" s="76" t="str">
        <x:v>Project/gallery proof found; no embedded homepage video found</x:v>
      </x:c>
      <x:c r="AQ373" s="76" t="str">
        <x:v>project/gallery proof; visible service offer; no embedded homepage video detected</x:v>
      </x:c>
      <x:c r="AR373" s="76" t="str">
        <x:v>I found project/gallery proof on Sterling Craft Plumbing's site that could be repackaged into short-form ad concepts.</x:v>
      </x:c>
      <x:c r="AS373" s="76" t="str">
        <x:v>small symptom to prevented-emergency ad</x:v>
      </x:c>
      <x:c r="AT373" s="76" t="str">
        <x:v>Sterling Craft Plumbing ad concept</x:v>
      </x:c>
      <x:c r="AU373" s="76" t="str">
        <x:v>Hi Sterling Craft Plumbing — I found project/gallery proof on Sterling Craft Plumbing's site that could be repackaged into short-form ad concepts. I mapped a private 15-second small symptom to prevented-emergency ad for Sterling Craft Plumbing using only public brand context—not for publishing, just to show the angle. We build three client-approved video ad concepts in seven days, then turn the winners into fresh variations. No filming day required. Worth sending the private sample?</x:v>
      </x:c>
      <x:c r="AV373" s="76" t="str">
        <x:v>Quick follow-up: the sample angle is a small symptom to prevented-emergency ad. If it misses the mark, no problem—I won't keep chasing. Should I send it?</x:v>
      </x:c>
      <x:c r="AW373" s="76" t="str">
        <x:v>Hi Sterling Craft Plumbing, Ryan here. I was looking at Sterling Craft Plumbing's public marketing and noticed: project/gallery proof found; no embedded homepage video found. I mapped one private small symptom to prevented-emergency ad as an example. Did I catch you with 30 seconds?</x:v>
      </x:c>
      <x:c r="AX373" s="60" t="str">
        <x:v>https://www.facebook.com/ads/library/?active_status=active&amp;ad_type=all&amp;country=US&amp;q=Sterling%20Craft%20Plumbing&amp;search_type=keyword_unordered</x:v>
      </x:c>
      <x:c r="AY373" s="60" t="str">
        <x:v>ok:200</x:v>
      </x:c>
      <x:c r="AZ373" s="60" t="n">
        <x:v>46232.722858796296</x:v>
      </x:c>
      <x:c r="BA373" s="60" t="str">
        <x:v>Google Maps home-services export</x:v>
      </x:c>
      <x:c r="BB373" s="60" t="str">
        <x:v>https://maps.google.com/?cid=18128965243243720379&amp;g_mp=Cidnb29nbGUubWFwcy5wbGFjZXMudjEuUGxhY2VzLlNlYXJjaFRleHQQAhgEIAA | https://sterlingcraftplumbing.com</x:v>
      </x:c>
      <x:c r="BC373" s="60" t="str"/>
    </x:row>
    <x:row r="374" ht="18" customHeight="1">
      <x:c r="A374" s="70" t="str">
        <x:v>373</x:v>
      </x:c>
      <x:c r="B374" s="70" t="str">
        <x:v>C - Verify</x:v>
      </x:c>
      <x:c r="C374" s="72" t="str">
        <x:v>53</x:v>
      </x:c>
      <x:c r="D374" s="60" t="str">
        <x:v>Beaufort Air Conditioning</x:v>
      </x:c>
      <x:c r="E374" s="60" t="str">
        <x:v>https://beaufortairconditioning.com</x:v>
      </x:c>
      <x:c r="F374" s="60" t="str">
        <x:v>https://beaufortairconditioning.com</x:v>
      </x:c>
      <x:c r="G374" s="60" t="str">
        <x:v>Beaufort</x:v>
      </x:c>
      <x:c r="H374" s="60" t="str">
        <x:v>South Carolina</x:v>
      </x:c>
      <x:c r="I374" s="60" t="str">
        <x:v>HVAC</x:v>
      </x:c>
      <x:c r="J374" s="60" t="str">
        <x:v>Beaufort Air Conditioning</x:v>
      </x:c>
      <x:c r="K374" s="60" t="str"/>
      <x:c r="L374" s="60" t="str">
        <x:v>Owner / decision maker to verify</x:v>
      </x:c>
      <x:c r="M374" s="60" t="str"/>
      <x:c r="N374" s="60" t="str"/>
      <x:c r="O374" s="60" t="str">
        <x:v>(843) 524-0996</x:v>
      </x:c>
      <x:c r="P374" s="60" t="str"/>
      <x:c r="Q374" s="60" t="str"/>
      <x:c r="R374" s="60" t="str"/>
      <x:c r="S374" s="60" t="str">
        <x:v>4.9</x:v>
      </x:c>
      <x:c r="T374" s="74" t="str">
        <x:v>492</x:v>
      </x:c>
      <x:c r="U374" s="60" t="str"/>
      <x:c r="V374" s="74" t="str">
        <x:v>29</x:v>
      </x:c>
      <x:c r="W374" s="74" t="str">
        <x:v>6</x:v>
      </x:c>
      <x:c r="X374" s="74" t="str">
        <x:v>3</x:v>
      </x:c>
      <x:c r="Y374" s="74" t="str">
        <x:v>10</x:v>
      </x:c>
      <x:c r="Z374" s="74" t="str">
        <x:v>5</x:v>
      </x:c>
      <x:c r="AA374" s="74" t="str">
        <x:v>0</x:v>
      </x:c>
      <x:c r="AB374" s="74" t="str">
        <x:v>0</x:v>
      </x:c>
      <x:c r="AC374" s="74" t="str">
        <x:v>1</x:v>
      </x:c>
      <x:c r="AD374" s="74" t="str">
        <x:v>0</x:v>
      </x:c>
      <x:c r="AE374" s="74" t="str">
        <x:v>0</x:v>
      </x:c>
      <x:c r="AF374" s="74" t="str">
        <x:v>podium</x:v>
      </x:c>
      <x:c r="AG374" s="74" t="str">
        <x:v>1</x:v>
      </x:c>
      <x:c r="AH374" s="74" t="str">
        <x:v>0</x:v>
      </x:c>
      <x:c r="AI374" s="74" t="str">
        <x:v>1</x:v>
      </x:c>
      <x:c r="AJ374" s="74" t="str">
        <x:v>0</x:v>
      </x:c>
      <x:c r="AK374" s="74" t="str">
        <x:v>1</x:v>
      </x:c>
      <x:c r="AL374" s="74" t="str">
        <x:v>1</x:v>
      </x:c>
      <x:c r="AM374" s="74" t="str">
        <x:v>1</x:v>
      </x:c>
      <x:c r="AN374" s="74" t="str">
        <x:v>0</x:v>
      </x:c>
      <x:c r="AO374" s="60" t="str">
        <x:v>2024</x:v>
      </x:c>
      <x:c r="AP374" s="76" t="str">
        <x:v>ICP fit; paid-demand need requires manual verification</x:v>
      </x:c>
      <x:c r="AQ374" s="76" t="str">
        <x:v>testimonials; visible service offer</x:v>
      </x:c>
      <x:c r="AR374" s="76" t="str">
        <x:v>I was reviewing hvac companies in Beaufort, South Carolina and Beaufort Air Conditioning looked like a strong fit for a creative test.</x:v>
      </x:c>
      <x:c r="AS374" s="76" t="str">
        <x:v>no-cool-call to same-day comfort ad</x:v>
      </x:c>
      <x:c r="AT374" s="76" t="str">
        <x:v>Beaufort Air Conditioning ad concept</x:v>
      </x:c>
      <x:c r="AU374" s="76" t="str">
        <x:v>Hi Beaufort Air Conditioning — I was reviewing hvac companies in Beaufort, South Carolina and Beaufort Air Conditioning looked like a strong fit for a creative test. I mapped a private 15-second no-cool-call to same-day comfort ad for Beaufort Air Conditioning using only public brand context—not for publishing, just to show the angle. We build three client-approved video ad concepts in seven days, then turn the winners into fresh variations. No filming day required. Worth sending the private sample?</x:v>
      </x:c>
      <x:c r="AV374" s="76" t="str">
        <x:v>Quick follow-up: the sample angle is a no-cool-call to same-day comfort ad. If it misses the mark, no problem—I won't keep chasing. Should I send it?</x:v>
      </x:c>
      <x:c r="AW374" s="76" t="str">
        <x:v>Hi Beaufort Air Conditioning, Ryan here. I was looking at Beaufort Air Conditioning's public marketing and noticed: icp fit; paid-demand need requires manual verification. I mapped one private no-cool-call to same-day comfort ad as an example. Did I catch you with 30 seconds?</x:v>
      </x:c>
      <x:c r="AX374" s="60" t="str">
        <x:v>https://www.facebook.com/ads/library/?active_status=active&amp;ad_type=all&amp;country=US&amp;q=Beaufort%20Air%20Conditioning&amp;search_type=keyword_unordered</x:v>
      </x:c>
      <x:c r="AY374" s="60" t="str">
        <x:v>ok:200</x:v>
      </x:c>
      <x:c r="AZ374" s="60" t="n">
        <x:v>46232.722858796296</x:v>
      </x:c>
      <x:c r="BA374" s="60" t="str">
        <x:v>Google Maps home-services export</x:v>
      </x:c>
      <x:c r="BB374" s="60" t="str">
        <x:v>https://beaufortairconditioning.com | https://maps.google.com/?cid=2878591730042543024&amp;g_mp=Cidnb29nbGUubWFwcy5wbGFjZXMudjEuUGxhY2VzLlNlYXJjaFRleHQQAhgEIAA</x:v>
      </x:c>
      <x:c r="BC374" s="60" t="str"/>
    </x:row>
    <x:row r="375" ht="18" customHeight="1">
      <x:c r="A375" s="70" t="str">
        <x:v>374</x:v>
      </x:c>
      <x:c r="B375" s="70" t="str">
        <x:v>C - Verify</x:v>
      </x:c>
      <x:c r="C375" s="72" t="str">
        <x:v>53</x:v>
      </x:c>
      <x:c r="D375" s="60" t="str">
        <x:v>Powell Roofing LLC</x:v>
      </x:c>
      <x:c r="E375" s="60" t="str">
        <x:v>https://powellroofingllc.com</x:v>
      </x:c>
      <x:c r="F375" s="60" t="str">
        <x:v>https://powellroofingllc.com</x:v>
      </x:c>
      <x:c r="G375" s="60" t="str">
        <x:v>Mount Pleasant</x:v>
      </x:c>
      <x:c r="H375" s="60" t="str">
        <x:v>South Carolina</x:v>
      </x:c>
      <x:c r="I375" s="60" t="str">
        <x:v>Roofing</x:v>
      </x:c>
      <x:c r="J375" s="60" t="str">
        <x:v>Powell Roofing LLC</x:v>
      </x:c>
      <x:c r="K375" s="60" t="str"/>
      <x:c r="L375" s="60" t="str">
        <x:v>Owner / decision maker to verify</x:v>
      </x:c>
      <x:c r="M375" s="60" t="str"/>
      <x:c r="N375" s="60" t="str"/>
      <x:c r="O375" s="60" t="str">
        <x:v>(843) 270-2421</x:v>
      </x:c>
      <x:c r="P375" s="60" t="str"/>
      <x:c r="Q375" s="60" t="str"/>
      <x:c r="R375" s="60" t="str"/>
      <x:c r="S375" s="60" t="str">
        <x:v>4.9</x:v>
      </x:c>
      <x:c r="T375" s="74" t="str">
        <x:v>377</x:v>
      </x:c>
      <x:c r="U375" s="60" t="str"/>
      <x:c r="V375" s="74" t="str">
        <x:v>30</x:v>
      </x:c>
      <x:c r="W375" s="74" t="str">
        <x:v>3</x:v>
      </x:c>
      <x:c r="X375" s="74" t="str">
        <x:v>0</x:v>
      </x:c>
      <x:c r="Y375" s="74" t="str">
        <x:v>15</x:v>
      </x:c>
      <x:c r="Z375" s="74" t="str">
        <x:v>5</x:v>
      </x:c>
      <x:c r="AA375" s="74" t="str">
        <x:v>0</x:v>
      </x:c>
      <x:c r="AB375" s="74" t="str">
        <x:v>0</x:v>
      </x:c>
      <x:c r="AC375" s="74" t="str">
        <x:v>1</x:v>
      </x:c>
      <x:c r="AD375" s="74" t="str">
        <x:v>0</x:v>
      </x:c>
      <x:c r="AE375" s="74" t="str">
        <x:v>0</x:v>
      </x:c>
      <x:c r="AF375" s="74" t="str"/>
      <x:c r="AG375" s="74" t="str">
        <x:v>1</x:v>
      </x:c>
      <x:c r="AH375" s="74" t="str">
        <x:v>1</x:v>
      </x:c>
      <x:c r="AI375" s="74" t="str">
        <x:v>1</x:v>
      </x:c>
      <x:c r="AJ375" s="74" t="str">
        <x:v>0</x:v>
      </x:c>
      <x:c r="AK375" s="74" t="str">
        <x:v>1</x:v>
      </x:c>
      <x:c r="AL375" s="74" t="str">
        <x:v>0</x:v>
      </x:c>
      <x:c r="AM375" s="74" t="str">
        <x:v>1</x:v>
      </x:c>
      <x:c r="AN375" s="74" t="str">
        <x:v>1</x:v>
      </x:c>
      <x:c r="AO375" s="60" t="str">
        <x:v>0</x:v>
      </x:c>
      <x:c r="AP375" s="76" t="str">
        <x:v>ICP fit; paid-demand need requires manual verification</x:v>
      </x:c>
      <x:c r="AQ375" s="76" t="str">
        <x:v>project/gallery proof; testimonials; visible service offer</x:v>
      </x:c>
      <x:c r="AR375" s="76" t="str">
        <x:v>I was reviewing roofing companies in Mount Pleasant, South Carolina and Powell Roofing LLC looked like a strong fit for a creative test.</x:v>
      </x:c>
      <x:c r="AS375" s="76" t="str">
        <x:v>storm-to-inspection before/after ad</x:v>
      </x:c>
      <x:c r="AT375" s="76" t="str">
        <x:v>Powell Roofing LLC ad concept</x:v>
      </x:c>
      <x:c r="AU375" s="76" t="str">
        <x:v>Hi Powell Roofing LLC — I was reviewing roofing companies in Mount Pleasant, South Carolina and Powell Roofing LLC looked like a strong fit for a creative test. I mapped a private 15-second storm-to-inspection before/after ad for Powell Roofing LLC using only public brand context—not for publishing, just to show the angle. We build three client-approved video ad concepts in seven days, then turn the winners into fresh variations. No filming day required. Worth sending the private sample?</x:v>
      </x:c>
      <x:c r="AV375" s="76" t="str">
        <x:v>Quick follow-up: the sample angle is a storm-to-inspection before/after ad. If it misses the mark, no problem—I won't keep chasing. Should I send it?</x:v>
      </x:c>
      <x:c r="AW375" s="76" t="str">
        <x:v>Hi Powell Roofing LLC, Ryan here. I was looking at Powell Roofing LLC's public marketing and noticed: icp fit; paid-demand need requires manual verification. I mapped one private storm-to-inspection before/after ad as an example. Did I catch you with 30 seconds?</x:v>
      </x:c>
      <x:c r="AX375" s="60" t="str">
        <x:v>https://www.facebook.com/ads/library/?active_status=active&amp;ad_type=all&amp;country=US&amp;q=Powell%20Roofing%20LLC&amp;search_type=keyword_unordered</x:v>
      </x:c>
      <x:c r="AY375" s="60" t="str">
        <x:v>ok:200</x:v>
      </x:c>
      <x:c r="AZ375" s="60" t="n">
        <x:v>46232.722858796296</x:v>
      </x:c>
      <x:c r="BA375" s="60" t="str">
        <x:v>Google Maps home-services export</x:v>
      </x:c>
      <x:c r="BB375" s="60" t="str">
        <x:v>https://maps.google.com/?cid=3802684636300977172&amp;g_mp=Cidnb29nbGUubWFwcy5wbGFjZXMudjEuUGxhY2VzLlNlYXJjaFRleHQQAhgEIAA | https://powellroofingllc.com</x:v>
      </x:c>
      <x:c r="BC375" s="60" t="str"/>
    </x:row>
    <x:row r="376" ht="18" customHeight="1">
      <x:c r="A376" s="70" t="str">
        <x:v>375</x:v>
      </x:c>
      <x:c r="B376" s="70" t="str">
        <x:v>C - Verify</x:v>
      </x:c>
      <x:c r="C376" s="72" t="str">
        <x:v>53</x:v>
      </x:c>
      <x:c r="D376" s="60" t="str">
        <x:v>Ketchum Roofing &amp; Windows</x:v>
      </x:c>
      <x:c r="E376" s="60" t="str">
        <x:v>https://ketchumroofingwindows.com</x:v>
      </x:c>
      <x:c r="F376" s="60" t="str">
        <x:v>https://www.ketchumroofingwindows.com/</x:v>
      </x:c>
      <x:c r="G376" s="60" t="str">
        <x:v>Mount Pleasant</x:v>
      </x:c>
      <x:c r="H376" s="60" t="str">
        <x:v>South Carolina</x:v>
      </x:c>
      <x:c r="I376" s="60" t="str">
        <x:v>Roofing</x:v>
      </x:c>
      <x:c r="J376" s="60" t="str">
        <x:v>Ketchum Roofing &amp; Windows</x:v>
      </x:c>
      <x:c r="K376" s="60" t="str"/>
      <x:c r="L376" s="60" t="str">
        <x:v>Owner / decision maker to verify</x:v>
      </x:c>
      <x:c r="M376" s="60" t="str"/>
      <x:c r="N376" s="60" t="str"/>
      <x:c r="O376" s="60" t="str">
        <x:v>(843) 817-3846</x:v>
      </x:c>
      <x:c r="P376" s="60" t="str"/>
      <x:c r="Q376" s="60" t="str"/>
      <x:c r="R376" s="60" t="str"/>
      <x:c r="S376" s="60" t="str">
        <x:v>5</x:v>
      </x:c>
      <x:c r="T376" s="74" t="str">
        <x:v>274</x:v>
      </x:c>
      <x:c r="U376" s="60" t="str"/>
      <x:c r="V376" s="74" t="str">
        <x:v>30</x:v>
      </x:c>
      <x:c r="W376" s="74" t="str">
        <x:v>3</x:v>
      </x:c>
      <x:c r="X376" s="74" t="str">
        <x:v>0</x:v>
      </x:c>
      <x:c r="Y376" s="74" t="str">
        <x:v>15</x:v>
      </x:c>
      <x:c r="Z376" s="74" t="str">
        <x:v>5</x:v>
      </x:c>
      <x:c r="AA376" s="74" t="str">
        <x:v>0</x:v>
      </x:c>
      <x:c r="AB376" s="74" t="str">
        <x:v>0</x:v>
      </x:c>
      <x:c r="AC376" s="74" t="str">
        <x:v>1</x:v>
      </x:c>
      <x:c r="AD376" s="74" t="str">
        <x:v>0</x:v>
      </x:c>
      <x:c r="AE376" s="74" t="str">
        <x:v>0</x:v>
      </x:c>
      <x:c r="AF376" s="74" t="str"/>
      <x:c r="AG376" s="74" t="str">
        <x:v>1</x:v>
      </x:c>
      <x:c r="AH376" s="74" t="str">
        <x:v>1</x:v>
      </x:c>
      <x:c r="AI376" s="74" t="str">
        <x:v>1</x:v>
      </x:c>
      <x:c r="AJ376" s="74" t="str">
        <x:v>0</x:v>
      </x:c>
      <x:c r="AK376" s="74" t="str">
        <x:v>1</x:v>
      </x:c>
      <x:c r="AL376" s="74" t="str">
        <x:v>1</x:v>
      </x:c>
      <x:c r="AM376" s="74" t="str">
        <x:v>1</x:v>
      </x:c>
      <x:c r="AN376" s="74" t="str">
        <x:v>0</x:v>
      </x:c>
      <x:c r="AO376" s="60" t="str">
        <x:v>0</x:v>
      </x:c>
      <x:c r="AP376" s="76" t="str">
        <x:v>ICP fit; paid-demand need requires manual verification</x:v>
      </x:c>
      <x:c r="AQ376" s="76" t="str">
        <x:v>project/gallery proof; testimonials; visible service offer</x:v>
      </x:c>
      <x:c r="AR376" s="76" t="str">
        <x:v>I was reviewing roofing companies in Mount Pleasant, South Carolina and Ketchum Roofing &amp; Windows looked like a strong fit for a creative test.</x:v>
      </x:c>
      <x:c r="AS376" s="76" t="str">
        <x:v>storm-to-inspection before/after ad</x:v>
      </x:c>
      <x:c r="AT376" s="76" t="str">
        <x:v>Ketchum Roofing &amp; Windows ad concept</x:v>
      </x:c>
      <x:c r="AU376" s="76" t="str">
        <x:v>Hi Ketchum Roofing &amp; Windows — I was reviewing roofing companies in Mount Pleasant, South Carolina and Ketchum Roofing &amp; Windows looked like a strong fit for a creative test. I mapped a private 15-second storm-to-inspection before/after ad for Ketchum Roofing &amp; Windows using only public brand context—not for publishing, just to show the angle. We build three client-approved video ad concepts in seven days, then turn the winners into fresh variations. No filming day required. Worth sending the private sample?</x:v>
      </x:c>
      <x:c r="AV376" s="76" t="str">
        <x:v>Quick follow-up: the sample angle is a storm-to-inspection before/after ad. If it misses the mark, no problem—I won't keep chasing. Should I send it?</x:v>
      </x:c>
      <x:c r="AW376" s="76" t="str">
        <x:v>Hi Ketchum Roofing &amp; Windows, Ryan here. I was looking at Ketchum Roofing &amp; Windows's public marketing and noticed: icp fit; paid-demand need requires manual verification. I mapped one private storm-to-inspection before/after ad as an example. Did I catch you with 30 seconds?</x:v>
      </x:c>
      <x:c r="AX376" s="60" t="str">
        <x:v>https://www.facebook.com/ads/library/?active_status=active&amp;ad_type=all&amp;country=US&amp;q=Ketchum%20Roofing%20%26%20Windows&amp;search_type=keyword_unordered</x:v>
      </x:c>
      <x:c r="AY376" s="60" t="str">
        <x:v>ok:200</x:v>
      </x:c>
      <x:c r="AZ376" s="60" t="n">
        <x:v>46232.722858796296</x:v>
      </x:c>
      <x:c r="BA376" s="60" t="str">
        <x:v>Google Maps home-services export</x:v>
      </x:c>
      <x:c r="BB376" s="60" t="str">
        <x:v>https://ketchumroofingwindows.com | https://maps.google.com/?cid=7031937218518797005&amp;g_mp=Cidnb29nbGUubWFwcy5wbGFjZXMudjEuUGxhY2VzLlNlYXJjaFRleHQQAhgEIAA</x:v>
      </x:c>
      <x:c r="BC376" s="60" t="str"/>
    </x:row>
    <x:row r="377" ht="18" customHeight="1">
      <x:c r="A377" s="70" t="str">
        <x:v>376</x:v>
      </x:c>
      <x:c r="B377" s="70" t="str">
        <x:v>C - Verify</x:v>
      </x:c>
      <x:c r="C377" s="72" t="str">
        <x:v>53</x:v>
      </x:c>
      <x:c r="D377" s="60" t="str">
        <x:v>Transworld Electric</x:v>
      </x:c>
      <x:c r="E377" s="60" t="str">
        <x:v>https://twielectric.com</x:v>
      </x:c>
      <x:c r="F377" s="60" t="str">
        <x:v>https://twielectric.com</x:v>
      </x:c>
      <x:c r="G377" s="60" t="str">
        <x:v>Charleston</x:v>
      </x:c>
      <x:c r="H377" s="60" t="str">
        <x:v>South Carolina</x:v>
      </x:c>
      <x:c r="I377" s="60" t="str">
        <x:v>Electrical</x:v>
      </x:c>
      <x:c r="J377" s="60" t="str">
        <x:v>Transworld Electric</x:v>
      </x:c>
      <x:c r="K377" s="60" t="str"/>
      <x:c r="L377" s="60" t="str">
        <x:v>Owner / decision maker to verify</x:v>
      </x:c>
      <x:c r="M377" s="60" t="str"/>
      <x:c r="N377" s="60" t="str"/>
      <x:c r="O377" s="60" t="str">
        <x:v>(843) 577-3491</x:v>
      </x:c>
      <x:c r="P377" s="60" t="str"/>
      <x:c r="Q377" s="60" t="str"/>
      <x:c r="R377" s="60" t="str"/>
      <x:c r="S377" s="60" t="str">
        <x:v>4.9</x:v>
      </x:c>
      <x:c r="T377" s="74" t="str">
        <x:v>160</x:v>
      </x:c>
      <x:c r="U377" s="60" t="str"/>
      <x:c r="V377" s="74" t="str">
        <x:v>23</x:v>
      </x:c>
      <x:c r="W377" s="74" t="str">
        <x:v>3</x:v>
      </x:c>
      <x:c r="X377" s="74" t="str">
        <x:v>10</x:v>
      </x:c>
      <x:c r="Y377" s="74" t="str">
        <x:v>12</x:v>
      </x:c>
      <x:c r="Z377" s="74" t="str">
        <x:v>5</x:v>
      </x:c>
      <x:c r="AA377" s="74" t="str">
        <x:v>0</x:v>
      </x:c>
      <x:c r="AB377" s="74" t="str">
        <x:v>0</x:v>
      </x:c>
      <x:c r="AC377" s="74" t="str">
        <x:v>1</x:v>
      </x:c>
      <x:c r="AD377" s="74" t="str">
        <x:v>0</x:v>
      </x:c>
      <x:c r="AE377" s="74" t="str">
        <x:v>0</x:v>
      </x:c>
      <x:c r="AF377" s="74" t="str"/>
      <x:c r="AG377" s="74" t="str">
        <x:v>0</x:v>
      </x:c>
      <x:c r="AH377" s="74" t="str">
        <x:v>1</x:v>
      </x:c>
      <x:c r="AI377" s="74" t="str">
        <x:v>1</x:v>
      </x:c>
      <x:c r="AJ377" s="74" t="str">
        <x:v>0</x:v>
      </x:c>
      <x:c r="AK377" s="74" t="str">
        <x:v>0</x:v>
      </x:c>
      <x:c r="AL377" s="74" t="str">
        <x:v>0</x:v>
      </x:c>
      <x:c r="AM377" s="74" t="str">
        <x:v>1</x:v>
      </x:c>
      <x:c r="AN377" s="74" t="str">
        <x:v>0</x:v>
      </x:c>
      <x:c r="AO377" s="60" t="str">
        <x:v>0</x:v>
      </x:c>
      <x:c r="AP377" s="76" t="str">
        <x:v>Project/gallery proof found; no embedded homepage video found</x:v>
      </x:c>
      <x:c r="AQ377" s="76" t="str">
        <x:v>project/gallery proof; testimonials; no embedded homepage video detected</x:v>
      </x:c>
      <x:c r="AR377" s="76" t="str">
        <x:v>I found project/gallery proof on Transworld Electric's site that could be repackaged into short-form ad concepts.</x:v>
      </x:c>
      <x:c r="AS377" s="76" t="str">
        <x:v>safety inspection problem/solution ad</x:v>
      </x:c>
      <x:c r="AT377" s="76" t="str">
        <x:v>Transworld Electric ad concept</x:v>
      </x:c>
      <x:c r="AU377" s="76" t="str">
        <x:v>Hi Transworld Electric — I found project/gallery proof on Transworld Electric's site that could be repackaged into short-form ad concepts. I mapped a private 15-second safety inspection problem/solution ad for Transworld Electric using only public brand context—not for publishing, just to show the angle. We build three client-approved video ad concepts in seven days, then turn the winners into fresh variations. No filming day required. Worth sending the private sample?</x:v>
      </x:c>
      <x:c r="AV377" s="76" t="str">
        <x:v>Quick follow-up: the sample angle is a safety inspection problem/solution ad. If it misses the mark, no problem—I won't keep chasing. Should I send it?</x:v>
      </x:c>
      <x:c r="AW377" s="76" t="str">
        <x:v>Hi Transworld Electric, Ryan here. I was looking at Transworld Electric's public marketing and noticed: project/gallery proof found; no embedded homepage video found. I mapped one private safety inspection problem/solution ad as an example. Did I catch you with 30 seconds?</x:v>
      </x:c>
      <x:c r="AX377" s="60" t="str">
        <x:v>https://www.facebook.com/ads/library/?active_status=active&amp;ad_type=all&amp;country=US&amp;q=Transworld%20Electric&amp;search_type=keyword_unordered</x:v>
      </x:c>
      <x:c r="AY377" s="60" t="str">
        <x:v>ok:200</x:v>
      </x:c>
      <x:c r="AZ377" s="60" t="n">
        <x:v>46232.722858796296</x:v>
      </x:c>
      <x:c r="BA377" s="60" t="str">
        <x:v>Google Maps home-services export</x:v>
      </x:c>
      <x:c r="BB377" s="60" t="str">
        <x:v>https://maps.google.com/?cid=18151835830013707089&amp;g_mp=Cidnb29nbGUubWFwcy5wbGFjZXMudjEuUGxhY2VzLlNlYXJjaFRleHQQAhgEIAA | https://twielectric.com</x:v>
      </x:c>
      <x:c r="BC377" s="60" t="str"/>
    </x:row>
    <x:row r="378" ht="18" customHeight="1">
      <x:c r="A378" s="70" t="str">
        <x:v>377</x:v>
      </x:c>
      <x:c r="B378" s="70" t="str">
        <x:v>C - Verify</x:v>
      </x:c>
      <x:c r="C378" s="72" t="str">
        <x:v>53</x:v>
      </x:c>
      <x:c r="D378" s="60" t="str">
        <x:v>Bates</x:v>
      </x:c>
      <x:c r="E378" s="60" t="str">
        <x:v>https://bates-electric.com</x:v>
      </x:c>
      <x:c r="F378" s="60" t="str">
        <x:v>https://bates-electric.com</x:v>
      </x:c>
      <x:c r="G378" s="60" t="str">
        <x:v>Columbia</x:v>
      </x:c>
      <x:c r="H378" s="60" t="str">
        <x:v>South Carolina</x:v>
      </x:c>
      <x:c r="I378" s="60" t="str">
        <x:v>Electrical</x:v>
      </x:c>
      <x:c r="J378" s="60" t="str">
        <x:v>Bates</x:v>
      </x:c>
      <x:c r="K378" s="60" t="str"/>
      <x:c r="L378" s="60" t="str">
        <x:v>Owner / decision maker to verify</x:v>
      </x:c>
      <x:c r="M378" s="60" t="str"/>
      <x:c r="N378" s="60" t="str"/>
      <x:c r="O378" s="60" t="str">
        <x:v>(803) 274-6463</x:v>
      </x:c>
      <x:c r="P378" s="60" t="str"/>
      <x:c r="Q378" s="60" t="str"/>
      <x:c r="R378" s="60" t="str"/>
      <x:c r="S378" s="60" t="str">
        <x:v>4.3</x:v>
      </x:c>
      <x:c r="T378" s="74" t="str">
        <x:v>31</x:v>
      </x:c>
      <x:c r="U378" s="60" t="str">
        <x:v>communication</x:v>
      </x:c>
      <x:c r="V378" s="74" t="str">
        <x:v>21</x:v>
      </x:c>
      <x:c r="W378" s="74" t="str">
        <x:v>3</x:v>
      </x:c>
      <x:c r="X378" s="74" t="str">
        <x:v>12</x:v>
      </x:c>
      <x:c r="Y378" s="74" t="str">
        <x:v>12</x:v>
      </x:c>
      <x:c r="Z378" s="74" t="str">
        <x:v>5</x:v>
      </x:c>
      <x:c r="AA378" s="74" t="str">
        <x:v>0</x:v>
      </x:c>
      <x:c r="AB378" s="74" t="str">
        <x:v>0</x:v>
      </x:c>
      <x:c r="AC378" s="74" t="str">
        <x:v>1</x:v>
      </x:c>
      <x:c r="AD378" s="74" t="str">
        <x:v>0</x:v>
      </x:c>
      <x:c r="AE378" s="74" t="str">
        <x:v>0</x:v>
      </x:c>
      <x:c r="AF378" s="74" t="str"/>
      <x:c r="AG378" s="74" t="str">
        <x:v>0</x:v>
      </x:c>
      <x:c r="AH378" s="74" t="str">
        <x:v>0</x:v>
      </x:c>
      <x:c r="AI378" s="74" t="str">
        <x:v>1</x:v>
      </x:c>
      <x:c r="AJ378" s="74" t="str">
        <x:v>1</x:v>
      </x:c>
      <x:c r="AK378" s="74" t="str">
        <x:v>1</x:v>
      </x:c>
      <x:c r="AL378" s="74" t="str">
        <x:v>0</x:v>
      </x:c>
      <x:c r="AM378" s="74" t="str">
        <x:v>1</x:v>
      </x:c>
      <x:c r="AN378" s="74" t="str">
        <x:v>0</x:v>
      </x:c>
      <x:c r="AO378" s="60" t="str">
        <x:v>2026</x:v>
      </x:c>
      <x:c r="AP378" s="76" t="str">
        <x:v>Financing language found; no embedded homepage video found</x:v>
      </x:c>
      <x:c r="AQ378" s="76" t="str">
        <x:v>testimonials; financing; visible service offer; no embedded homepage video detected</x:v>
      </x:c>
      <x:c r="AR378" s="76" t="str">
        <x:v>I found financing language on Bates's site that could make a strong short-form offer angle.</x:v>
      </x:c>
      <x:c r="AS378" s="76" t="str">
        <x:v>safety inspection problem/solution ad</x:v>
      </x:c>
      <x:c r="AT378" s="76" t="str">
        <x:v>Bates ad concept</x:v>
      </x:c>
      <x:c r="AU378" s="76" t="str">
        <x:v>Hi Bates — I found financing language on Bates's site that could make a strong short-form offer angle. I mapped a private 15-second safety inspection problem/solution ad for Bates using only public brand context—not for publishing, just to show the angle. We build three client-approved video ad concepts in seven days, then turn the winners into fresh variations. No filming day required. Worth sending the private sample?</x:v>
      </x:c>
      <x:c r="AV378" s="76" t="str">
        <x:v>Quick follow-up: the sample angle is a safety inspection problem/solution ad. If it misses the mark, no problem—I won't keep chasing. Should I send it?</x:v>
      </x:c>
      <x:c r="AW378" s="76" t="str">
        <x:v>Hi Bates, Ryan here. I was looking at Bates's public marketing and noticed: financing language found; no embedded homepage video found. I mapped one private safety inspection problem/solution ad as an example. Did I catch you with 30 seconds?</x:v>
      </x:c>
      <x:c r="AX378" s="60" t="str">
        <x:v>https://www.facebook.com/ads/library/?active_status=active&amp;ad_type=all&amp;country=US&amp;q=Bates&amp;search_type=keyword_unordered</x:v>
      </x:c>
      <x:c r="AY378" s="60" t="str">
        <x:v>ok:200</x:v>
      </x:c>
      <x:c r="AZ378" s="60" t="n">
        <x:v>46232.722858796296</x:v>
      </x:c>
      <x:c r="BA378" s="60" t="str">
        <x:v>Google Maps home-services export</x:v>
      </x:c>
      <x:c r="BB378" s="60" t="str">
        <x:v>https://bates-electric.com | https://maps.google.com/?cid=6537453452853600910&amp;g_mp=Cidnb29nbGUubWFwcy5wbGFjZXMudjEuUGxhY2VzLlNlYXJjaFRleHQQAhgEIAA</x:v>
      </x:c>
      <x:c r="BC378" s="60" t="str"/>
    </x:row>
    <x:row r="379" ht="18" customHeight="1">
      <x:c r="A379" s="70" t="str">
        <x:v>378</x:v>
      </x:c>
      <x:c r="B379" s="70" t="str">
        <x:v>C - Verify</x:v>
      </x:c>
      <x:c r="C379" s="72" t="str">
        <x:v>53</x:v>
      </x:c>
      <x:c r="D379" s="60" t="str">
        <x:v>Emergency Plumbing</x:v>
      </x:c>
      <x:c r="E379" s="60" t="str">
        <x:v>https://plumber-myrtlebeach.com</x:v>
      </x:c>
      <x:c r="F379" s="60" t="str">
        <x:v>https://plumber-myrtlebeach.com</x:v>
      </x:c>
      <x:c r="G379" s="60" t="str">
        <x:v>Charleston</x:v>
      </x:c>
      <x:c r="H379" s="60" t="str">
        <x:v>South Carolina</x:v>
      </x:c>
      <x:c r="I379" s="60" t="str">
        <x:v>Plumbing</x:v>
      </x:c>
      <x:c r="J379" s="60" t="str">
        <x:v>Emergency Plumbing</x:v>
      </x:c>
      <x:c r="K379" s="60" t="str"/>
      <x:c r="L379" s="60" t="str">
        <x:v>Owner / decision maker to verify</x:v>
      </x:c>
      <x:c r="M379" s="60" t="str"/>
      <x:c r="N379" s="60" t="str"/>
      <x:c r="O379" s="60" t="str">
        <x:v>(843) 286-3158</x:v>
      </x:c>
      <x:c r="P379" s="60" t="str"/>
      <x:c r="Q379" s="60" t="str"/>
      <x:c r="R379" s="60" t="str"/>
      <x:c r="S379" s="60" t="str">
        <x:v>4.9</x:v>
      </x:c>
      <x:c r="T379" s="74" t="str">
        <x:v>128</x:v>
      </x:c>
      <x:c r="U379" s="60" t="str"/>
      <x:c r="V379" s="74" t="str">
        <x:v>24</x:v>
      </x:c>
      <x:c r="W379" s="74" t="str">
        <x:v>3</x:v>
      </x:c>
      <x:c r="X379" s="74" t="str">
        <x:v>10</x:v>
      </x:c>
      <x:c r="Y379" s="74" t="str">
        <x:v>11</x:v>
      </x:c>
      <x:c r="Z379" s="74" t="str">
        <x:v>5</x:v>
      </x:c>
      <x:c r="AA379" s="74" t="str">
        <x:v>0</x:v>
      </x:c>
      <x:c r="AB379" s="74" t="str">
        <x:v>0</x:v>
      </x:c>
      <x:c r="AC379" s="74" t="str">
        <x:v>1</x:v>
      </x:c>
      <x:c r="AD379" s="74" t="str">
        <x:v>0</x:v>
      </x:c>
      <x:c r="AE379" s="74" t="str">
        <x:v>0</x:v>
      </x:c>
      <x:c r="AF379" s="74" t="str"/>
      <x:c r="AG379" s="74" t="str">
        <x:v>0</x:v>
      </x:c>
      <x:c r="AH379" s="74" t="str">
        <x:v>1</x:v>
      </x:c>
      <x:c r="AI379" s="74" t="str">
        <x:v>0</x:v>
      </x:c>
      <x:c r="AJ379" s="74" t="str">
        <x:v>0</x:v>
      </x:c>
      <x:c r="AK379" s="74" t="str">
        <x:v>1</x:v>
      </x:c>
      <x:c r="AL379" s="74" t="str">
        <x:v>0</x:v>
      </x:c>
      <x:c r="AM379" s="74" t="str">
        <x:v>0</x:v>
      </x:c>
      <x:c r="AN379" s="74" t="str">
        <x:v>0</x:v>
      </x:c>
      <x:c r="AO379" s="60" t="str">
        <x:v>0</x:v>
      </x:c>
      <x:c r="AP379" s="76" t="str">
        <x:v>Project/gallery proof found; no embedded homepage video found</x:v>
      </x:c>
      <x:c r="AQ379" s="76" t="str">
        <x:v>project/gallery proof; visible service offer; no embedded homepage video detected</x:v>
      </x:c>
      <x:c r="AR379" s="76" t="str">
        <x:v>I found project/gallery proof on Emergency Plumbing's site that could be repackaged into short-form ad concepts.</x:v>
      </x:c>
      <x:c r="AS379" s="76" t="str">
        <x:v>small symptom to prevented-emergency ad</x:v>
      </x:c>
      <x:c r="AT379" s="76" t="str">
        <x:v>Emergency Plumbing ad concept</x:v>
      </x:c>
      <x:c r="AU379" s="76" t="str">
        <x:v>Hi Emergency Plumbing — I found project/gallery proof on Emergency Plumbing's site that could be repackaged into short-form ad concepts. I mapped a private 15-second small symptom to prevented-emergency ad for Emergency Plumbing using only public brand context—not for publishing, just to show the angle. We build three client-approved video ad concepts in seven days, then turn the winners into fresh variations. No filming day required. Worth sending the private sample?</x:v>
      </x:c>
      <x:c r="AV379" s="76" t="str">
        <x:v>Quick follow-up: the sample angle is a small symptom to prevented-emergency ad. If it misses the mark, no problem—I won't keep chasing. Should I send it?</x:v>
      </x:c>
      <x:c r="AW379" s="76" t="str">
        <x:v>Hi Emergency Plumbing, Ryan here. I was looking at Emergency Plumbing's public marketing and noticed: project/gallery proof found; no embedded homepage video found. I mapped one private small symptom to prevented-emergency ad as an example. Did I catch you with 30 seconds?</x:v>
      </x:c>
      <x:c r="AX379" s="60" t="str">
        <x:v>https://www.facebook.com/ads/library/?active_status=active&amp;ad_type=all&amp;country=US&amp;q=Emergency%20Plumbing&amp;search_type=keyword_unordered</x:v>
      </x:c>
      <x:c r="AY379" s="60" t="str">
        <x:v>ok:200</x:v>
      </x:c>
      <x:c r="AZ379" s="60" t="n">
        <x:v>46232.722858796296</x:v>
      </x:c>
      <x:c r="BA379" s="60" t="str">
        <x:v>Google Maps home-services export</x:v>
      </x:c>
      <x:c r="BB379" s="60" t="str">
        <x:v>https://maps.google.com/?cid=484092695385176350&amp;g_mp=Cidnb29nbGUubWFwcy5wbGFjZXMudjEuUGxhY2VzLlNlYXJjaFRleHQQAhgEIAA | https://plumber-myrtlebeach.com</x:v>
      </x:c>
      <x:c r="BC379" s="60" t="str"/>
    </x:row>
    <x:row r="380" ht="18" customHeight="1">
      <x:c r="A380" s="70" t="str">
        <x:v>379</x:v>
      </x:c>
      <x:c r="B380" s="70" t="str">
        <x:v>C - Verify</x:v>
      </x:c>
      <x:c r="C380" s="72" t="str">
        <x:v>53</x:v>
      </x:c>
      <x:c r="D380" s="60" t="str">
        <x:v>Absolute Plumbing &amp; Boiler</x:v>
      </x:c>
      <x:c r="E380" s="60" t="str">
        <x:v>https://absoluteplumbingandboilers.com</x:v>
      </x:c>
      <x:c r="F380" s="60" t="str">
        <x:v>https://absoluteplumbingandboilers.com</x:v>
      </x:c>
      <x:c r="G380" s="60" t="str">
        <x:v>Summerville</x:v>
      </x:c>
      <x:c r="H380" s="60" t="str">
        <x:v>South Carolina</x:v>
      </x:c>
      <x:c r="I380" s="60" t="str">
        <x:v>Plumbing</x:v>
      </x:c>
      <x:c r="J380" s="60" t="str">
        <x:v>Absolute Plumbing &amp; Boiler</x:v>
      </x:c>
      <x:c r="K380" s="60" t="str"/>
      <x:c r="L380" s="60" t="str">
        <x:v>Owner / decision maker to verify</x:v>
      </x:c>
      <x:c r="M380" s="60" t="str"/>
      <x:c r="N380" s="60" t="str"/>
      <x:c r="O380" s="60" t="str">
        <x:v>(843) 594-0999</x:v>
      </x:c>
      <x:c r="P380" s="60" t="str"/>
      <x:c r="Q380" s="60" t="str"/>
      <x:c r="R380" s="60" t="str"/>
      <x:c r="S380" s="60" t="str">
        <x:v>4.9</x:v>
      </x:c>
      <x:c r="T380" s="74" t="str">
        <x:v>160</x:v>
      </x:c>
      <x:c r="U380" s="60" t="str"/>
      <x:c r="V380" s="74" t="str">
        <x:v>24</x:v>
      </x:c>
      <x:c r="W380" s="74" t="str">
        <x:v>3</x:v>
      </x:c>
      <x:c r="X380" s="74" t="str">
        <x:v>10</x:v>
      </x:c>
      <x:c r="Y380" s="74" t="str">
        <x:v>11</x:v>
      </x:c>
      <x:c r="Z380" s="74" t="str">
        <x:v>5</x:v>
      </x:c>
      <x:c r="AA380" s="74" t="str">
        <x:v>0</x:v>
      </x:c>
      <x:c r="AB380" s="74" t="str">
        <x:v>0</x:v>
      </x:c>
      <x:c r="AC380" s="74" t="str">
        <x:v>1</x:v>
      </x:c>
      <x:c r="AD380" s="74" t="str">
        <x:v>0</x:v>
      </x:c>
      <x:c r="AE380" s="74" t="str">
        <x:v>0</x:v>
      </x:c>
      <x:c r="AF380" s="74" t="str"/>
      <x:c r="AG380" s="74" t="str">
        <x:v>0</x:v>
      </x:c>
      <x:c r="AH380" s="74" t="str">
        <x:v>1</x:v>
      </x:c>
      <x:c r="AI380" s="74" t="str">
        <x:v>0</x:v>
      </x:c>
      <x:c r="AJ380" s="74" t="str">
        <x:v>0</x:v>
      </x:c>
      <x:c r="AK380" s="74" t="str">
        <x:v>1</x:v>
      </x:c>
      <x:c r="AL380" s="74" t="str">
        <x:v>0</x:v>
      </x:c>
      <x:c r="AM380" s="74" t="str">
        <x:v>1</x:v>
      </x:c>
      <x:c r="AN380" s="74" t="str">
        <x:v>0</x:v>
      </x:c>
      <x:c r="AO380" s="60" t="str">
        <x:v>2025</x:v>
      </x:c>
      <x:c r="AP380" s="76" t="str">
        <x:v>Project/gallery proof found; no embedded homepage video found</x:v>
      </x:c>
      <x:c r="AQ380" s="76" t="str">
        <x:v>project/gallery proof; visible service offer; no embedded homepage video detected</x:v>
      </x:c>
      <x:c r="AR380" s="76" t="str">
        <x:v>I found project/gallery proof on Absolute Plumbing &amp; Boiler's site that could be repackaged into short-form ad concepts.</x:v>
      </x:c>
      <x:c r="AS380" s="76" t="str">
        <x:v>small symptom to prevented-emergency ad</x:v>
      </x:c>
      <x:c r="AT380" s="76" t="str">
        <x:v>Absolute Plumbing &amp; Boiler ad concept</x:v>
      </x:c>
      <x:c r="AU380" s="76" t="str">
        <x:v>Hi Absolute Plumbing &amp; Boiler — I found project/gallery proof on Absolute Plumbing &amp; Boiler's site that could be repackaged into short-form ad concepts. I mapped a private 15-second small symptom to prevented-emergency ad for Absolute Plumbing &amp; Boiler using only public brand context—not for publishing, just to show the angle. We build three client-approved video ad concepts in seven days, then turn the winners into fresh variations. No filming day required. Worth sending the private sample?</x:v>
      </x:c>
      <x:c r="AV380" s="76" t="str">
        <x:v>Quick follow-up: the sample angle is a small symptom to prevented-emergency ad. If it misses the mark, no problem—I won't keep chasing. Should I send it?</x:v>
      </x:c>
      <x:c r="AW380" s="76" t="str">
        <x:v>Hi Absolute Plumbing &amp; Boiler, Ryan here. I was looking at Absolute Plumbing &amp; Boiler's public marketing and noticed: project/gallery proof found; no embedded homepage video found. I mapped one private small symptom to prevented-emergency ad as an example. Did I catch you with 30 seconds?</x:v>
      </x:c>
      <x:c r="AX380" s="60" t="str">
        <x:v>https://www.facebook.com/ads/library/?active_status=active&amp;ad_type=all&amp;country=US&amp;q=Absolute%20Plumbing%20%26%20Boiler&amp;search_type=keyword_unordered</x:v>
      </x:c>
      <x:c r="AY380" s="60" t="str">
        <x:v>ok:200</x:v>
      </x:c>
      <x:c r="AZ380" s="60" t="n">
        <x:v>46232.722858796296</x:v>
      </x:c>
      <x:c r="BA380" s="60" t="str">
        <x:v>Google Maps home-services export</x:v>
      </x:c>
      <x:c r="BB380" s="60" t="str">
        <x:v>https://absoluteplumbingandboilers.com | https://maps.google.com/?cid=6799405971624653498&amp;g_mp=Cidnb29nbGUubWFwcy5wbGFjZXMudjEuUGxhY2VzLlNlYXJjaFRleHQQAhgEIAA</x:v>
      </x:c>
      <x:c r="BC380" s="60" t="str"/>
    </x:row>
    <x:row r="381" ht="18" customHeight="1">
      <x:c r="A381" s="70" t="str">
        <x:v>380</x:v>
      </x:c>
      <x:c r="B381" s="70" t="str">
        <x:v>C - Verify</x:v>
      </x:c>
      <x:c r="C381" s="72" t="str">
        <x:v>53</x:v>
      </x:c>
      <x:c r="D381" s="60" t="str">
        <x:v>Veteran's Choice Garage Doors LLC</x:v>
      </x:c>
      <x:c r="E381" s="60" t="str">
        <x:v>https://veteranschoicegaragedoor.com</x:v>
      </x:c>
      <x:c r="F381" s="60" t="str">
        <x:v>https://veteranschoicegaragedoor.com</x:v>
      </x:c>
      <x:c r="G381" s="60" t="str">
        <x:v>Rock Hill</x:v>
      </x:c>
      <x:c r="H381" s="60" t="str">
        <x:v>South Carolina</x:v>
      </x:c>
      <x:c r="I381" s="60" t="str">
        <x:v>Garage Doors</x:v>
      </x:c>
      <x:c r="J381" s="60" t="str">
        <x:v>Veteran's Choice Garage Doors LLC</x:v>
      </x:c>
      <x:c r="K381" s="60" t="str"/>
      <x:c r="L381" s="60" t="str">
        <x:v>Owner / decision maker to verify</x:v>
      </x:c>
      <x:c r="M381" s="60" t="str"/>
      <x:c r="N381" s="60" t="str"/>
      <x:c r="O381" s="60" t="str">
        <x:v>(704) 999-7489</x:v>
      </x:c>
      <x:c r="P381" s="60" t="str"/>
      <x:c r="Q381" s="60" t="str"/>
      <x:c r="R381" s="60" t="str"/>
      <x:c r="S381" s="60" t="str">
        <x:v>5</x:v>
      </x:c>
      <x:c r="T381" s="74" t="str">
        <x:v>387</x:v>
      </x:c>
      <x:c r="U381" s="60" t="str"/>
      <x:c r="V381" s="74" t="str">
        <x:v>25</x:v>
      </x:c>
      <x:c r="W381" s="74" t="str">
        <x:v>3</x:v>
      </x:c>
      <x:c r="X381" s="74" t="str">
        <x:v>10</x:v>
      </x:c>
      <x:c r="Y381" s="74" t="str">
        <x:v>10</x:v>
      </x:c>
      <x:c r="Z381" s="74" t="str">
        <x:v>5</x:v>
      </x:c>
      <x:c r="AA381" s="74" t="str">
        <x:v>0</x:v>
      </x:c>
      <x:c r="AB381" s="74" t="str">
        <x:v>0</x:v>
      </x:c>
      <x:c r="AC381" s="74" t="str">
        <x:v>0</x:v>
      </x:c>
      <x:c r="AD381" s="74" t="str">
        <x:v>0</x:v>
      </x:c>
      <x:c r="AE381" s="74" t="str">
        <x:v>0</x:v>
      </x:c>
      <x:c r="AF381" s="74" t="str">
        <x:v>housecallpro</x:v>
      </x:c>
      <x:c r="AG381" s="74" t="str">
        <x:v>0</x:v>
      </x:c>
      <x:c r="AH381" s="74" t="str">
        <x:v>0</x:v>
      </x:c>
      <x:c r="AI381" s="74" t="str">
        <x:v>1</x:v>
      </x:c>
      <x:c r="AJ381" s="74" t="str">
        <x:v>0</x:v>
      </x:c>
      <x:c r="AK381" s="74" t="str">
        <x:v>1</x:v>
      </x:c>
      <x:c r="AL381" s="74" t="str">
        <x:v>0</x:v>
      </x:c>
      <x:c r="AM381" s="74" t="str">
        <x:v>1</x:v>
      </x:c>
      <x:c r="AN381" s="74" t="str">
        <x:v>0</x:v>
      </x:c>
      <x:c r="AO381" s="60" t="str">
        <x:v>0</x:v>
      </x:c>
      <x:c r="AP381" s="76" t="str">
        <x:v>387 Google reviews; no embedded homepage video found</x:v>
      </x:c>
      <x:c r="AQ381" s="76" t="str">
        <x:v>testimonials; visible service offer; no embedded homepage video detected</x:v>
      </x:c>
      <x:c r="AR381" s="76" t="str">
        <x:v>Veteran's Choice Garage Doors LLC has 387 Google reviews—strong proof that could be turned into short-form ad concepts.</x:v>
      </x:c>
      <x:c r="AS381" s="76" t="str">
        <x:v>curb-appeal transformation ad</x:v>
      </x:c>
      <x:c r="AT381" s="76" t="str">
        <x:v>Veteran's Choice Garage Doors LLC ad concept</x:v>
      </x:c>
      <x:c r="AU381" s="76" t="str">
        <x:v>Hi Veteran's Choice Garage Doors LLC — Veteran's Choice Garage Doors LLC has 387 Google reviews—strong proof that could be turned into short-form ad concepts. I mapped a private 15-second curb-appeal transformation ad for Veteran's Choice Garage Doors LLC using only public brand context—not for publishing, just to show the angle. We build three client-approved video ad concepts in seven days, then turn the winners into fresh variations. No filming day required. Worth sending the private sample?</x:v>
      </x:c>
      <x:c r="AV381" s="76" t="str">
        <x:v>Quick follow-up: the sample angle is a curb-appeal transformation ad. If it misses the mark, no problem—I won't keep chasing. Should I send it?</x:v>
      </x:c>
      <x:c r="AW381" s="76" t="str">
        <x:v>Hi Veteran's Choice Garage Doors LLC, Ryan here. I was looking at Veteran's Choice Garage Doors LLC's public marketing and noticed: 387 google reviews; no embedded homepage video found. I mapped one private curb-appeal transformation ad as an example. Did I catch you with 30 seconds?</x:v>
      </x:c>
      <x:c r="AX381" s="60" t="str">
        <x:v>https://www.facebook.com/ads/library/?active_status=active&amp;ad_type=all&amp;country=US&amp;q=Veteran%27s%20Choice%20Garage%20Doors%20LLC&amp;search_type=keyword_unordered</x:v>
      </x:c>
      <x:c r="AY381" s="60" t="str">
        <x:v>ok:200</x:v>
      </x:c>
      <x:c r="AZ381" s="60" t="n">
        <x:v>46232.722858796296</x:v>
      </x:c>
      <x:c r="BA381" s="60" t="str">
        <x:v>Google Maps home-services export</x:v>
      </x:c>
      <x:c r="BB381" s="60" t="str">
        <x:v>https://maps.google.com/?cid=12860950681828719116&amp;g_mp=Cidnb29nbGUubWFwcy5wbGFjZXMudjEuUGxhY2VzLlNlYXJjaFRleHQQAhgEIAA | https://veteranschoicegaragedoor.com</x:v>
      </x:c>
      <x:c r="BC381" s="60" t="str"/>
    </x:row>
    <x:row r="382" ht="18" customHeight="1">
      <x:c r="A382" s="70" t="str">
        <x:v>381</x:v>
      </x:c>
      <x:c r="B382" s="70" t="str">
        <x:v>C - Verify</x:v>
      </x:c>
      <x:c r="C382" s="72" t="str">
        <x:v>53</x:v>
      </x:c>
      <x:c r="D382" s="60" t="str">
        <x:v>Price Roofing LLC</x:v>
      </x:c>
      <x:c r="E382" s="60" t="str">
        <x:v>https://priceroofingllc.com</x:v>
      </x:c>
      <x:c r="F382" s="60" t="str">
        <x:v>https://www.priceroofingllc.com/</x:v>
      </x:c>
      <x:c r="G382" s="60" t="str">
        <x:v>Spartanburg</x:v>
      </x:c>
      <x:c r="H382" s="60" t="str">
        <x:v>South Carolina</x:v>
      </x:c>
      <x:c r="I382" s="60" t="str">
        <x:v>Roofing</x:v>
      </x:c>
      <x:c r="J382" s="60" t="str">
        <x:v>Price Roofing LLC</x:v>
      </x:c>
      <x:c r="K382" s="60" t="str"/>
      <x:c r="L382" s="60" t="str">
        <x:v>Owner / decision maker to verify</x:v>
      </x:c>
      <x:c r="M382" s="60" t="str"/>
      <x:c r="N382" s="60" t="str"/>
      <x:c r="O382" s="60" t="str">
        <x:v>(864) 978-8419</x:v>
      </x:c>
      <x:c r="P382" s="60" t="str"/>
      <x:c r="Q382" s="60" t="str"/>
      <x:c r="R382" s="60" t="str"/>
      <x:c r="S382" s="60" t="str">
        <x:v>4.9</x:v>
      </x:c>
      <x:c r="T382" s="74" t="str">
        <x:v>46</x:v>
      </x:c>
      <x:c r="U382" s="60" t="str">
        <x:v>scheduling, slow_response</x:v>
      </x:c>
      <x:c r="V382" s="74" t="str">
        <x:v>27</x:v>
      </x:c>
      <x:c r="W382" s="74" t="str">
        <x:v>3</x:v>
      </x:c>
      <x:c r="X382" s="74" t="str">
        <x:v>8</x:v>
      </x:c>
      <x:c r="Y382" s="74" t="str">
        <x:v>10</x:v>
      </x:c>
      <x:c r="Z382" s="74" t="str">
        <x:v>5</x:v>
      </x:c>
      <x:c r="AA382" s="74" t="str">
        <x:v>0</x:v>
      </x:c>
      <x:c r="AB382" s="74" t="str">
        <x:v>0</x:v>
      </x:c>
      <x:c r="AC382" s="74" t="str">
        <x:v>1</x:v>
      </x:c>
      <x:c r="AD382" s="74" t="str">
        <x:v>0</x:v>
      </x:c>
      <x:c r="AE382" s="74" t="str">
        <x:v>0</x:v>
      </x:c>
      <x:c r="AF382" s="74" t="str"/>
      <x:c r="AG382" s="74" t="str">
        <x:v>0</x:v>
      </x:c>
      <x:c r="AH382" s="74" t="str">
        <x:v>1</x:v>
      </x:c>
      <x:c r="AI382" s="74" t="str">
        <x:v>0</x:v>
      </x:c>
      <x:c r="AJ382" s="74" t="str">
        <x:v>0</x:v>
      </x:c>
      <x:c r="AK382" s="74" t="str">
        <x:v>1</x:v>
      </x:c>
      <x:c r="AL382" s="74" t="str">
        <x:v>1</x:v>
      </x:c>
      <x:c r="AM382" s="74" t="str">
        <x:v>1</x:v>
      </x:c>
      <x:c r="AN382" s="74" t="str">
        <x:v>0</x:v>
      </x:c>
      <x:c r="AO382" s="60" t="str">
        <x:v>2026</x:v>
      </x:c>
      <x:c r="AP382" s="76" t="str">
        <x:v>Project/gallery proof found; no embedded homepage video found</x:v>
      </x:c>
      <x:c r="AQ382" s="76" t="str">
        <x:v>project/gallery proof; visible service offer; no embedded homepage video detected</x:v>
      </x:c>
      <x:c r="AR382" s="76" t="str">
        <x:v>I found project/gallery proof on Price Roofing LLC's site that could be repackaged into short-form ad concepts.</x:v>
      </x:c>
      <x:c r="AS382" s="76" t="str">
        <x:v>storm-to-inspection before/after ad</x:v>
      </x:c>
      <x:c r="AT382" s="76" t="str">
        <x:v>Price Roofing LLC ad concept</x:v>
      </x:c>
      <x:c r="AU382" s="76" t="str">
        <x:v>Hi Price Roofing LLC — I found project/gallery proof on Price Roofing LLC's site that could be repackaged into short-form ad concepts. I mapped a private 15-second storm-to-inspection before/after ad for Price Roofing LLC using only public brand context—not for publishing, just to show the angle. We build three client-approved video ad concepts in seven days, then turn the winners into fresh variations. No filming day required. Worth sending the private sample?</x:v>
      </x:c>
      <x:c r="AV382" s="76" t="str">
        <x:v>Quick follow-up: the sample angle is a storm-to-inspection before/after ad. If it misses the mark, no problem—I won't keep chasing. Should I send it?</x:v>
      </x:c>
      <x:c r="AW382" s="76" t="str">
        <x:v>Hi Price Roofing LLC, Ryan here. I was looking at Price Roofing LLC's public marketing and noticed: project/gallery proof found; no embedded homepage video found. I mapped one private storm-to-inspection before/after ad as an example. Did I catch you with 30 seconds?</x:v>
      </x:c>
      <x:c r="AX382" s="60" t="str">
        <x:v>https://www.facebook.com/ads/library/?active_status=active&amp;ad_type=all&amp;country=US&amp;q=Price%20Roofing%20LLC&amp;search_type=keyword_unordered</x:v>
      </x:c>
      <x:c r="AY382" s="60" t="str">
        <x:v>ok:200</x:v>
      </x:c>
      <x:c r="AZ382" s="60" t="n">
        <x:v>46232.722858796296</x:v>
      </x:c>
      <x:c r="BA382" s="60" t="str">
        <x:v>Google Maps home-services export</x:v>
      </x:c>
      <x:c r="BB382" s="60" t="str">
        <x:v>https://maps.google.com/?cid=3294508004674430601&amp;g_mp=Cidnb29nbGUubWFwcy5wbGFjZXMudjEuUGxhY2VzLlNlYXJjaFRleHQQAhgEIAA | https://priceroofingllc.com</x:v>
      </x:c>
      <x:c r="BC382" s="60" t="str"/>
    </x:row>
    <x:row r="383" ht="18" customHeight="1">
      <x:c r="A383" s="70" t="str">
        <x:v>382</x:v>
      </x:c>
      <x:c r="B383" s="70" t="str">
        <x:v>C - Verify</x:v>
      </x:c>
      <x:c r="C383" s="72" t="str">
        <x:v>53</x:v>
      </x:c>
      <x:c r="D383" s="60" t="str">
        <x:v>Four Seasons Heating &amp; Air Conditioning</x:v>
      </x:c>
      <x:c r="E383" s="60" t="str">
        <x:v>https://mtpleasantheatingandair.com</x:v>
      </x:c>
      <x:c r="F383" s="60" t="str">
        <x:v>https://mtpleasantheatingandair.com</x:v>
      </x:c>
      <x:c r="G383" s="60" t="str">
        <x:v>Mount Pleasant</x:v>
      </x:c>
      <x:c r="H383" s="60" t="str">
        <x:v>South Carolina</x:v>
      </x:c>
      <x:c r="I383" s="60" t="str">
        <x:v>HVAC</x:v>
      </x:c>
      <x:c r="J383" s="60" t="str">
        <x:v>Four Seasons Heating &amp; Air Conditioning</x:v>
      </x:c>
      <x:c r="K383" s="60" t="str"/>
      <x:c r="L383" s="60" t="str">
        <x:v>Owner / decision maker to verify</x:v>
      </x:c>
      <x:c r="M383" s="60" t="str"/>
      <x:c r="N383" s="60" t="str"/>
      <x:c r="O383" s="60" t="str">
        <x:v>(843) 345-4095</x:v>
      </x:c>
      <x:c r="P383" s="60" t="str"/>
      <x:c r="Q383" s="60" t="str"/>
      <x:c r="R383" s="60" t="str"/>
      <x:c r="S383" s="60" t="str">
        <x:v>4.5</x:v>
      </x:c>
      <x:c r="T383" s="74" t="str">
        <x:v>72</x:v>
      </x:c>
      <x:c r="U383" s="60" t="str"/>
      <x:c r="V383" s="74" t="str">
        <x:v>26</x:v>
      </x:c>
      <x:c r="W383" s="74" t="str">
        <x:v>3</x:v>
      </x:c>
      <x:c r="X383" s="74" t="str">
        <x:v>10</x:v>
      </x:c>
      <x:c r="Y383" s="74" t="str">
        <x:v>9</x:v>
      </x:c>
      <x:c r="Z383" s="74" t="str">
        <x:v>5</x:v>
      </x:c>
      <x:c r="AA383" s="74" t="str">
        <x:v>0</x:v>
      </x:c>
      <x:c r="AB383" s="74" t="str">
        <x:v>0</x:v>
      </x:c>
      <x:c r="AC383" s="74" t="str">
        <x:v>1</x:v>
      </x:c>
      <x:c r="AD383" s="74" t="str">
        <x:v>0</x:v>
      </x:c>
      <x:c r="AE383" s="74" t="str">
        <x:v>0</x:v>
      </x:c>
      <x:c r="AF383" s="74" t="str"/>
      <x:c r="AG383" s="74" t="str">
        <x:v>0</x:v>
      </x:c>
      <x:c r="AH383" s="74" t="str">
        <x:v>0</x:v>
      </x:c>
      <x:c r="AI383" s="74" t="str">
        <x:v>1</x:v>
      </x:c>
      <x:c r="AJ383" s="74" t="str">
        <x:v>0</x:v>
      </x:c>
      <x:c r="AK383" s="74" t="str">
        <x:v>1</x:v>
      </x:c>
      <x:c r="AL383" s="74" t="str">
        <x:v>0</x:v>
      </x:c>
      <x:c r="AM383" s="74" t="str">
        <x:v>0</x:v>
      </x:c>
      <x:c r="AN383" s="74" t="str">
        <x:v>0</x:v>
      </x:c>
      <x:c r="AO383" s="60" t="str">
        <x:v>0</x:v>
      </x:c>
      <x:c r="AP383" s="76" t="str">
        <x:v>ICP fit; paid-demand need requires manual verification</x:v>
      </x:c>
      <x:c r="AQ383" s="76" t="str">
        <x:v>testimonials; visible service offer; no embedded homepage video detected</x:v>
      </x:c>
      <x:c r="AR383" s="76" t="str">
        <x:v>I was reviewing hvac companies in Mount Pleasant, South Carolina and Four Seasons Heating &amp; Air Conditioning looked like a strong fit for a creative test.</x:v>
      </x:c>
      <x:c r="AS383" s="76" t="str">
        <x:v>no-cool-call to same-day comfort ad</x:v>
      </x:c>
      <x:c r="AT383" s="76" t="str">
        <x:v>Four Seasons Heating &amp; Air Conditioning ad concept</x:v>
      </x:c>
      <x:c r="AU383" s="76" t="str">
        <x:v>Hi Four Seasons Heating &amp; Air Conditioning — I was reviewing hvac companies in Mount Pleasant, South Carolina and Four Seasons Heating &amp; Air Conditioning looked like a strong fit for a creative test. I mapped a private 15-second no-cool-call to same-day comfort ad for Four Seasons Heating &amp; Air Conditioning using only public brand context—not for publishing, just to show the angle. We build three client-approved video ad concepts in seven days, then turn the winners into fresh variations. No filming day required. Worth sending the private sample?</x:v>
      </x:c>
      <x:c r="AV383" s="76" t="str">
        <x:v>Quick follow-up: the sample angle is a no-cool-call to same-day comfort ad. If it misses the mark, no problem—I won't keep chasing. Should I send it?</x:v>
      </x:c>
      <x:c r="AW383" s="76" t="str">
        <x:v>Hi Four Seasons Heating &amp; Air Conditioning, Ryan here. I was looking at Four Seasons Heating &amp; Air Conditioning's public marketing and noticed: icp fit; paid-demand need requires manual verification. I mapped one private no-cool-call to same-day comfort ad as an example. Did I catch you with 30 seconds?</x:v>
      </x:c>
      <x:c r="AX383" s="60" t="str">
        <x:v>https://www.facebook.com/ads/library/?active_status=active&amp;ad_type=all&amp;country=US&amp;q=Four%20Seasons%20Heating%20%26%20Air%20Conditioning&amp;search_type=keyword_unordered</x:v>
      </x:c>
      <x:c r="AY383" s="60" t="str">
        <x:v>ok:200</x:v>
      </x:c>
      <x:c r="AZ383" s="60" t="n">
        <x:v>46232.722858796296</x:v>
      </x:c>
      <x:c r="BA383" s="60" t="str">
        <x:v>Google Maps home-services export</x:v>
      </x:c>
      <x:c r="BB383" s="60" t="str">
        <x:v>https://maps.google.com/?cid=15718186332617154127&amp;g_mp=Cidnb29nbGUubWFwcy5wbGFjZXMudjEuUGxhY2VzLlNlYXJjaFRleHQQAhgEIAA | https://mtpleasantheatingandair.com</x:v>
      </x:c>
      <x:c r="BC383" s="60" t="str"/>
    </x:row>
    <x:row r="384" ht="18" customHeight="1">
      <x:c r="A384" s="70" t="str">
        <x:v>383</x:v>
      </x:c>
      <x:c r="B384" s="70" t="str">
        <x:v>C - Verify</x:v>
      </x:c>
      <x:c r="C384" s="72" t="str">
        <x:v>53</x:v>
      </x:c>
      <x:c r="D384" s="60" t="str">
        <x:v>Four Brothers Design + Build</x:v>
      </x:c>
      <x:c r="E384" s="60" t="str">
        <x:v>https://fourbrothersdc.com</x:v>
      </x:c>
      <x:c r="F384" s="60" t="str">
        <x:v>https://www.fourbrothersdc.com/</x:v>
      </x:c>
      <x:c r="G384" s="60" t="str">
        <x:v>West Columbia</x:v>
      </x:c>
      <x:c r="H384" s="60" t="str">
        <x:v>South Carolina</x:v>
      </x:c>
      <x:c r="I384" s="60" t="str">
        <x:v>Remodeling</x:v>
      </x:c>
      <x:c r="J384" s="60" t="str">
        <x:v>Alex</x:v>
      </x:c>
      <x:c r="K384" s="60" t="str">
        <x:v>Lopez</x:v>
      </x:c>
      <x:c r="L384" s="60" t="str">
        <x:v>Co Owner</x:v>
      </x:c>
      <x:c r="M384" s="60" t="str"/>
      <x:c r="N384" s="60" t="str"/>
      <x:c r="O384" s="60" t="str">
        <x:v>+1 803 552 6315</x:v>
      </x:c>
      <x:c r="P384" s="60" t="str">
        <x:v>https://www.linkedin.com/in/alex-lopez-63a81212b</x:v>
      </x:c>
      <x:c r="Q384" s="60" t="str">
        <x:v>51-200</x:v>
      </x:c>
      <x:c r="R384" s="60" t="str">
        <x:v>1000000-4999999</x:v>
      </x:c>
      <x:c r="S384" s="60" t="str"/>
      <x:c r="T384" s="74" t="str">
        <x:v>0</x:v>
      </x:c>
      <x:c r="U384" s="60" t="str"/>
      <x:c r="V384" s="74" t="str">
        <x:v>30</x:v>
      </x:c>
      <x:c r="W384" s="74" t="str">
        <x:v>3</x:v>
      </x:c>
      <x:c r="X384" s="74" t="str">
        <x:v>6</x:v>
      </x:c>
      <x:c r="Y384" s="74" t="str">
        <x:v>9</x:v>
      </x:c>
      <x:c r="Z384" s="74" t="str">
        <x:v>5</x:v>
      </x:c>
      <x:c r="AA384" s="74" t="str">
        <x:v>0</x:v>
      </x:c>
      <x:c r="AB384" s="74" t="str">
        <x:v>0</x:v>
      </x:c>
      <x:c r="AC384" s="74" t="str">
        <x:v>1</x:v>
      </x:c>
      <x:c r="AD384" s="74" t="str">
        <x:v>0</x:v>
      </x:c>
      <x:c r="AE384" s="74" t="str">
        <x:v>0</x:v>
      </x:c>
      <x:c r="AF384" s="74" t="str"/>
      <x:c r="AG384" s="74" t="str">
        <x:v>0</x:v>
      </x:c>
      <x:c r="AH384" s="74" t="str">
        <x:v>1</x:v>
      </x:c>
      <x:c r="AI384" s="74" t="str">
        <x:v>1</x:v>
      </x:c>
      <x:c r="AJ384" s="74" t="str">
        <x:v>0</x:v>
      </x:c>
      <x:c r="AK384" s="74" t="str">
        <x:v>0</x:v>
      </x:c>
      <x:c r="AL384" s="74" t="str">
        <x:v>1</x:v>
      </x:c>
      <x:c r="AM384" s="74" t="str">
        <x:v>1</x:v>
      </x:c>
      <x:c r="AN384" s="74" t="str">
        <x:v>0</x:v>
      </x:c>
      <x:c r="AO384" s="60" t="str">
        <x:v>2026</x:v>
      </x:c>
      <x:c r="AP384" s="76" t="str">
        <x:v>Project/gallery proof found; no embedded homepage video found</x:v>
      </x:c>
      <x:c r="AQ384" s="76" t="str">
        <x:v>project/gallery proof; testimonials; no embedded homepage video detected</x:v>
      </x:c>
      <x:c r="AR384" s="76" t="str">
        <x:v>I found project/gallery proof on Four Brothers Design + Build's site that could be repackaged into short-form ad concepts.</x:v>
      </x:c>
      <x:c r="AS384" s="76" t="str">
        <x:v>project reveal with budget-and-timeline proof</x:v>
      </x:c>
      <x:c r="AT384" s="76" t="str">
        <x:v>Four Brothers Design + Build ad concept</x:v>
      </x:c>
      <x:c r="AU384" s="76" t="str">
        <x:v>Hi Alex — I found project/gallery proof on Four Brothers Design + Build's site that could be repackaged into short-form ad concepts. I mapped a private 15-second project reveal with budget-and-timeline proof for Four Brothers Design + Build using only public brand context—not for publishing, just to show the angle. We build three client-approved video ad concepts in seven days, then turn the winners into fresh variations. No filming day required. Worth sending the private sample?</x:v>
      </x:c>
      <x:c r="AV384" s="76" t="str">
        <x:v>Quick follow-up: the sample angle is a project reveal with budget-and-timeline proof. If it misses the mark, no problem—I won't keep chasing. Should I send it?</x:v>
      </x:c>
      <x:c r="AW384" s="76" t="str">
        <x:v>Hi Alex, Ryan here. I was looking at Four Brothers Design + Build's public marketing and noticed: project/gallery proof found; no embedded homepage video found. I mapped one private project reveal with budget-and-timeline proof as an example. Did I catch you with 30 seconds?</x:v>
      </x:c>
      <x:c r="AX384" s="60" t="str">
        <x:v>https://www.facebook.com/ads/library/?active_status=active&amp;ad_type=all&amp;country=US&amp;q=Four%20Brothers%20Design%20%2B%20Build&amp;search_type=keyword_unordered</x:v>
      </x:c>
      <x:c r="AY384" s="60" t="str">
        <x:v>ok:200</x:v>
      </x:c>
      <x:c r="AZ384" s="60" t="n">
        <x:v>46232.722858796296</x:v>
      </x:c>
      <x:c r="BA384" s="60" t="str">
        <x:v>AI Ark SC trades export</x:v>
      </x:c>
      <x:c r="BB384" s="60" t="str">
        <x:v>https://fourbrothersdc.com | https://www.linkedin.com/company/four-brothers-design-build</x:v>
      </x:c>
      <x:c r="BC384" s="60" t="str"/>
    </x:row>
    <x:row r="385" ht="18" customHeight="1">
      <x:c r="A385" s="70" t="str">
        <x:v>384</x:v>
      </x:c>
      <x:c r="B385" s="70" t="str">
        <x:v>C - Verify</x:v>
      </x:c>
      <x:c r="C385" s="72" t="str">
        <x:v>53</x:v>
      </x:c>
      <x:c r="D385" s="60" t="str">
        <x:v>Clean Sweep Professional Cleaning Service inc.</x:v>
      </x:c>
      <x:c r="E385" s="60" t="str">
        <x:v>https://cleansweepp.net</x:v>
      </x:c>
      <x:c r="F385" s="60" t="str">
        <x:v>https://www.cleansweepp.net/</x:v>
      </x:c>
      <x:c r="G385" s="60" t="str">
        <x:v>Lexington County</x:v>
      </x:c>
      <x:c r="H385" s="60" t="str">
        <x:v>South Carolina</x:v>
      </x:c>
      <x:c r="I385" s="60" t="str">
        <x:v>Restoration</x:v>
      </x:c>
      <x:c r="J385" s="60" t="str">
        <x:v>Step</x:v>
      </x:c>
      <x:c r="K385" s="60" t="str">
        <x:v>F</x:v>
      </x:c>
      <x:c r="L385" s="60" t="str">
        <x:v>part-owner</x:v>
      </x:c>
      <x:c r="M385" s="60" t="str"/>
      <x:c r="N385" s="60" t="str"/>
      <x:c r="O385" s="60" t="str">
        <x:v>+1 814 359 4414</x:v>
      </x:c>
      <x:c r="P385" s="60" t="str">
        <x:v>https://www.linkedin.com/in/step-f-55717068</x:v>
      </x:c>
      <x:c r="Q385" s="60" t="str">
        <x:v>2-10</x:v>
      </x:c>
      <x:c r="R385" s="60" t="str">
        <x:v>500000-999999</x:v>
      </x:c>
      <x:c r="S385" s="60" t="str"/>
      <x:c r="T385" s="74" t="str">
        <x:v>0</x:v>
      </x:c>
      <x:c r="U385" s="60" t="str"/>
      <x:c r="V385" s="74" t="str">
        <x:v>30</x:v>
      </x:c>
      <x:c r="W385" s="74" t="str">
        <x:v>3</x:v>
      </x:c>
      <x:c r="X385" s="74" t="str">
        <x:v>6</x:v>
      </x:c>
      <x:c r="Y385" s="74" t="str">
        <x:v>9</x:v>
      </x:c>
      <x:c r="Z385" s="74" t="str">
        <x:v>5</x:v>
      </x:c>
      <x:c r="AA385" s="74" t="str">
        <x:v>0</x:v>
      </x:c>
      <x:c r="AB385" s="74" t="str">
        <x:v>0</x:v>
      </x:c>
      <x:c r="AC385" s="74" t="str">
        <x:v>1</x:v>
      </x:c>
      <x:c r="AD385" s="74" t="str">
        <x:v>0</x:v>
      </x:c>
      <x:c r="AE385" s="74" t="str">
        <x:v>0</x:v>
      </x:c>
      <x:c r="AF385" s="74" t="str"/>
      <x:c r="AG385" s="74" t="str">
        <x:v>0</x:v>
      </x:c>
      <x:c r="AH385" s="74" t="str">
        <x:v>1</x:v>
      </x:c>
      <x:c r="AI385" s="74" t="str">
        <x:v>1</x:v>
      </x:c>
      <x:c r="AJ385" s="74" t="str">
        <x:v>0</x:v>
      </x:c>
      <x:c r="AK385" s="74" t="str">
        <x:v>0</x:v>
      </x:c>
      <x:c r="AL385" s="74" t="str">
        <x:v>0</x:v>
      </x:c>
      <x:c r="AM385" s="74" t="str">
        <x:v>1</x:v>
      </x:c>
      <x:c r="AN385" s="74" t="str">
        <x:v>1</x:v>
      </x:c>
      <x:c r="AO385" s="60" t="str">
        <x:v>0</x:v>
      </x:c>
      <x:c r="AP385" s="76" t="str">
        <x:v>Project/gallery proof found; no embedded homepage video found</x:v>
      </x:c>
      <x:c r="AQ385" s="76" t="str">
        <x:v>project/gallery proof; testimonials; no embedded homepage video detected</x:v>
      </x:c>
      <x:c r="AR385" s="76" t="str">
        <x:v>I found project/gallery proof on Clean Sweep Professional Cleaning Service inc.'s site that could be repackaged into short-form ad concepts.</x:v>
      </x:c>
      <x:c r="AS385" s="76" t="str">
        <x:v>first-24-hours emergency-response ad</x:v>
      </x:c>
      <x:c r="AT385" s="76" t="str">
        <x:v>Clean Sweep Professional Cleaning Service inc. ad concept</x:v>
      </x:c>
      <x:c r="AU385" s="76" t="str">
        <x:v>Hi Step — I found project/gallery proof on Clean Sweep Professional Cleaning Service inc.'s site that could be repackaged into short-form ad concepts. I mapped a private 15-second first-24-hours emergency-response ad for Clean Sweep Professional Cleaning Service inc. using only public brand context—not for publishing, just to show the angle. We build three client-approved video ad concepts in seven days, then turn the winners into fresh variations. No filming day required. Worth sending the private sample?</x:v>
      </x:c>
      <x:c r="AV385" s="76" t="str">
        <x:v>Quick follow-up: the sample angle is a first-24-hours emergency-response ad. If it misses the mark, no problem—I won't keep chasing. Should I send it?</x:v>
      </x:c>
      <x:c r="AW385" s="76" t="str">
        <x:v>Hi Step, Ryan here. I was looking at Clean Sweep Professional Cleaning Service inc.'s public marketing and noticed: project/gallery proof found; no embedded homepage video found. I mapped one private first-24-hours emergency-response ad as an example. Did I catch you with 30 seconds?</x:v>
      </x:c>
      <x:c r="AX385" s="60" t="str">
        <x:v>https://www.facebook.com/ads/library/?active_status=active&amp;ad_type=all&amp;country=US&amp;q=Clean%20Sweep%20Professional%20Cleaning%20Service%20inc.&amp;search_type=keyword_unordered</x:v>
      </x:c>
      <x:c r="AY385" s="60" t="str">
        <x:v>ok:200</x:v>
      </x:c>
      <x:c r="AZ385" s="60" t="n">
        <x:v>46232.722858796296</x:v>
      </x:c>
      <x:c r="BA385" s="60" t="str">
        <x:v>AI Ark SC trades export</x:v>
      </x:c>
      <x:c r="BB385" s="60" t="str">
        <x:v>https://cleansweepp.net | https://www.linkedin.com/company/clean-sweep-professional-cleaning-service-inc.</x:v>
      </x:c>
      <x:c r="BC385" s="60" t="str"/>
    </x:row>
    <x:row r="386" ht="18" customHeight="1">
      <x:c r="A386" s="70" t="str">
        <x:v>385</x:v>
      </x:c>
      <x:c r="B386" s="70" t="str">
        <x:v>C - Verify</x:v>
      </x:c>
      <x:c r="C386" s="72" t="str">
        <x:v>53</x:v>
      </x:c>
      <x:c r="D386" s="60" t="str">
        <x:v>Willis Contractors</x:v>
      </x:c>
      <x:c r="E386" s="60" t="str">
        <x:v>https://willisstuccorepair.com</x:v>
      </x:c>
      <x:c r="F386" s="60" t="str">
        <x:v>https://willisstuccorepair.com</x:v>
      </x:c>
      <x:c r="G386" s="60" t="str">
        <x:v>Fountain Inn</x:v>
      </x:c>
      <x:c r="H386" s="60" t="str">
        <x:v>South Carolina</x:v>
      </x:c>
      <x:c r="I386" s="60" t="str">
        <x:v>HVAC</x:v>
      </x:c>
      <x:c r="J386" s="60" t="str">
        <x:v>joe</x:v>
      </x:c>
      <x:c r="K386" s="60" t="str">
        <x:v>willis</x:v>
      </x:c>
      <x:c r="L386" s="60" t="str">
        <x:v>Owner</x:v>
      </x:c>
      <x:c r="M386" s="60" t="str"/>
      <x:c r="N386" s="60" t="str"/>
      <x:c r="O386" s="60" t="str">
        <x:v>+1 310 487 0518, +1 864 617 1589</x:v>
      </x:c>
      <x:c r="P386" s="60" t="str">
        <x:v>https://www.linkedin.com/in/joe-willis-25a553a8</x:v>
      </x:c>
      <x:c r="Q386" s="60" t="str">
        <x:v>2-10</x:v>
      </x:c>
      <x:c r="R386" s="60" t="str">
        <x:v>0-99999</x:v>
      </x:c>
      <x:c r="S386" s="60" t="str"/>
      <x:c r="T386" s="74" t="str">
        <x:v>0</x:v>
      </x:c>
      <x:c r="U386" s="60" t="str"/>
      <x:c r="V386" s="74" t="str">
        <x:v>27</x:v>
      </x:c>
      <x:c r="W386" s="74" t="str">
        <x:v>3</x:v>
      </x:c>
      <x:c r="X386" s="74" t="str">
        <x:v>10</x:v>
      </x:c>
      <x:c r="Y386" s="74" t="str">
        <x:v>8</x:v>
      </x:c>
      <x:c r="Z386" s="74" t="str">
        <x:v>5</x:v>
      </x:c>
      <x:c r="AA386" s="74" t="str">
        <x:v>0</x:v>
      </x:c>
      <x:c r="AB386" s="74" t="str">
        <x:v>0</x:v>
      </x:c>
      <x:c r="AC386" s="74" t="str">
        <x:v>1</x:v>
      </x:c>
      <x:c r="AD386" s="74" t="str">
        <x:v>0</x:v>
      </x:c>
      <x:c r="AE386" s="74" t="str">
        <x:v>0</x:v>
      </x:c>
      <x:c r="AF386" s="74" t="str"/>
      <x:c r="AG386" s="74" t="str">
        <x:v>0</x:v>
      </x:c>
      <x:c r="AH386" s="74" t="str">
        <x:v>1</x:v>
      </x:c>
      <x:c r="AI386" s="74" t="str">
        <x:v>0</x:v>
      </x:c>
      <x:c r="AJ386" s="74" t="str">
        <x:v>0</x:v>
      </x:c>
      <x:c r="AK386" s="74" t="str">
        <x:v>1</x:v>
      </x:c>
      <x:c r="AL386" s="74" t="str">
        <x:v>0</x:v>
      </x:c>
      <x:c r="AM386" s="74" t="str">
        <x:v>0</x:v>
      </x:c>
      <x:c r="AN386" s="74" t="str">
        <x:v>0</x:v>
      </x:c>
      <x:c r="AO386" s="60" t="str">
        <x:v>2026</x:v>
      </x:c>
      <x:c r="AP386" s="76" t="str">
        <x:v>Project/gallery proof found; no embedded homepage video found</x:v>
      </x:c>
      <x:c r="AQ386" s="76" t="str">
        <x:v>project/gallery proof; visible service offer; no embedded homepage video detected</x:v>
      </x:c>
      <x:c r="AR386" s="76" t="str">
        <x:v>I found project/gallery proof on Willis Contractors's site that could be repackaged into short-form ad concepts.</x:v>
      </x:c>
      <x:c r="AS386" s="76" t="str">
        <x:v>no-cool-call to same-day comfort ad</x:v>
      </x:c>
      <x:c r="AT386" s="76" t="str">
        <x:v>Willis Contractors ad concept</x:v>
      </x:c>
      <x:c r="AU386" s="76" t="str">
        <x:v>Hi joe — I found project/gallery proof on Willis Contractors's site that could be repackaged into short-form ad concepts. I mapped a private 15-second no-cool-call to same-day comfort ad for Willis Contractors using only public brand context—not for publishing, just to show the angle. We build three client-approved video ad concepts in seven days, then turn the winners into fresh variations. No filming day required. Worth sending the private sample?</x:v>
      </x:c>
      <x:c r="AV386" s="76" t="str">
        <x:v>Quick follow-up: the sample angle is a no-cool-call to same-day comfort ad. If it misses the mark, no problem—I won't keep chasing. Should I send it?</x:v>
      </x:c>
      <x:c r="AW386" s="76" t="str">
        <x:v>Hi joe, Ryan here. I was looking at Willis Contractors's public marketing and noticed: project/gallery proof found; no embedded homepage video found. I mapped one private no-cool-call to same-day comfort ad as an example. Did I catch you with 30 seconds?</x:v>
      </x:c>
      <x:c r="AX386" s="60" t="str">
        <x:v>https://www.facebook.com/ads/library/?active_status=active&amp;ad_type=all&amp;country=US&amp;q=Willis%20Contractors&amp;search_type=keyword_unordered</x:v>
      </x:c>
      <x:c r="AY386" s="60" t="str">
        <x:v>ok:200</x:v>
      </x:c>
      <x:c r="AZ386" s="60" t="n">
        <x:v>46232.722858796296</x:v>
      </x:c>
      <x:c r="BA386" s="60" t="str">
        <x:v>AI Ark SC trades export</x:v>
      </x:c>
      <x:c r="BB386" s="60" t="str">
        <x:v>https://willisstuccorepair.com | https://www.linkedin.com/company/willis-contractors</x:v>
      </x:c>
      <x:c r="BC386" s="60" t="str"/>
    </x:row>
    <x:row r="387" ht="18" customHeight="1">
      <x:c r="A387" s="70" t="str">
        <x:v>386</x:v>
      </x:c>
      <x:c r="B387" s="70" t="str">
        <x:v>C - Verify</x:v>
      </x:c>
      <x:c r="C387" s="72" t="str">
        <x:v>53</x:v>
      </x:c>
      <x:c r="D387" s="60" t="str">
        <x:v>CMS Roofing</x:v>
      </x:c>
      <x:c r="E387" s="60" t="str">
        <x:v>https://cmsroofingsc.com</x:v>
      </x:c>
      <x:c r="F387" s="60" t="str">
        <x:v>https://cmsroofingsc.com</x:v>
      </x:c>
      <x:c r="G387" s="60" t="str">
        <x:v>Irmo</x:v>
      </x:c>
      <x:c r="H387" s="60" t="str">
        <x:v>South Carolina</x:v>
      </x:c>
      <x:c r="I387" s="60" t="str">
        <x:v>Roofing</x:v>
      </x:c>
      <x:c r="J387" s="60" t="str">
        <x:v>Michael</x:v>
      </x:c>
      <x:c r="K387" s="60" t="str">
        <x:v>Curcio</x:v>
      </x:c>
      <x:c r="L387" s="60" t="str">
        <x:v>Owner</x:v>
      </x:c>
      <x:c r="M387" s="60" t="str"/>
      <x:c r="N387" s="60" t="str"/>
      <x:c r="O387" s="60" t="str"/>
      <x:c r="P387" s="60" t="str">
        <x:v>https://www.linkedin.com/in/mike-curcio530</x:v>
      </x:c>
      <x:c r="Q387" s="60" t="str">
        <x:v>51-200</x:v>
      </x:c>
      <x:c r="R387" s="60" t="str">
        <x:v>500000-999999</x:v>
      </x:c>
      <x:c r="S387" s="60" t="str"/>
      <x:c r="T387" s="74" t="str">
        <x:v>0</x:v>
      </x:c>
      <x:c r="U387" s="60" t="str"/>
      <x:c r="V387" s="74" t="str">
        <x:v>30</x:v>
      </x:c>
      <x:c r="W387" s="74" t="str">
        <x:v>3</x:v>
      </x:c>
      <x:c r="X387" s="74" t="str">
        <x:v>10</x:v>
      </x:c>
      <x:c r="Y387" s="74" t="str">
        <x:v>8</x:v>
      </x:c>
      <x:c r="Z387" s="74" t="str">
        <x:v>2</x:v>
      </x:c>
      <x:c r="AA387" s="74" t="str">
        <x:v>0</x:v>
      </x:c>
      <x:c r="AB387" s="74" t="str">
        <x:v>0</x:v>
      </x:c>
      <x:c r="AC387" s="74" t="str">
        <x:v>1</x:v>
      </x:c>
      <x:c r="AD387" s="74" t="str">
        <x:v>0</x:v>
      </x:c>
      <x:c r="AE387" s="74" t="str">
        <x:v>0</x:v>
      </x:c>
      <x:c r="AF387" s="74" t="str"/>
      <x:c r="AG387" s="74" t="str">
        <x:v>0</x:v>
      </x:c>
      <x:c r="AH387" s="74" t="str">
        <x:v>1</x:v>
      </x:c>
      <x:c r="AI387" s="74" t="str">
        <x:v>0</x:v>
      </x:c>
      <x:c r="AJ387" s="74" t="str">
        <x:v>0</x:v>
      </x:c>
      <x:c r="AK387" s="74" t="str">
        <x:v>1</x:v>
      </x:c>
      <x:c r="AL387" s="74" t="str">
        <x:v>0</x:v>
      </x:c>
      <x:c r="AM387" s="74" t="str">
        <x:v>1</x:v>
      </x:c>
      <x:c r="AN387" s="74" t="str">
        <x:v>0</x:v>
      </x:c>
      <x:c r="AO387" s="60" t="str">
        <x:v>0</x:v>
      </x:c>
      <x:c r="AP387" s="76" t="str">
        <x:v>Project/gallery proof found; no embedded homepage video found</x:v>
      </x:c>
      <x:c r="AQ387" s="76" t="str">
        <x:v>project/gallery proof; visible service offer; no embedded homepage video detected</x:v>
      </x:c>
      <x:c r="AR387" s="76" t="str">
        <x:v>I found project/gallery proof on CMS Roofing's site that could be repackaged into short-form ad concepts.</x:v>
      </x:c>
      <x:c r="AS387" s="76" t="str">
        <x:v>storm-to-inspection before/after ad</x:v>
      </x:c>
      <x:c r="AT387" s="76" t="str">
        <x:v>CMS Roofing ad concept</x:v>
      </x:c>
      <x:c r="AU387" s="76" t="str">
        <x:v>Hi Michael — I found project/gallery proof on CMS Roofing's site that could be repackaged into short-form ad concepts. I mapped a private 15-second storm-to-inspection before/after ad for CMS Roofing using only public brand context—not for publishing, just to show the angle. We build three client-approved video ad concepts in seven days, then turn the winners into fresh variations. No filming day required. Worth sending the private sample?</x:v>
      </x:c>
      <x:c r="AV387" s="76" t="str">
        <x:v>Quick follow-up: the sample angle is a storm-to-inspection before/after ad. If it misses the mark, no problem—I won't keep chasing. Should I send it?</x:v>
      </x:c>
      <x:c r="AW387" s="76" t="str">
        <x:v>Hi Michael, Ryan here. I was looking at CMS Roofing's public marketing and noticed: project/gallery proof found; no embedded homepage video found. I mapped one private storm-to-inspection before/after ad as an example. Did I catch you with 30 seconds?</x:v>
      </x:c>
      <x:c r="AX387" s="60" t="str">
        <x:v>https://www.facebook.com/ads/library/?active_status=active&amp;ad_type=all&amp;country=US&amp;q=CMS%20Roofing&amp;search_type=keyword_unordered</x:v>
      </x:c>
      <x:c r="AY387" s="60" t="str">
        <x:v>ok:200</x:v>
      </x:c>
      <x:c r="AZ387" s="60" t="n">
        <x:v>46232.722858796296</x:v>
      </x:c>
      <x:c r="BA387" s="60" t="str">
        <x:v>AI Ark SC trades export</x:v>
      </x:c>
      <x:c r="BB387" s="60" t="str">
        <x:v>https://cmsroofingsc.com | https://www.linkedin.com/company/cms-roofing</x:v>
      </x:c>
      <x:c r="BC387" s="60" t="str"/>
    </x:row>
    <x:row r="388" ht="18" customHeight="1">
      <x:c r="A388" s="70" t="str">
        <x:v>387</x:v>
      </x:c>
      <x:c r="B388" s="70" t="str">
        <x:v>C - Verify</x:v>
      </x:c>
      <x:c r="C388" s="72" t="str">
        <x:v>53</x:v>
      </x:c>
      <x:c r="D388" s="60" t="str">
        <x:v>DOOR TO DOOR FLOORS</x:v>
      </x:c>
      <x:c r="E388" s="60" t="str">
        <x:v>https://doortodoorfloors.com</x:v>
      </x:c>
      <x:c r="F388" s="60" t="str">
        <x:v>https://doortodoorfloors.com</x:v>
      </x:c>
      <x:c r="G388" s="60" t="str">
        <x:v>Lexington County</x:v>
      </x:c>
      <x:c r="H388" s="60" t="str">
        <x:v>South Carolina</x:v>
      </x:c>
      <x:c r="I388" s="60" t="str">
        <x:v>Flooring</x:v>
      </x:c>
      <x:c r="J388" s="60" t="str">
        <x:v>Paul</x:v>
      </x:c>
      <x:c r="K388" s="60" t="str">
        <x:v>Prince</x:v>
      </x:c>
      <x:c r="L388" s="60" t="str">
        <x:v>Owner</x:v>
      </x:c>
      <x:c r="M388" s="60" t="str">
        <x:v>paul@doortodoorfloors.com</x:v>
      </x:c>
      <x:c r="N388" s="60" t="str">
        <x:v>Verified with BounceBan on 08 Jun 26 12:06</x:v>
      </x:c>
      <x:c r="O388" s="60" t="str">
        <x:v>+1 803 238 2674</x:v>
      </x:c>
      <x:c r="P388" s="60" t="str">
        <x:v>https://www.linkedin.com/in/paul-prince-4a05bba</x:v>
      </x:c>
      <x:c r="Q388" s="60" t="str">
        <x:v>2-10</x:v>
      </x:c>
      <x:c r="R388" s="60" t="str">
        <x:v>100000-499999</x:v>
      </x:c>
      <x:c r="S388" s="60" t="str"/>
      <x:c r="T388" s="74" t="str">
        <x:v>0</x:v>
      </x:c>
      <x:c r="U388" s="60" t="str"/>
      <x:c r="V388" s="74" t="str">
        <x:v>23</x:v>
      </x:c>
      <x:c r="W388" s="74" t="str">
        <x:v>3</x:v>
      </x:c>
      <x:c r="X388" s="74" t="str">
        <x:v>10</x:v>
      </x:c>
      <x:c r="Y388" s="74" t="str">
        <x:v>7</x:v>
      </x:c>
      <x:c r="Z388" s="74" t="str">
        <x:v>10</x:v>
      </x:c>
      <x:c r="AA388" s="74" t="str">
        <x:v>0</x:v>
      </x:c>
      <x:c r="AB388" s="74" t="str">
        <x:v>0</x:v>
      </x:c>
      <x:c r="AC388" s="74" t="str">
        <x:v>1</x:v>
      </x:c>
      <x:c r="AD388" s="74" t="str">
        <x:v>0</x:v>
      </x:c>
      <x:c r="AE388" s="74" t="str">
        <x:v>0</x:v>
      </x:c>
      <x:c r="AF388" s="74" t="str"/>
      <x:c r="AG388" s="74" t="str">
        <x:v>0</x:v>
      </x:c>
      <x:c r="AH388" s="74" t="str">
        <x:v>0</x:v>
      </x:c>
      <x:c r="AI388" s="74" t="str">
        <x:v>1</x:v>
      </x:c>
      <x:c r="AJ388" s="74" t="str">
        <x:v>1</x:v>
      </x:c>
      <x:c r="AK388" s="74" t="str">
        <x:v>0</x:v>
      </x:c>
      <x:c r="AL388" s="74" t="str">
        <x:v>0</x:v>
      </x:c>
      <x:c r="AM388" s="74" t="str">
        <x:v>0</x:v>
      </x:c>
      <x:c r="AN388" s="74" t="str">
        <x:v>0</x:v>
      </x:c>
      <x:c r="AO388" s="60" t="str">
        <x:v>2026</x:v>
      </x:c>
      <x:c r="AP388" s="76" t="str">
        <x:v>Financing language found; no embedded homepage video found</x:v>
      </x:c>
      <x:c r="AQ388" s="76" t="str">
        <x:v>testimonials; financing; no embedded homepage video detected</x:v>
      </x:c>
      <x:c r="AR388" s="76" t="str">
        <x:v>I found financing language on DOOR TO DOOR FLOORS's site that could make a strong short-form offer angle.</x:v>
      </x:c>
      <x:c r="AS388" s="76" t="str">
        <x:v>room transformation before/after ad</x:v>
      </x:c>
      <x:c r="AT388" s="76" t="str">
        <x:v>DOOR TO DOOR FLOORS ad concept</x:v>
      </x:c>
      <x:c r="AU388" s="76" t="str">
        <x:v>Hi Paul — I found financing language on DOOR TO DOOR FLOORS's site that could make a strong short-form offer angle. I mapped a private 15-second room transformation before/after ad for DOOR TO DOOR FLOORS using only public brand context—not for publishing, just to show the angle. We build three client-approved video ad concepts in seven days, then turn the winners into fresh variations. No filming day required. Worth sending the private sample?</x:v>
      </x:c>
      <x:c r="AV388" s="76" t="str">
        <x:v>Quick follow-up: the sample angle is a room transformation before/after ad. If it misses the mark, no problem—I won't keep chasing. Should I send it?</x:v>
      </x:c>
      <x:c r="AW388" s="76" t="str">
        <x:v>Hi Paul, Ryan here. I was looking at DOOR TO DOOR FLOORS's public marketing and noticed: financing language found; no embedded homepage video found. I mapped one private room transformation before/after ad as an example. Did I catch you with 30 seconds?</x:v>
      </x:c>
      <x:c r="AX388" s="60" t="str">
        <x:v>https://www.facebook.com/ads/library/?active_status=active&amp;ad_type=all&amp;country=US&amp;q=DOOR%20TO%20DOOR%20FLOORS&amp;search_type=keyword_unordered</x:v>
      </x:c>
      <x:c r="AY388" s="60" t="str">
        <x:v>ok:200</x:v>
      </x:c>
      <x:c r="AZ388" s="60" t="n">
        <x:v>46232.722858796296</x:v>
      </x:c>
      <x:c r="BA388" s="60" t="str">
        <x:v>AI Ark SC trades export</x:v>
      </x:c>
      <x:c r="BB388" s="60" t="str">
        <x:v>https://doortodoorfloors.com | https://www.linkedin.com/company/door-to-door-floors</x:v>
      </x:c>
      <x:c r="BC388" s="60" t="str"/>
    </x:row>
    <x:row r="389" ht="18" customHeight="1">
      <x:c r="A389" s="70" t="str">
        <x:v>388</x:v>
      </x:c>
      <x:c r="B389" s="70" t="str">
        <x:v>C - Verify</x:v>
      </x:c>
      <x:c r="C389" s="72" t="str">
        <x:v>53</x:v>
      </x:c>
      <x:c r="D389" s="60" t="str">
        <x:v>Landmark Roofing</x:v>
      </x:c>
      <x:c r="E389" s="60" t="str">
        <x:v>https://landmarkroofing.com</x:v>
      </x:c>
      <x:c r="F389" s="60" t="str">
        <x:v>https://landmarkroofing.com</x:v>
      </x:c>
      <x:c r="G389" s="60" t="str">
        <x:v>Sumter</x:v>
      </x:c>
      <x:c r="H389" s="60" t="str">
        <x:v>South Carolina</x:v>
      </x:c>
      <x:c r="I389" s="60" t="str">
        <x:v>Roofing</x:v>
      </x:c>
      <x:c r="J389" s="60" t="str">
        <x:v>Terry</x:v>
      </x:c>
      <x:c r="K389" s="60" t="str">
        <x:v>Land</x:v>
      </x:c>
      <x:c r="L389" s="60" t="str">
        <x:v>Owner</x:v>
      </x:c>
      <x:c r="M389" s="60" t="str"/>
      <x:c r="N389" s="60" t="str"/>
      <x:c r="O389" s="60" t="str">
        <x:v>+1 617 965 7663</x:v>
      </x:c>
      <x:c r="P389" s="60" t="str">
        <x:v>https://www.linkedin.com/in/terry-land-67925571</x:v>
      </x:c>
      <x:c r="Q389" s="60" t="str">
        <x:v>2-10</x:v>
      </x:c>
      <x:c r="R389" s="60" t="str">
        <x:v>100000-499999</x:v>
      </x:c>
      <x:c r="S389" s="60" t="str"/>
      <x:c r="T389" s="74" t="str">
        <x:v>0</x:v>
      </x:c>
      <x:c r="U389" s="60" t="str"/>
      <x:c r="V389" s="74" t="str">
        <x:v>28</x:v>
      </x:c>
      <x:c r="W389" s="74" t="str">
        <x:v>3</x:v>
      </x:c>
      <x:c r="X389" s="74" t="str">
        <x:v>10</x:v>
      </x:c>
      <x:c r="Y389" s="74" t="str">
        <x:v>7</x:v>
      </x:c>
      <x:c r="Z389" s="74" t="str">
        <x:v>5</x:v>
      </x:c>
      <x:c r="AA389" s="74" t="str">
        <x:v>0</x:v>
      </x:c>
      <x:c r="AB389" s="74" t="str">
        <x:v>0</x:v>
      </x:c>
      <x:c r="AC389" s="74" t="str">
        <x:v>1</x:v>
      </x:c>
      <x:c r="AD389" s="74" t="str">
        <x:v>0</x:v>
      </x:c>
      <x:c r="AE389" s="74" t="str">
        <x:v>0</x:v>
      </x:c>
      <x:c r="AF389" s="74" t="str"/>
      <x:c r="AG389" s="74" t="str">
        <x:v>0</x:v>
      </x:c>
      <x:c r="AH389" s="74" t="str">
        <x:v>0</x:v>
      </x:c>
      <x:c r="AI389" s="74" t="str">
        <x:v>1</x:v>
      </x:c>
      <x:c r="AJ389" s="74" t="str">
        <x:v>0</x:v>
      </x:c>
      <x:c r="AK389" s="74" t="str">
        <x:v>1</x:v>
      </x:c>
      <x:c r="AL389" s="74" t="str">
        <x:v>0</x:v>
      </x:c>
      <x:c r="AM389" s="74" t="str">
        <x:v>1</x:v>
      </x:c>
      <x:c r="AN389" s="74" t="str">
        <x:v>0</x:v>
      </x:c>
      <x:c r="AO389" s="60" t="str">
        <x:v>2026</x:v>
      </x:c>
      <x:c r="AP389" s="76" t="str">
        <x:v>ICP fit; paid-demand need requires manual verification</x:v>
      </x:c>
      <x:c r="AQ389" s="76" t="str">
        <x:v>testimonials; visible service offer; no embedded homepage video detected</x:v>
      </x:c>
      <x:c r="AR389" s="76" t="str">
        <x:v>I was reviewing roofing companies in Sumter, South Carolina and Landmark Roofing looked like a strong fit for a creative test.</x:v>
      </x:c>
      <x:c r="AS389" s="76" t="str">
        <x:v>storm-to-inspection before/after ad</x:v>
      </x:c>
      <x:c r="AT389" s="76" t="str">
        <x:v>Landmark Roofing ad concept</x:v>
      </x:c>
      <x:c r="AU389" s="76" t="str">
        <x:v>Hi Terry — I was reviewing roofing companies in Sumter, South Carolina and Landmark Roofing looked like a strong fit for a creative test. I mapped a private 15-second storm-to-inspection before/after ad for Landmark Roofing using only public brand context—not for publishing, just to show the angle. We build three client-approved video ad concepts in seven days, then turn the winners into fresh variations. No filming day required. Worth sending the private sample?</x:v>
      </x:c>
      <x:c r="AV389" s="76" t="str">
        <x:v>Quick follow-up: the sample angle is a storm-to-inspection before/after ad. If it misses the mark, no problem—I won't keep chasing. Should I send it?</x:v>
      </x:c>
      <x:c r="AW389" s="76" t="str">
        <x:v>Hi Terry, Ryan here. I was looking at Landmark Roofing's public marketing and noticed: icp fit; paid-demand need requires manual verification. I mapped one private storm-to-inspection before/after ad as an example. Did I catch you with 30 seconds?</x:v>
      </x:c>
      <x:c r="AX389" s="60" t="str">
        <x:v>https://www.facebook.com/ads/library/?active_status=active&amp;ad_type=all&amp;country=US&amp;q=Landmark%20Roofing&amp;search_type=keyword_unordered</x:v>
      </x:c>
      <x:c r="AY389" s="60" t="str">
        <x:v>ok:200</x:v>
      </x:c>
      <x:c r="AZ389" s="60" t="n">
        <x:v>46232.722858796296</x:v>
      </x:c>
      <x:c r="BA389" s="60" t="str">
        <x:v>AI Ark SC trades export</x:v>
      </x:c>
      <x:c r="BB389" s="60" t="str">
        <x:v>https://landmarkroofing.com | https://www.linkedin.com/company/landmark-roofing</x:v>
      </x:c>
      <x:c r="BC389" s="60" t="str"/>
    </x:row>
    <x:row r="390" ht="18" customHeight="1">
      <x:c r="A390" s="70" t="str">
        <x:v>389</x:v>
      </x:c>
      <x:c r="B390" s="70" t="str">
        <x:v>C - Verify</x:v>
      </x:c>
      <x:c r="C390" s="72" t="str">
        <x:v>53</x:v>
      </x:c>
      <x:c r="D390" s="60" t="str">
        <x:v>Gilstrap Roofing, Inc.</x:v>
      </x:c>
      <x:c r="E390" s="60" t="str">
        <x:v>https://gilstraproofing.com</x:v>
      </x:c>
      <x:c r="F390" s="60" t="str">
        <x:v>https://gilstraproofing.com</x:v>
      </x:c>
      <x:c r="G390" s="60" t="str">
        <x:v>Greenville</x:v>
      </x:c>
      <x:c r="H390" s="60" t="str">
        <x:v>South Carolina</x:v>
      </x:c>
      <x:c r="I390" s="60" t="str">
        <x:v>Roofing</x:v>
      </x:c>
      <x:c r="J390" s="60" t="str">
        <x:v>Brian</x:v>
      </x:c>
      <x:c r="K390" s="60" t="str">
        <x:v>Gilstrap</x:v>
      </x:c>
      <x:c r="L390" s="60" t="str">
        <x:v>Owner / President</x:v>
      </x:c>
      <x:c r="M390" s="60" t="str">
        <x:v>brian@gilstraproofing.com</x:v>
      </x:c>
      <x:c r="N390" s="60" t="str">
        <x:v>Verified with BounceBan on 08 Jun 26 12:06</x:v>
      </x:c>
      <x:c r="O390" s="60" t="str">
        <x:v>+1 864 414 5138</x:v>
      </x:c>
      <x:c r="P390" s="60" t="str">
        <x:v>https://www.linkedin.com/in/brian-gilstrap-930b6930</x:v>
      </x:c>
      <x:c r="Q390" s="60" t="str">
        <x:v>11-50</x:v>
      </x:c>
      <x:c r="R390" s="60" t="str">
        <x:v>100000-499999</x:v>
      </x:c>
      <x:c r="S390" s="60" t="str">
        <x:v>4.9</x:v>
      </x:c>
      <x:c r="T390" s="74" t="str">
        <x:v>394</x:v>
      </x:c>
      <x:c r="U390" s="60" t="str"/>
      <x:c r="V390" s="74" t="str">
        <x:v>30</x:v>
      </x:c>
      <x:c r="W390" s="74" t="str">
        <x:v>3</x:v>
      </x:c>
      <x:c r="X390" s="74" t="str">
        <x:v>4</x:v>
      </x:c>
      <x:c r="Y390" s="74" t="str">
        <x:v>6</x:v>
      </x:c>
      <x:c r="Z390" s="74" t="str">
        <x:v>10</x:v>
      </x:c>
      <x:c r="AA390" s="74" t="str">
        <x:v>0</x:v>
      </x:c>
      <x:c r="AB390" s="74" t="str">
        <x:v>0</x:v>
      </x:c>
      <x:c r="AC390" s="74" t="str">
        <x:v>1</x:v>
      </x:c>
      <x:c r="AD390" s="74" t="str">
        <x:v>0</x:v>
      </x:c>
      <x:c r="AE390" s="74" t="str">
        <x:v>0</x:v>
      </x:c>
      <x:c r="AF390" s="74" t="str"/>
      <x:c r="AG390" s="74" t="str">
        <x:v>1</x:v>
      </x:c>
      <x:c r="AH390" s="74" t="str">
        <x:v>0</x:v>
      </x:c>
      <x:c r="AI390" s="74" t="str">
        <x:v>0</x:v>
      </x:c>
      <x:c r="AJ390" s="74" t="str">
        <x:v>1</x:v>
      </x:c>
      <x:c r="AK390" s="74" t="str">
        <x:v>0</x:v>
      </x:c>
      <x:c r="AL390" s="74" t="str">
        <x:v>0</x:v>
      </x:c>
      <x:c r="AM390" s="74" t="str">
        <x:v>1</x:v>
      </x:c>
      <x:c r="AN390" s="74" t="str">
        <x:v>0</x:v>
      </x:c>
      <x:c r="AO390" s="60" t="str">
        <x:v>2026</x:v>
      </x:c>
      <x:c r="AP390" s="76" t="str">
        <x:v>ICP fit; paid-demand need requires manual verification</x:v>
      </x:c>
      <x:c r="AQ390" s="76" t="str">
        <x:v>financing</x:v>
      </x:c>
      <x:c r="AR390" s="76" t="str">
        <x:v>I was reviewing roofing companies in Greenville, South Carolina and Gilstrap Roofing, Inc. looked like a strong fit for a creative test.</x:v>
      </x:c>
      <x:c r="AS390" s="76" t="str">
        <x:v>storm-to-inspection before/after ad</x:v>
      </x:c>
      <x:c r="AT390" s="76" t="str">
        <x:v>Gilstrap Roofing, Inc. ad concept</x:v>
      </x:c>
      <x:c r="AU390" s="76" t="str">
        <x:v>Hi Brian — I was reviewing roofing companies in Greenville, South Carolina and Gilstrap Roofing, Inc. looked like a strong fit for a creative test. I mapped a private 15-second storm-to-inspection before/after ad for Gilstrap Roofing, Inc. using only public brand context—not for publishing, just to show the angle. We build three client-approved video ad concepts in seven days, then turn the winners into fresh variations. No filming day required. Worth sending the private sample?</x:v>
      </x:c>
      <x:c r="AV390" s="76" t="str">
        <x:v>Quick follow-up: the sample angle is a storm-to-inspection before/after ad. If it misses the mark, no problem—I won't keep chasing. Should I send it?</x:v>
      </x:c>
      <x:c r="AW390" s="76" t="str">
        <x:v>Hi Brian, Ryan here. I was looking at Gilstrap Roofing, Inc.'s public marketing and noticed: icp fit; paid-demand need requires manual verification. I mapped one private storm-to-inspection before/after ad as an example. Did I catch you with 30 seconds?</x:v>
      </x:c>
      <x:c r="AX390" s="60" t="str">
        <x:v>https://www.facebook.com/ads/library/?active_status=active&amp;ad_type=all&amp;country=US&amp;q=Gilstrap%20Roofing%2C%20Inc.&amp;search_type=keyword_unordered</x:v>
      </x:c>
      <x:c r="AY390" s="60" t="str">
        <x:v>ok:200</x:v>
      </x:c>
      <x:c r="AZ390" s="60" t="n">
        <x:v>46232.722858796296</x:v>
      </x:c>
      <x:c r="BA390" s="60" t="str">
        <x:v>AI Ark SC trades export | Google Maps home-services export</x:v>
      </x:c>
      <x:c r="BB390" s="60" t="str">
        <x:v>https://gilstraproofing.com | https://maps.google.com/?cid=14281108463869149318&amp;g_mp=Cidnb29nbGUubWFwcy5wbGFjZXMudjEuUGxhY2VzLlNlYXJjaFRleHQQAhgEIAA | https://www.linkedin.com/company/gilstrap-roofing-inc</x:v>
      </x:c>
      <x:c r="BC390" s="60" t="str"/>
    </x:row>
    <x:row r="391" ht="18" customHeight="1">
      <x:c r="A391" s="70" t="str">
        <x:v>390</x:v>
      </x:c>
      <x:c r="B391" s="70" t="str">
        <x:v>C - Verify</x:v>
      </x:c>
      <x:c r="C391" s="72" t="str">
        <x:v>53</x:v>
      </x:c>
      <x:c r="D391" s="60" t="str">
        <x:v>Charleston Heating and Air</x:v>
      </x:c>
      <x:c r="E391" s="60" t="str">
        <x:v>https://charlestonheatingandair.com</x:v>
      </x:c>
      <x:c r="F391" s="60" t="str">
        <x:v>https://charlestonheatingandair.com</x:v>
      </x:c>
      <x:c r="G391" s="60" t="str">
        <x:v>Charleston</x:v>
      </x:c>
      <x:c r="H391" s="60" t="str">
        <x:v>South Carolina</x:v>
      </x:c>
      <x:c r="I391" s="60" t="str">
        <x:v>HVAC</x:v>
      </x:c>
      <x:c r="J391" s="60" t="str">
        <x:v>Charleston Heating and Air</x:v>
      </x:c>
      <x:c r="K391" s="60" t="str"/>
      <x:c r="L391" s="60" t="str">
        <x:v>Owner / decision maker to verify</x:v>
      </x:c>
      <x:c r="M391" s="60" t="str"/>
      <x:c r="N391" s="60" t="str"/>
      <x:c r="O391" s="60" t="str">
        <x:v>(843) 380-9869</x:v>
      </x:c>
      <x:c r="P391" s="60" t="str"/>
      <x:c r="Q391" s="60" t="str"/>
      <x:c r="R391" s="60" t="str"/>
      <x:c r="S391" s="60" t="str">
        <x:v>4.8</x:v>
      </x:c>
      <x:c r="T391" s="74" t="str">
        <x:v>444</x:v>
      </x:c>
      <x:c r="U391" s="60" t="str"/>
      <x:c r="V391" s="74" t="str">
        <x:v>29</x:v>
      </x:c>
      <x:c r="W391" s="74" t="str">
        <x:v>3</x:v>
      </x:c>
      <x:c r="X391" s="74" t="str">
        <x:v>10</x:v>
      </x:c>
      <x:c r="Y391" s="74" t="str">
        <x:v>6</x:v>
      </x:c>
      <x:c r="Z391" s="74" t="str">
        <x:v>5</x:v>
      </x:c>
      <x:c r="AA391" s="74" t="str">
        <x:v>0</x:v>
      </x:c>
      <x:c r="AB391" s="74" t="str">
        <x:v>0</x:v>
      </x:c>
      <x:c r="AC391" s="74" t="str">
        <x:v>1</x:v>
      </x:c>
      <x:c r="AD391" s="74" t="str">
        <x:v>0</x:v>
      </x:c>
      <x:c r="AE391" s="74" t="str">
        <x:v>0</x:v>
      </x:c>
      <x:c r="AF391" s="74" t="str"/>
      <x:c r="AG391" s="74" t="str">
        <x:v>0</x:v>
      </x:c>
      <x:c r="AH391" s="74" t="str">
        <x:v>0</x:v>
      </x:c>
      <x:c r="AI391" s="74" t="str">
        <x:v>0</x:v>
      </x:c>
      <x:c r="AJ391" s="74" t="str">
        <x:v>0</x:v>
      </x:c>
      <x:c r="AK391" s="74" t="str">
        <x:v>1</x:v>
      </x:c>
      <x:c r="AL391" s="74" t="str">
        <x:v>0</x:v>
      </x:c>
      <x:c r="AM391" s="74" t="str">
        <x:v>1</x:v>
      </x:c>
      <x:c r="AN391" s="74" t="str">
        <x:v>0</x:v>
      </x:c>
      <x:c r="AO391" s="60" t="str">
        <x:v>2026</x:v>
      </x:c>
      <x:c r="AP391" s="76" t="str">
        <x:v>444 Google reviews; no embedded homepage video found</x:v>
      </x:c>
      <x:c r="AQ391" s="76" t="str">
        <x:v>visible service offer; no embedded homepage video detected</x:v>
      </x:c>
      <x:c r="AR391" s="76" t="str">
        <x:v>Charleston Heating and Air has 444 Google reviews—strong proof that could be turned into short-form ad concepts.</x:v>
      </x:c>
      <x:c r="AS391" s="76" t="str">
        <x:v>no-cool-call to same-day comfort ad</x:v>
      </x:c>
      <x:c r="AT391" s="76" t="str">
        <x:v>Charleston Heating and Air ad concept</x:v>
      </x:c>
      <x:c r="AU391" s="76" t="str">
        <x:v>Hi Charleston Heating and Air — Charleston Heating and Air has 444 Google reviews—strong proof that could be turned into short-form ad concepts. I mapped a private 15-second no-cool-call to same-day comfort ad for Charleston Heating and Air using only public brand context—not for publishing, just to show the angle. We build three client-approved video ad concepts in seven days, then turn the winners into fresh variations. No filming day required. Worth sending the private sample?</x:v>
      </x:c>
      <x:c r="AV391" s="76" t="str">
        <x:v>Quick follow-up: the sample angle is a no-cool-call to same-day comfort ad. If it misses the mark, no problem—I won't keep chasing. Should I send it?</x:v>
      </x:c>
      <x:c r="AW391" s="76" t="str">
        <x:v>Hi Charleston Heating and Air, Ryan here. I was looking at Charleston Heating and Air's public marketing and noticed: 444 google reviews; no embedded homepage video found. I mapped one private no-cool-call to same-day comfort ad as an example. Did I catch you with 30 seconds?</x:v>
      </x:c>
      <x:c r="AX391" s="60" t="str">
        <x:v>https://www.facebook.com/ads/library/?active_status=active&amp;ad_type=all&amp;country=US&amp;q=Charleston%20Heating%20and%20Air&amp;search_type=keyword_unordered</x:v>
      </x:c>
      <x:c r="AY391" s="60" t="str">
        <x:v>ok:200</x:v>
      </x:c>
      <x:c r="AZ391" s="60" t="n">
        <x:v>46232.722858796296</x:v>
      </x:c>
      <x:c r="BA391" s="60" t="str">
        <x:v>Google Maps home-services export</x:v>
      </x:c>
      <x:c r="BB391" s="60" t="str">
        <x:v>https://charlestonheatingandair.com | https://maps.google.com/?cid=1746377880355578665&amp;g_mp=Cidnb29nbGUubWFwcy5wbGFjZXMudjEuUGxhY2VzLlNlYXJjaFRleHQQAhgEIAA</x:v>
      </x:c>
      <x:c r="BC391" s="60" t="str"/>
    </x:row>
    <x:row r="392" ht="18" customHeight="1">
      <x:c r="A392" s="70" t="str">
        <x:v>391</x:v>
      </x:c>
      <x:c r="B392" s="70" t="str">
        <x:v>C - Verify</x:v>
      </x:c>
      <x:c r="C392" s="72" t="str">
        <x:v>53</x:v>
      </x:c>
      <x:c r="D392" s="60" t="str">
        <x:v>Mountain Creek Kitchen &amp; Bath</x:v>
      </x:c>
      <x:c r="E392" s="60" t="str">
        <x:v>https://mountaincreekcabinets.com</x:v>
      </x:c>
      <x:c r="F392" s="60" t="str">
        <x:v>https://mountaincreekcabinets.com</x:v>
      </x:c>
      <x:c r="G392" s="60" t="str">
        <x:v>Greenville</x:v>
      </x:c>
      <x:c r="H392" s="60" t="str">
        <x:v>South Carolina</x:v>
      </x:c>
      <x:c r="I392" s="60" t="str">
        <x:v>Remodeling</x:v>
      </x:c>
      <x:c r="J392" s="60" t="str">
        <x:v>Kent</x:v>
      </x:c>
      <x:c r="K392" s="60" t="str">
        <x:v>Burnett</x:v>
      </x:c>
      <x:c r="L392" s="60" t="str">
        <x:v>Owner</x:v>
      </x:c>
      <x:c r="M392" s="60" t="str">
        <x:v>kburnett@mountaincreekcabinets.com</x:v>
      </x:c>
      <x:c r="N392" s="60" t="str">
        <x:v>Verified with BounceBan on 08 Jun 26 12:06</x:v>
      </x:c>
      <x:c r="O392" s="60" t="str">
        <x:v>+1 864 244 4573</x:v>
      </x:c>
      <x:c r="P392" s="60" t="str">
        <x:v>https://www.linkedin.com/in/kent-burnett-b39906137</x:v>
      </x:c>
      <x:c r="Q392" s="60" t="str">
        <x:v>2-10</x:v>
      </x:c>
      <x:c r="R392" s="60" t="str">
        <x:v>100000-499999</x:v>
      </x:c>
      <x:c r="S392" s="60" t="str"/>
      <x:c r="T392" s="74" t="str">
        <x:v>0</x:v>
      </x:c>
      <x:c r="U392" s="60" t="str"/>
      <x:c r="V392" s="74" t="str">
        <x:v>25</x:v>
      </x:c>
      <x:c r="W392" s="74" t="str">
        <x:v>3</x:v>
      </x:c>
      <x:c r="X392" s="74" t="str">
        <x:v>10</x:v>
      </x:c>
      <x:c r="Y392" s="74" t="str">
        <x:v>5</x:v>
      </x:c>
      <x:c r="Z392" s="74" t="str">
        <x:v>10</x:v>
      </x:c>
      <x:c r="AA392" s="74" t="str">
        <x:v>0</x:v>
      </x:c>
      <x:c r="AB392" s="74" t="str">
        <x:v>0</x:v>
      </x:c>
      <x:c r="AC392" s="74" t="str">
        <x:v>1</x:v>
      </x:c>
      <x:c r="AD392" s="74" t="str">
        <x:v>0</x:v>
      </x:c>
      <x:c r="AE392" s="74" t="str">
        <x:v>0</x:v>
      </x:c>
      <x:c r="AF392" s="74" t="str"/>
      <x:c r="AG392" s="74" t="str">
        <x:v>0</x:v>
      </x:c>
      <x:c r="AH392" s="74" t="str">
        <x:v>1</x:v>
      </x:c>
      <x:c r="AI392" s="74" t="str">
        <x:v>0</x:v>
      </x:c>
      <x:c r="AJ392" s="74" t="str">
        <x:v>0</x:v>
      </x:c>
      <x:c r="AK392" s="74" t="str">
        <x:v>0</x:v>
      </x:c>
      <x:c r="AL392" s="74" t="str">
        <x:v>0</x:v>
      </x:c>
      <x:c r="AM392" s="74" t="str">
        <x:v>1</x:v>
      </x:c>
      <x:c r="AN392" s="74" t="str">
        <x:v>0</x:v>
      </x:c>
      <x:c r="AO392" s="60" t="str">
        <x:v>2026</x:v>
      </x:c>
      <x:c r="AP392" s="76" t="str">
        <x:v>Project/gallery proof found; no embedded homepage video found</x:v>
      </x:c>
      <x:c r="AQ392" s="76" t="str">
        <x:v>project/gallery proof; no embedded homepage video detected</x:v>
      </x:c>
      <x:c r="AR392" s="76" t="str">
        <x:v>I found project/gallery proof on Mountain Creek Kitchen &amp; Bath's site that could be repackaged into short-form ad concepts.</x:v>
      </x:c>
      <x:c r="AS392" s="76" t="str">
        <x:v>project reveal with budget-and-timeline proof</x:v>
      </x:c>
      <x:c r="AT392" s="76" t="str">
        <x:v>Mountain Creek Kitchen &amp; Bath ad concept</x:v>
      </x:c>
      <x:c r="AU392" s="76" t="str">
        <x:v>Hi Kent — I found project/gallery proof on Mountain Creek Kitchen &amp; Bath's site that could be repackaged into short-form ad concepts. I mapped a private 15-second project reveal with budget-and-timeline proof for Mountain Creek Kitchen &amp; Bath using only public brand context—not for publishing, just to show the angle. We build three client-approved video ad concepts in seven days, then turn the winners into fresh variations. No filming day required. Worth sending the private sample?</x:v>
      </x:c>
      <x:c r="AV392" s="76" t="str">
        <x:v>Quick follow-up: the sample angle is a project reveal with budget-and-timeline proof. If it misses the mark, no problem—I won't keep chasing. Should I send it?</x:v>
      </x:c>
      <x:c r="AW392" s="76" t="str">
        <x:v>Hi Kent, Ryan here. I was looking at Mountain Creek Kitchen &amp; Bath's public marketing and noticed: project/gallery proof found; no embedded homepage video found. I mapped one private project reveal with budget-and-timeline proof as an example. Did I catch you with 30 seconds?</x:v>
      </x:c>
      <x:c r="AX392" s="60" t="str">
        <x:v>https://www.facebook.com/ads/library/?active_status=active&amp;ad_type=all&amp;country=US&amp;q=Mountain%20Creek%20Kitchen%20%26%20Bath&amp;search_type=keyword_unordered</x:v>
      </x:c>
      <x:c r="AY392" s="60" t="str">
        <x:v>ok:200</x:v>
      </x:c>
      <x:c r="AZ392" s="60" t="n">
        <x:v>46232.722858796296</x:v>
      </x:c>
      <x:c r="BA392" s="60" t="str">
        <x:v>AI Ark SC trades export</x:v>
      </x:c>
      <x:c r="BB392" s="60" t="str">
        <x:v>https://mountaincreekcabinets.com | https://www.linkedin.com/company/mountain-creek-kitchen-&amp;-bath</x:v>
      </x:c>
      <x:c r="BC392" s="60" t="str"/>
    </x:row>
    <x:row r="393" ht="18" customHeight="1">
      <x:c r="A393" s="70" t="str">
        <x:v>392</x:v>
      </x:c>
      <x:c r="B393" s="70" t="str">
        <x:v>C - Verify</x:v>
      </x:c>
      <x:c r="C393" s="72" t="str">
        <x:v>53</x:v>
      </x:c>
      <x:c r="D393" s="60" t="str">
        <x:v>Sunrise Cleaning &amp; Construction Services</x:v>
      </x:c>
      <x:c r="E393" s="60" t="str">
        <x:v>https://sunrisecleaning.biz</x:v>
      </x:c>
      <x:c r="F393" s="60" t="str">
        <x:v>https://www.sunrisecleaning.biz/</x:v>
      </x:c>
      <x:c r="G393" s="60" t="str">
        <x:v>Bonneau</x:v>
      </x:c>
      <x:c r="H393" s="60" t="str">
        <x:v>South Carolina</x:v>
      </x:c>
      <x:c r="I393" s="60" t="str">
        <x:v>Restoration</x:v>
      </x:c>
      <x:c r="J393" s="60" t="str">
        <x:v>Dawn</x:v>
      </x:c>
      <x:c r="K393" s="60" t="str">
        <x:v>Early</x:v>
      </x:c>
      <x:c r="L393" s="60" t="str">
        <x:v>Owner</x:v>
      </x:c>
      <x:c r="M393" s="60" t="str"/>
      <x:c r="N393" s="60" t="str"/>
      <x:c r="O393" s="60" t="str">
        <x:v>+1 843 214 7318</x:v>
      </x:c>
      <x:c r="P393" s="60" t="str">
        <x:v>https://www.linkedin.com/in/dawn-early-16806180</x:v>
      </x:c>
      <x:c r="Q393" s="60" t="str">
        <x:v>11-50</x:v>
      </x:c>
      <x:c r="R393" s="60" t="str">
        <x:v>1000000-4999999</x:v>
      </x:c>
      <x:c r="S393" s="60" t="str"/>
      <x:c r="T393" s="74" t="str">
        <x:v>0</x:v>
      </x:c>
      <x:c r="U393" s="60" t="str"/>
      <x:c r="V393" s="74" t="str">
        <x:v>30</x:v>
      </x:c>
      <x:c r="W393" s="74" t="str">
        <x:v>3</x:v>
      </x:c>
      <x:c r="X393" s="74" t="str">
        <x:v>10</x:v>
      </x:c>
      <x:c r="Y393" s="74" t="str">
        <x:v>5</x:v>
      </x:c>
      <x:c r="Z393" s="74" t="str">
        <x:v>5</x:v>
      </x:c>
      <x:c r="AA393" s="74" t="str">
        <x:v>0</x:v>
      </x:c>
      <x:c r="AB393" s="74" t="str">
        <x:v>0</x:v>
      </x:c>
      <x:c r="AC393" s="74" t="str">
        <x:v>1</x:v>
      </x:c>
      <x:c r="AD393" s="74" t="str">
        <x:v>0</x:v>
      </x:c>
      <x:c r="AE393" s="74" t="str">
        <x:v>0</x:v>
      </x:c>
      <x:c r="AF393" s="74" t="str"/>
      <x:c r="AG393" s="74" t="str">
        <x:v>0</x:v>
      </x:c>
      <x:c r="AH393" s="74" t="str">
        <x:v>1</x:v>
      </x:c>
      <x:c r="AI393" s="74" t="str">
        <x:v>0</x:v>
      </x:c>
      <x:c r="AJ393" s="74" t="str">
        <x:v>0</x:v>
      </x:c>
      <x:c r="AK393" s="74" t="str">
        <x:v>0</x:v>
      </x:c>
      <x:c r="AL393" s="74" t="str">
        <x:v>0</x:v>
      </x:c>
      <x:c r="AM393" s="74" t="str">
        <x:v>1</x:v>
      </x:c>
      <x:c r="AN393" s="74" t="str">
        <x:v>0</x:v>
      </x:c>
      <x:c r="AO393" s="60" t="str">
        <x:v>0</x:v>
      </x:c>
      <x:c r="AP393" s="76" t="str">
        <x:v>Project/gallery proof found; no embedded homepage video found</x:v>
      </x:c>
      <x:c r="AQ393" s="76" t="str">
        <x:v>project/gallery proof; no embedded homepage video detected</x:v>
      </x:c>
      <x:c r="AR393" s="76" t="str">
        <x:v>I found project/gallery proof on Sunrise Cleaning &amp; Construction Services's site that could be repackaged into short-form ad concepts.</x:v>
      </x:c>
      <x:c r="AS393" s="76" t="str">
        <x:v>first-24-hours emergency-response ad</x:v>
      </x:c>
      <x:c r="AT393" s="76" t="str">
        <x:v>Sunrise Cleaning &amp; Construction Services ad concept</x:v>
      </x:c>
      <x:c r="AU393" s="76" t="str">
        <x:v>Hi Dawn — I found project/gallery proof on Sunrise Cleaning &amp; Construction Services's site that could be repackaged into short-form ad concepts. I mapped a private 15-second first-24-hours emergency-response ad for Sunrise Cleaning &amp; Construction Services using only public brand context—not for publishing, just to show the angle. We build three client-approved video ad concepts in seven days, then turn the winners into fresh variations. No filming day required. Worth sending the private sample?</x:v>
      </x:c>
      <x:c r="AV393" s="76" t="str">
        <x:v>Quick follow-up: the sample angle is a first-24-hours emergency-response ad. If it misses the mark, no problem—I won't keep chasing. Should I send it?</x:v>
      </x:c>
      <x:c r="AW393" s="76" t="str">
        <x:v>Hi Dawn, Ryan here. I was looking at Sunrise Cleaning &amp; Construction Services's public marketing and noticed: project/gallery proof found; no embedded homepage video found. I mapped one private first-24-hours emergency-response ad as an example. Did I catch you with 30 seconds?</x:v>
      </x:c>
      <x:c r="AX393" s="60" t="str">
        <x:v>https://www.facebook.com/ads/library/?active_status=active&amp;ad_type=all&amp;country=US&amp;q=Sunrise%20Cleaning%20%26%20Construction%20Services&amp;search_type=keyword_unordered</x:v>
      </x:c>
      <x:c r="AY393" s="60" t="str">
        <x:v>ok:200</x:v>
      </x:c>
      <x:c r="AZ393" s="60" t="n">
        <x:v>46232.722858796296</x:v>
      </x:c>
      <x:c r="BA393" s="60" t="str">
        <x:v>AI Ark SC trades export</x:v>
      </x:c>
      <x:c r="BB393" s="60" t="str">
        <x:v>https://sunrisecleaning.biz | https://www.linkedin.com/company/sunrise-cleaning-&amp;-construction-services</x:v>
      </x:c>
      <x:c r="BC393" s="60" t="str"/>
    </x:row>
    <x:row r="394" ht="18" customHeight="1">
      <x:c r="A394" s="70" t="str">
        <x:v>393</x:v>
      </x:c>
      <x:c r="B394" s="70" t="str">
        <x:v>C - Verify</x:v>
      </x:c>
      <x:c r="C394" s="72" t="str">
        <x:v>53</x:v>
      </x:c>
      <x:c r="D394" s="60" t="str">
        <x:v>Charleston Roofs &amp; Windows</x:v>
      </x:c>
      <x:c r="E394" s="60" t="str">
        <x:v>https://charlestonroofsandwindows.com</x:v>
      </x:c>
      <x:c r="F394" s="60" t="str">
        <x:v>https://charlestonroofsandwindows.com</x:v>
      </x:c>
      <x:c r="G394" s="60" t="str">
        <x:v>Charleston County</x:v>
      </x:c>
      <x:c r="H394" s="60" t="str">
        <x:v>South Carolina</x:v>
      </x:c>
      <x:c r="I394" s="60" t="str">
        <x:v>Roofing</x:v>
      </x:c>
      <x:c r="J394" s="60" t="str">
        <x:v>Garrett</x:v>
      </x:c>
      <x:c r="K394" s="60" t="str">
        <x:v>Schmelter</x:v>
      </x:c>
      <x:c r="L394" s="60" t="str">
        <x:v>Co-Owner</x:v>
      </x:c>
      <x:c r="M394" s="60" t="str">
        <x:v>garrett@charlestonroofsandwindows.com</x:v>
      </x:c>
      <x:c r="N394" s="60" t="str">
        <x:v>Verified with BounceBan on 08 Jun 26 12:06</x:v>
      </x:c>
      <x:c r="O394" s="60" t="str">
        <x:v>+1 843 906 0089</x:v>
      </x:c>
      <x:c r="P394" s="60" t="str">
        <x:v>https://www.linkedin.com/in/garrett-schmelter-2216751b7</x:v>
      </x:c>
      <x:c r="Q394" s="60" t="str">
        <x:v>11-50</x:v>
      </x:c>
      <x:c r="R394" s="60" t="str">
        <x:v>100000-499999</x:v>
      </x:c>
      <x:c r="S394" s="60" t="str"/>
      <x:c r="T394" s="74" t="str">
        <x:v>0</x:v>
      </x:c>
      <x:c r="U394" s="60" t="str"/>
      <x:c r="V394" s="74" t="str">
        <x:v>30</x:v>
      </x:c>
      <x:c r="W394" s="74" t="str">
        <x:v>3</x:v>
      </x:c>
      <x:c r="X394" s="74" t="str">
        <x:v>6</x:v>
      </x:c>
      <x:c r="Y394" s="74" t="str">
        <x:v>4</x:v>
      </x:c>
      <x:c r="Z394" s="74" t="str">
        <x:v>10</x:v>
      </x:c>
      <x:c r="AA394" s="74" t="str">
        <x:v>0</x:v>
      </x:c>
      <x:c r="AB394" s="74" t="str">
        <x:v>0</x:v>
      </x:c>
      <x:c r="AC394" s="74" t="str">
        <x:v>1</x:v>
      </x:c>
      <x:c r="AD394" s="74" t="str">
        <x:v>0</x:v>
      </x:c>
      <x:c r="AE394" s="74" t="str">
        <x:v>0</x:v>
      </x:c>
      <x:c r="AF394" s="74" t="str"/>
      <x:c r="AG394" s="74" t="str">
        <x:v>0</x:v>
      </x:c>
      <x:c r="AH394" s="74" t="str">
        <x:v>0</x:v>
      </x:c>
      <x:c r="AI394" s="74" t="str">
        <x:v>1</x:v>
      </x:c>
      <x:c r="AJ394" s="74" t="str">
        <x:v>0</x:v>
      </x:c>
      <x:c r="AK394" s="74" t="str">
        <x:v>0</x:v>
      </x:c>
      <x:c r="AL394" s="74" t="str">
        <x:v>1</x:v>
      </x:c>
      <x:c r="AM394" s="74" t="str">
        <x:v>1</x:v>
      </x:c>
      <x:c r="AN394" s="74" t="str">
        <x:v>1</x:v>
      </x:c>
      <x:c r="AO394" s="60" t="str">
        <x:v>0</x:v>
      </x:c>
      <x:c r="AP394" s="76" t="str">
        <x:v>ICP fit; paid-demand need requires manual verification</x:v>
      </x:c>
      <x:c r="AQ394" s="76" t="str">
        <x:v>testimonials; no embedded homepage video detected</x:v>
      </x:c>
      <x:c r="AR394" s="76" t="str">
        <x:v>I was reviewing roofing companies in Charleston County, South Carolina and Charleston Roofs &amp; Windows looked like a strong fit for a creative test.</x:v>
      </x:c>
      <x:c r="AS394" s="76" t="str">
        <x:v>storm-to-inspection before/after ad</x:v>
      </x:c>
      <x:c r="AT394" s="76" t="str">
        <x:v>Charleston Roofs &amp; Windows ad concept</x:v>
      </x:c>
      <x:c r="AU394" s="76" t="str">
        <x:v>Hi Garrett — I was reviewing roofing companies in Charleston County, South Carolina and Charleston Roofs &amp; Windows looked like a strong fit for a creative test. I mapped a private 15-second storm-to-inspection before/after ad for Charleston Roofs &amp; Windows using only public brand context—not for publishing, just to show the angle. We build three client-approved video ad concepts in seven days, then turn the winners into fresh variations. No filming day required. Worth sending the private sample?</x:v>
      </x:c>
      <x:c r="AV394" s="76" t="str">
        <x:v>Quick follow-up: the sample angle is a storm-to-inspection before/after ad. If it misses the mark, no problem—I won't keep chasing. Should I send it?</x:v>
      </x:c>
      <x:c r="AW394" s="76" t="str">
        <x:v>Hi Garrett, Ryan here. I was looking at Charleston Roofs &amp; Windows's public marketing and noticed: icp fit; paid-demand need requires manual verification. I mapped one private storm-to-inspection before/after ad as an example. Did I catch you with 30 seconds?</x:v>
      </x:c>
      <x:c r="AX394" s="60" t="str">
        <x:v>https://www.facebook.com/ads/library/?active_status=active&amp;ad_type=all&amp;country=US&amp;q=Charleston%20Roofs%20%26%20Windows&amp;search_type=keyword_unordered</x:v>
      </x:c>
      <x:c r="AY394" s="60" t="str">
        <x:v>ok:200</x:v>
      </x:c>
      <x:c r="AZ394" s="60" t="n">
        <x:v>46232.722858796296</x:v>
      </x:c>
      <x:c r="BA394" s="60" t="str">
        <x:v>AI Ark SC trades export</x:v>
      </x:c>
      <x:c r="BB394" s="60" t="str">
        <x:v>https://charlestonroofsandwindows.com | https://www.linkedin.com/company/charleston-roofs-and-windows</x:v>
      </x:c>
      <x:c r="BC394" s="60" t="str"/>
    </x:row>
    <x:row r="395" ht="18" customHeight="1">
      <x:c r="A395" s="70" t="str">
        <x:v>394</x:v>
      </x:c>
      <x:c r="B395" s="70" t="str">
        <x:v>C - Verify</x:v>
      </x:c>
      <x:c r="C395" s="72" t="str">
        <x:v>53</x:v>
      </x:c>
      <x:c r="D395" s="60" t="str">
        <x:v>Westbridge Homes Inc.</x:v>
      </x:c>
      <x:c r="E395" s="60" t="str">
        <x:v>https://westbridgehomes.com</x:v>
      </x:c>
      <x:c r="F395" s="60" t="str">
        <x:v>https://www.westbridgehomes.com/</x:v>
      </x:c>
      <x:c r="G395" s="60" t="str">
        <x:v>Myrtle Beach</x:v>
      </x:c>
      <x:c r="H395" s="60" t="str">
        <x:v>South Carolina</x:v>
      </x:c>
      <x:c r="I395" s="60" t="str">
        <x:v>Remodeling</x:v>
      </x:c>
      <x:c r="J395" s="60" t="str">
        <x:v>Fred</x:v>
      </x:c>
      <x:c r="K395" s="60" t="str">
        <x:v>Coyne</x:v>
      </x:c>
      <x:c r="L395" s="60" t="str">
        <x:v>Owner</x:v>
      </x:c>
      <x:c r="M395" s="60" t="str">
        <x:v>fred@westbridgehomes.com</x:v>
      </x:c>
      <x:c r="N395" s="60" t="str">
        <x:v>Verified with BounceBan on 08 Jun 26 12:06</x:v>
      </x:c>
      <x:c r="O395" s="60" t="str">
        <x:v>+1 843 458 1698</x:v>
      </x:c>
      <x:c r="P395" s="60" t="str">
        <x:v>https://www.linkedin.com/in/fred-coyne-ab9a5511</x:v>
      </x:c>
      <x:c r="Q395" s="60" t="str">
        <x:v>2-10</x:v>
      </x:c>
      <x:c r="R395" s="60" t="str">
        <x:v>0-99999</x:v>
      </x:c>
      <x:c r="S395" s="60" t="str"/>
      <x:c r="T395" s="74" t="str">
        <x:v>0</x:v>
      </x:c>
      <x:c r="U395" s="60" t="str"/>
      <x:c r="V395" s="74" t="str">
        <x:v>25</x:v>
      </x:c>
      <x:c r="W395" s="74" t="str">
        <x:v>0</x:v>
      </x:c>
      <x:c r="X395" s="74" t="str">
        <x:v>9</x:v>
      </x:c>
      <x:c r="Y395" s="74" t="str">
        <x:v>9</x:v>
      </x:c>
      <x:c r="Z395" s="74" t="str">
        <x:v>10</x:v>
      </x:c>
      <x:c r="AA395" s="74" t="str">
        <x:v>0</x:v>
      </x:c>
      <x:c r="AB395" s="74" t="str">
        <x:v>0</x:v>
      </x:c>
      <x:c r="AC395" s="74" t="str">
        <x:v>0</x:v>
      </x:c>
      <x:c r="AD395" s="74" t="str">
        <x:v>0</x:v>
      </x:c>
      <x:c r="AE395" s="74" t="str">
        <x:v>0</x:v>
      </x:c>
      <x:c r="AF395" s="74" t="str"/>
      <x:c r="AG395" s="74" t="str">
        <x:v>0</x:v>
      </x:c>
      <x:c r="AH395" s="74" t="str">
        <x:v>1</x:v>
      </x:c>
      <x:c r="AI395" s="74" t="str">
        <x:v>1</x:v>
      </x:c>
      <x:c r="AJ395" s="74" t="str">
        <x:v>0</x:v>
      </x:c>
      <x:c r="AK395" s="74" t="str">
        <x:v>0</x:v>
      </x:c>
      <x:c r="AL395" s="74" t="str">
        <x:v>1</x:v>
      </x:c>
      <x:c r="AM395" s="74" t="str">
        <x:v>1</x:v>
      </x:c>
      <x:c r="AN395" s="74" t="str">
        <x:v>0</x:v>
      </x:c>
      <x:c r="AO395" s="60" t="str">
        <x:v>2010</x:v>
      </x:c>
      <x:c r="AP395" s="76" t="str">
        <x:v>Project/gallery proof found; no embedded homepage video found</x:v>
      </x:c>
      <x:c r="AQ395" s="76" t="str">
        <x:v>project/gallery proof; testimonials; no embedded homepage video detected</x:v>
      </x:c>
      <x:c r="AR395" s="76" t="str">
        <x:v>I found project/gallery proof on Westbridge Homes Inc.'s site that could be repackaged into short-form ad concepts.</x:v>
      </x:c>
      <x:c r="AS395" s="76" t="str">
        <x:v>project reveal with budget-and-timeline proof</x:v>
      </x:c>
      <x:c r="AT395" s="76" t="str">
        <x:v>Westbridge Homes Inc. ad concept</x:v>
      </x:c>
      <x:c r="AU395" s="76" t="str">
        <x:v>Hi Fred — I found project/gallery proof on Westbridge Homes Inc.'s site that could be repackaged into short-form ad concepts. I mapped a private 15-second project reveal with budget-and-timeline proof for Westbridge Homes Inc. using only public brand context—not for publishing, just to show the angle. We build three client-approved video ad concepts in seven days, then turn the winners into fresh variations. No filming day required. Worth sending the private sample?</x:v>
      </x:c>
      <x:c r="AV395" s="76" t="str">
        <x:v>Quick follow-up: the sample angle is a project reveal with budget-and-timeline proof. If it misses the mark, no problem—I won't keep chasing. Should I send it?</x:v>
      </x:c>
      <x:c r="AW395" s="76" t="str">
        <x:v>Hi Fred, Ryan here. I was looking at Westbridge Homes Inc.'s public marketing and noticed: project/gallery proof found; no embedded homepage video found. I mapped one private project reveal with budget-and-timeline proof as an example. Did I catch you with 30 seconds?</x:v>
      </x:c>
      <x:c r="AX395" s="60" t="str">
        <x:v>https://www.facebook.com/ads/library/?active_status=active&amp;ad_type=all&amp;country=US&amp;q=Westbridge%20Homes%20Inc.&amp;search_type=keyword_unordered</x:v>
      </x:c>
      <x:c r="AY395" s="60" t="str">
        <x:v>ok:200</x:v>
      </x:c>
      <x:c r="AZ395" s="60" t="n">
        <x:v>46232.722858796296</x:v>
      </x:c>
      <x:c r="BA395" s="60" t="str">
        <x:v>AI Ark SC trades export</x:v>
      </x:c>
      <x:c r="BB395" s="60" t="str">
        <x:v>https://westbridgehomes.com | https://www.linkedin.com/company/westbridge-homes-inc-</x:v>
      </x:c>
      <x:c r="BC395" s="60" t="str"/>
    </x:row>
    <x:row r="396" ht="18" customHeight="1">
      <x:c r="A396" s="70" t="str">
        <x:v>395</x:v>
      </x:c>
      <x:c r="B396" s="70" t="str">
        <x:v>C - Verify</x:v>
      </x:c>
      <x:c r="C396" s="72" t="str">
        <x:v>53</x:v>
      </x:c>
      <x:c r="D396" s="60" t="str">
        <x:v>WCP Facility Solutions</x:v>
      </x:c>
      <x:c r="E396" s="60" t="str">
        <x:v>https://wcpfacility.com</x:v>
      </x:c>
      <x:c r="F396" s="60" t="str">
        <x:v>https://wcpfacility.com</x:v>
      </x:c>
      <x:c r="G396" s="60" t="str">
        <x:v>Fountain Inn</x:v>
      </x:c>
      <x:c r="H396" s="60" t="str">
        <x:v>South Carolina</x:v>
      </x:c>
      <x:c r="I396" s="60" t="str">
        <x:v>Roofing</x:v>
      </x:c>
      <x:c r="J396" s="60" t="str">
        <x:v>Ken</x:v>
      </x:c>
      <x:c r="K396" s="60" t="str">
        <x:v>Horton</x:v>
      </x:c>
      <x:c r="L396" s="60" t="str">
        <x:v>Owner</x:v>
      </x:c>
      <x:c r="M396" s="60" t="str">
        <x:v>ken@wcpfacility.com</x:v>
      </x:c>
      <x:c r="N396" s="60" t="str">
        <x:v>Verified with BounceBan on 08 Jun 26 12:06</x:v>
      </x:c>
      <x:c r="O396" s="60" t="str">
        <x:v>+1 480 861 1427</x:v>
      </x:c>
      <x:c r="P396" s="60" t="str">
        <x:v>https://www.linkedin.com/in/ken-horton-382656</x:v>
      </x:c>
      <x:c r="Q396" s="60" t="str">
        <x:v>2-10</x:v>
      </x:c>
      <x:c r="R396" s="60" t="str">
        <x:v>0-99999</x:v>
      </x:c>
      <x:c r="S396" s="60" t="str"/>
      <x:c r="T396" s="74" t="str">
        <x:v>0</x:v>
      </x:c>
      <x:c r="U396" s="60" t="str"/>
      <x:c r="V396" s="74" t="str">
        <x:v>28</x:v>
      </x:c>
      <x:c r="W396" s="74" t="str">
        <x:v>0</x:v>
      </x:c>
      <x:c r="X396" s="74" t="str">
        <x:v>6</x:v>
      </x:c>
      <x:c r="Y396" s="74" t="str">
        <x:v>9</x:v>
      </x:c>
      <x:c r="Z396" s="74" t="str">
        <x:v>10</x:v>
      </x:c>
      <x:c r="AA396" s="74" t="str">
        <x:v>0</x:v>
      </x:c>
      <x:c r="AB396" s="74" t="str">
        <x:v>0</x:v>
      </x:c>
      <x:c r="AC396" s="74" t="str">
        <x:v>0</x:v>
      </x:c>
      <x:c r="AD396" s="74" t="str">
        <x:v>0</x:v>
      </x:c>
      <x:c r="AE396" s="74" t="str">
        <x:v>0</x:v>
      </x:c>
      <x:c r="AF396" s="74" t="str"/>
      <x:c r="AG396" s="74" t="str">
        <x:v>0</x:v>
      </x:c>
      <x:c r="AH396" s="74" t="str">
        <x:v>1</x:v>
      </x:c>
      <x:c r="AI396" s="74" t="str">
        <x:v>1</x:v>
      </x:c>
      <x:c r="AJ396" s="74" t="str">
        <x:v>0</x:v>
      </x:c>
      <x:c r="AK396" s="74" t="str">
        <x:v>0</x:v>
      </x:c>
      <x:c r="AL396" s="74" t="str">
        <x:v>1</x:v>
      </x:c>
      <x:c r="AM396" s="74" t="str">
        <x:v>1</x:v>
      </x:c>
      <x:c r="AN396" s="74" t="str">
        <x:v>1</x:v>
      </x:c>
      <x:c r="AO396" s="60" t="str">
        <x:v>2026</x:v>
      </x:c>
      <x:c r="AP396" s="76" t="str">
        <x:v>Project/gallery proof found; no embedded homepage video found</x:v>
      </x:c>
      <x:c r="AQ396" s="76" t="str">
        <x:v>project/gallery proof; testimonials; no embedded homepage video detected</x:v>
      </x:c>
      <x:c r="AR396" s="76" t="str">
        <x:v>I found project/gallery proof on WCP Facility Solutions's site that could be repackaged into short-form ad concepts.</x:v>
      </x:c>
      <x:c r="AS396" s="76" t="str">
        <x:v>storm-to-inspection before/after ad</x:v>
      </x:c>
      <x:c r="AT396" s="76" t="str">
        <x:v>WCP Facility Solutions ad concept</x:v>
      </x:c>
      <x:c r="AU396" s="76" t="str">
        <x:v>Hi Ken — I found project/gallery proof on WCP Facility Solutions's site that could be repackaged into short-form ad concepts. I mapped a private 15-second storm-to-inspection before/after ad for WCP Facility Solutions using only public brand context—not for publishing, just to show the angle. We build three client-approved video ad concepts in seven days, then turn the winners into fresh variations. No filming day required. Worth sending the private sample?</x:v>
      </x:c>
      <x:c r="AV396" s="76" t="str">
        <x:v>Quick follow-up: the sample angle is a storm-to-inspection before/after ad. If it misses the mark, no problem—I won't keep chasing. Should I send it?</x:v>
      </x:c>
      <x:c r="AW396" s="76" t="str">
        <x:v>Hi Ken, Ryan here. I was looking at WCP Facility Solutions's public marketing and noticed: project/gallery proof found; no embedded homepage video found. I mapped one private storm-to-inspection before/after ad as an example. Did I catch you with 30 seconds?</x:v>
      </x:c>
      <x:c r="AX396" s="60" t="str">
        <x:v>https://www.facebook.com/ads/library/?active_status=active&amp;ad_type=all&amp;country=US&amp;q=WCP%20Facility%20Solutions&amp;search_type=keyword_unordered</x:v>
      </x:c>
      <x:c r="AY396" s="60" t="str">
        <x:v>ok:200</x:v>
      </x:c>
      <x:c r="AZ396" s="60" t="n">
        <x:v>46232.722858796296</x:v>
      </x:c>
      <x:c r="BA396" s="60" t="str">
        <x:v>AI Ark SC trades export</x:v>
      </x:c>
      <x:c r="BB396" s="60" t="str">
        <x:v>https://wcpfacility.com | https://www.linkedin.com/company/wcp-facility-solutions</x:v>
      </x:c>
      <x:c r="BC396" s="60" t="str"/>
    </x:row>
    <x:row r="397" ht="18" customHeight="1">
      <x:c r="A397" s="70" t="str">
        <x:v>396</x:v>
      </x:c>
      <x:c r="B397" s="70" t="str">
        <x:v>C - Verify</x:v>
      </x:c>
      <x:c r="C397" s="72" t="str">
        <x:v>53</x:v>
      </x:c>
      <x:c r="D397" s="60" t="str">
        <x:v>Local Mechanical Heating &amp; Air</x:v>
      </x:c>
      <x:c r="E397" s="60" t="str">
        <x:v>https://localmechanicalheatingandair.com</x:v>
      </x:c>
      <x:c r="F397" s="60" t="str">
        <x:v>https://www.localmechanicalheatingandair.com/</x:v>
      </x:c>
      <x:c r="G397" s="60" t="str">
        <x:v>Summerville</x:v>
      </x:c>
      <x:c r="H397" s="60" t="str">
        <x:v>South Carolina</x:v>
      </x:c>
      <x:c r="I397" s="60" t="str">
        <x:v>HVAC</x:v>
      </x:c>
      <x:c r="J397" s="60" t="str">
        <x:v>Local Mechanical Heating &amp; Air</x:v>
      </x:c>
      <x:c r="K397" s="60" t="str"/>
      <x:c r="L397" s="60" t="str">
        <x:v>Owner / decision maker to verify</x:v>
      </x:c>
      <x:c r="M397" s="60" t="str"/>
      <x:c r="N397" s="60" t="str"/>
      <x:c r="O397" s="60" t="str">
        <x:v>(843) 834-6325</x:v>
      </x:c>
      <x:c r="P397" s="60" t="str"/>
      <x:c r="Q397" s="60" t="str"/>
      <x:c r="R397" s="60" t="str"/>
      <x:c r="S397" s="60" t="str">
        <x:v>5</x:v>
      </x:c>
      <x:c r="T397" s="74" t="str">
        <x:v>419</x:v>
      </x:c>
      <x:c r="U397" s="60" t="str"/>
      <x:c r="V397" s="74" t="str">
        <x:v>29</x:v>
      </x:c>
      <x:c r="W397" s="74" t="str">
        <x:v>0</x:v>
      </x:c>
      <x:c r="X397" s="74" t="str">
        <x:v>10</x:v>
      </x:c>
      <x:c r="Y397" s="74" t="str">
        <x:v>9</x:v>
      </x:c>
      <x:c r="Z397" s="74" t="str">
        <x:v>5</x:v>
      </x:c>
      <x:c r="AA397" s="74" t="str">
        <x:v>0</x:v>
      </x:c>
      <x:c r="AB397" s="74" t="str">
        <x:v>0</x:v>
      </x:c>
      <x:c r="AC397" s="74" t="str">
        <x:v>0</x:v>
      </x:c>
      <x:c r="AD397" s="74" t="str">
        <x:v>0</x:v>
      </x:c>
      <x:c r="AE397" s="74" t="str">
        <x:v>0</x:v>
      </x:c>
      <x:c r="AF397" s="74" t="str"/>
      <x:c r="AG397" s="74" t="str">
        <x:v>0</x:v>
      </x:c>
      <x:c r="AH397" s="74" t="str">
        <x:v>0</x:v>
      </x:c>
      <x:c r="AI397" s="74" t="str">
        <x:v>0</x:v>
      </x:c>
      <x:c r="AJ397" s="74" t="str">
        <x:v>1</x:v>
      </x:c>
      <x:c r="AK397" s="74" t="str">
        <x:v>1</x:v>
      </x:c>
      <x:c r="AL397" s="74" t="str">
        <x:v>0</x:v>
      </x:c>
      <x:c r="AM397" s="74" t="str">
        <x:v>1</x:v>
      </x:c>
      <x:c r="AN397" s="74" t="str">
        <x:v>0</x:v>
      </x:c>
      <x:c r="AO397" s="60" t="str">
        <x:v>0</x:v>
      </x:c>
      <x:c r="AP397" s="76" t="str">
        <x:v>419 Google reviews; no embedded homepage video found</x:v>
      </x:c>
      <x:c r="AQ397" s="76" t="str">
        <x:v>financing; visible service offer; no embedded homepage video detected</x:v>
      </x:c>
      <x:c r="AR397" s="76" t="str">
        <x:v>Local Mechanical Heating &amp; Air has 419 Google reviews—strong proof that could be turned into short-form ad concepts.</x:v>
      </x:c>
      <x:c r="AS397" s="76" t="str">
        <x:v>no-cool-call to same-day comfort ad</x:v>
      </x:c>
      <x:c r="AT397" s="76" t="str">
        <x:v>Local Mechanical Heating &amp; Air ad concept</x:v>
      </x:c>
      <x:c r="AU397" s="76" t="str">
        <x:v>Hi Local Mechanical Heating &amp; Air — Local Mechanical Heating &amp; Air has 419 Google reviews—strong proof that could be turned into short-form ad concepts. I mapped a private 15-second no-cool-call to same-day comfort ad for Local Mechanical Heating &amp; Air using only public brand context—not for publishing, just to show the angle. We build three client-approved video ad concepts in seven days, then turn the winners into fresh variations. No filming day required. Worth sending the private sample?</x:v>
      </x:c>
      <x:c r="AV397" s="76" t="str">
        <x:v>Quick follow-up: the sample angle is a no-cool-call to same-day comfort ad. If it misses the mark, no problem—I won't keep chasing. Should I send it?</x:v>
      </x:c>
      <x:c r="AW397" s="76" t="str">
        <x:v>Hi Local Mechanical Heating &amp; Air, Ryan here. I was looking at Local Mechanical Heating &amp; Air's public marketing and noticed: 419 google reviews; no embedded homepage video found. I mapped one private no-cool-call to same-day comfort ad as an example. Did I catch you with 30 seconds?</x:v>
      </x:c>
      <x:c r="AX397" s="60" t="str">
        <x:v>https://www.facebook.com/ads/library/?active_status=active&amp;ad_type=all&amp;country=US&amp;q=Local%20Mechanical%20Heating%20%26%20Air&amp;search_type=keyword_unordered</x:v>
      </x:c>
      <x:c r="AY397" s="60" t="str">
        <x:v>ok:200</x:v>
      </x:c>
      <x:c r="AZ397" s="60" t="n">
        <x:v>46232.722858796296</x:v>
      </x:c>
      <x:c r="BA397" s="60" t="str">
        <x:v>Google Maps home-services export</x:v>
      </x:c>
      <x:c r="BB397" s="60" t="str">
        <x:v>https://localmechanicalheatingandair.com | https://maps.google.com/?cid=810064803648583678&amp;g_mp=Cidnb29nbGUubWFwcy5wbGFjZXMudjEuUGxhY2VzLlNlYXJjaFRleHQQAhgEIAA</x:v>
      </x:c>
      <x:c r="BC397" s="60" t="str"/>
    </x:row>
    <x:row r="398" ht="18" customHeight="1">
      <x:c r="A398" s="70" t="str">
        <x:v>397</x:v>
      </x:c>
      <x:c r="B398" s="70" t="str">
        <x:v>C - Verify</x:v>
      </x:c>
      <x:c r="C398" s="72" t="str">
        <x:v>53</x:v>
      </x:c>
      <x:c r="D398" s="60" t="str">
        <x:v>True Craftsman Exteriors, LLC</x:v>
      </x:c>
      <x:c r="E398" s="60" t="str">
        <x:v>https://truecraftsmanexteriors.com</x:v>
      </x:c>
      <x:c r="F398" s="60" t="str">
        <x:v>https://www.truecraftsmanexteriors.com/</x:v>
      </x:c>
      <x:c r="G398" s="60" t="str">
        <x:v>Lancaster</x:v>
      </x:c>
      <x:c r="H398" s="60" t="str">
        <x:v>South Carolina</x:v>
      </x:c>
      <x:c r="I398" s="60" t="str">
        <x:v>Roofing</x:v>
      </x:c>
      <x:c r="J398" s="60" t="str">
        <x:v>Jonathon</x:v>
      </x:c>
      <x:c r="K398" s="60" t="str">
        <x:v>Soulier</x:v>
      </x:c>
      <x:c r="L398" s="60" t="str">
        <x:v>Owner</x:v>
      </x:c>
      <x:c r="M398" s="60" t="str"/>
      <x:c r="N398" s="60" t="str"/>
      <x:c r="O398" s="60" t="str">
        <x:v>+1 540 760 1663</x:v>
      </x:c>
      <x:c r="P398" s="60" t="str">
        <x:v>https://www.linkedin.com/in/jonathon-soulier-6456a2b2</x:v>
      </x:c>
      <x:c r="Q398" s="60" t="str">
        <x:v>11-50</x:v>
      </x:c>
      <x:c r="R398" s="60" t="str">
        <x:v>100000-499999</x:v>
      </x:c>
      <x:c r="S398" s="60" t="str"/>
      <x:c r="T398" s="74" t="str">
        <x:v>0</x:v>
      </x:c>
      <x:c r="U398" s="60" t="str"/>
      <x:c r="V398" s="74" t="str">
        <x:v>30</x:v>
      </x:c>
      <x:c r="W398" s="74" t="str">
        <x:v>0</x:v>
      </x:c>
      <x:c r="X398" s="74" t="str">
        <x:v>10</x:v>
      </x:c>
      <x:c r="Y398" s="74" t="str">
        <x:v>8</x:v>
      </x:c>
      <x:c r="Z398" s="74" t="str">
        <x:v>5</x:v>
      </x:c>
      <x:c r="AA398" s="74" t="str">
        <x:v>0</x:v>
      </x:c>
      <x:c r="AB398" s="74" t="str">
        <x:v>0</x:v>
      </x:c>
      <x:c r="AC398" s="74" t="str">
        <x:v>0</x:v>
      </x:c>
      <x:c r="AD398" s="74" t="str">
        <x:v>0</x:v>
      </x:c>
      <x:c r="AE398" s="74" t="str">
        <x:v>0</x:v>
      </x:c>
      <x:c r="AF398" s="74" t="str"/>
      <x:c r="AG398" s="74" t="str">
        <x:v>0</x:v>
      </x:c>
      <x:c r="AH398" s="74" t="str">
        <x:v>1</x:v>
      </x:c>
      <x:c r="AI398" s="74" t="str">
        <x:v>0</x:v>
      </x:c>
      <x:c r="AJ398" s="74" t="str">
        <x:v>0</x:v>
      </x:c>
      <x:c r="AK398" s="74" t="str">
        <x:v>1</x:v>
      </x:c>
      <x:c r="AL398" s="74" t="str">
        <x:v>0</x:v>
      </x:c>
      <x:c r="AM398" s="74" t="str">
        <x:v>0</x:v>
      </x:c>
      <x:c r="AN398" s="74" t="str">
        <x:v>0</x:v>
      </x:c>
      <x:c r="AO398" s="60" t="str">
        <x:v>0</x:v>
      </x:c>
      <x:c r="AP398" s="76" t="str">
        <x:v>Project/gallery proof found; no embedded homepage video found</x:v>
      </x:c>
      <x:c r="AQ398" s="76" t="str">
        <x:v>project/gallery proof; visible service offer; no embedded homepage video detected</x:v>
      </x:c>
      <x:c r="AR398" s="76" t="str">
        <x:v>I found project/gallery proof on True Craftsman Exteriors, LLC's site that could be repackaged into short-form ad concepts.</x:v>
      </x:c>
      <x:c r="AS398" s="76" t="str">
        <x:v>storm-to-inspection before/after ad</x:v>
      </x:c>
      <x:c r="AT398" s="76" t="str">
        <x:v>True Craftsman Exteriors, LLC ad concept</x:v>
      </x:c>
      <x:c r="AU398" s="76" t="str">
        <x:v>Hi Jonathon — I found project/gallery proof on True Craftsman Exteriors, LLC's site that could be repackaged into short-form ad concepts. I mapped a private 15-second storm-to-inspection before/after ad for True Craftsman Exteriors, LLC using only public brand context—not for publishing, just to show the angle. We build three client-approved video ad concepts in seven days, then turn the winners into fresh variations. No filming day required. Worth sending the private sample?</x:v>
      </x:c>
      <x:c r="AV398" s="76" t="str">
        <x:v>Quick follow-up: the sample angle is a storm-to-inspection before/after ad. If it misses the mark, no problem—I won't keep chasing. Should I send it?</x:v>
      </x:c>
      <x:c r="AW398" s="76" t="str">
        <x:v>Hi Jonathon, Ryan here. I was looking at True Craftsman Exteriors, LLC's public marketing and noticed: project/gallery proof found; no embedded homepage video found. I mapped one private storm-to-inspection before/after ad as an example. Did I catch you with 30 seconds?</x:v>
      </x:c>
      <x:c r="AX398" s="60" t="str">
        <x:v>https://www.facebook.com/ads/library/?active_status=active&amp;ad_type=all&amp;country=US&amp;q=True%20Craftsman%20Exteriors%2C%20LLC&amp;search_type=keyword_unordered</x:v>
      </x:c>
      <x:c r="AY398" s="60" t="str">
        <x:v>ok:200</x:v>
      </x:c>
      <x:c r="AZ398" s="60" t="n">
        <x:v>46232.722858796296</x:v>
      </x:c>
      <x:c r="BA398" s="60" t="str">
        <x:v>AI Ark SC trades export</x:v>
      </x:c>
      <x:c r="BB398" s="60" t="str">
        <x:v>https://truecraftsmanexteriors.com | https://www.linkedin.com/company/true-craftsman-exteriors-llc</x:v>
      </x:c>
      <x:c r="BC398" s="60" t="str"/>
    </x:row>
    <x:row r="399" ht="18" customHeight="1">
      <x:c r="A399" s="70" t="str">
        <x:v>398</x:v>
      </x:c>
      <x:c r="B399" s="70" t="str">
        <x:v>C - Verify</x:v>
      </x:c>
      <x:c r="C399" s="72" t="str">
        <x:v>53</x:v>
      </x:c>
      <x:c r="D399" s="60" t="str">
        <x:v>Falconbridge Property Services, Inc.</x:v>
      </x:c>
      <x:c r="E399" s="60" t="str">
        <x:v>https://falconbridgeps.com</x:v>
      </x:c>
      <x:c r="F399" s="60" t="str">
        <x:v>https://falconbridgeps.com</x:v>
      </x:c>
      <x:c r="G399" s="60" t="str">
        <x:v>Charleston</x:v>
      </x:c>
      <x:c r="H399" s="60" t="str">
        <x:v>South Carolina</x:v>
      </x:c>
      <x:c r="I399" s="60" t="str">
        <x:v>Roofing</x:v>
      </x:c>
      <x:c r="J399" s="60" t="str">
        <x:v>Jonathan</x:v>
      </x:c>
      <x:c r="K399" s="60" t="str">
        <x:v>Mulock</x:v>
      </x:c>
      <x:c r="L399" s="60" t="str">
        <x:v>Owner</x:v>
      </x:c>
      <x:c r="M399" s="60" t="str">
        <x:v>jonathan@falconbridgeps.com</x:v>
      </x:c>
      <x:c r="N399" s="60" t="str">
        <x:v>Verified with BounceBan on 08 Jun 26 12:06</x:v>
      </x:c>
      <x:c r="O399" s="60" t="str">
        <x:v>+1 704 996 3561</x:v>
      </x:c>
      <x:c r="P399" s="60" t="str">
        <x:v>https://www.linkedin.com/in/jonathan-mulock-9a375724</x:v>
      </x:c>
      <x:c r="Q399" s="60" t="str">
        <x:v>2-10</x:v>
      </x:c>
      <x:c r="R399" s="60" t="str">
        <x:v>100000-499999</x:v>
      </x:c>
      <x:c r="S399" s="60" t="str"/>
      <x:c r="T399" s="74" t="str">
        <x:v>0</x:v>
      </x:c>
      <x:c r="U399" s="60" t="str"/>
      <x:c r="V399" s="74" t="str">
        <x:v>28</x:v>
      </x:c>
      <x:c r="W399" s="74" t="str">
        <x:v>0</x:v>
      </x:c>
      <x:c r="X399" s="74" t="str">
        <x:v>10</x:v>
      </x:c>
      <x:c r="Y399" s="74" t="str">
        <x:v>5</x:v>
      </x:c>
      <x:c r="Z399" s="74" t="str">
        <x:v>10</x:v>
      </x:c>
      <x:c r="AA399" s="74" t="str">
        <x:v>0</x:v>
      </x:c>
      <x:c r="AB399" s="74" t="str">
        <x:v>0</x:v>
      </x:c>
      <x:c r="AC399" s="74" t="str">
        <x:v>0</x:v>
      </x:c>
      <x:c r="AD399" s="74" t="str">
        <x:v>0</x:v>
      </x:c>
      <x:c r="AE399" s="74" t="str">
        <x:v>0</x:v>
      </x:c>
      <x:c r="AF399" s="74" t="str"/>
      <x:c r="AG399" s="74" t="str">
        <x:v>0</x:v>
      </x:c>
      <x:c r="AH399" s="74" t="str">
        <x:v>1</x:v>
      </x:c>
      <x:c r="AI399" s="74" t="str">
        <x:v>0</x:v>
      </x:c>
      <x:c r="AJ399" s="74" t="str">
        <x:v>0</x:v>
      </x:c>
      <x:c r="AK399" s="74" t="str">
        <x:v>0</x:v>
      </x:c>
      <x:c r="AL399" s="74" t="str">
        <x:v>0</x:v>
      </x:c>
      <x:c r="AM399" s="74" t="str">
        <x:v>1</x:v>
      </x:c>
      <x:c r="AN399" s="74" t="str">
        <x:v>0</x:v>
      </x:c>
      <x:c r="AO399" s="60" t="str">
        <x:v>2025</x:v>
      </x:c>
      <x:c r="AP399" s="76" t="str">
        <x:v>Project/gallery proof found; no embedded homepage video found</x:v>
      </x:c>
      <x:c r="AQ399" s="76" t="str">
        <x:v>project/gallery proof; no embedded homepage video detected</x:v>
      </x:c>
      <x:c r="AR399" s="76" t="str">
        <x:v>I found project/gallery proof on Falconbridge Property Services, Inc.'s site that could be repackaged into short-form ad concepts.</x:v>
      </x:c>
      <x:c r="AS399" s="76" t="str">
        <x:v>storm-to-inspection before/after ad</x:v>
      </x:c>
      <x:c r="AT399" s="76" t="str">
        <x:v>Falconbridge Property Services, Inc. ad concept</x:v>
      </x:c>
      <x:c r="AU399" s="76" t="str">
        <x:v>Hi Jonathan — I found project/gallery proof on Falconbridge Property Services, Inc.'s site that could be repackaged into short-form ad concepts. I mapped a private 15-second storm-to-inspection before/after ad for Falconbridge Property Services, Inc. using only public brand context—not for publishing, just to show the angle. We build three client-approved video ad concepts in seven days, then turn the winners into fresh variations. No filming day required. Worth sending the private sample?</x:v>
      </x:c>
      <x:c r="AV399" s="76" t="str">
        <x:v>Quick follow-up: the sample angle is a storm-to-inspection before/after ad. If it misses the mark, no problem—I won't keep chasing. Should I send it?</x:v>
      </x:c>
      <x:c r="AW399" s="76" t="str">
        <x:v>Hi Jonathan, Ryan here. I was looking at Falconbridge Property Services, Inc.'s public marketing and noticed: project/gallery proof found; no embedded homepage video found. I mapped one private storm-to-inspection before/after ad as an example. Did I catch you with 30 seconds?</x:v>
      </x:c>
      <x:c r="AX399" s="60" t="str">
        <x:v>https://www.facebook.com/ads/library/?active_status=active&amp;ad_type=all&amp;country=US&amp;q=Falconbridge%20Property%20Services%2C%20Inc.&amp;search_type=keyword_unordered</x:v>
      </x:c>
      <x:c r="AY399" s="60" t="str">
        <x:v>ok:200</x:v>
      </x:c>
      <x:c r="AZ399" s="60" t="n">
        <x:v>46232.722858796296</x:v>
      </x:c>
      <x:c r="BA399" s="60" t="str">
        <x:v>AI Ark SC trades export</x:v>
      </x:c>
      <x:c r="BB399" s="60" t="str">
        <x:v>https://falconbridgeps.com | https://www.linkedin.com/company/falconbridge-property-services</x:v>
      </x:c>
      <x:c r="BC399" s="60" t="str"/>
    </x:row>
    <x:row r="400" ht="18" customHeight="1">
      <x:c r="A400" s="70" t="str">
        <x:v>399</x:v>
      </x:c>
      <x:c r="B400" s="70" t="str">
        <x:v>C - Verify</x:v>
      </x:c>
      <x:c r="C400" s="72" t="str">
        <x:v>53</x:v>
      </x:c>
      <x:c r="D400" s="60" t="str">
        <x:v>W.O. Blackstone &amp; Co., Inc.</x:v>
      </x:c>
      <x:c r="E400" s="60" t="str">
        <x:v>https://woblackstone.com</x:v>
      </x:c>
      <x:c r="F400" s="60" t="str">
        <x:v>https://www.woblackstone.com/</x:v>
      </x:c>
      <x:c r="G400" s="60" t="str">
        <x:v>Columbia</x:v>
      </x:c>
      <x:c r="H400" s="60" t="str">
        <x:v>South Carolina Metropolitan Area</x:v>
      </x:c>
      <x:c r="I400" s="60" t="str">
        <x:v>HVAC</x:v>
      </x:c>
      <x:c r="J400" s="60" t="str">
        <x:v>Jeff</x:v>
      </x:c>
      <x:c r="K400" s="60" t="str">
        <x:v>Griffin</x:v>
      </x:c>
      <x:c r="L400" s="60" t="str">
        <x:v>Owner and President</x:v>
      </x:c>
      <x:c r="M400" s="60" t="str">
        <x:v>jgriffin@woblackstone.com</x:v>
      </x:c>
      <x:c r="N400" s="60" t="str">
        <x:v>Verified with BounceBan on 07 Jun 26 07:00</x:v>
      </x:c>
      <x:c r="O400" s="60" t="str">
        <x:v>+1 803 272 9711, +1 803 381 7336</x:v>
      </x:c>
      <x:c r="P400" s="60" t="str">
        <x:v>https://www.linkedin.com/in/jeffgriffin3</x:v>
      </x:c>
      <x:c r="Q400" s="60" t="str">
        <x:v>51-200</x:v>
      </x:c>
      <x:c r="R400" s="60" t="str">
        <x:v>1000000-4999999</x:v>
      </x:c>
      <x:c r="S400" s="60" t="str"/>
      <x:c r="T400" s="74" t="str">
        <x:v>0</x:v>
      </x:c>
      <x:c r="U400" s="60" t="str"/>
      <x:c r="V400" s="74" t="str">
        <x:v>30</x:v>
      </x:c>
      <x:c r="W400" s="74" t="str">
        <x:v>0</x:v>
      </x:c>
      <x:c r="X400" s="74" t="str">
        <x:v>10</x:v>
      </x:c>
      <x:c r="Y400" s="74" t="str">
        <x:v>3</x:v>
      </x:c>
      <x:c r="Z400" s="74" t="str">
        <x:v>10</x:v>
      </x:c>
      <x:c r="AA400" s="74" t="str">
        <x:v>0</x:v>
      </x:c>
      <x:c r="AB400" s="74" t="str">
        <x:v>0</x:v>
      </x:c>
      <x:c r="AC400" s="74" t="str">
        <x:v>0</x:v>
      </x:c>
      <x:c r="AD400" s="74" t="str">
        <x:v>0</x:v>
      </x:c>
      <x:c r="AE400" s="74" t="str">
        <x:v>0</x:v>
      </x:c>
      <x:c r="AF400" s="74" t="str"/>
      <x:c r="AG400" s="74" t="str">
        <x:v>0</x:v>
      </x:c>
      <x:c r="AH400" s="74" t="str">
        <x:v>0</x:v>
      </x:c>
      <x:c r="AI400" s="74" t="str">
        <x:v>0</x:v>
      </x:c>
      <x:c r="AJ400" s="74" t="str">
        <x:v>0</x:v>
      </x:c>
      <x:c r="AK400" s="74" t="str">
        <x:v>1</x:v>
      </x:c>
      <x:c r="AL400" s="74" t="str">
        <x:v>0</x:v>
      </x:c>
      <x:c r="AM400" s="74" t="str">
        <x:v>0</x:v>
      </x:c>
      <x:c r="AN400" s="74" t="str">
        <x:v>0</x:v>
      </x:c>
      <x:c r="AO400" s="60" t="str">
        <x:v>0</x:v>
      </x:c>
      <x:c r="AP400" s="76" t="str">
        <x:v>ICP fit; paid-demand need requires manual verification</x:v>
      </x:c>
      <x:c r="AQ400" s="76" t="str">
        <x:v>visible service offer; no embedded homepage video detected</x:v>
      </x:c>
      <x:c r="AR400" s="76" t="str">
        <x:v>I was reviewing hvac companies in Columbia, South Carolina Metropolitan Area and W.O. Blackstone &amp; Co., Inc. looked like a strong fit for a creative test.</x:v>
      </x:c>
      <x:c r="AS400" s="76" t="str">
        <x:v>no-cool-call to same-day comfort ad</x:v>
      </x:c>
      <x:c r="AT400" s="76" t="str">
        <x:v>W.O. Blackstone &amp; Co., Inc. ad concept</x:v>
      </x:c>
      <x:c r="AU400" s="76" t="str">
        <x:v>Hi Jeff — I was reviewing hvac companies in Columbia, South Carolina Metropolitan Area and W.O. Blackstone &amp; Co., Inc. looked like a strong fit for a creative test. I mapped a private 15-second no-cool-call to same-day comfort ad for W.O. Blackstone &amp; Co., Inc. using only public brand context—not for publishing, just to show the angle. We build three client-approved video ad concepts in seven days, then turn the winners into fresh variations. No filming day required. Worth sending the private sample?</x:v>
      </x:c>
      <x:c r="AV400" s="76" t="str">
        <x:v>Quick follow-up: the sample angle is a no-cool-call to same-day comfort ad. If it misses the mark, no problem—I won't keep chasing. Should I send it?</x:v>
      </x:c>
      <x:c r="AW400" s="76" t="str">
        <x:v>Hi Jeff, Ryan here. I was looking at W.O. Blackstone &amp; Co., Inc.'s public marketing and noticed: icp fit; paid-demand need requires manual verification. I mapped one private no-cool-call to same-day comfort ad as an example. Did I catch you with 30 seconds?</x:v>
      </x:c>
      <x:c r="AX400" s="60" t="str">
        <x:v>https://www.facebook.com/ads/library/?active_status=active&amp;ad_type=all&amp;country=US&amp;q=W.O.%20Blackstone%20%26%20Co.%2C%20Inc.&amp;search_type=keyword_unordered</x:v>
      </x:c>
      <x:c r="AY400" s="60" t="str">
        <x:v>ok:200</x:v>
      </x:c>
      <x:c r="AZ400" s="60" t="n">
        <x:v>46232.722858796296</x:v>
      </x:c>
      <x:c r="BA400" s="60" t="str">
        <x:v>AI Ark SC trades export</x:v>
      </x:c>
      <x:c r="BB400" s="60" t="str">
        <x:v>https://woblackstone.com | https://www.linkedin.com/company/w-o-blackstone-&amp;-co-inc-</x:v>
      </x:c>
      <x:c r="BC400" s="60" t="str"/>
    </x:row>
    <x:row r="401" ht="18" customHeight="1">
      <x:c r="A401" s="70" t="str">
        <x:v>400</x:v>
      </x:c>
      <x:c r="B401" s="70" t="str">
        <x:v>C - Verify</x:v>
      </x:c>
      <x:c r="C401" s="72" t="str">
        <x:v>53</x:v>
      </x:c>
      <x:c r="D401" s="60" t="str">
        <x:v>Sandlapper Controls, Inc.</x:v>
      </x:c>
      <x:c r="E401" s="60" t="str">
        <x:v>https://sandlappercontrols.com</x:v>
      </x:c>
      <x:c r="F401" s="60" t="str">
        <x:v>https://www.sandlappercontrols.com/</x:v>
      </x:c>
      <x:c r="G401" s="60" t="str">
        <x:v>Lexington County</x:v>
      </x:c>
      <x:c r="H401" s="60" t="str">
        <x:v>South Carolina</x:v>
      </x:c>
      <x:c r="I401" s="60" t="str">
        <x:v>HVAC</x:v>
      </x:c>
      <x:c r="J401" s="60" t="str">
        <x:v>Kent</x:v>
      </x:c>
      <x:c r="K401" s="60" t="str">
        <x:v>Walters</x:v>
      </x:c>
      <x:c r="L401" s="60" t="str">
        <x:v>Co-Owner</x:v>
      </x:c>
      <x:c r="M401" s="60" t="str">
        <x:v>kentw@sandlappercontrols.com</x:v>
      </x:c>
      <x:c r="N401" s="60" t="str">
        <x:v>Verified with BounceBan on 08 Jun 26 12:06</x:v>
      </x:c>
      <x:c r="O401" s="60" t="str">
        <x:v>+1 803 351 0873</x:v>
      </x:c>
      <x:c r="P401" s="60" t="str">
        <x:v>https://www.linkedin.com/in/kent-walters-1952b5b</x:v>
      </x:c>
      <x:c r="Q401" s="60" t="str">
        <x:v>51-200</x:v>
      </x:c>
      <x:c r="R401" s="60" t="str">
        <x:v>100000-499999</x:v>
      </x:c>
      <x:c r="S401" s="60" t="str"/>
      <x:c r="T401" s="74" t="str">
        <x:v>0</x:v>
      </x:c>
      <x:c r="U401" s="60" t="str"/>
      <x:c r="V401" s="74" t="str">
        <x:v>30</x:v>
      </x:c>
      <x:c r="W401" s="74" t="str">
        <x:v>0</x:v>
      </x:c>
      <x:c r="X401" s="74" t="str">
        <x:v>10</x:v>
      </x:c>
      <x:c r="Y401" s="74" t="str">
        <x:v>3</x:v>
      </x:c>
      <x:c r="Z401" s="74" t="str">
        <x:v>10</x:v>
      </x:c>
      <x:c r="AA401" s="74" t="str">
        <x:v>0</x:v>
      </x:c>
      <x:c r="AB401" s="74" t="str">
        <x:v>0</x:v>
      </x:c>
      <x:c r="AC401" s="74" t="str">
        <x:v>0</x:v>
      </x:c>
      <x:c r="AD401" s="74" t="str">
        <x:v>0</x:v>
      </x:c>
      <x:c r="AE401" s="74" t="str">
        <x:v>0</x:v>
      </x:c>
      <x:c r="AF401" s="74" t="str"/>
      <x:c r="AG401" s="74" t="str">
        <x:v>0</x:v>
      </x:c>
      <x:c r="AH401" s="74" t="str">
        <x:v>0</x:v>
      </x:c>
      <x:c r="AI401" s="74" t="str">
        <x:v>0</x:v>
      </x:c>
      <x:c r="AJ401" s="74" t="str">
        <x:v>0</x:v>
      </x:c>
      <x:c r="AK401" s="74" t="str">
        <x:v>1</x:v>
      </x:c>
      <x:c r="AL401" s="74" t="str">
        <x:v>0</x:v>
      </x:c>
      <x:c r="AM401" s="74" t="str">
        <x:v>0</x:v>
      </x:c>
      <x:c r="AN401" s="74" t="str">
        <x:v>0</x:v>
      </x:c>
      <x:c r="AO401" s="60" t="str">
        <x:v>0</x:v>
      </x:c>
      <x:c r="AP401" s="76" t="str">
        <x:v>ICP fit; paid-demand need requires manual verification</x:v>
      </x:c>
      <x:c r="AQ401" s="76" t="str">
        <x:v>visible service offer; no embedded homepage video detected</x:v>
      </x:c>
      <x:c r="AR401" s="76" t="str">
        <x:v>I was reviewing hvac companies in Lexington County, South Carolina and Sandlapper Controls, Inc. looked like a strong fit for a creative test.</x:v>
      </x:c>
      <x:c r="AS401" s="76" t="str">
        <x:v>no-cool-call to same-day comfort ad</x:v>
      </x:c>
      <x:c r="AT401" s="76" t="str">
        <x:v>Sandlapper Controls, Inc. ad concept</x:v>
      </x:c>
      <x:c r="AU401" s="76" t="str">
        <x:v>Hi Kent — I was reviewing hvac companies in Lexington County, South Carolina and Sandlapper Controls, Inc. looked like a strong fit for a creative test. I mapped a private 15-second no-cool-call to same-day comfort ad for Sandlapper Controls, Inc. using only public brand context—not for publishing, just to show the angle. We build three client-approved video ad concepts in seven days, then turn the winners into fresh variations. No filming day required. Worth sending the private sample?</x:v>
      </x:c>
      <x:c r="AV401" s="76" t="str">
        <x:v>Quick follow-up: the sample angle is a no-cool-call to same-day comfort ad. If it misses the mark, no problem—I won't keep chasing. Should I send it?</x:v>
      </x:c>
      <x:c r="AW401" s="76" t="str">
        <x:v>Hi Kent, Ryan here. I was looking at Sandlapper Controls, Inc.'s public marketing and noticed: icp fit; paid-demand need requires manual verification. I mapped one private no-cool-call to same-day comfort ad as an example. Did I catch you with 30 seconds?</x:v>
      </x:c>
      <x:c r="AX401" s="60" t="str">
        <x:v>https://www.facebook.com/ads/library/?active_status=active&amp;ad_type=all&amp;country=US&amp;q=Sandlapper%20Controls%2C%20Inc.&amp;search_type=keyword_unordered</x:v>
      </x:c>
      <x:c r="AY401" s="60" t="str">
        <x:v>ok:200</x:v>
      </x:c>
      <x:c r="AZ401" s="60" t="n">
        <x:v>46232.722858796296</x:v>
      </x:c>
      <x:c r="BA401" s="60" t="str">
        <x:v>AI Ark SC trades export</x:v>
      </x:c>
      <x:c r="BB401" s="60" t="str">
        <x:v>https://sandlappercontrols.com | https://www.linkedin.com/company/sandlapper-controls-inc.</x:v>
      </x:c>
      <x:c r="BC401" s="60" t="str"/>
    </x:row>
    <x:row r="402" ht="18" customHeight="1">
      <x:c r="A402" s="70" t="str">
        <x:v>401</x:v>
      </x:c>
      <x:c r="B402" s="70" t="str">
        <x:v>C - Verify</x:v>
      </x:c>
      <x:c r="C402" s="72" t="str">
        <x:v>52</x:v>
      </x:c>
      <x:c r="D402" s="60" t="str">
        <x:v>Lowcountry Plumbing &amp; Gas LLC</x:v>
      </x:c>
      <x:c r="E402" s="60" t="str">
        <x:v>https://lowcountryplumbingandgas.net</x:v>
      </x:c>
      <x:c r="F402" s="60" t="str">
        <x:v>https://lowcountryplumbingandgas.net</x:v>
      </x:c>
      <x:c r="G402" s="60" t="str">
        <x:v>Summerville</x:v>
      </x:c>
      <x:c r="H402" s="60" t="str">
        <x:v>South Carolina</x:v>
      </x:c>
      <x:c r="I402" s="60" t="str">
        <x:v>Plumbing</x:v>
      </x:c>
      <x:c r="J402" s="60" t="str">
        <x:v>Lowcountry Plumbing &amp; Gas LLC</x:v>
      </x:c>
      <x:c r="K402" s="60" t="str"/>
      <x:c r="L402" s="60" t="str">
        <x:v>Owner / decision maker to verify</x:v>
      </x:c>
      <x:c r="M402" s="60" t="str"/>
      <x:c r="N402" s="60" t="str"/>
      <x:c r="O402" s="60" t="str">
        <x:v>(843) 609-5353</x:v>
      </x:c>
      <x:c r="P402" s="60" t="str"/>
      <x:c r="Q402" s="60" t="str"/>
      <x:c r="R402" s="60" t="str"/>
      <x:c r="S402" s="60" t="str">
        <x:v>4.7</x:v>
      </x:c>
      <x:c r="T402" s="74" t="str">
        <x:v>24</x:v>
      </x:c>
      <x:c r="U402" s="60" t="str"/>
      <x:c r="V402" s="74" t="str">
        <x:v>20</x:v>
      </x:c>
      <x:c r="W402" s="74" t="str">
        <x:v>15</x:v>
      </x:c>
      <x:c r="X402" s="74" t="str">
        <x:v>12</x:v>
      </x:c>
      <x:c r="Y402" s="74" t="str">
        <x:v>0</x:v>
      </x:c>
      <x:c r="Z402" s="74" t="str">
        <x:v>5</x:v>
      </x:c>
      <x:c r="AA402" s="74" t="str">
        <x:v>1</x:v>
      </x:c>
      <x:c r="AB402" s="74" t="str">
        <x:v>0</x:v>
      </x:c>
      <x:c r="AC402" s="74" t="str">
        <x:v>1</x:v>
      </x:c>
      <x:c r="AD402" s="74" t="str">
        <x:v>0</x:v>
      </x:c>
      <x:c r="AE402" s="74" t="str">
        <x:v>0</x:v>
      </x:c>
      <x:c r="AF402" s="74" t="str"/>
      <x:c r="AG402" s="74" t="str">
        <x:v>0</x:v>
      </x:c>
      <x:c r="AH402" s="74" t="str">
        <x:v>0</x:v>
      </x:c>
      <x:c r="AI402" s="74" t="str">
        <x:v>0</x:v>
      </x:c>
      <x:c r="AJ402" s="74" t="str">
        <x:v>0</x:v>
      </x:c>
      <x:c r="AK402" s="74" t="str">
        <x:v>0</x:v>
      </x:c>
      <x:c r="AL402" s="74" t="str">
        <x:v>1</x:v>
      </x:c>
      <x:c r="AM402" s="74" t="str">
        <x:v>1</x:v>
      </x:c>
      <x:c r="AN402" s="74" t="str">
        <x:v>0</x:v>
      </x:c>
      <x:c r="AO402" s="60" t="str">
        <x:v>2026</x:v>
      </x:c>
      <x:c r="AP402" s="76" t="str">
        <x:v>Meta tracking detected; no embedded homepage video found</x:v>
      </x:c>
      <x:c r="AQ402" s="76" t="str">
        <x:v>Meta Pixel; no embedded homepage video detected</x:v>
      </x:c>
      <x:c r="AR402" s="76" t="str">
        <x:v>I noticed Lowcountry Plumbing &amp; Gas LLC's site has Meta tracking installed, but I couldn't find an embedded video on the homepage.</x:v>
      </x:c>
      <x:c r="AS402" s="76" t="str">
        <x:v>small symptom to prevented-emergency ad</x:v>
      </x:c>
      <x:c r="AT402" s="76" t="str">
        <x:v>Lowcountry Plumbing &amp; Gas LLC ad concept</x:v>
      </x:c>
      <x:c r="AU402" s="76" t="str">
        <x:v>Hi Lowcountry Plumbing &amp; Gas LLC — I noticed Lowcountry Plumbing &amp; Gas LLC's site has Meta tracking installed, but I couldn't find an embedded video on the homepage. I mapped a private 15-second small symptom to prevented-emergency ad for Lowcountry Plumbing &amp; Gas LLC using only public brand context—not for publishing, just to show the angle. We build three client-approved video ad concepts in seven days, then turn the winners into fresh variations. No filming day required. Worth sending the private sample?</x:v>
      </x:c>
      <x:c r="AV402" s="76" t="str">
        <x:v>Quick follow-up: the sample angle is a small symptom to prevented-emergency ad. If it misses the mark, no problem—I won't keep chasing. Should I send it?</x:v>
      </x:c>
      <x:c r="AW402" s="76" t="str">
        <x:v>Hi Lowcountry Plumbing &amp; Gas LLC, Ryan here. I was looking at Lowcountry Plumbing &amp; Gas LLC's public marketing and noticed: meta tracking detected; no embedded homepage video found. I mapped one private small symptom to prevented-emergency ad as an example. Did I catch you with 30 seconds?</x:v>
      </x:c>
      <x:c r="AX402" s="60" t="str">
        <x:v>https://www.facebook.com/ads/library/?active_status=active&amp;ad_type=all&amp;country=US&amp;q=Lowcountry%20Plumbing%20%26%20Gas%20LLC&amp;search_type=keyword_unordered</x:v>
      </x:c>
      <x:c r="AY402" s="60" t="str">
        <x:v>ok:200</x:v>
      </x:c>
      <x:c r="AZ402" s="60" t="n">
        <x:v>46232.722858796296</x:v>
      </x:c>
      <x:c r="BA402" s="60" t="str">
        <x:v>Google Maps home-services export</x:v>
      </x:c>
      <x:c r="BB402" s="60" t="str">
        <x:v>https://lowcountryplumbingandgas.net | https://maps.google.com/?cid=5441496454789637220&amp;g_mp=Cidnb29nbGUubWFwcy5wbGFjZXMudjEuUGxhY2VzLlNlYXJjaFRleHQQAhgEIAA</x:v>
      </x:c>
      <x:c r="BC402" s="60" t="str"/>
    </x:row>
    <x:row r="403" ht="18" customHeight="1">
      <x:c r="A403" s="70" t="str">
        <x:v>402</x:v>
      </x:c>
      <x:c r="B403" s="70" t="str">
        <x:v>C - Verify</x:v>
      </x:c>
      <x:c r="C403" s="72" t="str">
        <x:v>52</x:v>
      </x:c>
      <x:c r="D403" s="60" t="str">
        <x:v>Southline Roofing &amp; Exteriors | Summerville</x:v>
      </x:c>
      <x:c r="E403" s="60" t="str">
        <x:v>https://southlineroofing.com</x:v>
      </x:c>
      <x:c r="F403" s="60" t="str">
        <x:v>https://southlineroofing.com</x:v>
      </x:c>
      <x:c r="G403" s="60" t="str">
        <x:v>Summerville</x:v>
      </x:c>
      <x:c r="H403" s="60" t="str">
        <x:v>South Carolina</x:v>
      </x:c>
      <x:c r="I403" s="60" t="str">
        <x:v>Roofing</x:v>
      </x:c>
      <x:c r="J403" s="60" t="str">
        <x:v>Southline Roofing &amp; Exteriors | Summerville</x:v>
      </x:c>
      <x:c r="K403" s="60" t="str"/>
      <x:c r="L403" s="60" t="str">
        <x:v>Owner / decision maker to verify</x:v>
      </x:c>
      <x:c r="M403" s="60" t="str"/>
      <x:c r="N403" s="60" t="str"/>
      <x:c r="O403" s="60" t="str">
        <x:v>(843) 471-2625</x:v>
      </x:c>
      <x:c r="P403" s="60" t="str"/>
      <x:c r="Q403" s="60" t="str"/>
      <x:c r="R403" s="60" t="str"/>
      <x:c r="S403" s="60" t="str">
        <x:v>4.9</x:v>
      </x:c>
      <x:c r="T403" s="74" t="str">
        <x:v>67</x:v>
      </x:c>
      <x:c r="U403" s="60" t="str"/>
      <x:c r="V403" s="74" t="str">
        <x:v>27</x:v>
      </x:c>
      <x:c r="W403" s="74" t="str">
        <x:v>13</x:v>
      </x:c>
      <x:c r="X403" s="74" t="str">
        <x:v>0</x:v>
      </x:c>
      <x:c r="Y403" s="74" t="str">
        <x:v>7</x:v>
      </x:c>
      <x:c r="Z403" s="74" t="str">
        <x:v>5</x:v>
      </x:c>
      <x:c r="AA403" s="74" t="str">
        <x:v>0</x:v>
      </x:c>
      <x:c r="AB403" s="74" t="str">
        <x:v>1</x:v>
      </x:c>
      <x:c r="AC403" s="74" t="str">
        <x:v>1</x:v>
      </x:c>
      <x:c r="AD403" s="74" t="str">
        <x:v>0</x:v>
      </x:c>
      <x:c r="AE403" s="74" t="str">
        <x:v>0</x:v>
      </x:c>
      <x:c r="AF403" s="74" t="str"/>
      <x:c r="AG403" s="74" t="str">
        <x:v>1</x:v>
      </x:c>
      <x:c r="AH403" s="74" t="str">
        <x:v>1</x:v>
      </x:c>
      <x:c r="AI403" s="74" t="str">
        <x:v>0</x:v>
      </x:c>
      <x:c r="AJ403" s="74" t="str">
        <x:v>0</x:v>
      </x:c>
      <x:c r="AK403" s="74" t="str">
        <x:v>0</x:v>
      </x:c>
      <x:c r="AL403" s="74" t="str">
        <x:v>1</x:v>
      </x:c>
      <x:c r="AM403" s="74" t="str">
        <x:v>1</x:v>
      </x:c>
      <x:c r="AN403" s="74" t="str">
        <x:v>0</x:v>
      </x:c>
      <x:c r="AO403" s="60" t="str">
        <x:v>2025</x:v>
      </x:c>
      <x:c r="AP403" s="76" t="str">
        <x:v>Paid-demand technology detected; creative refresh hypothesis</x:v>
      </x:c>
      <x:c r="AQ403" s="76" t="str">
        <x:v>Google Ads tag; project/gallery proof</x:v>
      </x:c>
      <x:c r="AR403" s="76" t="str">
        <x:v>I was reviewing roofing companies in Summerville, South Carolina and Southline Roofing &amp; Exteriors | Summerville looked like a strong fit for a creative test.</x:v>
      </x:c>
      <x:c r="AS403" s="76" t="str">
        <x:v>storm-to-inspection before/after ad</x:v>
      </x:c>
      <x:c r="AT403" s="76" t="str">
        <x:v>Southline Roofing &amp; Exteriors | Summerville ad concept</x:v>
      </x:c>
      <x:c r="AU403" s="76" t="str">
        <x:v>Hi Southline Roofing &amp; Exteriors | Summerville — I was reviewing roofing companies in Summerville, South Carolina and Southline Roofing &amp; Exteriors | Summerville looked like a strong fit for a creative test. I mapped a private 15-second storm-to-inspection before/after ad for Southline Roofing &amp; Exteriors | Summerville using only public brand context—not for publishing, just to show the angle. We build three client-approved video ad concepts in seven days, then turn the winners into fresh variations. No filming day required. Worth sending the private sample?</x:v>
      </x:c>
      <x:c r="AV403" s="76" t="str">
        <x:v>Quick follow-up: the sample angle is a storm-to-inspection before/after ad. If it misses the mark, no problem—I won't keep chasing. Should I send it?</x:v>
      </x:c>
      <x:c r="AW403" s="76" t="str">
        <x:v>Hi Southline Roofing &amp; Exteriors | Summerville, Ryan here. I was looking at Southline Roofing &amp; Exteriors | Summerville's public marketing and noticed: paid-demand technology detected; creative refresh hypothesis. I mapped one private storm-to-inspection before/after ad as an example. Did I catch you with 30 seconds?</x:v>
      </x:c>
      <x:c r="AX403" s="60" t="str">
        <x:v>https://www.facebook.com/ads/library/?active_status=active&amp;ad_type=all&amp;country=US&amp;q=Southline%20Roofing%20%26%20Exteriors%20%7C%20Summerville&amp;search_type=keyword_unordered</x:v>
      </x:c>
      <x:c r="AY403" s="60" t="str">
        <x:v>ok:200</x:v>
      </x:c>
      <x:c r="AZ403" s="60" t="n">
        <x:v>46232.722858796296</x:v>
      </x:c>
      <x:c r="BA403" s="60" t="str">
        <x:v>Google Maps home-services export</x:v>
      </x:c>
      <x:c r="BB403" s="60" t="str">
        <x:v>https://maps.google.com/?cid=3859911116627539612&amp;g_mp=Cidnb29nbGUubWFwcy5wbGFjZXMudjEuUGxhY2VzLlNlYXJjaFRleHQQAhgEIAA | https://maps.google.com/?cid=4809967837775208686&amp;g_mp=Cidnb29nbGUubWFwcy5wbGFjZXMudjEuUGxhY2VzLlNlYXJjaFRleHQQAhgEIAA | https://southlineroofing.com</x:v>
      </x:c>
      <x:c r="BC403" s="60" t="str"/>
    </x:row>
    <x:row r="404" ht="18" customHeight="1">
      <x:c r="A404" s="70" t="str">
        <x:v>403</x:v>
      </x:c>
      <x:c r="B404" s="70" t="str">
        <x:v>C - Verify</x:v>
      </x:c>
      <x:c r="C404" s="72" t="str">
        <x:v>52</x:v>
      </x:c>
      <x:c r="D404" s="60" t="str">
        <x:v>Monster Wildlife</x:v>
      </x:c>
      <x:c r="E404" s="60" t="str">
        <x:v>https://monsterwildlife.com</x:v>
      </x:c>
      <x:c r="F404" s="60" t="str">
        <x:v>https://monsterwildlife.com</x:v>
      </x:c>
      <x:c r="G404" s="60" t="str">
        <x:v>Charleston</x:v>
      </x:c>
      <x:c r="H404" s="60" t="str">
        <x:v>South Carolina Metropolitan Area</x:v>
      </x:c>
      <x:c r="I404" s="60" t="str">
        <x:v>General Contractor</x:v>
      </x:c>
      <x:c r="J404" s="60" t="str">
        <x:v>Graham</x:v>
      </x:c>
      <x:c r="K404" s="60" t="str">
        <x:v>Hoffman</x:v>
      </x:c>
      <x:c r="L404" s="60" t="str">
        <x:v>Owner</x:v>
      </x:c>
      <x:c r="M404" s="60" t="str"/>
      <x:c r="N404" s="60" t="str"/>
      <x:c r="O404" s="60" t="str"/>
      <x:c r="P404" s="60" t="str">
        <x:v>https://www.linkedin.com/in/graham-hoffman-604bb0b9</x:v>
      </x:c>
      <x:c r="Q404" s="60" t="str">
        <x:v>2-10</x:v>
      </x:c>
      <x:c r="R404" s="60" t="str">
        <x:v>0-99999</x:v>
      </x:c>
      <x:c r="S404" s="60" t="str"/>
      <x:c r="T404" s="74" t="str">
        <x:v>0</x:v>
      </x:c>
      <x:c r="U404" s="60" t="str"/>
      <x:c r="V404" s="74" t="str">
        <x:v>20</x:v>
      </x:c>
      <x:c r="W404" s="74" t="str">
        <x:v>13</x:v>
      </x:c>
      <x:c r="X404" s="74" t="str">
        <x:v>12</x:v>
      </x:c>
      <x:c r="Y404" s="74" t="str">
        <x:v>5</x:v>
      </x:c>
      <x:c r="Z404" s="74" t="str">
        <x:v>2</x:v>
      </x:c>
      <x:c r="AA404" s="74" t="str">
        <x:v>0</x:v>
      </x:c>
      <x:c r="AB404" s="74" t="str">
        <x:v>1</x:v>
      </x:c>
      <x:c r="AC404" s="74" t="str">
        <x:v>1</x:v>
      </x:c>
      <x:c r="AD404" s="74" t="str">
        <x:v>0</x:v>
      </x:c>
      <x:c r="AE404" s="74" t="str">
        <x:v>0</x:v>
      </x:c>
      <x:c r="AF404" s="74" t="str"/>
      <x:c r="AG404" s="74" t="str">
        <x:v>0</x:v>
      </x:c>
      <x:c r="AH404" s="74" t="str">
        <x:v>1</x:v>
      </x:c>
      <x:c r="AI404" s="74" t="str">
        <x:v>0</x:v>
      </x:c>
      <x:c r="AJ404" s="74" t="str">
        <x:v>0</x:v>
      </x:c>
      <x:c r="AK404" s="74" t="str">
        <x:v>0</x:v>
      </x:c>
      <x:c r="AL404" s="74" t="str">
        <x:v>1</x:v>
      </x:c>
      <x:c r="AM404" s="74" t="str">
        <x:v>1</x:v>
      </x:c>
      <x:c r="AN404" s="74" t="str">
        <x:v>0</x:v>
      </x:c>
      <x:c r="AO404" s="60" t="str">
        <x:v>2026</x:v>
      </x:c>
      <x:c r="AP404" s="76" t="str">
        <x:v>Google Ads tag detected; no embedded homepage video found</x:v>
      </x:c>
      <x:c r="AQ404" s="76" t="str">
        <x:v>Google Ads tag; project/gallery proof; no embedded homepage video detected</x:v>
      </x:c>
      <x:c r="AR404" s="76" t="str">
        <x:v>I noticed Monster Wildlife's site has a Google Ads tag installed, but I couldn't find an embedded video on the homepage.</x:v>
      </x:c>
      <x:c r="AS404" s="76" t="str">
        <x:v>project walkthrough with proof milestones</x:v>
      </x:c>
      <x:c r="AT404" s="76" t="str">
        <x:v>Monster Wildlife ad concept</x:v>
      </x:c>
      <x:c r="AU404" s="76" t="str">
        <x:v>Hi Graham — I noticed Monster Wildlife's site has a Google Ads tag installed, but I couldn't find an embedded video on the homepage. I mapped a private 15-second project walkthrough with proof milestones for Monster Wildlife using only public brand context—not for publishing, just to show the angle. We build three client-approved video ad concepts in seven days, then turn the winners into fresh variations. No filming day required. Worth sending the private sample?</x:v>
      </x:c>
      <x:c r="AV404" s="76" t="str">
        <x:v>Quick follow-up: the sample angle is a project walkthrough with proof milestones. If it misses the mark, no problem—I won't keep chasing. Should I send it?</x:v>
      </x:c>
      <x:c r="AW404" s="76" t="str">
        <x:v>Hi Graham, Ryan here. I was looking at Monster Wildlife's public marketing and noticed: google ads tag detected; no embedded homepage video found. I mapped one private project walkthrough with proof milestones as an example. Did I catch you with 30 seconds?</x:v>
      </x:c>
      <x:c r="AX404" s="60" t="str">
        <x:v>https://www.facebook.com/ads/library/?active_status=active&amp;ad_type=all&amp;country=US&amp;q=Monster%20Wildlife&amp;search_type=keyword_unordered</x:v>
      </x:c>
      <x:c r="AY404" s="60" t="str">
        <x:v>ok:200</x:v>
      </x:c>
      <x:c r="AZ404" s="60" t="n">
        <x:v>46232.722858796296</x:v>
      </x:c>
      <x:c r="BA404" s="60" t="str">
        <x:v>AI Ark SC trades export</x:v>
      </x:c>
      <x:c r="BB404" s="60" t="str">
        <x:v>https://monsterwildlife.com | https://www.linkedin.com/company/monster-wildlife</x:v>
      </x:c>
      <x:c r="BC404" s="60" t="str"/>
    </x:row>
    <x:row r="405" ht="18" customHeight="1">
      <x:c r="A405" s="70" t="str">
        <x:v>404</x:v>
      </x:c>
      <x:c r="B405" s="70" t="str">
        <x:v>C - Verify</x:v>
      </x:c>
      <x:c r="C405" s="72" t="str">
        <x:v>52</x:v>
      </x:c>
      <x:c r="D405" s="60" t="str">
        <x:v>Superior Stain Solutions</x:v>
      </x:c>
      <x:c r="E405" s="60" t="str">
        <x:v>https://superiorstainsolutions.com</x:v>
      </x:c>
      <x:c r="F405" s="60" t="str">
        <x:v>https://www.superiorstainsolutions.com/</x:v>
      </x:c>
      <x:c r="G405" s="60" t="str">
        <x:v>Duncan</x:v>
      </x:c>
      <x:c r="H405" s="60" t="str">
        <x:v>South Carolina</x:v>
      </x:c>
      <x:c r="I405" s="60" t="str">
        <x:v>Roofing</x:v>
      </x:c>
      <x:c r="J405" s="60" t="str">
        <x:v>Adrian</x:v>
      </x:c>
      <x:c r="K405" s="60" t="str">
        <x:v>Gluchowski</x:v>
      </x:c>
      <x:c r="L405" s="60" t="str">
        <x:v>Business Owner</x:v>
      </x:c>
      <x:c r="M405" s="60" t="str"/>
      <x:c r="N405" s="60" t="str"/>
      <x:c r="O405" s="60" t="str"/>
      <x:c r="P405" s="60" t="str">
        <x:v>https://www.linkedin.com/in/adrian-gluchowski-49b2b8274</x:v>
      </x:c>
      <x:c r="Q405" s="60" t="str">
        <x:v>0-1</x:v>
      </x:c>
      <x:c r="R405" s="60" t="str">
        <x:v>0-99999</x:v>
      </x:c>
      <x:c r="S405" s="60" t="str"/>
      <x:c r="T405" s="74" t="str">
        <x:v>0</x:v>
      </x:c>
      <x:c r="U405" s="60" t="str"/>
      <x:c r="V405" s="74" t="str">
        <x:v>25</x:v>
      </x:c>
      <x:c r="W405" s="74" t="str">
        <x:v>13</x:v>
      </x:c>
      <x:c r="X405" s="74" t="str">
        <x:v>12</x:v>
      </x:c>
      <x:c r="Y405" s="74" t="str">
        <x:v>0</x:v>
      </x:c>
      <x:c r="Z405" s="74" t="str">
        <x:v>2</x:v>
      </x:c>
      <x:c r="AA405" s="74" t="str">
        <x:v>0</x:v>
      </x:c>
      <x:c r="AB405" s="74" t="str">
        <x:v>1</x:v>
      </x:c>
      <x:c r="AC405" s="74" t="str">
        <x:v>1</x:v>
      </x:c>
      <x:c r="AD405" s="74" t="str">
        <x:v>0</x:v>
      </x:c>
      <x:c r="AE405" s="74" t="str">
        <x:v>0</x:v>
      </x:c>
      <x:c r="AF405" s="74" t="str"/>
      <x:c r="AG405" s="74" t="str">
        <x:v>0</x:v>
      </x:c>
      <x:c r="AH405" s="74" t="str">
        <x:v>0</x:v>
      </x:c>
      <x:c r="AI405" s="74" t="str">
        <x:v>0</x:v>
      </x:c>
      <x:c r="AJ405" s="74" t="str">
        <x:v>0</x:v>
      </x:c>
      <x:c r="AK405" s="74" t="str">
        <x:v>0</x:v>
      </x:c>
      <x:c r="AL405" s="74" t="str">
        <x:v>1</x:v>
      </x:c>
      <x:c r="AM405" s="74" t="str">
        <x:v>1</x:v>
      </x:c>
      <x:c r="AN405" s="74" t="str">
        <x:v>0</x:v>
      </x:c>
      <x:c r="AO405" s="60" t="str">
        <x:v>0</x:v>
      </x:c>
      <x:c r="AP405" s="76" t="str">
        <x:v>Google Ads tag detected; no embedded homepage video found</x:v>
      </x:c>
      <x:c r="AQ405" s="76" t="str">
        <x:v>Google Ads tag; no embedded homepage video detected</x:v>
      </x:c>
      <x:c r="AR405" s="76" t="str">
        <x:v>I noticed Superior Stain Solutions's site has a Google Ads tag installed, but I couldn't find an embedded video on the homepage.</x:v>
      </x:c>
      <x:c r="AS405" s="76" t="str">
        <x:v>storm-to-inspection before/after ad</x:v>
      </x:c>
      <x:c r="AT405" s="76" t="str">
        <x:v>Superior Stain Solutions ad concept</x:v>
      </x:c>
      <x:c r="AU405" s="76" t="str">
        <x:v>Hi Adrian — I noticed Superior Stain Solutions's site has a Google Ads tag installed, but I couldn't find an embedded video on the homepage. I mapped a private 15-second storm-to-inspection before/after ad for Superior Stain Solutions using only public brand context—not for publishing, just to show the angle. We build three client-approved video ad concepts in seven days, then turn the winners into fresh variations. No filming day required. Worth sending the private sample?</x:v>
      </x:c>
      <x:c r="AV405" s="76" t="str">
        <x:v>Quick follow-up: the sample angle is a storm-to-inspection before/after ad. If it misses the mark, no problem—I won't keep chasing. Should I send it?</x:v>
      </x:c>
      <x:c r="AW405" s="76" t="str">
        <x:v>Hi Adrian, Ryan here. I was looking at Superior Stain Solutions's public marketing and noticed: google ads tag detected; no embedded homepage video found. I mapped one private storm-to-inspection before/after ad as an example. Did I catch you with 30 seconds?</x:v>
      </x:c>
      <x:c r="AX405" s="60" t="str">
        <x:v>https://www.facebook.com/ads/library/?active_status=active&amp;ad_type=all&amp;country=US&amp;q=Superior%20Stain%20Solutions&amp;search_type=keyword_unordered</x:v>
      </x:c>
      <x:c r="AY405" s="60" t="str">
        <x:v>ok:200</x:v>
      </x:c>
      <x:c r="AZ405" s="60" t="n">
        <x:v>46232.722858796296</x:v>
      </x:c>
      <x:c r="BA405" s="60" t="str">
        <x:v>AI Ark SC trades export</x:v>
      </x:c>
      <x:c r="BB405" s="60" t="str">
        <x:v>https://superiorstainsolutions.com | https://www.linkedin.com/company/superior-stain-solutions</x:v>
      </x:c>
      <x:c r="BC405" s="60" t="str"/>
    </x:row>
    <x:row r="406" ht="18" customHeight="1">
      <x:c r="A406" s="70" t="str">
        <x:v>405</x:v>
      </x:c>
      <x:c r="B406" s="70" t="str">
        <x:v>C - Verify</x:v>
      </x:c>
      <x:c r="C406" s="72" t="str">
        <x:v>52</x:v>
      </x:c>
      <x:c r="D406" s="60" t="str">
        <x:v>Easy Electric LLC</x:v>
      </x:c>
      <x:c r="E406" s="60" t="str">
        <x:v>https://easyelectricalsolutions.com</x:v>
      </x:c>
      <x:c r="F406" s="60" t="str">
        <x:v>https://easyelectricalsolutions.com</x:v>
      </x:c>
      <x:c r="G406" s="60" t="str">
        <x:v>Columbia</x:v>
      </x:c>
      <x:c r="H406" s="60" t="str">
        <x:v>South Carolina</x:v>
      </x:c>
      <x:c r="I406" s="60" t="str">
        <x:v>Electrical</x:v>
      </x:c>
      <x:c r="J406" s="60" t="str">
        <x:v>Easy Electric LLC</x:v>
      </x:c>
      <x:c r="K406" s="60" t="str"/>
      <x:c r="L406" s="60" t="str">
        <x:v>Owner / decision maker to verify</x:v>
      </x:c>
      <x:c r="M406" s="60" t="str"/>
      <x:c r="N406" s="60" t="str"/>
      <x:c r="O406" s="60" t="str">
        <x:v>(803) 653-3983</x:v>
      </x:c>
      <x:c r="P406" s="60" t="str"/>
      <x:c r="Q406" s="60" t="str"/>
      <x:c r="R406" s="60" t="str"/>
      <x:c r="S406" s="60" t="str">
        <x:v>4.9</x:v>
      </x:c>
      <x:c r="T406" s="74" t="str">
        <x:v>302</x:v>
      </x:c>
      <x:c r="U406" s="60" t="str"/>
      <x:c r="V406" s="74" t="str">
        <x:v>24</x:v>
      </x:c>
      <x:c r="W406" s="74" t="str">
        <x:v>11</x:v>
      </x:c>
      <x:c r="X406" s="74" t="str">
        <x:v>0</x:v>
      </x:c>
      <x:c r="Y406" s="74" t="str">
        <x:v>12</x:v>
      </x:c>
      <x:c r="Z406" s="74" t="str">
        <x:v>5</x:v>
      </x:c>
      <x:c r="AA406" s="74" t="str">
        <x:v>0</x:v>
      </x:c>
      <x:c r="AB406" s="74" t="str">
        <x:v>0</x:v>
      </x:c>
      <x:c r="AC406" s="74" t="str">
        <x:v>1</x:v>
      </x:c>
      <x:c r="AD406" s="74" t="str">
        <x:v>0</x:v>
      </x:c>
      <x:c r="AE406" s="74" t="str">
        <x:v>1</x:v>
      </x:c>
      <x:c r="AF406" s="74" t="str"/>
      <x:c r="AG406" s="74" t="str">
        <x:v>1</x:v>
      </x:c>
      <x:c r="AH406" s="74" t="str">
        <x:v>1</x:v>
      </x:c>
      <x:c r="AI406" s="74" t="str">
        <x:v>1</x:v>
      </x:c>
      <x:c r="AJ406" s="74" t="str">
        <x:v>0</x:v>
      </x:c>
      <x:c r="AK406" s="74" t="str">
        <x:v>0</x:v>
      </x:c>
      <x:c r="AL406" s="74" t="str">
        <x:v>1</x:v>
      </x:c>
      <x:c r="AM406" s="74" t="str">
        <x:v>1</x:v>
      </x:c>
      <x:c r="AN406" s="74" t="str">
        <x:v>0</x:v>
      </x:c>
      <x:c r="AO406" s="60" t="str">
        <x:v>2026</x:v>
      </x:c>
      <x:c r="AP406" s="76" t="str">
        <x:v>Paid-demand technology detected; creative refresh hypothesis</x:v>
      </x:c>
      <x:c r="AQ406" s="76" t="str">
        <x:v>call tracking; project/gallery proof; testimonials</x:v>
      </x:c>
      <x:c r="AR406" s="76" t="str">
        <x:v>I was reviewing electrical companies in Columbia, South Carolina and Easy Electric LLC looked like a strong fit for a creative test.</x:v>
      </x:c>
      <x:c r="AS406" s="76" t="str">
        <x:v>safety inspection problem/solution ad</x:v>
      </x:c>
      <x:c r="AT406" s="76" t="str">
        <x:v>Easy Electric LLC ad concept</x:v>
      </x:c>
      <x:c r="AU406" s="76" t="str">
        <x:v>Hi Easy Electric LLC — I was reviewing electrical companies in Columbia, South Carolina and Easy Electric LLC looked like a strong fit for a creative test. I mapped a private 15-second safety inspection problem/solution ad for Easy Electric LLC using only public brand context—not for publishing, just to show the angle. We build three client-approved video ad concepts in seven days, then turn the winners into fresh variations. No filming day required. Worth sending the private sample?</x:v>
      </x:c>
      <x:c r="AV406" s="76" t="str">
        <x:v>Quick follow-up: the sample angle is a safety inspection problem/solution ad. If it misses the mark, no problem—I won't keep chasing. Should I send it?</x:v>
      </x:c>
      <x:c r="AW406" s="76" t="str">
        <x:v>Hi Easy Electric LLC, Ryan here. I was looking at Easy Electric LLC's public marketing and noticed: paid-demand technology detected; creative refresh hypothesis. I mapped one private safety inspection problem/solution ad as an example. Did I catch you with 30 seconds?</x:v>
      </x:c>
      <x:c r="AX406" s="60" t="str">
        <x:v>https://www.facebook.com/ads/library/?active_status=active&amp;ad_type=all&amp;country=US&amp;q=Easy%20Electric%20LLC&amp;search_type=keyword_unordered</x:v>
      </x:c>
      <x:c r="AY406" s="60" t="str">
        <x:v>ok:200</x:v>
      </x:c>
      <x:c r="AZ406" s="60" t="n">
        <x:v>46232.722858796296</x:v>
      </x:c>
      <x:c r="BA406" s="60" t="str">
        <x:v>Google Maps home-services export</x:v>
      </x:c>
      <x:c r="BB406" s="60" t="str">
        <x:v>https://easyelectricalsolutions.com | https://maps.google.com/?cid=4402485559123937004&amp;g_mp=Cidnb29nbGUubWFwcy5wbGFjZXMudjEuUGxhY2VzLlNlYXJjaFRleHQQAhgEIAA</x:v>
      </x:c>
      <x:c r="BC406" s="60" t="str"/>
    </x:row>
    <x:row r="407" ht="18" customHeight="1">
      <x:c r="A407" s="70" t="str">
        <x:v>406</x:v>
      </x:c>
      <x:c r="B407" s="70" t="str">
        <x:v>C - Verify</x:v>
      </x:c>
      <x:c r="C407" s="72" t="str">
        <x:v>52</x:v>
      </x:c>
      <x:c r="D407" s="60" t="str">
        <x:v>Open Water Plumbing</x:v>
      </x:c>
      <x:c r="E407" s="60" t="str">
        <x:v>https://openwaterplumbing.com</x:v>
      </x:c>
      <x:c r="F407" s="60" t="str">
        <x:v>https://www.openwaterplumbing.com/</x:v>
      </x:c>
      <x:c r="G407" s="60" t="str">
        <x:v>Rock Hill</x:v>
      </x:c>
      <x:c r="H407" s="60" t="str">
        <x:v>South Carolina</x:v>
      </x:c>
      <x:c r="I407" s="60" t="str">
        <x:v>Plumbing</x:v>
      </x:c>
      <x:c r="J407" s="60" t="str">
        <x:v>Open Water Plumbing</x:v>
      </x:c>
      <x:c r="K407" s="60" t="str"/>
      <x:c r="L407" s="60" t="str">
        <x:v>Owner / decision maker to verify</x:v>
      </x:c>
      <x:c r="M407" s="60" t="str"/>
      <x:c r="N407" s="60" t="str"/>
      <x:c r="O407" s="60" t="str">
        <x:v>(980) 480-9110</x:v>
      </x:c>
      <x:c r="P407" s="60" t="str"/>
      <x:c r="Q407" s="60" t="str"/>
      <x:c r="R407" s="60" t="str"/>
      <x:c r="S407" s="60" t="str">
        <x:v>5</x:v>
      </x:c>
      <x:c r="T407" s="74" t="str">
        <x:v>189</x:v>
      </x:c>
      <x:c r="U407" s="60" t="str"/>
      <x:c r="V407" s="74" t="str">
        <x:v>24</x:v>
      </x:c>
      <x:c r="W407" s="74" t="str">
        <x:v>8</x:v>
      </x:c>
      <x:c r="X407" s="74" t="str">
        <x:v>0</x:v>
      </x:c>
      <x:c r="Y407" s="74" t="str">
        <x:v>15</x:v>
      </x:c>
      <x:c r="Z407" s="74" t="str">
        <x:v>5</x:v>
      </x:c>
      <x:c r="AA407" s="74" t="str">
        <x:v>0</x:v>
      </x:c>
      <x:c r="AB407" s="74" t="str">
        <x:v>0</x:v>
      </x:c>
      <x:c r="AC407" s="74" t="str">
        <x:v>0</x:v>
      </x:c>
      <x:c r="AD407" s="74" t="str">
        <x:v>0</x:v>
      </x:c>
      <x:c r="AE407" s="74" t="str">
        <x:v>1</x:v>
      </x:c>
      <x:c r="AF407" s="74" t="str"/>
      <x:c r="AG407" s="74" t="str">
        <x:v>1</x:v>
      </x:c>
      <x:c r="AH407" s="74" t="str">
        <x:v>1</x:v>
      </x:c>
      <x:c r="AI407" s="74" t="str">
        <x:v>1</x:v>
      </x:c>
      <x:c r="AJ407" s="74" t="str">
        <x:v>1</x:v>
      </x:c>
      <x:c r="AK407" s="74" t="str">
        <x:v>1</x:v>
      </x:c>
      <x:c r="AL407" s="74" t="str">
        <x:v>1</x:v>
      </x:c>
      <x:c r="AM407" s="74" t="str">
        <x:v>1</x:v>
      </x:c>
      <x:c r="AN407" s="74" t="str">
        <x:v>1</x:v>
      </x:c>
      <x:c r="AO407" s="60" t="str">
        <x:v>2026</x:v>
      </x:c>
      <x:c r="AP407" s="76" t="str">
        <x:v>Paid-demand technology detected; creative refresh hypothesis</x:v>
      </x:c>
      <x:c r="AQ407" s="76" t="str">
        <x:v>call tracking; project/gallery proof; testimonials; financing; visible service offer</x:v>
      </x:c>
      <x:c r="AR407" s="76" t="str">
        <x:v>I was reviewing plumbing companies in Rock Hill, South Carolina and Open Water Plumbing looked like a strong fit for a creative test.</x:v>
      </x:c>
      <x:c r="AS407" s="76" t="str">
        <x:v>small symptom to prevented-emergency ad</x:v>
      </x:c>
      <x:c r="AT407" s="76" t="str">
        <x:v>Open Water Plumbing ad concept</x:v>
      </x:c>
      <x:c r="AU407" s="76" t="str">
        <x:v>Hi Open Water Plumbing — I was reviewing plumbing companies in Rock Hill, South Carolina and Open Water Plumbing looked like a strong fit for a creative test. I mapped a private 15-second small symptom to prevented-emergency ad for Open Water Plumbing using only public brand context—not for publishing, just to show the angle. We build three client-approved video ad concepts in seven days, then turn the winners into fresh variations. No filming day required. Worth sending the private sample?</x:v>
      </x:c>
      <x:c r="AV407" s="76" t="str">
        <x:v>Quick follow-up: the sample angle is a small symptom to prevented-emergency ad. If it misses the mark, no problem—I won't keep chasing. Should I send it?</x:v>
      </x:c>
      <x:c r="AW407" s="76" t="str">
        <x:v>Hi Open Water Plumbing, Ryan here. I was looking at Open Water Plumbing's public marketing and noticed: paid-demand technology detected; creative refresh hypothesis. I mapped one private small symptom to prevented-emergency ad as an example. Did I catch you with 30 seconds?</x:v>
      </x:c>
      <x:c r="AX407" s="60" t="str">
        <x:v>https://www.facebook.com/ads/library/?active_status=active&amp;ad_type=all&amp;country=US&amp;q=Open%20Water%20Plumbing&amp;search_type=keyword_unordered</x:v>
      </x:c>
      <x:c r="AY407" s="60" t="str">
        <x:v>ok:200</x:v>
      </x:c>
      <x:c r="AZ407" s="60" t="n">
        <x:v>46232.722858796296</x:v>
      </x:c>
      <x:c r="BA407" s="60" t="str">
        <x:v>Google Maps home-services export</x:v>
      </x:c>
      <x:c r="BB407" s="60" t="str">
        <x:v>https://maps.google.com/?cid=14996806798083358862&amp;g_mp=Cidnb29nbGUubWFwcy5wbGFjZXMudjEuUGxhY2VzLlNlYXJjaFRleHQQAhgEIAA | https://openwaterplumbing.com</x:v>
      </x:c>
      <x:c r="BC407" s="60" t="str"/>
    </x:row>
    <x:row r="408" ht="18" customHeight="1">
      <x:c r="A408" s="70" t="str">
        <x:v>407</x:v>
      </x:c>
      <x:c r="B408" s="70" t="str">
        <x:v>C - Verify</x:v>
      </x:c>
      <x:c r="C408" s="72" t="str">
        <x:v>52</x:v>
      </x:c>
      <x:c r="D408" s="60" t="str">
        <x:v>WilliamSmith Fireplaces</x:v>
      </x:c>
      <x:c r="E408" s="60" t="str">
        <x:v>https://williamsmithfireplaces.com</x:v>
      </x:c>
      <x:c r="F408" s="60" t="str">
        <x:v>https://www.williamsmithfireplaces.com/</x:v>
      </x:c>
      <x:c r="G408" s="60" t="str">
        <x:v>North Charleston</x:v>
      </x:c>
      <x:c r="H408" s="60" t="str">
        <x:v>South Carolina</x:v>
      </x:c>
      <x:c r="I408" s="60" t="str">
        <x:v>General Contractor</x:v>
      </x:c>
      <x:c r="J408" s="60" t="str">
        <x:v>Joe</x:v>
      </x:c>
      <x:c r="K408" s="60" t="str">
        <x:v>Ferreira</x:v>
      </x:c>
      <x:c r="L408" s="60" t="str">
        <x:v>Business Owner</x:v>
      </x:c>
      <x:c r="M408" s="60" t="str"/>
      <x:c r="N408" s="60" t="str"/>
      <x:c r="O408" s="60" t="str"/>
      <x:c r="P408" s="60" t="str">
        <x:v>https://www.linkedin.com/in/joe-ferreira-154489280</x:v>
      </x:c>
      <x:c r="Q408" s="60" t="str">
        <x:v>11-50</x:v>
      </x:c>
      <x:c r="R408" s="60" t="str">
        <x:v>100000-499999</x:v>
      </x:c>
      <x:c r="S408" s="60" t="str"/>
      <x:c r="T408" s="74" t="str">
        <x:v>0</x:v>
      </x:c>
      <x:c r="U408" s="60" t="str"/>
      <x:c r="V408" s="74" t="str">
        <x:v>23</x:v>
      </x:c>
      <x:c r="W408" s="74" t="str">
        <x:v>6</x:v>
      </x:c>
      <x:c r="X408" s="74" t="str">
        <x:v>6</x:v>
      </x:c>
      <x:c r="Y408" s="74" t="str">
        <x:v>15</x:v>
      </x:c>
      <x:c r="Z408" s="74" t="str">
        <x:v>2</x:v>
      </x:c>
      <x:c r="AA408" s="74" t="str">
        <x:v>0</x:v>
      </x:c>
      <x:c r="AB408" s="74" t="str">
        <x:v>0</x:v>
      </x:c>
      <x:c r="AC408" s="74" t="str">
        <x:v>1</x:v>
      </x:c>
      <x:c r="AD408" s="74" t="str">
        <x:v>0</x:v>
      </x:c>
      <x:c r="AE408" s="74" t="str">
        <x:v>0</x:v>
      </x:c>
      <x:c r="AF408" s="74" t="str">
        <x:v>servicetitan</x:v>
      </x:c>
      <x:c r="AG408" s="74" t="str">
        <x:v>0</x:v>
      </x:c>
      <x:c r="AH408" s="74" t="str">
        <x:v>1</x:v>
      </x:c>
      <x:c r="AI408" s="74" t="str">
        <x:v>1</x:v>
      </x:c>
      <x:c r="AJ408" s="74" t="str">
        <x:v>1</x:v>
      </x:c>
      <x:c r="AK408" s="74" t="str">
        <x:v>1</x:v>
      </x:c>
      <x:c r="AL408" s="74" t="str">
        <x:v>1</x:v>
      </x:c>
      <x:c r="AM408" s="74" t="str">
        <x:v>1</x:v>
      </x:c>
      <x:c r="AN408" s="74" t="str">
        <x:v>1</x:v>
      </x:c>
      <x:c r="AO408" s="60" t="str">
        <x:v>2026</x:v>
      </x:c>
      <x:c r="AP408" s="76" t="str">
        <x:v>Project/gallery proof found; no embedded homepage video found</x:v>
      </x:c>
      <x:c r="AQ408" s="76" t="str">
        <x:v>project/gallery proof; testimonials; financing; visible service offer; no embedded homepage video detected</x:v>
      </x:c>
      <x:c r="AR408" s="76" t="str">
        <x:v>I found project/gallery proof on WilliamSmith Fireplaces's site that could be repackaged into short-form ad concepts.</x:v>
      </x:c>
      <x:c r="AS408" s="76" t="str">
        <x:v>project walkthrough with proof milestones</x:v>
      </x:c>
      <x:c r="AT408" s="76" t="str">
        <x:v>WilliamSmith Fireplaces ad concept</x:v>
      </x:c>
      <x:c r="AU408" s="76" t="str">
        <x:v>Hi Joe — I found project/gallery proof on WilliamSmith Fireplaces's site that could be repackaged into short-form ad concepts. I mapped a private 15-second project walkthrough with proof milestones for WilliamSmith Fireplaces using only public brand context—not for publishing, just to show the angle. We build three client-approved video ad concepts in seven days, then turn the winners into fresh variations. No filming day required. Worth sending the private sample?</x:v>
      </x:c>
      <x:c r="AV408" s="76" t="str">
        <x:v>Quick follow-up: the sample angle is a project walkthrough with proof milestones. If it misses the mark, no problem—I won't keep chasing. Should I send it?</x:v>
      </x:c>
      <x:c r="AW408" s="76" t="str">
        <x:v>Hi Joe, Ryan here. I was looking at WilliamSmith Fireplaces's public marketing and noticed: project/gallery proof found; no embedded homepage video found. I mapped one private project walkthrough with proof milestones as an example. Did I catch you with 30 seconds?</x:v>
      </x:c>
      <x:c r="AX408" s="60" t="str">
        <x:v>https://www.facebook.com/ads/library/?active_status=active&amp;ad_type=all&amp;country=US&amp;q=WilliamSmith%20Fireplaces&amp;search_type=keyword_unordered</x:v>
      </x:c>
      <x:c r="AY408" s="60" t="str">
        <x:v>ok:200</x:v>
      </x:c>
      <x:c r="AZ408" s="60" t="n">
        <x:v>46232.722858796296</x:v>
      </x:c>
      <x:c r="BA408" s="60" t="str">
        <x:v>AI Ark SC trades export</x:v>
      </x:c>
      <x:c r="BB408" s="60" t="str">
        <x:v>https://williamsmithfireplaces.com | https://www.linkedin.com/company/williamsmith-fireplaces</x:v>
      </x:c>
      <x:c r="BC408" s="60" t="str"/>
    </x:row>
    <x:row r="409" ht="18" customHeight="1">
      <x:c r="A409" s="70" t="str">
        <x:v>408</x:v>
      </x:c>
      <x:c r="B409" s="70" t="str">
        <x:v>C - Verify</x:v>
      </x:c>
      <x:c r="C409" s="72" t="str">
        <x:v>52</x:v>
      </x:c>
      <x:c r="D409" s="60" t="str">
        <x:v>One Call Electric</x:v>
      </x:c>
      <x:c r="E409" s="60" t="str">
        <x:v>https://onecallelectricsc.com</x:v>
      </x:c>
      <x:c r="F409" s="60" t="str">
        <x:v>https://onecallelectricsc.com</x:v>
      </x:c>
      <x:c r="G409" s="60" t="str">
        <x:v>Spartanburg</x:v>
      </x:c>
      <x:c r="H409" s="60" t="str">
        <x:v>South Carolina</x:v>
      </x:c>
      <x:c r="I409" s="60" t="str">
        <x:v>Electrical</x:v>
      </x:c>
      <x:c r="J409" s="60" t="str">
        <x:v>One Call Electric</x:v>
      </x:c>
      <x:c r="K409" s="60" t="str"/>
      <x:c r="L409" s="60" t="str">
        <x:v>Owner / decision maker to verify</x:v>
      </x:c>
      <x:c r="M409" s="60" t="str"/>
      <x:c r="N409" s="60" t="str"/>
      <x:c r="O409" s="60" t="str">
        <x:v>(864) 310-4554</x:v>
      </x:c>
      <x:c r="P409" s="60" t="str"/>
      <x:c r="Q409" s="60" t="str"/>
      <x:c r="R409" s="60" t="str"/>
      <x:c r="S409" s="60" t="str">
        <x:v>5</x:v>
      </x:c>
      <x:c r="T409" s="74" t="str">
        <x:v>12</x:v>
      </x:c>
      <x:c r="U409" s="60" t="str"/>
      <x:c r="V409" s="74" t="str">
        <x:v>19</x:v>
      </x:c>
      <x:c r="W409" s="74" t="str">
        <x:v>6</x:v>
      </x:c>
      <x:c r="X409" s="74" t="str">
        <x:v>10</x:v>
      </x:c>
      <x:c r="Y409" s="74" t="str">
        <x:v>12</x:v>
      </x:c>
      <x:c r="Z409" s="74" t="str">
        <x:v>5</x:v>
      </x:c>
      <x:c r="AA409" s="74" t="str">
        <x:v>0</x:v>
      </x:c>
      <x:c r="AB409" s="74" t="str">
        <x:v>0</x:v>
      </x:c>
      <x:c r="AC409" s="74" t="str">
        <x:v>1</x:v>
      </x:c>
      <x:c r="AD409" s="74" t="str">
        <x:v>0</x:v>
      </x:c>
      <x:c r="AE409" s="74" t="str">
        <x:v>0</x:v>
      </x:c>
      <x:c r="AF409" s="74" t="str">
        <x:v>servicetitan</x:v>
      </x:c>
      <x:c r="AG409" s="74" t="str">
        <x:v>0</x:v>
      </x:c>
      <x:c r="AH409" s="74" t="str">
        <x:v>1</x:v>
      </x:c>
      <x:c r="AI409" s="74" t="str">
        <x:v>1</x:v>
      </x:c>
      <x:c r="AJ409" s="74" t="str">
        <x:v>0</x:v>
      </x:c>
      <x:c r="AK409" s="74" t="str">
        <x:v>1</x:v>
      </x:c>
      <x:c r="AL409" s="74" t="str">
        <x:v>0</x:v>
      </x:c>
      <x:c r="AM409" s="74" t="str">
        <x:v>0</x:v>
      </x:c>
      <x:c r="AN409" s="74" t="str">
        <x:v>0</x:v>
      </x:c>
      <x:c r="AO409" s="60" t="str">
        <x:v>2026</x:v>
      </x:c>
      <x:c r="AP409" s="76" t="str">
        <x:v>Project/gallery proof found; no embedded homepage video found</x:v>
      </x:c>
      <x:c r="AQ409" s="76" t="str">
        <x:v>project/gallery proof; testimonials; visible service offer; no embedded homepage video detected</x:v>
      </x:c>
      <x:c r="AR409" s="76" t="str">
        <x:v>I found project/gallery proof on One Call Electric's site that could be repackaged into short-form ad concepts.</x:v>
      </x:c>
      <x:c r="AS409" s="76" t="str">
        <x:v>safety inspection problem/solution ad</x:v>
      </x:c>
      <x:c r="AT409" s="76" t="str">
        <x:v>One Call Electric ad concept</x:v>
      </x:c>
      <x:c r="AU409" s="76" t="str">
        <x:v>Hi One Call Electric — I found project/gallery proof on One Call Electric's site that could be repackaged into short-form ad concepts. I mapped a private 15-second safety inspection problem/solution ad for One Call Electric using only public brand context—not for publishing, just to show the angle. We build three client-approved video ad concepts in seven days, then turn the winners into fresh variations. No filming day required. Worth sending the private sample?</x:v>
      </x:c>
      <x:c r="AV409" s="76" t="str">
        <x:v>Quick follow-up: the sample angle is a safety inspection problem/solution ad. If it misses the mark, no problem—I won't keep chasing. Should I send it?</x:v>
      </x:c>
      <x:c r="AW409" s="76" t="str">
        <x:v>Hi One Call Electric, Ryan here. I was looking at One Call Electric's public marketing and noticed: project/gallery proof found; no embedded homepage video found. I mapped one private safety inspection problem/solution ad as an example. Did I catch you with 30 seconds?</x:v>
      </x:c>
      <x:c r="AX409" s="60" t="str">
        <x:v>https://www.facebook.com/ads/library/?active_status=active&amp;ad_type=all&amp;country=US&amp;q=One%20Call%20Electric&amp;search_type=keyword_unordered</x:v>
      </x:c>
      <x:c r="AY409" s="60" t="str">
        <x:v>ok:200</x:v>
      </x:c>
      <x:c r="AZ409" s="60" t="n">
        <x:v>46232.722858796296</x:v>
      </x:c>
      <x:c r="BA409" s="60" t="str">
        <x:v>Google Maps home-services export</x:v>
      </x:c>
      <x:c r="BB409" s="60" t="str">
        <x:v>https://maps.google.com/?cid=8180823321956850889&amp;g_mp=Cidnb29nbGUubWFwcy5wbGFjZXMudjEuUGxhY2VzLlNlYXJjaFRleHQQAhgEIAA | https://onecallelectricsc.com</x:v>
      </x:c>
      <x:c r="BC409" s="60" t="str"/>
    </x:row>
    <x:row r="410" ht="18" customHeight="1">
      <x:c r="A410" s="70" t="str">
        <x:v>409</x:v>
      </x:c>
      <x:c r="B410" s="70" t="str">
        <x:v>C - Verify</x:v>
      </x:c>
      <x:c r="C410" s="72" t="str">
        <x:v>52</x:v>
      </x:c>
      <x:c r="D410" s="60" t="str">
        <x:v>Cook Comfort Systems LLC</x:v>
      </x:c>
      <x:c r="E410" s="60" t="str">
        <x:v>https://cookcomfortsystemsllcsc.com</x:v>
      </x:c>
      <x:c r="F410" s="60" t="str">
        <x:v>https://www.cookcomfortsystemsllcsc.com/</x:v>
      </x:c>
      <x:c r="G410" s="60" t="str">
        <x:v>Florence</x:v>
      </x:c>
      <x:c r="H410" s="60" t="str">
        <x:v>South Carolina</x:v>
      </x:c>
      <x:c r="I410" s="60" t="str">
        <x:v>HVAC</x:v>
      </x:c>
      <x:c r="J410" s="60" t="str">
        <x:v>Cook Comfort Systems LLC</x:v>
      </x:c>
      <x:c r="K410" s="60" t="str"/>
      <x:c r="L410" s="60" t="str">
        <x:v>Owner / decision maker to verify</x:v>
      </x:c>
      <x:c r="M410" s="60" t="str"/>
      <x:c r="N410" s="60" t="str"/>
      <x:c r="O410" s="60" t="str">
        <x:v>(843) 799-5478</x:v>
      </x:c>
      <x:c r="P410" s="60" t="str"/>
      <x:c r="Q410" s="60" t="str"/>
      <x:c r="R410" s="60" t="str"/>
      <x:c r="S410" s="60" t="str">
        <x:v>4.9</x:v>
      </x:c>
      <x:c r="T410" s="74" t="str">
        <x:v>70</x:v>
      </x:c>
      <x:c r="U410" s="60" t="str"/>
      <x:c r="V410" s="74" t="str">
        <x:v>26</x:v>
      </x:c>
      <x:c r="W410" s="74" t="str">
        <x:v>6</x:v>
      </x:c>
      <x:c r="X410" s="74" t="str">
        <x:v>10</x:v>
      </x:c>
      <x:c r="Y410" s="74" t="str">
        <x:v>5</x:v>
      </x:c>
      <x:c r="Z410" s="74" t="str">
        <x:v>5</x:v>
      </x:c>
      <x:c r="AA410" s="74" t="str">
        <x:v>0</x:v>
      </x:c>
      <x:c r="AB410" s="74" t="str">
        <x:v>0</x:v>
      </x:c>
      <x:c r="AC410" s="74" t="str">
        <x:v>1</x:v>
      </x:c>
      <x:c r="AD410" s="74" t="str">
        <x:v>0</x:v>
      </x:c>
      <x:c r="AE410" s="74" t="str">
        <x:v>0</x:v>
      </x:c>
      <x:c r="AF410" s="74" t="str">
        <x:v>servicetitan</x:v>
      </x:c>
      <x:c r="AG410" s="74" t="str">
        <x:v>0</x:v>
      </x:c>
      <x:c r="AH410" s="74" t="str">
        <x:v>0</x:v>
      </x:c>
      <x:c r="AI410" s="74" t="str">
        <x:v>0</x:v>
      </x:c>
      <x:c r="AJ410" s="74" t="str">
        <x:v>0</x:v>
      </x:c>
      <x:c r="AK410" s="74" t="str">
        <x:v>1</x:v>
      </x:c>
      <x:c r="AL410" s="74" t="str">
        <x:v>0</x:v>
      </x:c>
      <x:c r="AM410" s="74" t="str">
        <x:v>1</x:v>
      </x:c>
      <x:c r="AN410" s="74" t="str">
        <x:v>0</x:v>
      </x:c>
      <x:c r="AO410" s="60" t="str">
        <x:v>0</x:v>
      </x:c>
      <x:c r="AP410" s="76" t="str">
        <x:v>ICP fit; paid-demand need requires manual verification</x:v>
      </x:c>
      <x:c r="AQ410" s="76" t="str">
        <x:v>visible service offer; no embedded homepage video detected</x:v>
      </x:c>
      <x:c r="AR410" s="76" t="str">
        <x:v>I was reviewing hvac companies in Florence, South Carolina and Cook Comfort Systems LLC looked like a strong fit for a creative test.</x:v>
      </x:c>
      <x:c r="AS410" s="76" t="str">
        <x:v>no-cool-call to same-day comfort ad</x:v>
      </x:c>
      <x:c r="AT410" s="76" t="str">
        <x:v>Cook Comfort Systems LLC ad concept</x:v>
      </x:c>
      <x:c r="AU410" s="76" t="str">
        <x:v>Hi Cook Comfort Systems LLC — I was reviewing hvac companies in Florence, South Carolina and Cook Comfort Systems LLC looked like a strong fit for a creative test. I mapped a private 15-second no-cool-call to same-day comfort ad for Cook Comfort Systems LLC using only public brand context—not for publishing, just to show the angle. We build three client-approved video ad concepts in seven days, then turn the winners into fresh variations. No filming day required. Worth sending the private sample?</x:v>
      </x:c>
      <x:c r="AV410" s="76" t="str">
        <x:v>Quick follow-up: the sample angle is a no-cool-call to same-day comfort ad. If it misses the mark, no problem—I won't keep chasing. Should I send it?</x:v>
      </x:c>
      <x:c r="AW410" s="76" t="str">
        <x:v>Hi Cook Comfort Systems LLC, Ryan here. I was looking at Cook Comfort Systems LLC's public marketing and noticed: icp fit; paid-demand need requires manual verification. I mapped one private no-cool-call to same-day comfort ad as an example. Did I catch you with 30 seconds?</x:v>
      </x:c>
      <x:c r="AX410" s="60" t="str">
        <x:v>https://www.facebook.com/ads/library/?active_status=active&amp;ad_type=all&amp;country=US&amp;q=Cook%20Comfort%20Systems%20LLC&amp;search_type=keyword_unordered</x:v>
      </x:c>
      <x:c r="AY410" s="60" t="str">
        <x:v>ok:200</x:v>
      </x:c>
      <x:c r="AZ410" s="60" t="n">
        <x:v>46232.722858796296</x:v>
      </x:c>
      <x:c r="BA410" s="60" t="str">
        <x:v>Google Maps home-services export</x:v>
      </x:c>
      <x:c r="BB410" s="60" t="str">
        <x:v>https://cookcomfortsystemsllcsc.com | https://maps.google.com/?cid=2163710061600198742&amp;g_mp=Cidnb29nbGUubWFwcy5wbGFjZXMudjEuUGxhY2VzLlNlYXJjaFRleHQQAhgEIAA</x:v>
      </x:c>
      <x:c r="BC410" s="60" t="str"/>
    </x:row>
    <x:row r="411" ht="18" customHeight="1">
      <x:c r="A411" s="70" t="str">
        <x:v>410</x:v>
      </x:c>
      <x:c r="B411" s="70" t="str">
        <x:v>C - Verify</x:v>
      </x:c>
      <x:c r="C411" s="72" t="str">
        <x:v>52</x:v>
      </x:c>
      <x:c r="D411" s="60" t="str">
        <x:v>Loftis Lighting and Electrical LLC</x:v>
      </x:c>
      <x:c r="E411" s="60" t="str">
        <x:v>https://loftislighting.com</x:v>
      </x:c>
      <x:c r="F411" s="60" t="str">
        <x:v>https://www.loftislighting.com/</x:v>
      </x:c>
      <x:c r="G411" s="60" t="str">
        <x:v>Myrtle Beach</x:v>
      </x:c>
      <x:c r="H411" s="60" t="str">
        <x:v>South Carolina</x:v>
      </x:c>
      <x:c r="I411" s="60" t="str">
        <x:v>Electrical</x:v>
      </x:c>
      <x:c r="J411" s="60" t="str">
        <x:v>Loftis Lighting and Electrical LLC</x:v>
      </x:c>
      <x:c r="K411" s="60" t="str"/>
      <x:c r="L411" s="60" t="str">
        <x:v>Owner / decision maker to verify</x:v>
      </x:c>
      <x:c r="M411" s="60" t="str"/>
      <x:c r="N411" s="60" t="str"/>
      <x:c r="O411" s="60" t="str">
        <x:v>(854) 846-9130</x:v>
      </x:c>
      <x:c r="P411" s="60" t="str"/>
      <x:c r="Q411" s="60" t="str"/>
      <x:c r="R411" s="60" t="str"/>
      <x:c r="S411" s="60" t="str">
        <x:v>5</x:v>
      </x:c>
      <x:c r="T411" s="74" t="str">
        <x:v>101</x:v>
      </x:c>
      <x:c r="U411" s="60" t="str"/>
      <x:c r="V411" s="74" t="str">
        <x:v>23</x:v>
      </x:c>
      <x:c r="W411" s="74" t="str">
        <x:v>3</x:v>
      </x:c>
      <x:c r="X411" s="74" t="str">
        <x:v>6</x:v>
      </x:c>
      <x:c r="Y411" s="74" t="str">
        <x:v>15</x:v>
      </x:c>
      <x:c r="Z411" s="74" t="str">
        <x:v>5</x:v>
      </x:c>
      <x:c r="AA411" s="74" t="str">
        <x:v>0</x:v>
      </x:c>
      <x:c r="AB411" s="74" t="str">
        <x:v>0</x:v>
      </x:c>
      <x:c r="AC411" s="74" t="str">
        <x:v>1</x:v>
      </x:c>
      <x:c r="AD411" s="74" t="str">
        <x:v>0</x:v>
      </x:c>
      <x:c r="AE411" s="74" t="str">
        <x:v>0</x:v>
      </x:c>
      <x:c r="AF411" s="74" t="str"/>
      <x:c r="AG411" s="74" t="str">
        <x:v>0</x:v>
      </x:c>
      <x:c r="AH411" s="74" t="str">
        <x:v>1</x:v>
      </x:c>
      <x:c r="AI411" s="74" t="str">
        <x:v>1</x:v>
      </x:c>
      <x:c r="AJ411" s="74" t="str">
        <x:v>0</x:v>
      </x:c>
      <x:c r="AK411" s="74" t="str">
        <x:v>1</x:v>
      </x:c>
      <x:c r="AL411" s="74" t="str">
        <x:v>1</x:v>
      </x:c>
      <x:c r="AM411" s="74" t="str">
        <x:v>1</x:v>
      </x:c>
      <x:c r="AN411" s="74" t="str">
        <x:v>1</x:v>
      </x:c>
      <x:c r="AO411" s="60" t="str">
        <x:v>0</x:v>
      </x:c>
      <x:c r="AP411" s="76" t="str">
        <x:v>Project/gallery proof found; no embedded homepage video found</x:v>
      </x:c>
      <x:c r="AQ411" s="76" t="str">
        <x:v>project/gallery proof; testimonials; visible service offer; no embedded homepage video detected</x:v>
      </x:c>
      <x:c r="AR411" s="76" t="str">
        <x:v>I found project/gallery proof on Loftis Lighting and Electrical LLC's site that could be repackaged into short-form ad concepts.</x:v>
      </x:c>
      <x:c r="AS411" s="76" t="str">
        <x:v>safety inspection problem/solution ad</x:v>
      </x:c>
      <x:c r="AT411" s="76" t="str">
        <x:v>Loftis Lighting and Electrical LLC ad concept</x:v>
      </x:c>
      <x:c r="AU411" s="76" t="str">
        <x:v>Hi Loftis Lighting and Electrical LLC — I found project/gallery proof on Loftis Lighting and Electrical LLC's site that could be repackaged into short-form ad concepts. I mapped a private 15-second safety inspection problem/solution ad for Loftis Lighting and Electrical LLC using only public brand context—not for publishing, just to show the angle. We build three client-approved video ad concepts in seven days, then turn the winners into fresh variations. No filming day required. Worth sending the private sample?</x:v>
      </x:c>
      <x:c r="AV411" s="76" t="str">
        <x:v>Quick follow-up: the sample angle is a safety inspection problem/solution ad. If it misses the mark, no problem—I won't keep chasing. Should I send it?</x:v>
      </x:c>
      <x:c r="AW411" s="76" t="str">
        <x:v>Hi Loftis Lighting and Electrical LLC, Ryan here. I was looking at Loftis Lighting and Electrical LLC's public marketing and noticed: project/gallery proof found; no embedded homepage video found. I mapped one private safety inspection problem/solution ad as an example. Did I catch you with 30 seconds?</x:v>
      </x:c>
      <x:c r="AX411" s="60" t="str">
        <x:v>https://www.facebook.com/ads/library/?active_status=active&amp;ad_type=all&amp;country=US&amp;q=Loftis%20Lighting%20and%20Electrical%20LLC&amp;search_type=keyword_unordered</x:v>
      </x:c>
      <x:c r="AY411" s="60" t="str">
        <x:v>ok:200</x:v>
      </x:c>
      <x:c r="AZ411" s="60" t="n">
        <x:v>46232.722858796296</x:v>
      </x:c>
      <x:c r="BA411" s="60" t="str">
        <x:v>Google Maps home-services export</x:v>
      </x:c>
      <x:c r="BB411" s="60" t="str">
        <x:v>https://loftislighting.com | https://maps.google.com/?cid=4405311488057748250&amp;g_mp=Cidnb29nbGUubWFwcy5wbGFjZXMudjEuUGxhY2VzLlNlYXJjaFRleHQQAhgEIAA</x:v>
      </x:c>
      <x:c r="BC411" s="60" t="str"/>
    </x:row>
    <x:row r="412" ht="18" customHeight="1">
      <x:c r="A412" s="70" t="str">
        <x:v>411</x:v>
      </x:c>
      <x:c r="B412" s="70" t="str">
        <x:v>C - Verify</x:v>
      </x:c>
      <x:c r="C412" s="72" t="str">
        <x:v>52</x:v>
      </x:c>
      <x:c r="D412" s="60" t="str">
        <x:v>Hornsby LLC</x:v>
      </x:c>
      <x:c r="E412" s="60" t="str">
        <x:v>https://weroofcolumbia.com</x:v>
      </x:c>
      <x:c r="F412" s="60" t="str">
        <x:v>https://weroofcolumbia.com</x:v>
      </x:c>
      <x:c r="G412" s="60" t="str">
        <x:v>Columbia</x:v>
      </x:c>
      <x:c r="H412" s="60" t="str">
        <x:v>South Carolina</x:v>
      </x:c>
      <x:c r="I412" s="60" t="str">
        <x:v>Roofing</x:v>
      </x:c>
      <x:c r="J412" s="60" t="str">
        <x:v>Hornsby LLC</x:v>
      </x:c>
      <x:c r="K412" s="60" t="str"/>
      <x:c r="L412" s="60" t="str">
        <x:v>Owner / decision maker to verify</x:v>
      </x:c>
      <x:c r="M412" s="60" t="str"/>
      <x:c r="N412" s="60" t="str"/>
      <x:c r="O412" s="60" t="str">
        <x:v>(803) 528-4117</x:v>
      </x:c>
      <x:c r="P412" s="60" t="str"/>
      <x:c r="Q412" s="60" t="str"/>
      <x:c r="R412" s="60" t="str"/>
      <x:c r="S412" s="60" t="str">
        <x:v>5</x:v>
      </x:c>
      <x:c r="T412" s="74" t="str">
        <x:v>135</x:v>
      </x:c>
      <x:c r="U412" s="60" t="str"/>
      <x:c r="V412" s="74" t="str">
        <x:v>29</x:v>
      </x:c>
      <x:c r="W412" s="74" t="str">
        <x:v>3</x:v>
      </x:c>
      <x:c r="X412" s="74" t="str">
        <x:v>0</x:v>
      </x:c>
      <x:c r="Y412" s="74" t="str">
        <x:v>15</x:v>
      </x:c>
      <x:c r="Z412" s="74" t="str">
        <x:v>5</x:v>
      </x:c>
      <x:c r="AA412" s="74" t="str">
        <x:v>0</x:v>
      </x:c>
      <x:c r="AB412" s="74" t="str">
        <x:v>0</x:v>
      </x:c>
      <x:c r="AC412" s="74" t="str">
        <x:v>1</x:v>
      </x:c>
      <x:c r="AD412" s="74" t="str">
        <x:v>0</x:v>
      </x:c>
      <x:c r="AE412" s="74" t="str">
        <x:v>0</x:v>
      </x:c>
      <x:c r="AF412" s="74" t="str"/>
      <x:c r="AG412" s="74" t="str">
        <x:v>1</x:v>
      </x:c>
      <x:c r="AH412" s="74" t="str">
        <x:v>1</x:v>
      </x:c>
      <x:c r="AI412" s="74" t="str">
        <x:v>1</x:v>
      </x:c>
      <x:c r="AJ412" s="74" t="str">
        <x:v>0</x:v>
      </x:c>
      <x:c r="AK412" s="74" t="str">
        <x:v>1</x:v>
      </x:c>
      <x:c r="AL412" s="74" t="str">
        <x:v>1</x:v>
      </x:c>
      <x:c r="AM412" s="74" t="str">
        <x:v>1</x:v>
      </x:c>
      <x:c r="AN412" s="74" t="str">
        <x:v>1</x:v>
      </x:c>
      <x:c r="AO412" s="60" t="str">
        <x:v>0</x:v>
      </x:c>
      <x:c r="AP412" s="76" t="str">
        <x:v>ICP fit; paid-demand need requires manual verification</x:v>
      </x:c>
      <x:c r="AQ412" s="76" t="str">
        <x:v>project/gallery proof; testimonials; visible service offer</x:v>
      </x:c>
      <x:c r="AR412" s="76" t="str">
        <x:v>I was reviewing roofing companies in Columbia, South Carolina and Hornsby LLC looked like a strong fit for a creative test.</x:v>
      </x:c>
      <x:c r="AS412" s="76" t="str">
        <x:v>storm-to-inspection before/after ad</x:v>
      </x:c>
      <x:c r="AT412" s="76" t="str">
        <x:v>Hornsby LLC ad concept</x:v>
      </x:c>
      <x:c r="AU412" s="76" t="str">
        <x:v>Hi Hornsby LLC — I was reviewing roofing companies in Columbia, South Carolina and Hornsby LLC looked like a strong fit for a creative test. I mapped a private 15-second storm-to-inspection before/after ad for Hornsby LLC using only public brand context—not for publishing, just to show the angle. We build three client-approved video ad concepts in seven days, then turn the winners into fresh variations. No filming day required. Worth sending the private sample?</x:v>
      </x:c>
      <x:c r="AV412" s="76" t="str">
        <x:v>Quick follow-up: the sample angle is a storm-to-inspection before/after ad. If it misses the mark, no problem—I won't keep chasing. Should I send it?</x:v>
      </x:c>
      <x:c r="AW412" s="76" t="str">
        <x:v>Hi Hornsby LLC, Ryan here. I was looking at Hornsby LLC's public marketing and noticed: icp fit; paid-demand need requires manual verification. I mapped one private storm-to-inspection before/after ad as an example. Did I catch you with 30 seconds?</x:v>
      </x:c>
      <x:c r="AX412" s="60" t="str">
        <x:v>https://www.facebook.com/ads/library/?active_status=active&amp;ad_type=all&amp;country=US&amp;q=Hornsby%20LLC&amp;search_type=keyword_unordered</x:v>
      </x:c>
      <x:c r="AY412" s="60" t="str">
        <x:v>ok:200</x:v>
      </x:c>
      <x:c r="AZ412" s="60" t="n">
        <x:v>46232.722858796296</x:v>
      </x:c>
      <x:c r="BA412" s="60" t="str">
        <x:v>Google Maps home-services export</x:v>
      </x:c>
      <x:c r="BB412" s="60" t="str">
        <x:v>https://maps.google.com/?cid=289578277102185960&amp;g_mp=Cidnb29nbGUubWFwcy5wbGFjZXMudjEuUGxhY2VzLlNlYXJjaFRleHQQAhgEIAA | https://weroofcolumbia.com</x:v>
      </x:c>
      <x:c r="BC412" s="60" t="str"/>
    </x:row>
    <x:row r="413" ht="18" customHeight="1">
      <x:c r="A413" s="70" t="str">
        <x:v>412</x:v>
      </x:c>
      <x:c r="B413" s="70" t="str">
        <x:v>C - Verify</x:v>
      </x:c>
      <x:c r="C413" s="72" t="str">
        <x:v>52</x:v>
      </x:c>
      <x:c r="D413" s="60" t="str">
        <x:v>Seaside Heating and Air Conditioning</x:v>
      </x:c>
      <x:c r="E413" s="60" t="str">
        <x:v>https://seasideheatandac.com</x:v>
      </x:c>
      <x:c r="F413" s="60" t="str">
        <x:v>https://www.seasideheatandac.com/</x:v>
      </x:c>
      <x:c r="G413" s="60" t="str">
        <x:v>Beaufort</x:v>
      </x:c>
      <x:c r="H413" s="60" t="str">
        <x:v>South Carolina</x:v>
      </x:c>
      <x:c r="I413" s="60" t="str">
        <x:v>HVAC</x:v>
      </x:c>
      <x:c r="J413" s="60" t="str">
        <x:v>Seaside Heating and Air Conditioning</x:v>
      </x:c>
      <x:c r="K413" s="60" t="str"/>
      <x:c r="L413" s="60" t="str">
        <x:v>Owner / decision maker to verify</x:v>
      </x:c>
      <x:c r="M413" s="60" t="str"/>
      <x:c r="N413" s="60" t="str"/>
      <x:c r="O413" s="60" t="str">
        <x:v>(843) 441-7615</x:v>
      </x:c>
      <x:c r="P413" s="60" t="str"/>
      <x:c r="Q413" s="60" t="str"/>
      <x:c r="R413" s="60" t="str"/>
      <x:c r="S413" s="60" t="str">
        <x:v>5</x:v>
      </x:c>
      <x:c r="T413" s="74" t="str">
        <x:v>57</x:v>
      </x:c>
      <x:c r="U413" s="60" t="str"/>
      <x:c r="V413" s="74" t="str">
        <x:v>26</x:v>
      </x:c>
      <x:c r="W413" s="74" t="str">
        <x:v>3</x:v>
      </x:c>
      <x:c r="X413" s="74" t="str">
        <x:v>4</x:v>
      </x:c>
      <x:c r="Y413" s="74" t="str">
        <x:v>14</x:v>
      </x:c>
      <x:c r="Z413" s="74" t="str">
        <x:v>5</x:v>
      </x:c>
      <x:c r="AA413" s="74" t="str">
        <x:v>0</x:v>
      </x:c>
      <x:c r="AB413" s="74" t="str">
        <x:v>0</x:v>
      </x:c>
      <x:c r="AC413" s="74" t="str">
        <x:v>1</x:v>
      </x:c>
      <x:c r="AD413" s="74" t="str">
        <x:v>0</x:v>
      </x:c>
      <x:c r="AE413" s="74" t="str">
        <x:v>0</x:v>
      </x:c>
      <x:c r="AF413" s="74" t="str"/>
      <x:c r="AG413" s="74" t="str">
        <x:v>1</x:v>
      </x:c>
      <x:c r="AH413" s="74" t="str">
        <x:v>1</x:v>
      </x:c>
      <x:c r="AI413" s="74" t="str">
        <x:v>1</x:v>
      </x:c>
      <x:c r="AJ413" s="74" t="str">
        <x:v>0</x:v>
      </x:c>
      <x:c r="AK413" s="74" t="str">
        <x:v>1</x:v>
      </x:c>
      <x:c r="AL413" s="74" t="str">
        <x:v>0</x:v>
      </x:c>
      <x:c r="AM413" s="74" t="str">
        <x:v>1</x:v>
      </x:c>
      <x:c r="AN413" s="74" t="str">
        <x:v>0</x:v>
      </x:c>
      <x:c r="AO413" s="60" t="str">
        <x:v>2026</x:v>
      </x:c>
      <x:c r="AP413" s="76" t="str">
        <x:v>ICP fit; paid-demand need requires manual verification</x:v>
      </x:c>
      <x:c r="AQ413" s="76" t="str">
        <x:v>project/gallery proof; testimonials; visible service offer</x:v>
      </x:c>
      <x:c r="AR413" s="76" t="str">
        <x:v>I was reviewing hvac companies in Beaufort, South Carolina and Seaside Heating and Air Conditioning looked like a strong fit for a creative test.</x:v>
      </x:c>
      <x:c r="AS413" s="76" t="str">
        <x:v>no-cool-call to same-day comfort ad</x:v>
      </x:c>
      <x:c r="AT413" s="76" t="str">
        <x:v>Seaside Heating and Air Conditioning ad concept</x:v>
      </x:c>
      <x:c r="AU413" s="76" t="str">
        <x:v>Hi Seaside Heating and Air Conditioning — I was reviewing hvac companies in Beaufort, South Carolina and Seaside Heating and Air Conditioning looked like a strong fit for a creative test. I mapped a private 15-second no-cool-call to same-day comfort ad for Seaside Heating and Air Conditioning using only public brand context—not for publishing, just to show the angle. We build three client-approved video ad concepts in seven days, then turn the winners into fresh variations. No filming day required. Worth sending the private sample?</x:v>
      </x:c>
      <x:c r="AV413" s="76" t="str">
        <x:v>Quick follow-up: the sample angle is a no-cool-call to same-day comfort ad. If it misses the mark, no problem—I won't keep chasing. Should I send it?</x:v>
      </x:c>
      <x:c r="AW413" s="76" t="str">
        <x:v>Hi Seaside Heating and Air Conditioning, Ryan here. I was looking at Seaside Heating and Air Conditioning's public marketing and noticed: icp fit; paid-demand need requires manual verification. I mapped one private no-cool-call to same-day comfort ad as an example. Did I catch you with 30 seconds?</x:v>
      </x:c>
      <x:c r="AX413" s="60" t="str">
        <x:v>https://www.facebook.com/ads/library/?active_status=active&amp;ad_type=all&amp;country=US&amp;q=Seaside%20Heating%20and%20Air%20Conditioning&amp;search_type=keyword_unordered</x:v>
      </x:c>
      <x:c r="AY413" s="60" t="str">
        <x:v>ok:200</x:v>
      </x:c>
      <x:c r="AZ413" s="60" t="n">
        <x:v>46232.722858796296</x:v>
      </x:c>
      <x:c r="BA413" s="60" t="str">
        <x:v>Google Maps home-services export</x:v>
      </x:c>
      <x:c r="BB413" s="60" t="str">
        <x:v>https://maps.google.com/?cid=4927012542292702047&amp;g_mp=Cidnb29nbGUubWFwcy5wbGFjZXMudjEuUGxhY2VzLlNlYXJjaFRleHQQAhgEIAA | https://seasideheatandac.com</x:v>
      </x:c>
      <x:c r="BC413" s="60" t="str"/>
    </x:row>
    <x:row r="414" ht="18" customHeight="1">
      <x:c r="A414" s="70" t="str">
        <x:v>413</x:v>
      </x:c>
      <x:c r="B414" s="70" t="str">
        <x:v>C - Verify</x:v>
      </x:c>
      <x:c r="C414" s="72" t="str">
        <x:v>52</x:v>
      </x:c>
      <x:c r="D414" s="60" t="str">
        <x:v>Amazing Blades Landscaping</x:v>
      </x:c>
      <x:c r="E414" s="60" t="str">
        <x:v>https://amazingbladeslandscaping.com</x:v>
      </x:c>
      <x:c r="F414" s="60" t="str">
        <x:v>https://www.amazingbladeslandscaping.com/</x:v>
      </x:c>
      <x:c r="G414" s="60" t="str">
        <x:v>Murrells Inlet</x:v>
      </x:c>
      <x:c r="H414" s="60" t="str">
        <x:v>South Carolina</x:v>
      </x:c>
      <x:c r="I414" s="60" t="str">
        <x:v>Landscaping &amp; Tree</x:v>
      </x:c>
      <x:c r="J414" s="60" t="str">
        <x:v>Robbie</x:v>
      </x:c>
      <x:c r="K414" s="60" t="str">
        <x:v>Loud</x:v>
      </x:c>
      <x:c r="L414" s="60" t="str">
        <x:v>Owner</x:v>
      </x:c>
      <x:c r="M414" s="60" t="str">
        <x:v>robbie@amazingbladeslandscaping.com</x:v>
      </x:c>
      <x:c r="N414" s="60" t="str">
        <x:v>Verified with BounceBan on 08 Jun 26 12:06</x:v>
      </x:c>
      <x:c r="O414" s="60" t="str">
        <x:v>+1 843 222 7050</x:v>
      </x:c>
      <x:c r="P414" s="60" t="str">
        <x:v>https://www.linkedin.com/in/robbie-loud-598990160</x:v>
      </x:c>
      <x:c r="Q414" s="60" t="str">
        <x:v>11-50</x:v>
      </x:c>
      <x:c r="R414" s="60" t="str">
        <x:v>500000-999999</x:v>
      </x:c>
      <x:c r="S414" s="60" t="str"/>
      <x:c r="T414" s="74" t="str">
        <x:v>0</x:v>
      </x:c>
      <x:c r="U414" s="60" t="str"/>
      <x:c r="V414" s="74" t="str">
        <x:v>27</x:v>
      </x:c>
      <x:c r="W414" s="74" t="str">
        <x:v>3</x:v>
      </x:c>
      <x:c r="X414" s="74" t="str">
        <x:v>0</x:v>
      </x:c>
      <x:c r="Y414" s="74" t="str">
        <x:v>12</x:v>
      </x:c>
      <x:c r="Z414" s="74" t="str">
        <x:v>10</x:v>
      </x:c>
      <x:c r="AA414" s="74" t="str">
        <x:v>0</x:v>
      </x:c>
      <x:c r="AB414" s="74" t="str">
        <x:v>0</x:v>
      </x:c>
      <x:c r="AC414" s="74" t="str">
        <x:v>1</x:v>
      </x:c>
      <x:c r="AD414" s="74" t="str">
        <x:v>0</x:v>
      </x:c>
      <x:c r="AE414" s="74" t="str">
        <x:v>0</x:v>
      </x:c>
      <x:c r="AF414" s="74" t="str"/>
      <x:c r="AG414" s="74" t="str">
        <x:v>1</x:v>
      </x:c>
      <x:c r="AH414" s="74" t="str">
        <x:v>1</x:v>
      </x:c>
      <x:c r="AI414" s="74" t="str">
        <x:v>1</x:v>
      </x:c>
      <x:c r="AJ414" s="74" t="str">
        <x:v>0</x:v>
      </x:c>
      <x:c r="AK414" s="74" t="str">
        <x:v>1</x:v>
      </x:c>
      <x:c r="AL414" s="74" t="str">
        <x:v>0</x:v>
      </x:c>
      <x:c r="AM414" s="74" t="str">
        <x:v>1</x:v>
      </x:c>
      <x:c r="AN414" s="74" t="str">
        <x:v>1</x:v>
      </x:c>
      <x:c r="AO414" s="60" t="str">
        <x:v>2026</x:v>
      </x:c>
      <x:c r="AP414" s="76" t="str">
        <x:v>ICP fit; paid-demand need requires manual verification</x:v>
      </x:c>
      <x:c r="AQ414" s="76" t="str">
        <x:v>project/gallery proof; testimonials; visible service offer</x:v>
      </x:c>
      <x:c r="AR414" s="76" t="str">
        <x:v>I was reviewing landscaping &amp; tree companies in Murrells Inlet, South Carolina and Amazing Blades Landscaping looked like a strong fit for a creative test.</x:v>
      </x:c>
      <x:c r="AS414" s="76" t="str">
        <x:v>property transformation ad</x:v>
      </x:c>
      <x:c r="AT414" s="76" t="str">
        <x:v>Amazing Blades Landscaping ad concept</x:v>
      </x:c>
      <x:c r="AU414" s="76" t="str">
        <x:v>Hi Robbie — I was reviewing landscaping &amp; tree companies in Murrells Inlet, South Carolina and Amazing Blades Landscaping looked like a strong fit for a creative test. I mapped a private 15-second property transformation ad for Amazing Blades Landscaping using only public brand context—not for publishing, just to show the angle. We build three client-approved video ad concepts in seven days, then turn the winners into fresh variations. No filming day required. Worth sending the private sample?</x:v>
      </x:c>
      <x:c r="AV414" s="76" t="str">
        <x:v>Quick follow-up: the sample angle is a property transformation ad. If it misses the mark, no problem—I won't keep chasing. Should I send it?</x:v>
      </x:c>
      <x:c r="AW414" s="76" t="str">
        <x:v>Hi Robbie, Ryan here. I was looking at Amazing Blades Landscaping's public marketing and noticed: icp fit; paid-demand need requires manual verification. I mapped one private property transformation ad as an example. Did I catch you with 30 seconds?</x:v>
      </x:c>
      <x:c r="AX414" s="60" t="str">
        <x:v>https://www.facebook.com/ads/library/?active_status=active&amp;ad_type=all&amp;country=US&amp;q=Amazing%20Blades%20Landscaping&amp;search_type=keyword_unordered</x:v>
      </x:c>
      <x:c r="AY414" s="60" t="str">
        <x:v>ok:200</x:v>
      </x:c>
      <x:c r="AZ414" s="60" t="n">
        <x:v>46232.722858796296</x:v>
      </x:c>
      <x:c r="BA414" s="60" t="str">
        <x:v>AI Ark SC trades export</x:v>
      </x:c>
      <x:c r="BB414" s="60" t="str">
        <x:v>https://amazingbladeslandscaping.com | https://www.linkedin.com/company/amazing-blades-landscaping</x:v>
      </x:c>
      <x:c r="BC414" s="60" t="str"/>
    </x:row>
    <x:row r="415" ht="18" customHeight="1">
      <x:c r="A415" s="70" t="str">
        <x:v>414</x:v>
      </x:c>
      <x:c r="B415" s="70" t="str">
        <x:v>C - Verify</x:v>
      </x:c>
      <x:c r="C415" s="72" t="str">
        <x:v>52</x:v>
      </x:c>
      <x:c r="D415" s="60" t="str">
        <x:v>E.F. Martin Mechanical Contractors, Inc.</x:v>
      </x:c>
      <x:c r="E415" s="60" t="str">
        <x:v>https://efmartin.com</x:v>
      </x:c>
      <x:c r="F415" s="60" t="str">
        <x:v>https://www.efmartin.com/</x:v>
      </x:c>
      <x:c r="G415" s="60" t="str">
        <x:v>Columbia</x:v>
      </x:c>
      <x:c r="H415" s="60" t="str">
        <x:v>South Carolina</x:v>
      </x:c>
      <x:c r="I415" s="60" t="str">
        <x:v>HVAC</x:v>
      </x:c>
      <x:c r="J415" s="60" t="str">
        <x:v>E.F. Martin Mechanical Contractors, Inc.</x:v>
      </x:c>
      <x:c r="K415" s="60" t="str"/>
      <x:c r="L415" s="60" t="str">
        <x:v>Owner / decision maker to verify</x:v>
      </x:c>
      <x:c r="M415" s="60" t="str"/>
      <x:c r="N415" s="60" t="str"/>
      <x:c r="O415" s="60" t="str">
        <x:v>(803) 799-1717</x:v>
      </x:c>
      <x:c r="P415" s="60" t="str"/>
      <x:c r="Q415" s="60" t="str"/>
      <x:c r="R415" s="60" t="str"/>
      <x:c r="S415" s="60" t="str">
        <x:v>4.8</x:v>
      </x:c>
      <x:c r="T415" s="74" t="str">
        <x:v>294</x:v>
      </x:c>
      <x:c r="U415" s="60" t="str"/>
      <x:c r="V415" s="74" t="str">
        <x:v>29</x:v>
      </x:c>
      <x:c r="W415" s="74" t="str">
        <x:v>3</x:v>
      </x:c>
      <x:c r="X415" s="74" t="str">
        <x:v>4</x:v>
      </x:c>
      <x:c r="Y415" s="74" t="str">
        <x:v>11</x:v>
      </x:c>
      <x:c r="Z415" s="74" t="str">
        <x:v>5</x:v>
      </x:c>
      <x:c r="AA415" s="74" t="str">
        <x:v>0</x:v>
      </x:c>
      <x:c r="AB415" s="74" t="str">
        <x:v>0</x:v>
      </x:c>
      <x:c r="AC415" s="74" t="str">
        <x:v>0</x:v>
      </x:c>
      <x:c r="AD415" s="74" t="str">
        <x:v>0</x:v>
      </x:c>
      <x:c r="AE415" s="74" t="str">
        <x:v>0</x:v>
      </x:c>
      <x:c r="AF415" s="74" t="str">
        <x:v>podium</x:v>
      </x:c>
      <x:c r="AG415" s="74" t="str">
        <x:v>1</x:v>
      </x:c>
      <x:c r="AH415" s="74" t="str">
        <x:v>1</x:v>
      </x:c>
      <x:c r="AI415" s="74" t="str">
        <x:v>0</x:v>
      </x:c>
      <x:c r="AJ415" s="74" t="str">
        <x:v>0</x:v>
      </x:c>
      <x:c r="AK415" s="74" t="str">
        <x:v>1</x:v>
      </x:c>
      <x:c r="AL415" s="74" t="str">
        <x:v>0</x:v>
      </x:c>
      <x:c r="AM415" s="74" t="str">
        <x:v>1</x:v>
      </x:c>
      <x:c r="AN415" s="74" t="str">
        <x:v>0</x:v>
      </x:c>
      <x:c r="AO415" s="60" t="str">
        <x:v>2026</x:v>
      </x:c>
      <x:c r="AP415" s="76" t="str">
        <x:v>ICP fit; paid-demand need requires manual verification</x:v>
      </x:c>
      <x:c r="AQ415" s="76" t="str">
        <x:v>project/gallery proof; visible service offer</x:v>
      </x:c>
      <x:c r="AR415" s="76" t="str">
        <x:v>I was reviewing hvac companies in Columbia, South Carolina and E.F. Martin Mechanical Contractors, Inc. looked like a strong fit for a creative test.</x:v>
      </x:c>
      <x:c r="AS415" s="76" t="str">
        <x:v>no-cool-call to same-day comfort ad</x:v>
      </x:c>
      <x:c r="AT415" s="76" t="str">
        <x:v>E.F. Martin Mechanical Contractors, Inc. ad concept</x:v>
      </x:c>
      <x:c r="AU415" s="76" t="str">
        <x:v>Hi E.F. Martin Mechanical Contractors, Inc. — I was reviewing hvac companies in Columbia, South Carolina and E.F. Martin Mechanical Contractors, Inc. looked like a strong fit for a creative test. I mapped a private 15-second no-cool-call to same-day comfort ad for E.F. Martin Mechanical Contractors, Inc. using only public brand context—not for publishing, just to show the angle. We build three client-approved video ad concepts in seven days, then turn the winners into fresh variations. No filming day required. Worth sending the private sample?</x:v>
      </x:c>
      <x:c r="AV415" s="76" t="str">
        <x:v>Quick follow-up: the sample angle is a no-cool-call to same-day comfort ad. If it misses the mark, no problem—I won't keep chasing. Should I send it?</x:v>
      </x:c>
      <x:c r="AW415" s="76" t="str">
        <x:v>Hi E.F. Martin Mechanical Contractors, Inc., Ryan here. I was looking at E.F. Martin Mechanical Contractors, Inc.'s public marketing and noticed: icp fit; paid-demand need requires manual verification. I mapped one private no-cool-call to same-day comfort ad as an example. Did I catch you with 30 seconds?</x:v>
      </x:c>
      <x:c r="AX415" s="60" t="str">
        <x:v>https://www.facebook.com/ads/library/?active_status=active&amp;ad_type=all&amp;country=US&amp;q=E.F.%20Martin%20Mechanical%20Contractors%2C%20Inc.&amp;search_type=keyword_unordered</x:v>
      </x:c>
      <x:c r="AY415" s="60" t="str">
        <x:v>ok:200</x:v>
      </x:c>
      <x:c r="AZ415" s="60" t="n">
        <x:v>46232.722858796296</x:v>
      </x:c>
      <x:c r="BA415" s="60" t="str">
        <x:v>Google Maps home-services export</x:v>
      </x:c>
      <x:c r="BB415" s="60" t="str">
        <x:v>https://efmartin.com | https://maps.google.com/?cid=18177473608647570211&amp;g_mp=Cidnb29nbGUubWFwcy5wbGFjZXMudjEuUGxhY2VzLlNlYXJjaFRleHQQAhgEIAA</x:v>
      </x:c>
      <x:c r="BC415" s="60" t="str"/>
    </x:row>
    <x:row r="416" ht="18" customHeight="1">
      <x:c r="A416" s="70" t="str">
        <x:v>415</x:v>
      </x:c>
      <x:c r="B416" s="70" t="str">
        <x:v>C - Verify</x:v>
      </x:c>
      <x:c r="C416" s="72" t="str">
        <x:v>52</x:v>
      </x:c>
      <x:c r="D416" s="60" t="str">
        <x:v>H3 Plumbing &amp; Drains</x:v>
      </x:c>
      <x:c r="E416" s="60" t="str">
        <x:v>https://h3plumbingsc.com</x:v>
      </x:c>
      <x:c r="F416" s="60" t="str">
        <x:v>https://www.h3plumbingsc.com/</x:v>
      </x:c>
      <x:c r="G416" s="60" t="str">
        <x:v>Spartanburg</x:v>
      </x:c>
      <x:c r="H416" s="60" t="str">
        <x:v>South Carolina</x:v>
      </x:c>
      <x:c r="I416" s="60" t="str">
        <x:v>Plumbing</x:v>
      </x:c>
      <x:c r="J416" s="60" t="str">
        <x:v>H3 Plumbing &amp; Drains</x:v>
      </x:c>
      <x:c r="K416" s="60" t="str"/>
      <x:c r="L416" s="60" t="str">
        <x:v>Owner / decision maker to verify</x:v>
      </x:c>
      <x:c r="M416" s="60" t="str"/>
      <x:c r="N416" s="60" t="str"/>
      <x:c r="O416" s="60" t="str">
        <x:v>(864) 308-1159</x:v>
      </x:c>
      <x:c r="P416" s="60" t="str"/>
      <x:c r="Q416" s="60" t="str"/>
      <x:c r="R416" s="60" t="str"/>
      <x:c r="S416" s="60" t="str">
        <x:v>5</x:v>
      </x:c>
      <x:c r="T416" s="74" t="str">
        <x:v>118</x:v>
      </x:c>
      <x:c r="U416" s="60" t="str"/>
      <x:c r="V416" s="74" t="str">
        <x:v>24</x:v>
      </x:c>
      <x:c r="W416" s="74" t="str">
        <x:v>3</x:v>
      </x:c>
      <x:c r="X416" s="74" t="str">
        <x:v>10</x:v>
      </x:c>
      <x:c r="Y416" s="74" t="str">
        <x:v>10</x:v>
      </x:c>
      <x:c r="Z416" s="74" t="str">
        <x:v>5</x:v>
      </x:c>
      <x:c r="AA416" s="74" t="str">
        <x:v>0</x:v>
      </x:c>
      <x:c r="AB416" s="74" t="str">
        <x:v>0</x:v>
      </x:c>
      <x:c r="AC416" s="74" t="str">
        <x:v>1</x:v>
      </x:c>
      <x:c r="AD416" s="74" t="str">
        <x:v>0</x:v>
      </x:c>
      <x:c r="AE416" s="74" t="str">
        <x:v>0</x:v>
      </x:c>
      <x:c r="AF416" s="74" t="str"/>
      <x:c r="AG416" s="74" t="str">
        <x:v>0</x:v>
      </x:c>
      <x:c r="AH416" s="74" t="str">
        <x:v>0</x:v>
      </x:c>
      <x:c r="AI416" s="74" t="str">
        <x:v>1</x:v>
      </x:c>
      <x:c r="AJ416" s="74" t="str">
        <x:v>0</x:v>
      </x:c>
      <x:c r="AK416" s="74" t="str">
        <x:v>1</x:v>
      </x:c>
      <x:c r="AL416" s="74" t="str">
        <x:v>0</x:v>
      </x:c>
      <x:c r="AM416" s="74" t="str">
        <x:v>1</x:v>
      </x:c>
      <x:c r="AN416" s="74" t="str">
        <x:v>0</x:v>
      </x:c>
      <x:c r="AO416" s="60" t="str">
        <x:v>2026</x:v>
      </x:c>
      <x:c r="AP416" s="76" t="str">
        <x:v>118 Google reviews; no embedded homepage video found</x:v>
      </x:c>
      <x:c r="AQ416" s="76" t="str">
        <x:v>testimonials; visible service offer; no embedded homepage video detected</x:v>
      </x:c>
      <x:c r="AR416" s="76" t="str">
        <x:v>H3 Plumbing &amp; Drains has 118 Google reviews—strong proof that could be turned into short-form ad concepts.</x:v>
      </x:c>
      <x:c r="AS416" s="76" t="str">
        <x:v>small symptom to prevented-emergency ad</x:v>
      </x:c>
      <x:c r="AT416" s="76" t="str">
        <x:v>H3 Plumbing &amp; Drains ad concept</x:v>
      </x:c>
      <x:c r="AU416" s="76" t="str">
        <x:v>Hi H3 Plumbing &amp; Drains — H3 Plumbing &amp; Drains has 118 Google reviews—strong proof that could be turned into short-form ad concepts. I mapped a private 15-second small symptom to prevented-emergency ad for H3 Plumbing &amp; Drains using only public brand context—not for publishing, just to show the angle. We build three client-approved video ad concepts in seven days, then turn the winners into fresh variations. No filming day required. Worth sending the private sample?</x:v>
      </x:c>
      <x:c r="AV416" s="76" t="str">
        <x:v>Quick follow-up: the sample angle is a small symptom to prevented-emergency ad. If it misses the mark, no problem—I won't keep chasing. Should I send it?</x:v>
      </x:c>
      <x:c r="AW416" s="76" t="str">
        <x:v>Hi H3 Plumbing &amp; Drains, Ryan here. I was looking at H3 Plumbing &amp; Drains's public marketing and noticed: 118 google reviews; no embedded homepage video found. I mapped one private small symptom to prevented-emergency ad as an example. Did I catch you with 30 seconds?</x:v>
      </x:c>
      <x:c r="AX416" s="60" t="str">
        <x:v>https://www.facebook.com/ads/library/?active_status=active&amp;ad_type=all&amp;country=US&amp;q=H3%20Plumbing%20%26%20Drains&amp;search_type=keyword_unordered</x:v>
      </x:c>
      <x:c r="AY416" s="60" t="str">
        <x:v>ok:200</x:v>
      </x:c>
      <x:c r="AZ416" s="60" t="n">
        <x:v>46232.722858796296</x:v>
      </x:c>
      <x:c r="BA416" s="60" t="str">
        <x:v>Google Maps home-services export</x:v>
      </x:c>
      <x:c r="BB416" s="60" t="str">
        <x:v>https://h3plumbingsc.com | https://maps.google.com/?cid=13909853015718798559&amp;g_mp=Cidnb29nbGUubWFwcy5wbGFjZXMudjEuUGxhY2VzLlNlYXJjaFRleHQQAhgEIAA</x:v>
      </x:c>
      <x:c r="BC416" s="60" t="str"/>
    </x:row>
    <x:row r="417" ht="18" customHeight="1">
      <x:c r="A417" s="70" t="str">
        <x:v>416</x:v>
      </x:c>
      <x:c r="B417" s="70" t="str">
        <x:v>C - Verify</x:v>
      </x:c>
      <x:c r="C417" s="72" t="str">
        <x:v>52</x:v>
      </x:c>
      <x:c r="D417" s="60" t="str">
        <x:v>American Plumbing Services of the Carolinas</x:v>
      </x:c>
      <x:c r="E417" s="60" t="str">
        <x:v>https://apscarolinas.com</x:v>
      </x:c>
      <x:c r="F417" s="60" t="str">
        <x:v>https://www.apscarolinas.com/</x:v>
      </x:c>
      <x:c r="G417" s="60" t="str">
        <x:v>Rock Hill</x:v>
      </x:c>
      <x:c r="H417" s="60" t="str">
        <x:v>South Carolina</x:v>
      </x:c>
      <x:c r="I417" s="60" t="str">
        <x:v>Plumbing</x:v>
      </x:c>
      <x:c r="J417" s="60" t="str">
        <x:v>American Plumbing Services of the Carolinas</x:v>
      </x:c>
      <x:c r="K417" s="60" t="str"/>
      <x:c r="L417" s="60" t="str">
        <x:v>Owner / decision maker to verify</x:v>
      </x:c>
      <x:c r="M417" s="60" t="str"/>
      <x:c r="N417" s="60" t="str"/>
      <x:c r="O417" s="60" t="str">
        <x:v>(704) 661-2265</x:v>
      </x:c>
      <x:c r="P417" s="60" t="str"/>
      <x:c r="Q417" s="60" t="str"/>
      <x:c r="R417" s="60" t="str"/>
      <x:c r="S417" s="60" t="str">
        <x:v>5</x:v>
      </x:c>
      <x:c r="T417" s="74" t="str">
        <x:v>230</x:v>
      </x:c>
      <x:c r="U417" s="60" t="str"/>
      <x:c r="V417" s="74" t="str">
        <x:v>24</x:v>
      </x:c>
      <x:c r="W417" s="74" t="str">
        <x:v>3</x:v>
      </x:c>
      <x:c r="X417" s="74" t="str">
        <x:v>10</x:v>
      </x:c>
      <x:c r="Y417" s="74" t="str">
        <x:v>10</x:v>
      </x:c>
      <x:c r="Z417" s="74" t="str">
        <x:v>5</x:v>
      </x:c>
      <x:c r="AA417" s="74" t="str">
        <x:v>0</x:v>
      </x:c>
      <x:c r="AB417" s="74" t="str">
        <x:v>0</x:v>
      </x:c>
      <x:c r="AC417" s="74" t="str">
        <x:v>1</x:v>
      </x:c>
      <x:c r="AD417" s="74" t="str">
        <x:v>0</x:v>
      </x:c>
      <x:c r="AE417" s="74" t="str">
        <x:v>0</x:v>
      </x:c>
      <x:c r="AF417" s="74" t="str"/>
      <x:c r="AG417" s="74" t="str">
        <x:v>0</x:v>
      </x:c>
      <x:c r="AH417" s="74" t="str">
        <x:v>0</x:v>
      </x:c>
      <x:c r="AI417" s="74" t="str">
        <x:v>1</x:v>
      </x:c>
      <x:c r="AJ417" s="74" t="str">
        <x:v>0</x:v>
      </x:c>
      <x:c r="AK417" s="74" t="str">
        <x:v>1</x:v>
      </x:c>
      <x:c r="AL417" s="74" t="str">
        <x:v>0</x:v>
      </x:c>
      <x:c r="AM417" s="74" t="str">
        <x:v>1</x:v>
      </x:c>
      <x:c r="AN417" s="74" t="str">
        <x:v>0</x:v>
      </x:c>
      <x:c r="AO417" s="60" t="str">
        <x:v>0</x:v>
      </x:c>
      <x:c r="AP417" s="76" t="str">
        <x:v>230 Google reviews; no embedded homepage video found</x:v>
      </x:c>
      <x:c r="AQ417" s="76" t="str">
        <x:v>testimonials; visible service offer; no embedded homepage video detected</x:v>
      </x:c>
      <x:c r="AR417" s="76" t="str">
        <x:v>American Plumbing Services of the Carolinas has 230 Google reviews—strong proof that could be turned into short-form ad concepts.</x:v>
      </x:c>
      <x:c r="AS417" s="76" t="str">
        <x:v>small symptom to prevented-emergency ad</x:v>
      </x:c>
      <x:c r="AT417" s="76" t="str">
        <x:v>American Plumbing Services of the Carolinas ad concept</x:v>
      </x:c>
      <x:c r="AU417" s="76" t="str">
        <x:v>Hi American Plumbing Services of the Carolinas — American Plumbing Services of the Carolinas has 230 Google reviews—strong proof that could be turned into short-form ad concepts. I mapped a private 15-second small symptom to prevented-emergency ad for American Plumbing Services of the Carolinas using only public brand context—not for publishing, just to show the angle. We build three client-approved video ad concepts in seven days, then turn the winners into fresh variations. No filming day required. Worth sending the private sample?</x:v>
      </x:c>
      <x:c r="AV417" s="76" t="str">
        <x:v>Quick follow-up: the sample angle is a small symptom to prevented-emergency ad. If it misses the mark, no problem—I won't keep chasing. Should I send it?</x:v>
      </x:c>
      <x:c r="AW417" s="76" t="str">
        <x:v>Hi American Plumbing Services of the Carolinas, Ryan here. I was looking at American Plumbing Services of the Carolinas's public marketing and noticed: 230 google reviews; no embedded homepage video found. I mapped one private small symptom to prevented-emergency ad as an example. Did I catch you with 30 seconds?</x:v>
      </x:c>
      <x:c r="AX417" s="60" t="str">
        <x:v>https://www.facebook.com/ads/library/?active_status=active&amp;ad_type=all&amp;country=US&amp;q=American%20Plumbing%20Services%20of%20the%20Carolinas&amp;search_type=keyword_unordered</x:v>
      </x:c>
      <x:c r="AY417" s="60" t="str">
        <x:v>ok:200</x:v>
      </x:c>
      <x:c r="AZ417" s="60" t="n">
        <x:v>46232.722858796296</x:v>
      </x:c>
      <x:c r="BA417" s="60" t="str">
        <x:v>Google Maps home-services export</x:v>
      </x:c>
      <x:c r="BB417" s="60" t="str">
        <x:v>https://apscarolinas.com | https://maps.google.com/?cid=2265891670890536902&amp;g_mp=Cidnb29nbGUubWFwcy5wbGFjZXMudjEuUGxhY2VzLlNlYXJjaFRleHQQAhgEIAA</x:v>
      </x:c>
      <x:c r="BC417" s="60" t="str"/>
    </x:row>
    <x:row r="418" ht="18" customHeight="1">
      <x:c r="A418" s="70" t="str">
        <x:v>417</x:v>
      </x:c>
      <x:c r="B418" s="70" t="str">
        <x:v>C - Verify</x:v>
      </x:c>
      <x:c r="C418" s="72" t="str">
        <x:v>52</x:v>
      </x:c>
      <x:c r="D418" s="60" t="str">
        <x:v>Best Rate Plumbing</x:v>
      </x:c>
      <x:c r="E418" s="60" t="str">
        <x:v>https://bestrateplumbing.com</x:v>
      </x:c>
      <x:c r="F418" s="60" t="str">
        <x:v>https://bestrateplumbing.com</x:v>
      </x:c>
      <x:c r="G418" s="60" t="str">
        <x:v>Rock Hill</x:v>
      </x:c>
      <x:c r="H418" s="60" t="str">
        <x:v>South Carolina</x:v>
      </x:c>
      <x:c r="I418" s="60" t="str">
        <x:v>Plumbing</x:v>
      </x:c>
      <x:c r="J418" s="60" t="str">
        <x:v>Best Rate Plumbing</x:v>
      </x:c>
      <x:c r="K418" s="60" t="str"/>
      <x:c r="L418" s="60" t="str">
        <x:v>Owner / decision maker to verify</x:v>
      </x:c>
      <x:c r="M418" s="60" t="str"/>
      <x:c r="N418" s="60" t="str"/>
      <x:c r="O418" s="60" t="str">
        <x:v>(803) 547-4741</x:v>
      </x:c>
      <x:c r="P418" s="60" t="str"/>
      <x:c r="Q418" s="60" t="str"/>
      <x:c r="R418" s="60" t="str"/>
      <x:c r="S418" s="60" t="str">
        <x:v>4.8</x:v>
      </x:c>
      <x:c r="T418" s="74" t="str">
        <x:v>290</x:v>
      </x:c>
      <x:c r="U418" s="60" t="str"/>
      <x:c r="V418" s="74" t="str">
        <x:v>25</x:v>
      </x:c>
      <x:c r="W418" s="74" t="str">
        <x:v>3</x:v>
      </x:c>
      <x:c r="X418" s="74" t="str">
        <x:v>10</x:v>
      </x:c>
      <x:c r="Y418" s="74" t="str">
        <x:v>9</x:v>
      </x:c>
      <x:c r="Z418" s="74" t="str">
        <x:v>5</x:v>
      </x:c>
      <x:c r="AA418" s="74" t="str">
        <x:v>0</x:v>
      </x:c>
      <x:c r="AB418" s="74" t="str">
        <x:v>0</x:v>
      </x:c>
      <x:c r="AC418" s="74" t="str">
        <x:v>1</x:v>
      </x:c>
      <x:c r="AD418" s="74" t="str">
        <x:v>0</x:v>
      </x:c>
      <x:c r="AE418" s="74" t="str">
        <x:v>0</x:v>
      </x:c>
      <x:c r="AF418" s="74" t="str"/>
      <x:c r="AG418" s="74" t="str">
        <x:v>0</x:v>
      </x:c>
      <x:c r="AH418" s="74" t="str">
        <x:v>0</x:v>
      </x:c>
      <x:c r="AI418" s="74" t="str">
        <x:v>0</x:v>
      </x:c>
      <x:c r="AJ418" s="74" t="str">
        <x:v>1</x:v>
      </x:c>
      <x:c r="AK418" s="74" t="str">
        <x:v>1</x:v>
      </x:c>
      <x:c r="AL418" s="74" t="str">
        <x:v>0</x:v>
      </x:c>
      <x:c r="AM418" s="74" t="str">
        <x:v>1</x:v>
      </x:c>
      <x:c r="AN418" s="74" t="str">
        <x:v>0</x:v>
      </x:c>
      <x:c r="AO418" s="60" t="str">
        <x:v>2026</x:v>
      </x:c>
      <x:c r="AP418" s="76" t="str">
        <x:v>290 Google reviews; no embedded homepage video found</x:v>
      </x:c>
      <x:c r="AQ418" s="76" t="str">
        <x:v>financing; visible service offer; no embedded homepage video detected</x:v>
      </x:c>
      <x:c r="AR418" s="76" t="str">
        <x:v>Best Rate Plumbing has 290 Google reviews—strong proof that could be turned into short-form ad concepts.</x:v>
      </x:c>
      <x:c r="AS418" s="76" t="str">
        <x:v>small symptom to prevented-emergency ad</x:v>
      </x:c>
      <x:c r="AT418" s="76" t="str">
        <x:v>Best Rate Plumbing ad concept</x:v>
      </x:c>
      <x:c r="AU418" s="76" t="str">
        <x:v>Hi Best Rate Plumbing — Best Rate Plumbing has 290 Google reviews—strong proof that could be turned into short-form ad concepts. I mapped a private 15-second small symptom to prevented-emergency ad for Best Rate Plumbing using only public brand context—not for publishing, just to show the angle. We build three client-approved video ad concepts in seven days, then turn the winners into fresh variations. No filming day required. Worth sending the private sample?</x:v>
      </x:c>
      <x:c r="AV418" s="76" t="str">
        <x:v>Quick follow-up: the sample angle is a small symptom to prevented-emergency ad. If it misses the mark, no problem—I won't keep chasing. Should I send it?</x:v>
      </x:c>
      <x:c r="AW418" s="76" t="str">
        <x:v>Hi Best Rate Plumbing, Ryan here. I was looking at Best Rate Plumbing's public marketing and noticed: 290 google reviews; no embedded homepage video found. I mapped one private small symptom to prevented-emergency ad as an example. Did I catch you with 30 seconds?</x:v>
      </x:c>
      <x:c r="AX418" s="60" t="str">
        <x:v>https://www.facebook.com/ads/library/?active_status=active&amp;ad_type=all&amp;country=US&amp;q=Best%20Rate%20Plumbing&amp;search_type=keyword_unordered</x:v>
      </x:c>
      <x:c r="AY418" s="60" t="str">
        <x:v>ok:200</x:v>
      </x:c>
      <x:c r="AZ418" s="60" t="n">
        <x:v>46232.722858796296</x:v>
      </x:c>
      <x:c r="BA418" s="60" t="str">
        <x:v>Google Maps home-services export</x:v>
      </x:c>
      <x:c r="BB418" s="60" t="str">
        <x:v>https://bestrateplumbing.com | https://maps.google.com/?cid=13552759978718076921&amp;g_mp=Cidnb29nbGUubWFwcy5wbGFjZXMudjEuUGxhY2VzLlNlYXJjaFRleHQQAhgEIAA</x:v>
      </x:c>
      <x:c r="BC418" s="60" t="str"/>
    </x:row>
    <x:row r="419" ht="18" customHeight="1">
      <x:c r="A419" s="70" t="str">
        <x:v>418</x:v>
      </x:c>
      <x:c r="B419" s="70" t="str">
        <x:v>C - Verify</x:v>
      </x:c>
      <x:c r="C419" s="72" t="str">
        <x:v>52</x:v>
      </x:c>
      <x:c r="D419" s="60" t="str">
        <x:v>Key Comfort Solutions</x:v>
      </x:c>
      <x:c r="E419" s="60" t="str">
        <x:v>https://keycomfortsolutions.com</x:v>
      </x:c>
      <x:c r="F419" s="60" t="str">
        <x:v>https://www.keycomfortsolutions.com/</x:v>
      </x:c>
      <x:c r="G419" s="60" t="str">
        <x:v>Greenwood</x:v>
      </x:c>
      <x:c r="H419" s="60" t="str">
        <x:v>South Carolina</x:v>
      </x:c>
      <x:c r="I419" s="60" t="str">
        <x:v>HVAC</x:v>
      </x:c>
      <x:c r="J419" s="60" t="str">
        <x:v>Tyler</x:v>
      </x:c>
      <x:c r="K419" s="60" t="str">
        <x:v>Key</x:v>
      </x:c>
      <x:c r="L419" s="60" t="str">
        <x:v>Company Owner</x:v>
      </x:c>
      <x:c r="M419" s="60" t="str">
        <x:v>tyler.key@keycomfortsolutions.com</x:v>
      </x:c>
      <x:c r="N419" s="60" t="str">
        <x:v>Verified with BounceBan on 08 Jun 26 12:08</x:v>
      </x:c>
      <x:c r="O419" s="60" t="str">
        <x:v>+1 706 830 4217</x:v>
      </x:c>
      <x:c r="P419" s="60" t="str">
        <x:v>https://www.linkedin.com/in/tyler-key-07b01214a</x:v>
      </x:c>
      <x:c r="Q419" s="60" t="str">
        <x:v>2-10</x:v>
      </x:c>
      <x:c r="R419" s="60" t="str">
        <x:v>0-99999</x:v>
      </x:c>
      <x:c r="S419" s="60" t="str"/>
      <x:c r="T419" s="74" t="str">
        <x:v>0</x:v>
      </x:c>
      <x:c r="U419" s="60" t="str"/>
      <x:c r="V419" s="74" t="str">
        <x:v>27</x:v>
      </x:c>
      <x:c r="W419" s="74" t="str">
        <x:v>3</x:v>
      </x:c>
      <x:c r="X419" s="74" t="str">
        <x:v>4</x:v>
      </x:c>
      <x:c r="Y419" s="74" t="str">
        <x:v>8</x:v>
      </x:c>
      <x:c r="Z419" s="74" t="str">
        <x:v>10</x:v>
      </x:c>
      <x:c r="AA419" s="74" t="str">
        <x:v>0</x:v>
      </x:c>
      <x:c r="AB419" s="74" t="str">
        <x:v>0</x:v>
      </x:c>
      <x:c r="AC419" s="74" t="str">
        <x:v>1</x:v>
      </x:c>
      <x:c r="AD419" s="74" t="str">
        <x:v>0</x:v>
      </x:c>
      <x:c r="AE419" s="74" t="str">
        <x:v>0</x:v>
      </x:c>
      <x:c r="AF419" s="74" t="str"/>
      <x:c r="AG419" s="74" t="str">
        <x:v>1</x:v>
      </x:c>
      <x:c r="AH419" s="74" t="str">
        <x:v>1</x:v>
      </x:c>
      <x:c r="AI419" s="74" t="str">
        <x:v>0</x:v>
      </x:c>
      <x:c r="AJ419" s="74" t="str">
        <x:v>0</x:v>
      </x:c>
      <x:c r="AK419" s="74" t="str">
        <x:v>1</x:v>
      </x:c>
      <x:c r="AL419" s="74" t="str">
        <x:v>0</x:v>
      </x:c>
      <x:c r="AM419" s="74" t="str">
        <x:v>1</x:v>
      </x:c>
      <x:c r="AN419" s="74" t="str">
        <x:v>0</x:v>
      </x:c>
      <x:c r="AO419" s="60" t="str">
        <x:v>2026</x:v>
      </x:c>
      <x:c r="AP419" s="76" t="str">
        <x:v>ICP fit; paid-demand need requires manual verification</x:v>
      </x:c>
      <x:c r="AQ419" s="76" t="str">
        <x:v>project/gallery proof; visible service offer</x:v>
      </x:c>
      <x:c r="AR419" s="76" t="str">
        <x:v>I was reviewing hvac companies in Greenwood, South Carolina and Key Comfort Solutions looked like a strong fit for a creative test.</x:v>
      </x:c>
      <x:c r="AS419" s="76" t="str">
        <x:v>no-cool-call to same-day comfort ad</x:v>
      </x:c>
      <x:c r="AT419" s="76" t="str">
        <x:v>Key Comfort Solutions ad concept</x:v>
      </x:c>
      <x:c r="AU419" s="76" t="str">
        <x:v>Hi Tyler — I was reviewing hvac companies in Greenwood, South Carolina and Key Comfort Solutions looked like a strong fit for a creative test. I mapped a private 15-second no-cool-call to same-day comfort ad for Key Comfort Solutions using only public brand context—not for publishing, just to show the angle. We build three client-approved video ad concepts in seven days, then turn the winners into fresh variations. No filming day required. Worth sending the private sample?</x:v>
      </x:c>
      <x:c r="AV419" s="76" t="str">
        <x:v>Quick follow-up: the sample angle is a no-cool-call to same-day comfort ad. If it misses the mark, no problem—I won't keep chasing. Should I send it?</x:v>
      </x:c>
      <x:c r="AW419" s="76" t="str">
        <x:v>Hi Tyler, Ryan here. I was looking at Key Comfort Solutions's public marketing and noticed: icp fit; paid-demand need requires manual verification. I mapped one private no-cool-call to same-day comfort ad as an example. Did I catch you with 30 seconds?</x:v>
      </x:c>
      <x:c r="AX419" s="60" t="str">
        <x:v>https://www.facebook.com/ads/library/?active_status=active&amp;ad_type=all&amp;country=US&amp;q=Key%20Comfort%20Solutions&amp;search_type=keyword_unordered</x:v>
      </x:c>
      <x:c r="AY419" s="60" t="str">
        <x:v>ok:200</x:v>
      </x:c>
      <x:c r="AZ419" s="60" t="n">
        <x:v>46232.722858796296</x:v>
      </x:c>
      <x:c r="BA419" s="60" t="str">
        <x:v>AI Ark SC trades export</x:v>
      </x:c>
      <x:c r="BB419" s="60" t="str">
        <x:v>https://keycomfortsolutions.com | https://www.linkedin.com/company/key-comfort-solutions</x:v>
      </x:c>
      <x:c r="BC419" s="60" t="str"/>
    </x:row>
    <x:row r="420" ht="18" customHeight="1">
      <x:c r="A420" s="70" t="str">
        <x:v>419</x:v>
      </x:c>
      <x:c r="B420" s="70" t="str">
        <x:v>C - Verify</x:v>
      </x:c>
      <x:c r="C420" s="72" t="str">
        <x:v>52</x:v>
      </x:c>
      <x:c r="D420" s="60" t="str">
        <x:v>Quality Pro Services</x:v>
      </x:c>
      <x:c r="E420" s="60" t="str">
        <x:v>https://qualityproservices.com</x:v>
      </x:c>
      <x:c r="F420" s="60" t="str">
        <x:v>https://qualityproservices.com</x:v>
      </x:c>
      <x:c r="G420" s="60" t="str">
        <x:v>Charleston</x:v>
      </x:c>
      <x:c r="H420" s="60" t="str">
        <x:v>South Carolina Metropolitan Area</x:v>
      </x:c>
      <x:c r="I420" s="60" t="str">
        <x:v>HVAC</x:v>
      </x:c>
      <x:c r="J420" s="60" t="str">
        <x:v>Frank</x:v>
      </x:c>
      <x:c r="K420" s="60" t="str">
        <x:v>Freeman</x:v>
      </x:c>
      <x:c r="L420" s="60" t="str">
        <x:v>Franchise Owner</x:v>
      </x:c>
      <x:c r="M420" s="60" t="str"/>
      <x:c r="N420" s="60" t="str"/>
      <x:c r="O420" s="60" t="str">
        <x:v>(843) 594-4958</x:v>
      </x:c>
      <x:c r="P420" s="60" t="str">
        <x:v>https://www.linkedin.com/in/francis-freeman1991</x:v>
      </x:c>
      <x:c r="Q420" s="60" t="str">
        <x:v>51-200</x:v>
      </x:c>
      <x:c r="R420" s="60" t="str">
        <x:v>100000-499999</x:v>
      </x:c>
      <x:c r="S420" s="60" t="str">
        <x:v>4.9</x:v>
      </x:c>
      <x:c r="T420" s="74" t="str">
        <x:v>40</x:v>
      </x:c>
      <x:c r="U420" s="60" t="str"/>
      <x:c r="V420" s="74" t="str">
        <x:v>30</x:v>
      </x:c>
      <x:c r="W420" s="74" t="str">
        <x:v>3</x:v>
      </x:c>
      <x:c r="X420" s="74" t="str">
        <x:v>6</x:v>
      </x:c>
      <x:c r="Y420" s="74" t="str">
        <x:v>8</x:v>
      </x:c>
      <x:c r="Z420" s="74" t="str">
        <x:v>5</x:v>
      </x:c>
      <x:c r="AA420" s="74" t="str">
        <x:v>0</x:v>
      </x:c>
      <x:c r="AB420" s="74" t="str">
        <x:v>0</x:v>
      </x:c>
      <x:c r="AC420" s="74" t="str">
        <x:v>1</x:v>
      </x:c>
      <x:c r="AD420" s="74" t="str">
        <x:v>0</x:v>
      </x:c>
      <x:c r="AE420" s="74" t="str">
        <x:v>0</x:v>
      </x:c>
      <x:c r="AF420" s="74" t="str"/>
      <x:c r="AG420" s="74" t="str">
        <x:v>0</x:v>
      </x:c>
      <x:c r="AH420" s="74" t="str">
        <x:v>0</x:v>
      </x:c>
      <x:c r="AI420" s="74" t="str">
        <x:v>0</x:v>
      </x:c>
      <x:c r="AJ420" s="74" t="str">
        <x:v>1</x:v>
      </x:c>
      <x:c r="AK420" s="74" t="str">
        <x:v>1</x:v>
      </x:c>
      <x:c r="AL420" s="74" t="str">
        <x:v>1</x:v>
      </x:c>
      <x:c r="AM420" s="74" t="str">
        <x:v>0</x:v>
      </x:c>
      <x:c r="AN420" s="74" t="str">
        <x:v>0</x:v>
      </x:c>
      <x:c r="AO420" s="60" t="str">
        <x:v>2026</x:v>
      </x:c>
      <x:c r="AP420" s="76" t="str">
        <x:v>Financing language found; no embedded homepage video found</x:v>
      </x:c>
      <x:c r="AQ420" s="76" t="str">
        <x:v>financing; visible service offer; no embedded homepage video detected</x:v>
      </x:c>
      <x:c r="AR420" s="76" t="str">
        <x:v>I found financing language on Quality Pro Services's site that could make a strong short-form offer angle.</x:v>
      </x:c>
      <x:c r="AS420" s="76" t="str">
        <x:v>no-cool-call to same-day comfort ad</x:v>
      </x:c>
      <x:c r="AT420" s="76" t="str">
        <x:v>Quality Pro Services ad concept</x:v>
      </x:c>
      <x:c r="AU420" s="76" t="str">
        <x:v>Hi Frank — I found financing language on Quality Pro Services's site that could make a strong short-form offer angle. I mapped a private 15-second no-cool-call to same-day comfort ad for Quality Pro Services using only public brand context—not for publishing, just to show the angle. We build three client-approved video ad concepts in seven days, then turn the winners into fresh variations. No filming day required. Worth sending the private sample?</x:v>
      </x:c>
      <x:c r="AV420" s="76" t="str">
        <x:v>Quick follow-up: the sample angle is a no-cool-call to same-day comfort ad. If it misses the mark, no problem—I won't keep chasing. Should I send it?</x:v>
      </x:c>
      <x:c r="AW420" s="76" t="str">
        <x:v>Hi Frank, Ryan here. I was looking at Quality Pro Services's public marketing and noticed: financing language found; no embedded homepage video found. I mapped one private no-cool-call to same-day comfort ad as an example. Did I catch you with 30 seconds?</x:v>
      </x:c>
      <x:c r="AX420" s="60" t="str">
        <x:v>https://www.facebook.com/ads/library/?active_status=active&amp;ad_type=all&amp;country=US&amp;q=Quality%20Pro%20Services&amp;search_type=keyword_unordered</x:v>
      </x:c>
      <x:c r="AY420" s="60" t="str">
        <x:v>ok:200</x:v>
      </x:c>
      <x:c r="AZ420" s="60" t="n">
        <x:v>46232.722858796296</x:v>
      </x:c>
      <x:c r="BA420" s="60" t="str">
        <x:v>AI Ark SC trades export | Google Maps home-services export</x:v>
      </x:c>
      <x:c r="BB420" s="60" t="str">
        <x:v>https://maps.google.com/?cid=10170425072020195079&amp;g_mp=Cidnb29nbGUubWFwcy5wbGFjZXMudjEuUGxhY2VzLlNlYXJjaFRleHQQAhgEIAA | https://qualityproservices.com | https://www.linkedin.com/company/qualityproservicesllc</x:v>
      </x:c>
      <x:c r="BC420" s="60" t="str"/>
    </x:row>
    <x:row r="421" ht="18" customHeight="1">
      <x:c r="A421" s="70" t="str">
        <x:v>420</x:v>
      </x:c>
      <x:c r="B421" s="70" t="str">
        <x:v>C - Verify</x:v>
      </x:c>
      <x:c r="C421" s="72" t="str">
        <x:v>52</x:v>
      </x:c>
      <x:c r="D421" s="60" t="str">
        <x:v>Smith's Heating and Air Conditioning Co., Inc.</x:v>
      </x:c>
      <x:c r="E421" s="60" t="str">
        <x:v>https://smithshvac.com</x:v>
      </x:c>
      <x:c r="F421" s="60" t="str">
        <x:v>https://smithshvac.com</x:v>
      </x:c>
      <x:c r="G421" s="60" t="str">
        <x:v>North Charleston</x:v>
      </x:c>
      <x:c r="H421" s="60" t="str">
        <x:v>South Carolina</x:v>
      </x:c>
      <x:c r="I421" s="60" t="str">
        <x:v>HVAC</x:v>
      </x:c>
      <x:c r="J421" s="60" t="str">
        <x:v>Smith's Heating and Air Conditioning Co., Inc.</x:v>
      </x:c>
      <x:c r="K421" s="60" t="str"/>
      <x:c r="L421" s="60" t="str">
        <x:v>Owner / decision maker to verify</x:v>
      </x:c>
      <x:c r="M421" s="60" t="str"/>
      <x:c r="N421" s="60" t="str"/>
      <x:c r="O421" s="60" t="str">
        <x:v>(843) 552-3772</x:v>
      </x:c>
      <x:c r="P421" s="60" t="str"/>
      <x:c r="Q421" s="60" t="str"/>
      <x:c r="R421" s="60" t="str"/>
      <x:c r="S421" s="60" t="str">
        <x:v>3.6</x:v>
      </x:c>
      <x:c r="T421" s="74" t="str">
        <x:v>37</x:v>
      </x:c>
      <x:c r="U421" s="60" t="str">
        <x:v>no_show, communication</x:v>
      </x:c>
      <x:c r="V421" s="74" t="str">
        <x:v>26</x:v>
      </x:c>
      <x:c r="W421" s="74" t="str">
        <x:v>3</x:v>
      </x:c>
      <x:c r="X421" s="74" t="str">
        <x:v>12</x:v>
      </x:c>
      <x:c r="Y421" s="74" t="str">
        <x:v>6</x:v>
      </x:c>
      <x:c r="Z421" s="74" t="str">
        <x:v>5</x:v>
      </x:c>
      <x:c r="AA421" s="74" t="str">
        <x:v>0</x:v>
      </x:c>
      <x:c r="AB421" s="74" t="str">
        <x:v>0</x:v>
      </x:c>
      <x:c r="AC421" s="74" t="str">
        <x:v>1</x:v>
      </x:c>
      <x:c r="AD421" s="74" t="str">
        <x:v>0</x:v>
      </x:c>
      <x:c r="AE421" s="74" t="str">
        <x:v>0</x:v>
      </x:c>
      <x:c r="AF421" s="74" t="str"/>
      <x:c r="AG421" s="74" t="str">
        <x:v>0</x:v>
      </x:c>
      <x:c r="AH421" s="74" t="str">
        <x:v>0</x:v>
      </x:c>
      <x:c r="AI421" s="74" t="str">
        <x:v>1</x:v>
      </x:c>
      <x:c r="AJ421" s="74" t="str">
        <x:v>0</x:v>
      </x:c>
      <x:c r="AK421" s="74" t="str">
        <x:v>0</x:v>
      </x:c>
      <x:c r="AL421" s="74" t="str">
        <x:v>0</x:v>
      </x:c>
      <x:c r="AM421" s="74" t="str">
        <x:v>1</x:v>
      </x:c>
      <x:c r="AN421" s="74" t="str">
        <x:v>0</x:v>
      </x:c>
      <x:c r="AO421" s="60" t="str">
        <x:v>2026</x:v>
      </x:c>
      <x:c r="AP421" s="76" t="str">
        <x:v>ICP fit; paid-demand need requires manual verification</x:v>
      </x:c>
      <x:c r="AQ421" s="76" t="str">
        <x:v>testimonials; no embedded homepage video detected</x:v>
      </x:c>
      <x:c r="AR421" s="76" t="str">
        <x:v>I was reviewing hvac companies in North Charleston, South Carolina and Smith's Heating and Air Conditioning Co., Inc. looked like a strong fit for a creative test.</x:v>
      </x:c>
      <x:c r="AS421" s="76" t="str">
        <x:v>no-cool-call to same-day comfort ad</x:v>
      </x:c>
      <x:c r="AT421" s="76" t="str">
        <x:v>Smith's Heating and Air Conditioning Co., Inc. ad concept</x:v>
      </x:c>
      <x:c r="AU421" s="76" t="str">
        <x:v>Hi Smith's Heating and Air Conditioning Co., Inc. — I was reviewing hvac companies in North Charleston, South Carolina and Smith's Heating and Air Conditioning Co., Inc. looked like a strong fit for a creative test. I mapped a private 15-second no-cool-call to same-day comfort ad for Smith's Heating and Air Conditioning Co., Inc. using only public brand context—not for publishing, just to show the angle. We build three client-approved video ad concepts in seven days, then turn the winners into fresh variations. No filming day required. Worth sending the private sample?</x:v>
      </x:c>
      <x:c r="AV421" s="76" t="str">
        <x:v>Quick follow-up: the sample angle is a no-cool-call to same-day comfort ad. If it misses the mark, no problem—I won't keep chasing. Should I send it?</x:v>
      </x:c>
      <x:c r="AW421" s="76" t="str">
        <x:v>Hi Smith's Heating and Air Conditioning Co., Inc., Ryan here. I was looking at Smith's Heating and Air Conditioning Co., Inc.'s public marketing and noticed: icp fit; paid-demand need requires manual verification. I mapped one private no-cool-call to same-day comfort ad as an example. Did I catch you with 30 seconds?</x:v>
      </x:c>
      <x:c r="AX421" s="60" t="str">
        <x:v>https://www.facebook.com/ads/library/?active_status=active&amp;ad_type=all&amp;country=US&amp;q=Smith%27s%20Heating%20and%20Air%20Conditioning%20Co.%2C%20Inc.&amp;search_type=keyword_unordered</x:v>
      </x:c>
      <x:c r="AY421" s="60" t="str">
        <x:v>ok:200</x:v>
      </x:c>
      <x:c r="AZ421" s="60" t="n">
        <x:v>46232.722858796296</x:v>
      </x:c>
      <x:c r="BA421" s="60" t="str">
        <x:v>Google Maps home-services export</x:v>
      </x:c>
      <x:c r="BB421" s="60" t="str">
        <x:v>https://maps.google.com/?cid=9406973883724797751&amp;g_mp=Cidnb29nbGUubWFwcy5wbGFjZXMudjEuUGxhY2VzLlNlYXJjaFRleHQQAhgEIAA | https://smithshvac.com</x:v>
      </x:c>
      <x:c r="BC421" s="60" t="str"/>
    </x:row>
    <x:row r="422" ht="18" customHeight="1">
      <x:c r="A422" s="70" t="str">
        <x:v>421</x:v>
      </x:c>
      <x:c r="B422" s="70" t="str">
        <x:v>C - Verify</x:v>
      </x:c>
      <x:c r="C422" s="72" t="str">
        <x:v>52</x:v>
      </x:c>
      <x:c r="D422" s="60" t="str">
        <x:v>On Call Plumbing, Heating &amp; Air</x:v>
      </x:c>
      <x:c r="E422" s="60" t="str">
        <x:v>https://oncallsc.com</x:v>
      </x:c>
      <x:c r="F422" s="60" t="str">
        <x:v>https://oncallsc.com</x:v>
      </x:c>
      <x:c r="G422" s="60" t="str">
        <x:v>Columbia</x:v>
      </x:c>
      <x:c r="H422" s="60" t="str">
        <x:v>South Carolina</x:v>
      </x:c>
      <x:c r="I422" s="60" t="str">
        <x:v>HVAC</x:v>
      </x:c>
      <x:c r="J422" s="60" t="str">
        <x:v>On Call Plumbing, Heating &amp; Air</x:v>
      </x:c>
      <x:c r="K422" s="60" t="str"/>
      <x:c r="L422" s="60" t="str">
        <x:v>Owner / decision maker to verify</x:v>
      </x:c>
      <x:c r="M422" s="60" t="str"/>
      <x:c r="N422" s="60" t="str"/>
      <x:c r="O422" s="60" t="str">
        <x:v>(803) 781-4357</x:v>
      </x:c>
      <x:c r="P422" s="60" t="str"/>
      <x:c r="Q422" s="60" t="str"/>
      <x:c r="R422" s="60" t="str"/>
      <x:c r="S422" s="60" t="str">
        <x:v>4.9</x:v>
      </x:c>
      <x:c r="T422" s="74" t="str">
        <x:v>245</x:v>
      </x:c>
      <x:c r="U422" s="60" t="str"/>
      <x:c r="V422" s="74" t="str">
        <x:v>28</x:v>
      </x:c>
      <x:c r="W422" s="74" t="str">
        <x:v>3</x:v>
      </x:c>
      <x:c r="X422" s="74" t="str">
        <x:v>10</x:v>
      </x:c>
      <x:c r="Y422" s="74" t="str">
        <x:v>6</x:v>
      </x:c>
      <x:c r="Z422" s="74" t="str">
        <x:v>5</x:v>
      </x:c>
      <x:c r="AA422" s="74" t="str">
        <x:v>0</x:v>
      </x:c>
      <x:c r="AB422" s="74" t="str">
        <x:v>0</x:v>
      </x:c>
      <x:c r="AC422" s="74" t="str">
        <x:v>1</x:v>
      </x:c>
      <x:c r="AD422" s="74" t="str">
        <x:v>0</x:v>
      </x:c>
      <x:c r="AE422" s="74" t="str">
        <x:v>0</x:v>
      </x:c>
      <x:c r="AF422" s="74" t="str"/>
      <x:c r="AG422" s="74" t="str">
        <x:v>0</x:v>
      </x:c>
      <x:c r="AH422" s="74" t="str">
        <x:v>0</x:v>
      </x:c>
      <x:c r="AI422" s="74" t="str">
        <x:v>0</x:v>
      </x:c>
      <x:c r="AJ422" s="74" t="str">
        <x:v>0</x:v>
      </x:c>
      <x:c r="AK422" s="74" t="str">
        <x:v>1</x:v>
      </x:c>
      <x:c r="AL422" s="74" t="str">
        <x:v>0</x:v>
      </x:c>
      <x:c r="AM422" s="74" t="str">
        <x:v>1</x:v>
      </x:c>
      <x:c r="AN422" s="74" t="str">
        <x:v>0</x:v>
      </x:c>
      <x:c r="AO422" s="60" t="str">
        <x:v>2025</x:v>
      </x:c>
      <x:c r="AP422" s="76" t="str">
        <x:v>245 Google reviews; no embedded homepage video found</x:v>
      </x:c>
      <x:c r="AQ422" s="76" t="str">
        <x:v>visible service offer; no embedded homepage video detected</x:v>
      </x:c>
      <x:c r="AR422" s="76" t="str">
        <x:v>On Call Plumbing, Heating &amp; Air has 245 Google reviews—strong proof that could be turned into short-form ad concepts.</x:v>
      </x:c>
      <x:c r="AS422" s="76" t="str">
        <x:v>no-cool-call to same-day comfort ad</x:v>
      </x:c>
      <x:c r="AT422" s="76" t="str">
        <x:v>On Call Plumbing, Heating &amp; Air ad concept</x:v>
      </x:c>
      <x:c r="AU422" s="76" t="str">
        <x:v>Hi On Call Plumbing, Heating &amp; Air — On Call Plumbing, Heating &amp; Air has 245 Google reviews—strong proof that could be turned into short-form ad concepts. I mapped a private 15-second no-cool-call to same-day comfort ad for On Call Plumbing, Heating &amp; Air using only public brand context—not for publishing, just to show the angle. We build three client-approved video ad concepts in seven days, then turn the winners into fresh variations. No filming day required. Worth sending the private sample?</x:v>
      </x:c>
      <x:c r="AV422" s="76" t="str">
        <x:v>Quick follow-up: the sample angle is a no-cool-call to same-day comfort ad. If it misses the mark, no problem—I won't keep chasing. Should I send it?</x:v>
      </x:c>
      <x:c r="AW422" s="76" t="str">
        <x:v>Hi On Call Plumbing, Heating &amp; Air, Ryan here. I was looking at On Call Plumbing, Heating &amp; Air's public marketing and noticed: 245 google reviews; no embedded homepage video found. I mapped one private no-cool-call to same-day comfort ad as an example. Did I catch you with 30 seconds?</x:v>
      </x:c>
      <x:c r="AX422" s="60" t="str">
        <x:v>https://www.facebook.com/ads/library/?active_status=active&amp;ad_type=all&amp;country=US&amp;q=On%20Call%20Plumbing%2C%20Heating%20%26%20Air&amp;search_type=keyword_unordered</x:v>
      </x:c>
      <x:c r="AY422" s="60" t="str">
        <x:v>ok:200</x:v>
      </x:c>
      <x:c r="AZ422" s="60" t="n">
        <x:v>46232.722858796296</x:v>
      </x:c>
      <x:c r="BA422" s="60" t="str">
        <x:v>Google Maps home-services export</x:v>
      </x:c>
      <x:c r="BB422" s="60" t="str">
        <x:v>https://maps.google.com/?cid=12808658912462986331&amp;g_mp=Cidnb29nbGUubWFwcy5wbGFjZXMudjEuUGxhY2VzLlNlYXJjaFRleHQQAhgEIAA | https://oncallsc.com</x:v>
      </x:c>
      <x:c r="BC422" s="60" t="str"/>
    </x:row>
    <x:row r="423" ht="18" customHeight="1">
      <x:c r="A423" s="70" t="str">
        <x:v>422</x:v>
      </x:c>
      <x:c r="B423" s="70" t="str">
        <x:v>C - Verify</x:v>
      </x:c>
      <x:c r="C423" s="72" t="str">
        <x:v>52</x:v>
      </x:c>
      <x:c r="D423" s="60" t="str">
        <x:v>Elite Air &amp; Heat of Summerville</x:v>
      </x:c>
      <x:c r="E423" s="60" t="str">
        <x:v>https://eliteairsummerville.com</x:v>
      </x:c>
      <x:c r="F423" s="60" t="str">
        <x:v>https://eliteairsummerville.com</x:v>
      </x:c>
      <x:c r="G423" s="60" t="str">
        <x:v>Summerville</x:v>
      </x:c>
      <x:c r="H423" s="60" t="str">
        <x:v>South Carolina</x:v>
      </x:c>
      <x:c r="I423" s="60" t="str">
        <x:v>HVAC</x:v>
      </x:c>
      <x:c r="J423" s="60" t="str">
        <x:v>Elite Air &amp; Heat of Summerville</x:v>
      </x:c>
      <x:c r="K423" s="60" t="str"/>
      <x:c r="L423" s="60" t="str">
        <x:v>Owner / decision maker to verify</x:v>
      </x:c>
      <x:c r="M423" s="60" t="str"/>
      <x:c r="N423" s="60" t="str"/>
      <x:c r="O423" s="60" t="str">
        <x:v>(854) 269-4663</x:v>
      </x:c>
      <x:c r="P423" s="60" t="str"/>
      <x:c r="Q423" s="60" t="str"/>
      <x:c r="R423" s="60" t="str"/>
      <x:c r="S423" s="60" t="str">
        <x:v>4.9</x:v>
      </x:c>
      <x:c r="T423" s="74" t="str">
        <x:v>221</x:v>
      </x:c>
      <x:c r="U423" s="60" t="str"/>
      <x:c r="V423" s="74" t="str">
        <x:v>28</x:v>
      </x:c>
      <x:c r="W423" s="74" t="str">
        <x:v>3</x:v>
      </x:c>
      <x:c r="X423" s="74" t="str">
        <x:v>10</x:v>
      </x:c>
      <x:c r="Y423" s="74" t="str">
        <x:v>6</x:v>
      </x:c>
      <x:c r="Z423" s="74" t="str">
        <x:v>5</x:v>
      </x:c>
      <x:c r="AA423" s="74" t="str">
        <x:v>0</x:v>
      </x:c>
      <x:c r="AB423" s="74" t="str">
        <x:v>0</x:v>
      </x:c>
      <x:c r="AC423" s="74" t="str">
        <x:v>1</x:v>
      </x:c>
      <x:c r="AD423" s="74" t="str">
        <x:v>0</x:v>
      </x:c>
      <x:c r="AE423" s="74" t="str">
        <x:v>0</x:v>
      </x:c>
      <x:c r="AF423" s="74" t="str"/>
      <x:c r="AG423" s="74" t="str">
        <x:v>0</x:v>
      </x:c>
      <x:c r="AH423" s="74" t="str">
        <x:v>0</x:v>
      </x:c>
      <x:c r="AI423" s="74" t="str">
        <x:v>0</x:v>
      </x:c>
      <x:c r="AJ423" s="74" t="str">
        <x:v>0</x:v>
      </x:c>
      <x:c r="AK423" s="74" t="str">
        <x:v>1</x:v>
      </x:c>
      <x:c r="AL423" s="74" t="str">
        <x:v>0</x:v>
      </x:c>
      <x:c r="AM423" s="74" t="str">
        <x:v>1</x:v>
      </x:c>
      <x:c r="AN423" s="74" t="str">
        <x:v>0</x:v>
      </x:c>
      <x:c r="AO423" s="60" t="str">
        <x:v>0</x:v>
      </x:c>
      <x:c r="AP423" s="76" t="str">
        <x:v>221 Google reviews; no embedded homepage video found</x:v>
      </x:c>
      <x:c r="AQ423" s="76" t="str">
        <x:v>visible service offer; no embedded homepage video detected</x:v>
      </x:c>
      <x:c r="AR423" s="76" t="str">
        <x:v>Elite Air &amp; Heat of Summerville has 221 Google reviews—strong proof that could be turned into short-form ad concepts.</x:v>
      </x:c>
      <x:c r="AS423" s="76" t="str">
        <x:v>no-cool-call to same-day comfort ad</x:v>
      </x:c>
      <x:c r="AT423" s="76" t="str">
        <x:v>Elite Air &amp; Heat of Summerville ad concept</x:v>
      </x:c>
      <x:c r="AU423" s="76" t="str">
        <x:v>Hi Elite Air &amp; Heat of Summerville — Elite Air &amp; Heat of Summerville has 221 Google reviews—strong proof that could be turned into short-form ad concepts. I mapped a private 15-second no-cool-call to same-day comfort ad for Elite Air &amp; Heat of Summerville using only public brand context—not for publishing, just to show the angle. We build three client-approved video ad concepts in seven days, then turn the winners into fresh variations. No filming day required. Worth sending the private sample?</x:v>
      </x:c>
      <x:c r="AV423" s="76" t="str">
        <x:v>Quick follow-up: the sample angle is a no-cool-call to same-day comfort ad. If it misses the mark, no problem—I won't keep chasing. Should I send it?</x:v>
      </x:c>
      <x:c r="AW423" s="76" t="str">
        <x:v>Hi Elite Air &amp; Heat of Summerville, Ryan here. I was looking at Elite Air &amp; Heat of Summerville's public marketing and noticed: 221 google reviews; no embedded homepage video found. I mapped one private no-cool-call to same-day comfort ad as an example. Did I catch you with 30 seconds?</x:v>
      </x:c>
      <x:c r="AX423" s="60" t="str">
        <x:v>https://www.facebook.com/ads/library/?active_status=active&amp;ad_type=all&amp;country=US&amp;q=Elite%20Air%20%26%20Heat%20of%20Summerville&amp;search_type=keyword_unordered</x:v>
      </x:c>
      <x:c r="AY423" s="60" t="str">
        <x:v>ok:200</x:v>
      </x:c>
      <x:c r="AZ423" s="60" t="n">
        <x:v>46232.722858796296</x:v>
      </x:c>
      <x:c r="BA423" s="60" t="str">
        <x:v>Google Maps home-services export</x:v>
      </x:c>
      <x:c r="BB423" s="60" t="str">
        <x:v>https://eliteairsummerville.com | https://maps.google.com/?cid=9311065510704673506&amp;g_mp=Cidnb29nbGUubWFwcy5wbGFjZXMudjEuUGxhY2VzLlNlYXJjaFRleHQQAhgEIAA</x:v>
      </x:c>
      <x:c r="BC423" s="60" t="str"/>
    </x:row>
    <x:row r="424" ht="18" customHeight="1">
      <x:c r="A424" s="70" t="str">
        <x:v>423</x:v>
      </x:c>
      <x:c r="B424" s="70" t="str">
        <x:v>C - Verify</x:v>
      </x:c>
      <x:c r="C424" s="72" t="str">
        <x:v>52</x:v>
      </x:c>
      <x:c r="D424" s="60" t="str">
        <x:v>Alliance Heating and Cooling</x:v>
      </x:c>
      <x:c r="E424" s="60" t="str">
        <x:v>https://alliancehvacsc.com</x:v>
      </x:c>
      <x:c r="F424" s="60" t="str">
        <x:v>https://www.alliancehvacsc.com/</x:v>
      </x:c>
      <x:c r="G424" s="60" t="str">
        <x:v>Florence</x:v>
      </x:c>
      <x:c r="H424" s="60" t="str">
        <x:v>South Carolina</x:v>
      </x:c>
      <x:c r="I424" s="60" t="str">
        <x:v>HVAC</x:v>
      </x:c>
      <x:c r="J424" s="60" t="str">
        <x:v>Alliance Heating and Cooling</x:v>
      </x:c>
      <x:c r="K424" s="60" t="str"/>
      <x:c r="L424" s="60" t="str">
        <x:v>Owner / decision maker to verify</x:v>
      </x:c>
      <x:c r="M424" s="60" t="str"/>
      <x:c r="N424" s="60" t="str"/>
      <x:c r="O424" s="60" t="str">
        <x:v>(843) 229-4941</x:v>
      </x:c>
      <x:c r="P424" s="60" t="str"/>
      <x:c r="Q424" s="60" t="str"/>
      <x:c r="R424" s="60" t="str"/>
      <x:c r="S424" s="60" t="str">
        <x:v>5</x:v>
      </x:c>
      <x:c r="T424" s="74" t="str">
        <x:v>208</x:v>
      </x:c>
      <x:c r="U424" s="60" t="str"/>
      <x:c r="V424" s="74" t="str">
        <x:v>28</x:v>
      </x:c>
      <x:c r="W424" s="74" t="str">
        <x:v>3</x:v>
      </x:c>
      <x:c r="X424" s="74" t="str">
        <x:v>10</x:v>
      </x:c>
      <x:c r="Y424" s="74" t="str">
        <x:v>6</x:v>
      </x:c>
      <x:c r="Z424" s="74" t="str">
        <x:v>5</x:v>
      </x:c>
      <x:c r="AA424" s="74" t="str">
        <x:v>0</x:v>
      </x:c>
      <x:c r="AB424" s="74" t="str">
        <x:v>0</x:v>
      </x:c>
      <x:c r="AC424" s="74" t="str">
        <x:v>0</x:v>
      </x:c>
      <x:c r="AD424" s="74" t="str">
        <x:v>0</x:v>
      </x:c>
      <x:c r="AE424" s="74" t="str">
        <x:v>0</x:v>
      </x:c>
      <x:c r="AF424" s="74" t="str">
        <x:v>housecallpro</x:v>
      </x:c>
      <x:c r="AG424" s="74" t="str">
        <x:v>0</x:v>
      </x:c>
      <x:c r="AH424" s="74" t="str">
        <x:v>0</x:v>
      </x:c>
      <x:c r="AI424" s="74" t="str">
        <x:v>0</x:v>
      </x:c>
      <x:c r="AJ424" s="74" t="str">
        <x:v>0</x:v>
      </x:c>
      <x:c r="AK424" s="74" t="str">
        <x:v>1</x:v>
      </x:c>
      <x:c r="AL424" s="74" t="str">
        <x:v>0</x:v>
      </x:c>
      <x:c r="AM424" s="74" t="str">
        <x:v>1</x:v>
      </x:c>
      <x:c r="AN424" s="74" t="str">
        <x:v>0</x:v>
      </x:c>
      <x:c r="AO424" s="60" t="str">
        <x:v>0</x:v>
      </x:c>
      <x:c r="AP424" s="76" t="str">
        <x:v>208 Google reviews; no embedded homepage video found</x:v>
      </x:c>
      <x:c r="AQ424" s="76" t="str">
        <x:v>visible service offer; no embedded homepage video detected</x:v>
      </x:c>
      <x:c r="AR424" s="76" t="str">
        <x:v>Alliance Heating and Cooling has 208 Google reviews—strong proof that could be turned into short-form ad concepts.</x:v>
      </x:c>
      <x:c r="AS424" s="76" t="str">
        <x:v>no-cool-call to same-day comfort ad</x:v>
      </x:c>
      <x:c r="AT424" s="76" t="str">
        <x:v>Alliance Heating and Cooling ad concept</x:v>
      </x:c>
      <x:c r="AU424" s="76" t="str">
        <x:v>Hi Alliance Heating and Cooling — Alliance Heating and Cooling has 208 Google reviews—strong proof that could be turned into short-form ad concepts. I mapped a private 15-second no-cool-call to same-day comfort ad for Alliance Heating and Cooling using only public brand context—not for publishing, just to show the angle. We build three client-approved video ad concepts in seven days, then turn the winners into fresh variations. No filming day required. Worth sending the private sample?</x:v>
      </x:c>
      <x:c r="AV424" s="76" t="str">
        <x:v>Quick follow-up: the sample angle is a no-cool-call to same-day comfort ad. If it misses the mark, no problem—I won't keep chasing. Should I send it?</x:v>
      </x:c>
      <x:c r="AW424" s="76" t="str">
        <x:v>Hi Alliance Heating and Cooling, Ryan here. I was looking at Alliance Heating and Cooling's public marketing and noticed: 208 google reviews; no embedded homepage video found. I mapped one private no-cool-call to same-day comfort ad as an example. Did I catch you with 30 seconds?</x:v>
      </x:c>
      <x:c r="AX424" s="60" t="str">
        <x:v>https://www.facebook.com/ads/library/?active_status=active&amp;ad_type=all&amp;country=US&amp;q=Alliance%20Heating%20and%20Cooling&amp;search_type=keyword_unordered</x:v>
      </x:c>
      <x:c r="AY424" s="60" t="str">
        <x:v>ok:200</x:v>
      </x:c>
      <x:c r="AZ424" s="60" t="n">
        <x:v>46232.722858796296</x:v>
      </x:c>
      <x:c r="BA424" s="60" t="str">
        <x:v>Google Maps home-services export</x:v>
      </x:c>
      <x:c r="BB424" s="60" t="str">
        <x:v>https://alliancehvacsc.com | https://maps.google.com/?cid=9672400176006551151&amp;g_mp=Cidnb29nbGUubWFwcy5wbGFjZXMudjEuUGxhY2VzLlNlYXJjaFRleHQQAhgEIAA</x:v>
      </x:c>
      <x:c r="BC424" s="60" t="str"/>
    </x:row>
    <x:row r="425" ht="18" customHeight="1">
      <x:c r="A425" s="70" t="str">
        <x:v>424</x:v>
      </x:c>
      <x:c r="B425" s="70" t="str">
        <x:v>C - Verify</x:v>
      </x:c>
      <x:c r="C425" s="72" t="str">
        <x:v>52</x:v>
      </x:c>
      <x:c r="D425" s="60" t="str">
        <x:v>ServiceMaster Restore By ERS Inc.</x:v>
      </x:c>
      <x:c r="E425" s="60" t="str">
        <x:v>https://servicemasterbyers.com</x:v>
      </x:c>
      <x:c r="F425" s="60" t="str">
        <x:v>https://servicemasterrestore.com/servicemaster-cleaning-and-restoration-by-ers</x:v>
      </x:c>
      <x:c r="G425" s="60" t="str">
        <x:v>Florence</x:v>
      </x:c>
      <x:c r="H425" s="60" t="str">
        <x:v>South Carolina</x:v>
      </x:c>
      <x:c r="I425" s="60" t="str">
        <x:v>Restoration</x:v>
      </x:c>
      <x:c r="J425" s="60" t="str">
        <x:v>martin</x:v>
      </x:c>
      <x:c r="K425" s="60" t="str">
        <x:v>smith</x:v>
      </x:c>
      <x:c r="L425" s="60" t="str">
        <x:v>Owner</x:v>
      </x:c>
      <x:c r="M425" s="60" t="str">
        <x:v>msmith@servicemasterbyers.com</x:v>
      </x:c>
      <x:c r="N425" s="60" t="str">
        <x:v>Verified with BounceBan on 08 Jun 26 12:06</x:v>
      </x:c>
      <x:c r="O425" s="60" t="str">
        <x:v>+1 732 867 1979</x:v>
      </x:c>
      <x:c r="P425" s="60" t="str">
        <x:v>https://www.linkedin.com/in/martin-smith-b4895427</x:v>
      </x:c>
      <x:c r="Q425" s="60" t="str">
        <x:v>11-50</x:v>
      </x:c>
      <x:c r="R425" s="60" t="str">
        <x:v>0-99999</x:v>
      </x:c>
      <x:c r="S425" s="60" t="str"/>
      <x:c r="T425" s="74" t="str">
        <x:v>0</x:v>
      </x:c>
      <x:c r="U425" s="60" t="str"/>
      <x:c r="V425" s="74" t="str">
        <x:v>30</x:v>
      </x:c>
      <x:c r="W425" s="74" t="str">
        <x:v>3</x:v>
      </x:c>
      <x:c r="X425" s="74" t="str">
        <x:v>6</x:v>
      </x:c>
      <x:c r="Y425" s="74" t="str">
        <x:v>3</x:v>
      </x:c>
      <x:c r="Z425" s="74" t="str">
        <x:v>10</x:v>
      </x:c>
      <x:c r="AA425" s="74" t="str">
        <x:v>0</x:v>
      </x:c>
      <x:c r="AB425" s="74" t="str">
        <x:v>0</x:v>
      </x:c>
      <x:c r="AC425" s="74" t="str">
        <x:v>1</x:v>
      </x:c>
      <x:c r="AD425" s="74" t="str">
        <x:v>0</x:v>
      </x:c>
      <x:c r="AE425" s="74" t="str">
        <x:v>0</x:v>
      </x:c>
      <x:c r="AF425" s="74" t="str"/>
      <x:c r="AG425" s="74" t="str">
        <x:v>0</x:v>
      </x:c>
      <x:c r="AH425" s="74" t="str">
        <x:v>0</x:v>
      </x:c>
      <x:c r="AI425" s="74" t="str">
        <x:v>0</x:v>
      </x:c>
      <x:c r="AJ425" s="74" t="str">
        <x:v>0</x:v>
      </x:c>
      <x:c r="AK425" s="74" t="str">
        <x:v>1</x:v>
      </x:c>
      <x:c r="AL425" s="74" t="str">
        <x:v>1</x:v>
      </x:c>
      <x:c r="AM425" s="74" t="str">
        <x:v>1</x:v>
      </x:c>
      <x:c r="AN425" s="74" t="str">
        <x:v>1</x:v>
      </x:c>
      <x:c r="AO425" s="60" t="str">
        <x:v>2026</x:v>
      </x:c>
      <x:c r="AP425" s="76" t="str">
        <x:v>ICP fit; paid-demand need requires manual verification</x:v>
      </x:c>
      <x:c r="AQ425" s="76" t="str">
        <x:v>visible service offer; no embedded homepage video detected</x:v>
      </x:c>
      <x:c r="AR425" s="76" t="str">
        <x:v>I was reviewing restoration companies in Florence, South Carolina and ServiceMaster Restore By ERS Inc. looked like a strong fit for a creative test.</x:v>
      </x:c>
      <x:c r="AS425" s="76" t="str">
        <x:v>first-24-hours emergency-response ad</x:v>
      </x:c>
      <x:c r="AT425" s="76" t="str">
        <x:v>ServiceMaster Restore By ERS Inc. ad concept</x:v>
      </x:c>
      <x:c r="AU425" s="76" t="str">
        <x:v>Hi martin — I was reviewing restoration companies in Florence, South Carolina and ServiceMaster Restore By ERS Inc. looked like a strong fit for a creative test. I mapped a private 15-second first-24-hours emergency-response ad for ServiceMaster Restore By ERS Inc. using only public brand context—not for publishing, just to show the angle. We build three client-approved video ad concepts in seven days, then turn the winners into fresh variations. No filming day required. Worth sending the private sample?</x:v>
      </x:c>
      <x:c r="AV425" s="76" t="str">
        <x:v>Quick follow-up: the sample angle is a first-24-hours emergency-response ad. If it misses the mark, no problem—I won't keep chasing. Should I send it?</x:v>
      </x:c>
      <x:c r="AW425" s="76" t="str">
        <x:v>Hi martin, Ryan here. I was looking at ServiceMaster Restore By ERS Inc.'s public marketing and noticed: icp fit; paid-demand need requires manual verification. I mapped one private first-24-hours emergency-response ad as an example. Did I catch you with 30 seconds?</x:v>
      </x:c>
      <x:c r="AX425" s="60" t="str">
        <x:v>https://www.facebook.com/ads/library/?active_status=active&amp;ad_type=all&amp;country=US&amp;q=ServiceMaster%20Restore%20By%20ERS%20Inc.&amp;search_type=keyword_unordered</x:v>
      </x:c>
      <x:c r="AY425" s="60" t="str">
        <x:v>ok:200</x:v>
      </x:c>
      <x:c r="AZ425" s="60" t="n">
        <x:v>46232.722858796296</x:v>
      </x:c>
      <x:c r="BA425" s="60" t="str">
        <x:v>AI Ark SC trades export</x:v>
      </x:c>
      <x:c r="BB425" s="60" t="str">
        <x:v>https://servicemasterbyers.com | https://www.linkedin.com/company/servicemaster-restore-by-ers-inc</x:v>
      </x:c>
      <x:c r="BC425" s="60" t="str"/>
    </x:row>
    <x:row r="426" ht="18" customHeight="1">
      <x:c r="A426" s="70" t="str">
        <x:v>425</x:v>
      </x:c>
      <x:c r="B426" s="70" t="str">
        <x:v>C - Verify</x:v>
      </x:c>
      <x:c r="C426" s="72" t="str">
        <x:v>52</x:v>
      </x:c>
      <x:c r="D426" s="60" t="str">
        <x:v>KIRK COMMERCIAL CONSTRUCTION, LLC</x:v>
      </x:c>
      <x:c r="E426" s="60" t="str">
        <x:v>https://kirkcommercialconstruction.com</x:v>
      </x:c>
      <x:c r="F426" s="60" t="str">
        <x:v>https://www.kirkcommercialconstruction.com/</x:v>
      </x:c>
      <x:c r="G426" s="60" t="str">
        <x:v>Lexington County</x:v>
      </x:c>
      <x:c r="H426" s="60" t="str">
        <x:v>South Carolina</x:v>
      </x:c>
      <x:c r="I426" s="60" t="str">
        <x:v>Remodeling</x:v>
      </x:c>
      <x:c r="J426" s="60" t="str">
        <x:v>Chris</x:v>
      </x:c>
      <x:c r="K426" s="60" t="str">
        <x:v>Kirk</x:v>
      </x:c>
      <x:c r="L426" s="60" t="str">
        <x:v>Owner</x:v>
      </x:c>
      <x:c r="M426" s="60" t="str">
        <x:v>chris@kirkcommercialconstruction.com</x:v>
      </x:c>
      <x:c r="N426" s="60" t="str">
        <x:v>Verified with BounceBan on 08 Jun 26 12:06</x:v>
      </x:c>
      <x:c r="O426" s="60" t="str">
        <x:v>+1 803 730 1195</x:v>
      </x:c>
      <x:c r="P426" s="60" t="str">
        <x:v>https://www.linkedin.com/in/chris-kirk-36957b12</x:v>
      </x:c>
      <x:c r="Q426" s="60" t="str">
        <x:v>11-50</x:v>
      </x:c>
      <x:c r="R426" s="60" t="str">
        <x:v>500000-999999</x:v>
      </x:c>
      <x:c r="S426" s="60" t="str"/>
      <x:c r="T426" s="74" t="str">
        <x:v>0</x:v>
      </x:c>
      <x:c r="U426" s="60" t="str"/>
      <x:c r="V426" s="74" t="str">
        <x:v>30</x:v>
      </x:c>
      <x:c r="W426" s="74" t="str">
        <x:v>3</x:v>
      </x:c>
      <x:c r="X426" s="74" t="str">
        <x:v>9</x:v>
      </x:c>
      <x:c r="Y426" s="74" t="str">
        <x:v>0</x:v>
      </x:c>
      <x:c r="Z426" s="74" t="str">
        <x:v>10</x:v>
      </x:c>
      <x:c r="AA426" s="74" t="str">
        <x:v>0</x:v>
      </x:c>
      <x:c r="AB426" s="74" t="str">
        <x:v>0</x:v>
      </x:c>
      <x:c r="AC426" s="74" t="str">
        <x:v>1</x:v>
      </x:c>
      <x:c r="AD426" s="74" t="str">
        <x:v>0</x:v>
      </x:c>
      <x:c r="AE426" s="74" t="str">
        <x:v>0</x:v>
      </x:c>
      <x:c r="AF426" s="74" t="str"/>
      <x:c r="AG426" s="74" t="str">
        <x:v>0</x:v>
      </x:c>
      <x:c r="AH426" s="74" t="str">
        <x:v>0</x:v>
      </x:c>
      <x:c r="AI426" s="74" t="str">
        <x:v>0</x:v>
      </x:c>
      <x:c r="AJ426" s="74" t="str">
        <x:v>0</x:v>
      </x:c>
      <x:c r="AK426" s="74" t="str">
        <x:v>0</x:v>
      </x:c>
      <x:c r="AL426" s="74" t="str">
        <x:v>1</x:v>
      </x:c>
      <x:c r="AM426" s="74" t="str">
        <x:v>1</x:v>
      </x:c>
      <x:c r="AN426" s="74" t="str">
        <x:v>0</x:v>
      </x:c>
      <x:c r="AO426" s="60" t="str">
        <x:v>2021</x:v>
      </x:c>
      <x:c r="AP426" s="76" t="str">
        <x:v>ICP fit; paid-demand need requires manual verification</x:v>
      </x:c>
      <x:c r="AQ426" s="76" t="str">
        <x:v>no embedded homepage video detected</x:v>
      </x:c>
      <x:c r="AR426" s="76" t="str">
        <x:v>I was reviewing remodeling companies in Lexington County, South Carolina and KIRK COMMERCIAL CONSTRUCTION, LLC looked like a strong fit for a creative test.</x:v>
      </x:c>
      <x:c r="AS426" s="76" t="str">
        <x:v>project reveal with budget-and-timeline proof</x:v>
      </x:c>
      <x:c r="AT426" s="76" t="str">
        <x:v>KIRK COMMERCIAL CONSTRUCTION, LLC ad concept</x:v>
      </x:c>
      <x:c r="AU426" s="76" t="str">
        <x:v>Hi Chris — I was reviewing remodeling companies in Lexington County, South Carolina and KIRK COMMERCIAL CONSTRUCTION, LLC looked like a strong fit for a creative test. I mapped a private 15-second project reveal with budget-and-timeline proof for KIRK COMMERCIAL CONSTRUCTION, LLC using only public brand context—not for publishing, just to show the angle. We build three client-approved video ad concepts in seven days, then turn the winners into fresh variations. No filming day required. Worth sending the private sample?</x:v>
      </x:c>
      <x:c r="AV426" s="76" t="str">
        <x:v>Quick follow-up: the sample angle is a project reveal with budget-and-timeline proof. If it misses the mark, no problem—I won't keep chasing. Should I send it?</x:v>
      </x:c>
      <x:c r="AW426" s="76" t="str">
        <x:v>Hi Chris, Ryan here. I was looking at KIRK COMMERCIAL CONSTRUCTION, LLC's public marketing and noticed: icp fit; paid-demand need requires manual verification. I mapped one private project reveal with budget-and-timeline proof as an example. Did I catch you with 30 seconds?</x:v>
      </x:c>
      <x:c r="AX426" s="60" t="str">
        <x:v>https://www.facebook.com/ads/library/?active_status=active&amp;ad_type=all&amp;country=US&amp;q=KIRK%20COMMERCIAL%20CONSTRUCTION%2C%20LLC&amp;search_type=keyword_unordered</x:v>
      </x:c>
      <x:c r="AY426" s="60" t="str">
        <x:v>ok:200</x:v>
      </x:c>
      <x:c r="AZ426" s="60" t="n">
        <x:v>46232.722858796296</x:v>
      </x:c>
      <x:c r="BA426" s="60" t="str">
        <x:v>AI Ark SC trades export</x:v>
      </x:c>
      <x:c r="BB426" s="60" t="str">
        <x:v>https://kirkcommercialconstruction.com | https://www.linkedin.com/company/kirk-commercial-construction-llc</x:v>
      </x:c>
      <x:c r="BC426" s="60" t="str"/>
    </x:row>
    <x:row r="427" ht="18" customHeight="1">
      <x:c r="A427" s="70" t="str">
        <x:v>426</x:v>
      </x:c>
      <x:c r="B427" s="70" t="str">
        <x:v>C - Verify</x:v>
      </x:c>
      <x:c r="C427" s="72" t="str">
        <x:v>52</x:v>
      </x:c>
      <x:c r="D427" s="60" t="str">
        <x:v>AIKEN HVAC, LLC</x:v>
      </x:c>
      <x:c r="E427" s="60" t="str">
        <x:v>https://aikenhvacllc.com</x:v>
      </x:c>
      <x:c r="F427" s="60" t="str">
        <x:v>https://aikenhvacllc.com</x:v>
      </x:c>
      <x:c r="G427" s="60" t="str">
        <x:v>Aiken</x:v>
      </x:c>
      <x:c r="H427" s="60" t="str">
        <x:v>South Carolina</x:v>
      </x:c>
      <x:c r="I427" s="60" t="str">
        <x:v>HVAC</x:v>
      </x:c>
      <x:c r="J427" s="60" t="str">
        <x:v>AIKEN HVAC, LLC</x:v>
      </x:c>
      <x:c r="K427" s="60" t="str"/>
      <x:c r="L427" s="60" t="str">
        <x:v>Owner / decision maker to verify</x:v>
      </x:c>
      <x:c r="M427" s="60" t="str"/>
      <x:c r="N427" s="60" t="str"/>
      <x:c r="O427" s="60" t="str">
        <x:v>(803) 784-3887</x:v>
      </x:c>
      <x:c r="P427" s="60" t="str"/>
      <x:c r="Q427" s="60" t="str"/>
      <x:c r="R427" s="60" t="str"/>
      <x:c r="S427" s="60" t="str">
        <x:v>5</x:v>
      </x:c>
      <x:c r="T427" s="74" t="str">
        <x:v>170</x:v>
      </x:c>
      <x:c r="U427" s="60" t="str"/>
      <x:c r="V427" s="74" t="str">
        <x:v>28</x:v>
      </x:c>
      <x:c r="W427" s="74" t="str">
        <x:v>0</x:v>
      </x:c>
      <x:c r="X427" s="74" t="str">
        <x:v>4</x:v>
      </x:c>
      <x:c r="Y427" s="74" t="str">
        <x:v>15</x:v>
      </x:c>
      <x:c r="Z427" s="74" t="str">
        <x:v>5</x:v>
      </x:c>
      <x:c r="AA427" s="74" t="str">
        <x:v>0</x:v>
      </x:c>
      <x:c r="AB427" s="74" t="str">
        <x:v>0</x:v>
      </x:c>
      <x:c r="AC427" s="74" t="str">
        <x:v>0</x:v>
      </x:c>
      <x:c r="AD427" s="74" t="str">
        <x:v>0</x:v>
      </x:c>
      <x:c r="AE427" s="74" t="str">
        <x:v>0</x:v>
      </x:c>
      <x:c r="AF427" s="74" t="str"/>
      <x:c r="AG427" s="74" t="str">
        <x:v>1</x:v>
      </x:c>
      <x:c r="AH427" s="74" t="str">
        <x:v>1</x:v>
      </x:c>
      <x:c r="AI427" s="74" t="str">
        <x:v>1</x:v>
      </x:c>
      <x:c r="AJ427" s="74" t="str">
        <x:v>0</x:v>
      </x:c>
      <x:c r="AK427" s="74" t="str">
        <x:v>1</x:v>
      </x:c>
      <x:c r="AL427" s="74" t="str">
        <x:v>0</x:v>
      </x:c>
      <x:c r="AM427" s="74" t="str">
        <x:v>0</x:v>
      </x:c>
      <x:c r="AN427" s="74" t="str">
        <x:v>0</x:v>
      </x:c>
      <x:c r="AO427" s="60" t="str">
        <x:v>0</x:v>
      </x:c>
      <x:c r="AP427" s="76" t="str">
        <x:v>ICP fit; paid-demand need requires manual verification</x:v>
      </x:c>
      <x:c r="AQ427" s="76" t="str">
        <x:v>project/gallery proof; testimonials; visible service offer</x:v>
      </x:c>
      <x:c r="AR427" s="76" t="str">
        <x:v>I was reviewing hvac companies in Aiken, South Carolina and AIKEN HVAC, LLC looked like a strong fit for a creative test.</x:v>
      </x:c>
      <x:c r="AS427" s="76" t="str">
        <x:v>no-cool-call to same-day comfort ad</x:v>
      </x:c>
      <x:c r="AT427" s="76" t="str">
        <x:v>AIKEN HVAC, LLC ad concept</x:v>
      </x:c>
      <x:c r="AU427" s="76" t="str">
        <x:v>Hi AIKEN HVAC, LLC — I was reviewing hvac companies in Aiken, South Carolina and AIKEN HVAC, LLC looked like a strong fit for a creative test. I mapped a private 15-second no-cool-call to same-day comfort ad for AIKEN HVAC, LLC using only public brand context—not for publishing, just to show the angle. We build three client-approved video ad concepts in seven days, then turn the winners into fresh variations. No filming day required. Worth sending the private sample?</x:v>
      </x:c>
      <x:c r="AV427" s="76" t="str">
        <x:v>Quick follow-up: the sample angle is a no-cool-call to same-day comfort ad. If it misses the mark, no problem—I won't keep chasing. Should I send it?</x:v>
      </x:c>
      <x:c r="AW427" s="76" t="str">
        <x:v>Hi AIKEN HVAC, LLC, Ryan here. I was looking at AIKEN HVAC, LLC's public marketing and noticed: icp fit; paid-demand need requires manual verification. I mapped one private no-cool-call to same-day comfort ad as an example. Did I catch you with 30 seconds?</x:v>
      </x:c>
      <x:c r="AX427" s="60" t="str">
        <x:v>https://www.facebook.com/ads/library/?active_status=active&amp;ad_type=all&amp;country=US&amp;q=AIKEN%20HVAC%2C%20LLC&amp;search_type=keyword_unordered</x:v>
      </x:c>
      <x:c r="AY427" s="60" t="str">
        <x:v>ok:200</x:v>
      </x:c>
      <x:c r="AZ427" s="60" t="n">
        <x:v>46232.722858796296</x:v>
      </x:c>
      <x:c r="BA427" s="60" t="str">
        <x:v>Google Maps home-services export</x:v>
      </x:c>
      <x:c r="BB427" s="60" t="str">
        <x:v>https://aikenhvacllc.com | https://maps.google.com/?cid=11183855157610816918&amp;g_mp=Cidnb29nbGUubWFwcy5wbGFjZXMudjEuUGxhY2VzLlNlYXJjaFRleHQQAhgEIAA</x:v>
      </x:c>
      <x:c r="BC427" s="60" t="str"/>
    </x:row>
    <x:row r="428" ht="18" customHeight="1">
      <x:c r="A428" s="70" t="str">
        <x:v>427</x:v>
      </x:c>
      <x:c r="B428" s="70" t="str">
        <x:v>C - Verify</x:v>
      </x:c>
      <x:c r="C428" s="72" t="str">
        <x:v>52</x:v>
      </x:c>
      <x:c r="D428" s="60" t="str">
        <x:v>Strong Roofing</x:v>
      </x:c>
      <x:c r="E428" s="60" t="str">
        <x:v>https://strongroofingpros.com</x:v>
      </x:c>
      <x:c r="F428" s="60" t="str">
        <x:v>https://strongroofingpros.com</x:v>
      </x:c>
      <x:c r="G428" s="60" t="str">
        <x:v>Greenville</x:v>
      </x:c>
      <x:c r="H428" s="60" t="str">
        <x:v>South Carolina</x:v>
      </x:c>
      <x:c r="I428" s="60" t="str">
        <x:v>Roofing</x:v>
      </x:c>
      <x:c r="J428" s="60" t="str">
        <x:v>Garrison</x:v>
      </x:c>
      <x:c r="K428" s="60" t="str">
        <x:v>O'Bryant</x:v>
      </x:c>
      <x:c r="L428" s="60" t="str">
        <x:v>Business Owner at Strong Roofing</x:v>
      </x:c>
      <x:c r="M428" s="60" t="str">
        <x:v>garrison@strongroofingpros.com</x:v>
      </x:c>
      <x:c r="N428" s="60" t="str">
        <x:v>Verified with BounceBan on 08 Jun 26 12:06</x:v>
      </x:c>
      <x:c r="O428" s="60" t="str">
        <x:v>+1 336 209 3001</x:v>
      </x:c>
      <x:c r="P428" s="60" t="str">
        <x:v>https://www.linkedin.com/in/garrison-o-bryant-55708a13b</x:v>
      </x:c>
      <x:c r="Q428" s="60" t="str">
        <x:v>11-50</x:v>
      </x:c>
      <x:c r="R428" s="60" t="str">
        <x:v>100000-499999</x:v>
      </x:c>
      <x:c r="S428" s="60" t="str"/>
      <x:c r="T428" s="74" t="str">
        <x:v>0</x:v>
      </x:c>
      <x:c r="U428" s="60" t="str"/>
      <x:c r="V428" s="74" t="str">
        <x:v>30</x:v>
      </x:c>
      <x:c r="W428" s="74" t="str">
        <x:v>0</x:v>
      </x:c>
      <x:c r="X428" s="74" t="str">
        <x:v>0</x:v>
      </x:c>
      <x:c r="Y428" s="74" t="str">
        <x:v>12</x:v>
      </x:c>
      <x:c r="Z428" s="74" t="str">
        <x:v>10</x:v>
      </x:c>
      <x:c r="AA428" s="74" t="str">
        <x:v>0</x:v>
      </x:c>
      <x:c r="AB428" s="74" t="str">
        <x:v>0</x:v>
      </x:c>
      <x:c r="AC428" s="74" t="str">
        <x:v>0</x:v>
      </x:c>
      <x:c r="AD428" s="74" t="str">
        <x:v>0</x:v>
      </x:c>
      <x:c r="AE428" s="74" t="str">
        <x:v>0</x:v>
      </x:c>
      <x:c r="AF428" s="74" t="str"/>
      <x:c r="AG428" s="74" t="str">
        <x:v>1</x:v>
      </x:c>
      <x:c r="AH428" s="74" t="str">
        <x:v>1</x:v>
      </x:c>
      <x:c r="AI428" s="74" t="str">
        <x:v>1</x:v>
      </x:c>
      <x:c r="AJ428" s="74" t="str">
        <x:v>0</x:v>
      </x:c>
      <x:c r="AK428" s="74" t="str">
        <x:v>1</x:v>
      </x:c>
      <x:c r="AL428" s="74" t="str">
        <x:v>1</x:v>
      </x:c>
      <x:c r="AM428" s="74" t="str">
        <x:v>0</x:v>
      </x:c>
      <x:c r="AN428" s="74" t="str">
        <x:v>0</x:v>
      </x:c>
      <x:c r="AO428" s="60" t="str">
        <x:v>2025</x:v>
      </x:c>
      <x:c r="AP428" s="76" t="str">
        <x:v>ICP fit; paid-demand need requires manual verification</x:v>
      </x:c>
      <x:c r="AQ428" s="76" t="str">
        <x:v>project/gallery proof; testimonials; visible service offer</x:v>
      </x:c>
      <x:c r="AR428" s="76" t="str">
        <x:v>I was reviewing roofing companies in Greenville, South Carolina and Strong Roofing looked like a strong fit for a creative test.</x:v>
      </x:c>
      <x:c r="AS428" s="76" t="str">
        <x:v>storm-to-inspection before/after ad</x:v>
      </x:c>
      <x:c r="AT428" s="76" t="str">
        <x:v>Strong Roofing ad concept</x:v>
      </x:c>
      <x:c r="AU428" s="76" t="str">
        <x:v>Hi Garrison — I was reviewing roofing companies in Greenville, South Carolina and Strong Roofing looked like a strong fit for a creative test. I mapped a private 15-second storm-to-inspection before/after ad for Strong Roofing using only public brand context—not for publishing, just to show the angle. We build three client-approved video ad concepts in seven days, then turn the winners into fresh variations. No filming day required. Worth sending the private sample?</x:v>
      </x:c>
      <x:c r="AV428" s="76" t="str">
        <x:v>Quick follow-up: the sample angle is a storm-to-inspection before/after ad. If it misses the mark, no problem—I won't keep chasing. Should I send it?</x:v>
      </x:c>
      <x:c r="AW428" s="76" t="str">
        <x:v>Hi Garrison, Ryan here. I was looking at Strong Roofing's public marketing and noticed: icp fit; paid-demand need requires manual verification. I mapped one private storm-to-inspection before/after ad as an example. Did I catch you with 30 seconds?</x:v>
      </x:c>
      <x:c r="AX428" s="60" t="str">
        <x:v>https://www.facebook.com/ads/library/?active_status=active&amp;ad_type=all&amp;country=US&amp;q=Strong%20Roofing&amp;search_type=keyword_unordered</x:v>
      </x:c>
      <x:c r="AY428" s="60" t="str">
        <x:v>ok:200</x:v>
      </x:c>
      <x:c r="AZ428" s="60" t="n">
        <x:v>46232.722858796296</x:v>
      </x:c>
      <x:c r="BA428" s="60" t="str">
        <x:v>AI Ark SC trades export</x:v>
      </x:c>
      <x:c r="BB428" s="60" t="str">
        <x:v>https://strongroofingpros.com | https://www.linkedin.com/company/strong-roofing</x:v>
      </x:c>
      <x:c r="BC428" s="60" t="str"/>
    </x:row>
    <x:row r="429" ht="18" customHeight="1">
      <x:c r="A429" s="70" t="str">
        <x:v>428</x:v>
      </x:c>
      <x:c r="B429" s="70" t="str">
        <x:v>C - Verify</x:v>
      </x:c>
      <x:c r="C429" s="72" t="str">
        <x:v>52</x:v>
      </x:c>
      <x:c r="D429" s="60" t="str">
        <x:v>Top Notch Roofing &amp; Exteriors LLC</x:v>
      </x:c>
      <x:c r="E429" s="60" t="str">
        <x:v>https://topnotchroofsc.com</x:v>
      </x:c>
      <x:c r="F429" s="60" t="str">
        <x:v>https://topnotchroofsc.com</x:v>
      </x:c>
      <x:c r="G429" s="60" t="str">
        <x:v>Summerville</x:v>
      </x:c>
      <x:c r="H429" s="60" t="str">
        <x:v>South Carolina</x:v>
      </x:c>
      <x:c r="I429" s="60" t="str">
        <x:v>Roofing</x:v>
      </x:c>
      <x:c r="J429" s="60" t="str">
        <x:v>Top Notch Roofing &amp; Exteriors LLC</x:v>
      </x:c>
      <x:c r="K429" s="60" t="str"/>
      <x:c r="L429" s="60" t="str">
        <x:v>Owner / decision maker to verify</x:v>
      </x:c>
      <x:c r="M429" s="60" t="str"/>
      <x:c r="N429" s="60" t="str"/>
      <x:c r="O429" s="60" t="str">
        <x:v>(843) 345-0882</x:v>
      </x:c>
      <x:c r="P429" s="60" t="str"/>
      <x:c r="Q429" s="60" t="str"/>
      <x:c r="R429" s="60" t="str"/>
      <x:c r="S429" s="60" t="str">
        <x:v>5</x:v>
      </x:c>
      <x:c r="T429" s="74" t="str">
        <x:v>18</x:v>
      </x:c>
      <x:c r="U429" s="60" t="str"/>
      <x:c r="V429" s="74" t="str">
        <x:v>25</x:v>
      </x:c>
      <x:c r="W429" s="74" t="str">
        <x:v>0</x:v>
      </x:c>
      <x:c r="X429" s="74" t="str">
        <x:v>10</x:v>
      </x:c>
      <x:c r="Y429" s="74" t="str">
        <x:v>12</x:v>
      </x:c>
      <x:c r="Z429" s="74" t="str">
        <x:v>5</x:v>
      </x:c>
      <x:c r="AA429" s="74" t="str">
        <x:v>0</x:v>
      </x:c>
      <x:c r="AB429" s="74" t="str">
        <x:v>0</x:v>
      </x:c>
      <x:c r="AC429" s="74" t="str">
        <x:v>0</x:v>
      </x:c>
      <x:c r="AD429" s="74" t="str">
        <x:v>0</x:v>
      </x:c>
      <x:c r="AE429" s="74" t="str">
        <x:v>0</x:v>
      </x:c>
      <x:c r="AF429" s="74" t="str"/>
      <x:c r="AG429" s="74" t="str">
        <x:v>0</x:v>
      </x:c>
      <x:c r="AH429" s="74" t="str">
        <x:v>1</x:v>
      </x:c>
      <x:c r="AI429" s="74" t="str">
        <x:v>1</x:v>
      </x:c>
      <x:c r="AJ429" s="74" t="str">
        <x:v>0</x:v>
      </x:c>
      <x:c r="AK429" s="74" t="str">
        <x:v>1</x:v>
      </x:c>
      <x:c r="AL429" s="74" t="str">
        <x:v>0</x:v>
      </x:c>
      <x:c r="AM429" s="74" t="str">
        <x:v>1</x:v>
      </x:c>
      <x:c r="AN429" s="74" t="str">
        <x:v>0</x:v>
      </x:c>
      <x:c r="AO429" s="60" t="str">
        <x:v>2026</x:v>
      </x:c>
      <x:c r="AP429" s="76" t="str">
        <x:v>Project/gallery proof found; no embedded homepage video found</x:v>
      </x:c>
      <x:c r="AQ429" s="76" t="str">
        <x:v>project/gallery proof; testimonials; visible service offer; no embedded homepage video detected</x:v>
      </x:c>
      <x:c r="AR429" s="76" t="str">
        <x:v>I found project/gallery proof on Top Notch Roofing &amp; Exteriors LLC's site that could be repackaged into short-form ad concepts.</x:v>
      </x:c>
      <x:c r="AS429" s="76" t="str">
        <x:v>storm-to-inspection before/after ad</x:v>
      </x:c>
      <x:c r="AT429" s="76" t="str">
        <x:v>Top Notch Roofing &amp; Exteriors LLC ad concept</x:v>
      </x:c>
      <x:c r="AU429" s="76" t="str">
        <x:v>Hi Top Notch Roofing &amp; Exteriors LLC — I found project/gallery proof on Top Notch Roofing &amp; Exteriors LLC's site that could be repackaged into short-form ad concepts. I mapped a private 15-second storm-to-inspection before/after ad for Top Notch Roofing &amp; Exteriors LLC using only public brand context—not for publishing, just to show the angle. We build three client-approved video ad concepts in seven days, then turn the winners into fresh variations. No filming day required. Worth sending the private sample?</x:v>
      </x:c>
      <x:c r="AV429" s="76" t="str">
        <x:v>Quick follow-up: the sample angle is a storm-to-inspection before/after ad. If it misses the mark, no problem—I won't keep chasing. Should I send it?</x:v>
      </x:c>
      <x:c r="AW429" s="76" t="str">
        <x:v>Hi Top Notch Roofing &amp; Exteriors LLC, Ryan here. I was looking at Top Notch Roofing &amp; Exteriors LLC's public marketing and noticed: project/gallery proof found; no embedded homepage video found. I mapped one private storm-to-inspection before/after ad as an example. Did I catch you with 30 seconds?</x:v>
      </x:c>
      <x:c r="AX429" s="60" t="str">
        <x:v>https://www.facebook.com/ads/library/?active_status=active&amp;ad_type=all&amp;country=US&amp;q=Top%20Notch%20Roofing%20%26%20Exteriors%20LLC&amp;search_type=keyword_unordered</x:v>
      </x:c>
      <x:c r="AY429" s="60" t="str">
        <x:v>ok:200</x:v>
      </x:c>
      <x:c r="AZ429" s="60" t="n">
        <x:v>46232.722858796296</x:v>
      </x:c>
      <x:c r="BA429" s="60" t="str">
        <x:v>Google Maps home-services export</x:v>
      </x:c>
      <x:c r="BB429" s="60" t="str">
        <x:v>https://maps.google.com/?cid=10401131830135544810&amp;g_mp=Cidnb29nbGUubWFwcy5wbGFjZXMudjEuUGxhY2VzLlNlYXJjaFRleHQQAhgEIAA | https://topnotchroofsc.com</x:v>
      </x:c>
      <x:c r="BC429" s="60" t="str"/>
    </x:row>
    <x:row r="430" ht="18" customHeight="1">
      <x:c r="A430" s="70" t="str">
        <x:v>429</x:v>
      </x:c>
      <x:c r="B430" s="70" t="str">
        <x:v>C - Verify</x:v>
      </x:c>
      <x:c r="C430" s="72" t="str">
        <x:v>52</x:v>
      </x:c>
      <x:c r="D430" s="60" t="str">
        <x:v>Affordable Plumbing, LLC</x:v>
      </x:c>
      <x:c r="E430" s="60" t="str">
        <x:v>https://affordableplumbing.info</x:v>
      </x:c>
      <x:c r="F430" s="60" t="str">
        <x:v>https://www.affordableplumbing.info/</x:v>
      </x:c>
      <x:c r="G430" s="60" t="str">
        <x:v>Aiken</x:v>
      </x:c>
      <x:c r="H430" s="60" t="str">
        <x:v>South Carolina</x:v>
      </x:c>
      <x:c r="I430" s="60" t="str">
        <x:v>Plumbing</x:v>
      </x:c>
      <x:c r="J430" s="60" t="str">
        <x:v>Affordable Plumbing, LLC</x:v>
      </x:c>
      <x:c r="K430" s="60" t="str"/>
      <x:c r="L430" s="60" t="str">
        <x:v>Owner / decision maker to verify</x:v>
      </x:c>
      <x:c r="M430" s="60" t="str"/>
      <x:c r="N430" s="60" t="str"/>
      <x:c r="O430" s="60" t="str">
        <x:v>(803) 663-9429</x:v>
      </x:c>
      <x:c r="P430" s="60" t="str"/>
      <x:c r="Q430" s="60" t="str"/>
      <x:c r="R430" s="60" t="str"/>
      <x:c r="S430" s="60" t="str">
        <x:v>4.5</x:v>
      </x:c>
      <x:c r="T430" s="74" t="str">
        <x:v>168</x:v>
      </x:c>
      <x:c r="U430" s="60" t="str">
        <x:v>no_show, slow_response</x:v>
      </x:c>
      <x:c r="V430" s="74" t="str">
        <x:v>24</x:v>
      </x:c>
      <x:c r="W430" s="74" t="str">
        <x:v>0</x:v>
      </x:c>
      <x:c r="X430" s="74" t="str">
        <x:v>12</x:v>
      </x:c>
      <x:c r="Y430" s="74" t="str">
        <x:v>11</x:v>
      </x:c>
      <x:c r="Z430" s="74" t="str">
        <x:v>5</x:v>
      </x:c>
      <x:c r="AA430" s="74" t="str">
        <x:v>0</x:v>
      </x:c>
      <x:c r="AB430" s="74" t="str">
        <x:v>0</x:v>
      </x:c>
      <x:c r="AC430" s="74" t="str">
        <x:v>0</x:v>
      </x:c>
      <x:c r="AD430" s="74" t="str">
        <x:v>0</x:v>
      </x:c>
      <x:c r="AE430" s="74" t="str">
        <x:v>0</x:v>
      </x:c>
      <x:c r="AF430" s="74" t="str"/>
      <x:c r="AG430" s="74" t="str">
        <x:v>0</x:v>
      </x:c>
      <x:c r="AH430" s="74" t="str">
        <x:v>1</x:v>
      </x:c>
      <x:c r="AI430" s="74" t="str">
        <x:v>0</x:v>
      </x:c>
      <x:c r="AJ430" s="74" t="str">
        <x:v>0</x:v>
      </x:c>
      <x:c r="AK430" s="74" t="str">
        <x:v>1</x:v>
      </x:c>
      <x:c r="AL430" s="74" t="str">
        <x:v>0</x:v>
      </x:c>
      <x:c r="AM430" s="74" t="str">
        <x:v>0</x:v>
      </x:c>
      <x:c r="AN430" s="74" t="str">
        <x:v>0</x:v>
      </x:c>
      <x:c r="AO430" s="60" t="str">
        <x:v>0</x:v>
      </x:c>
      <x:c r="AP430" s="76" t="str">
        <x:v>Project/gallery proof found; no embedded homepage video found</x:v>
      </x:c>
      <x:c r="AQ430" s="76" t="str">
        <x:v>project/gallery proof; visible service offer; no embedded homepage video detected</x:v>
      </x:c>
      <x:c r="AR430" s="76" t="str">
        <x:v>I found project/gallery proof on Affordable Plumbing, LLC's site that could be repackaged into short-form ad concepts.</x:v>
      </x:c>
      <x:c r="AS430" s="76" t="str">
        <x:v>small symptom to prevented-emergency ad</x:v>
      </x:c>
      <x:c r="AT430" s="76" t="str">
        <x:v>Affordable Plumbing, LLC ad concept</x:v>
      </x:c>
      <x:c r="AU430" s="76" t="str">
        <x:v>Hi Affordable Plumbing, LLC — I found project/gallery proof on Affordable Plumbing, LLC's site that could be repackaged into short-form ad concepts. I mapped a private 15-second small symptom to prevented-emergency ad for Affordable Plumbing, LLC using only public brand context—not for publishing, just to show the angle. We build three client-approved video ad concepts in seven days, then turn the winners into fresh variations. No filming day required. Worth sending the private sample?</x:v>
      </x:c>
      <x:c r="AV430" s="76" t="str">
        <x:v>Quick follow-up: the sample angle is a small symptom to prevented-emergency ad. If it misses the mark, no problem—I won't keep chasing. Should I send it?</x:v>
      </x:c>
      <x:c r="AW430" s="76" t="str">
        <x:v>Hi Affordable Plumbing, LLC, Ryan here. I was looking at Affordable Plumbing, LLC's public marketing and noticed: project/gallery proof found; no embedded homepage video found. I mapped one private small symptom to prevented-emergency ad as an example. Did I catch you with 30 seconds?</x:v>
      </x:c>
      <x:c r="AX430" s="60" t="str">
        <x:v>https://www.facebook.com/ads/library/?active_status=active&amp;ad_type=all&amp;country=US&amp;q=Affordable%20Plumbing%2C%20LLC&amp;search_type=keyword_unordered</x:v>
      </x:c>
      <x:c r="AY430" s="60" t="str">
        <x:v>ok:200</x:v>
      </x:c>
      <x:c r="AZ430" s="60" t="n">
        <x:v>46232.722858796296</x:v>
      </x:c>
      <x:c r="BA430" s="60" t="str">
        <x:v>Google Maps home-services export</x:v>
      </x:c>
      <x:c r="BB430" s="60" t="str">
        <x:v>https://affordableplumbing.info | https://maps.google.com/?cid=1402968223131823872&amp;g_mp=Cidnb29nbGUubWFwcy5wbGFjZXMudjEuUGxhY2VzLlNlYXJjaFRleHQQAhgEIAA</x:v>
      </x:c>
      <x:c r="BC430" s="60" t="str"/>
    </x:row>
    <x:row r="431" ht="18" customHeight="1">
      <x:c r="A431" s="70" t="str">
        <x:v>430</x:v>
      </x:c>
      <x:c r="B431" s="70" t="str">
        <x:v>C - Verify</x:v>
      </x:c>
      <x:c r="C431" s="72" t="str">
        <x:v>52</x:v>
      </x:c>
      <x:c r="D431" s="60" t="str">
        <x:v>Painting Contractor USA</x:v>
      </x:c>
      <x:c r="E431" s="60" t="str">
        <x:v>https://paintingcontractorusa.com</x:v>
      </x:c>
      <x:c r="F431" s="60" t="str">
        <x:v>https://paintingcontractorusa.com</x:v>
      </x:c>
      <x:c r="G431" s="60" t="str">
        <x:v>Columbia</x:v>
      </x:c>
      <x:c r="H431" s="60" t="str">
        <x:v>South Carolina Metropolitan Area</x:v>
      </x:c>
      <x:c r="I431" s="60" t="str">
        <x:v>Painting</x:v>
      </x:c>
      <x:c r="J431" s="60" t="str">
        <x:v>Matthew</x:v>
      </x:c>
      <x:c r="K431" s="60" t="str">
        <x:v>Marsh</x:v>
      </x:c>
      <x:c r="L431" s="60" t="str">
        <x:v>Business Owner</x:v>
      </x:c>
      <x:c r="M431" s="60" t="str"/>
      <x:c r="N431" s="60" t="str"/>
      <x:c r="O431" s="60" t="str">
        <x:v>+1 803 240 8087, +1 757 713 7831</x:v>
      </x:c>
      <x:c r="P431" s="60" t="str">
        <x:v>https://www.linkedin.com/in/matthew-marsh-b38266161</x:v>
      </x:c>
      <x:c r="Q431" s="60" t="str">
        <x:v>51-200</x:v>
      </x:c>
      <x:c r="R431" s="60" t="str">
        <x:v>5000000-9999999</x:v>
      </x:c>
      <x:c r="S431" s="60" t="str"/>
      <x:c r="T431" s="74" t="str">
        <x:v>0</x:v>
      </x:c>
      <x:c r="U431" s="60" t="str"/>
      <x:c r="V431" s="74" t="str">
        <x:v>28</x:v>
      </x:c>
      <x:c r="W431" s="74" t="str">
        <x:v>0</x:v>
      </x:c>
      <x:c r="X431" s="74" t="str">
        <x:v>10</x:v>
      </x:c>
      <x:c r="Y431" s="74" t="str">
        <x:v>9</x:v>
      </x:c>
      <x:c r="Z431" s="74" t="str">
        <x:v>5</x:v>
      </x:c>
      <x:c r="AA431" s="74" t="str">
        <x:v>0</x:v>
      </x:c>
      <x:c r="AB431" s="74" t="str">
        <x:v>0</x:v>
      </x:c>
      <x:c r="AC431" s="74" t="str">
        <x:v>0</x:v>
      </x:c>
      <x:c r="AD431" s="74" t="str">
        <x:v>0</x:v>
      </x:c>
      <x:c r="AE431" s="74" t="str">
        <x:v>0</x:v>
      </x:c>
      <x:c r="AF431" s="74" t="str"/>
      <x:c r="AG431" s="74" t="str">
        <x:v>0</x:v>
      </x:c>
      <x:c r="AH431" s="74" t="str">
        <x:v>1</x:v>
      </x:c>
      <x:c r="AI431" s="74" t="str">
        <x:v>1</x:v>
      </x:c>
      <x:c r="AJ431" s="74" t="str">
        <x:v>0</x:v>
      </x:c>
      <x:c r="AK431" s="74" t="str">
        <x:v>0</x:v>
      </x:c>
      <x:c r="AL431" s="74" t="str">
        <x:v>0</x:v>
      </x:c>
      <x:c r="AM431" s="74" t="str">
        <x:v>1</x:v>
      </x:c>
      <x:c r="AN431" s="74" t="str">
        <x:v>0</x:v>
      </x:c>
      <x:c r="AO431" s="60" t="str">
        <x:v>2025</x:v>
      </x:c>
      <x:c r="AP431" s="76" t="str">
        <x:v>Project/gallery proof found; no embedded homepage video found</x:v>
      </x:c>
      <x:c r="AQ431" s="76" t="str">
        <x:v>project/gallery proof; testimonials; no embedded homepage video detected</x:v>
      </x:c>
      <x:c r="AR431" s="76" t="str">
        <x:v>I found project/gallery proof on Painting Contractor USA's site that could be repackaged into short-form ad concepts.</x:v>
      </x:c>
      <x:c r="AS431" s="76" t="str">
        <x:v>one-room transformation ad</x:v>
      </x:c>
      <x:c r="AT431" s="76" t="str">
        <x:v>Painting Contractor USA ad concept</x:v>
      </x:c>
      <x:c r="AU431" s="76" t="str">
        <x:v>Hi Matthew — I found project/gallery proof on Painting Contractor USA's site that could be repackaged into short-form ad concepts. I mapped a private 15-second one-room transformation ad for Painting Contractor USA using only public brand context—not for publishing, just to show the angle. We build three client-approved video ad concepts in seven days, then turn the winners into fresh variations. No filming day required. Worth sending the private sample?</x:v>
      </x:c>
      <x:c r="AV431" s="76" t="str">
        <x:v>Quick follow-up: the sample angle is a one-room transformation ad. If it misses the mark, no problem—I won't keep chasing. Should I send it?</x:v>
      </x:c>
      <x:c r="AW431" s="76" t="str">
        <x:v>Hi Matthew, Ryan here. I was looking at Painting Contractor USA's public marketing and noticed: project/gallery proof found; no embedded homepage video found. I mapped one private one-room transformation ad as an example. Did I catch you with 30 seconds?</x:v>
      </x:c>
      <x:c r="AX431" s="60" t="str">
        <x:v>https://www.facebook.com/ads/library/?active_status=active&amp;ad_type=all&amp;country=US&amp;q=Painting%20Contractor%20USA&amp;search_type=keyword_unordered</x:v>
      </x:c>
      <x:c r="AY431" s="60" t="str">
        <x:v>ok:200</x:v>
      </x:c>
      <x:c r="AZ431" s="60" t="n">
        <x:v>46232.722858796296</x:v>
      </x:c>
      <x:c r="BA431" s="60" t="str">
        <x:v>AI Ark SC trades export</x:v>
      </x:c>
      <x:c r="BB431" s="60" t="str">
        <x:v>https://paintingcontractorusa.com | https://www.linkedin.com/company/painting-contractor-usa</x:v>
      </x:c>
      <x:c r="BC431" s="60" t="str"/>
    </x:row>
    <x:row r="432" ht="18" customHeight="1">
      <x:c r="A432" s="70" t="str">
        <x:v>431</x:v>
      </x:c>
      <x:c r="B432" s="70" t="str">
        <x:v>C - Verify</x:v>
      </x:c>
      <x:c r="C432" s="72" t="str">
        <x:v>52</x:v>
      </x:c>
      <x:c r="D432" s="60" t="str">
        <x:v>Apex Homes</x:v>
      </x:c>
      <x:c r="E432" s="60" t="str">
        <x:v>https://apexhomesva.com</x:v>
      </x:c>
      <x:c r="F432" s="60" t="str">
        <x:v>https://apexhomesva.com</x:v>
      </x:c>
      <x:c r="G432" s="60" t="str">
        <x:v>Taylors</x:v>
      </x:c>
      <x:c r="H432" s="60" t="str">
        <x:v>South Carolina</x:v>
      </x:c>
      <x:c r="I432" s="60" t="str">
        <x:v>Remodeling</x:v>
      </x:c>
      <x:c r="J432" s="60" t="str">
        <x:v>Joel</x:v>
      </x:c>
      <x:c r="K432" s="60" t="str">
        <x:v>Barrs</x:v>
      </x:c>
      <x:c r="L432" s="60" t="str">
        <x:v>Owner</x:v>
      </x:c>
      <x:c r="M432" s="60" t="str"/>
      <x:c r="N432" s="60" t="str"/>
      <x:c r="O432" s="60" t="str">
        <x:v>+1 864 304 3894</x:v>
      </x:c>
      <x:c r="P432" s="60" t="str">
        <x:v>https://www.linkedin.com/in/joel-barrs-ab796b56</x:v>
      </x:c>
      <x:c r="Q432" s="60" t="str">
        <x:v>2-10</x:v>
      </x:c>
      <x:c r="R432" s="60" t="str">
        <x:v>100000-499999</x:v>
      </x:c>
      <x:c r="S432" s="60" t="str"/>
      <x:c r="T432" s="74" t="str">
        <x:v>0</x:v>
      </x:c>
      <x:c r="U432" s="60" t="str"/>
      <x:c r="V432" s="74" t="str">
        <x:v>25</x:v>
      </x:c>
      <x:c r="W432" s="74" t="str">
        <x:v>0</x:v>
      </x:c>
      <x:c r="X432" s="74" t="str">
        <x:v>13</x:v>
      </x:c>
      <x:c r="Y432" s="74" t="str">
        <x:v>9</x:v>
      </x:c>
      <x:c r="Z432" s="74" t="str">
        <x:v>5</x:v>
      </x:c>
      <x:c r="AA432" s="74" t="str">
        <x:v>0</x:v>
      </x:c>
      <x:c r="AB432" s="74" t="str">
        <x:v>0</x:v>
      </x:c>
      <x:c r="AC432" s="74" t="str">
        <x:v>0</x:v>
      </x:c>
      <x:c r="AD432" s="74" t="str">
        <x:v>0</x:v>
      </x:c>
      <x:c r="AE432" s="74" t="str">
        <x:v>0</x:v>
      </x:c>
      <x:c r="AF432" s="74" t="str"/>
      <x:c r="AG432" s="74" t="str">
        <x:v>0</x:v>
      </x:c>
      <x:c r="AH432" s="74" t="str">
        <x:v>1</x:v>
      </x:c>
      <x:c r="AI432" s="74" t="str">
        <x:v>1</x:v>
      </x:c>
      <x:c r="AJ432" s="74" t="str">
        <x:v>0</x:v>
      </x:c>
      <x:c r="AK432" s="74" t="str">
        <x:v>0</x:v>
      </x:c>
      <x:c r="AL432" s="74" t="str">
        <x:v>0</x:v>
      </x:c>
      <x:c r="AM432" s="74" t="str">
        <x:v>1</x:v>
      </x:c>
      <x:c r="AN432" s="74" t="str">
        <x:v>0</x:v>
      </x:c>
      <x:c r="AO432" s="60" t="str">
        <x:v>2022</x:v>
      </x:c>
      <x:c r="AP432" s="76" t="str">
        <x:v>Project/gallery proof found; no embedded homepage video found</x:v>
      </x:c>
      <x:c r="AQ432" s="76" t="str">
        <x:v>project/gallery proof; testimonials; no embedded homepage video detected</x:v>
      </x:c>
      <x:c r="AR432" s="76" t="str">
        <x:v>I found project/gallery proof on Apex Homes's site that could be repackaged into short-form ad concepts.</x:v>
      </x:c>
      <x:c r="AS432" s="76" t="str">
        <x:v>project reveal with budget-and-timeline proof</x:v>
      </x:c>
      <x:c r="AT432" s="76" t="str">
        <x:v>Apex Homes ad concept</x:v>
      </x:c>
      <x:c r="AU432" s="76" t="str">
        <x:v>Hi Joel — I found project/gallery proof on Apex Homes's site that could be repackaged into short-form ad concepts. I mapped a private 15-second project reveal with budget-and-timeline proof for Apex Homes using only public brand context—not for publishing, just to show the angle. We build three client-approved video ad concepts in seven days, then turn the winners into fresh variations. No filming day required. Worth sending the private sample?</x:v>
      </x:c>
      <x:c r="AV432" s="76" t="str">
        <x:v>Quick follow-up: the sample angle is a project reveal with budget-and-timeline proof. If it misses the mark, no problem—I won't keep chasing. Should I send it?</x:v>
      </x:c>
      <x:c r="AW432" s="76" t="str">
        <x:v>Hi Joel, Ryan here. I was looking at Apex Homes's public marketing and noticed: project/gallery proof found; no embedded homepage video found. I mapped one private project reveal with budget-and-timeline proof as an example. Did I catch you with 30 seconds?</x:v>
      </x:c>
      <x:c r="AX432" s="60" t="str">
        <x:v>https://www.facebook.com/ads/library/?active_status=active&amp;ad_type=all&amp;country=US&amp;q=Apex%20Homes&amp;search_type=keyword_unordered</x:v>
      </x:c>
      <x:c r="AY432" s="60" t="str">
        <x:v>ok:200</x:v>
      </x:c>
      <x:c r="AZ432" s="60" t="n">
        <x:v>46232.722858796296</x:v>
      </x:c>
      <x:c r="BA432" s="60" t="str">
        <x:v>AI Ark SC trades export</x:v>
      </x:c>
      <x:c r="BB432" s="60" t="str">
        <x:v>https://apexhomesva.com | https://www.linkedin.com/company/apexhomesva</x:v>
      </x:c>
      <x:c r="BC432" s="60" t="str"/>
    </x:row>
    <x:row r="433" ht="18" customHeight="1">
      <x:c r="A433" s="70" t="str">
        <x:v>432</x:v>
      </x:c>
      <x:c r="B433" s="70" t="str">
        <x:v>C - Verify</x:v>
      </x:c>
      <x:c r="C433" s="72" t="str">
        <x:v>52</x:v>
      </x:c>
      <x:c r="D433" s="60" t="str">
        <x:v>RainTight Roofing</x:v>
      </x:c>
      <x:c r="E433" s="60" t="str">
        <x:v>https://raintight-roofing.com</x:v>
      </x:c>
      <x:c r="F433" s="60" t="str">
        <x:v>https://raintight-roofing.com</x:v>
      </x:c>
      <x:c r="G433" s="60" t="str">
        <x:v>Hilton Head</x:v>
      </x:c>
      <x:c r="H433" s="60" t="str">
        <x:v>South Carolina</x:v>
      </x:c>
      <x:c r="I433" s="60" t="str">
        <x:v>Roofing</x:v>
      </x:c>
      <x:c r="J433" s="60" t="str">
        <x:v>RainTight Roofing</x:v>
      </x:c>
      <x:c r="K433" s="60" t="str"/>
      <x:c r="L433" s="60" t="str">
        <x:v>Owner / decision maker to verify</x:v>
      </x:c>
      <x:c r="M433" s="60" t="str"/>
      <x:c r="N433" s="60" t="str"/>
      <x:c r="O433" s="60" t="str">
        <x:v>(843) 683-0199</x:v>
      </x:c>
      <x:c r="P433" s="60" t="str"/>
      <x:c r="Q433" s="60" t="str"/>
      <x:c r="R433" s="60" t="str"/>
      <x:c r="S433" s="60" t="str">
        <x:v>5</x:v>
      </x:c>
      <x:c r="T433" s="74" t="str">
        <x:v>44</x:v>
      </x:c>
      <x:c r="U433" s="60" t="str"/>
      <x:c r="V433" s="74" t="str">
        <x:v>27</x:v>
      </x:c>
      <x:c r="W433" s="74" t="str">
        <x:v>0</x:v>
      </x:c>
      <x:c r="X433" s="74" t="str">
        <x:v>13</x:v>
      </x:c>
      <x:c r="Y433" s="74" t="str">
        <x:v>7</x:v>
      </x:c>
      <x:c r="Z433" s="74" t="str">
        <x:v>5</x:v>
      </x:c>
      <x:c r="AA433" s="74" t="str">
        <x:v>0</x:v>
      </x:c>
      <x:c r="AB433" s="74" t="str">
        <x:v>0</x:v>
      </x:c>
      <x:c r="AC433" s="74" t="str">
        <x:v>0</x:v>
      </x:c>
      <x:c r="AD433" s="74" t="str">
        <x:v>0</x:v>
      </x:c>
      <x:c r="AE433" s="74" t="str">
        <x:v>0</x:v>
      </x:c>
      <x:c r="AF433" s="74" t="str"/>
      <x:c r="AG433" s="74" t="str">
        <x:v>0</x:v>
      </x:c>
      <x:c r="AH433" s="74" t="str">
        <x:v>1</x:v>
      </x:c>
      <x:c r="AI433" s="74" t="str">
        <x:v>0</x:v>
      </x:c>
      <x:c r="AJ433" s="74" t="str">
        <x:v>0</x:v>
      </x:c>
      <x:c r="AK433" s="74" t="str">
        <x:v>0</x:v>
      </x:c>
      <x:c r="AL433" s="74" t="str">
        <x:v>0</x:v>
      </x:c>
      <x:c r="AM433" s="74" t="str">
        <x:v>0</x:v>
      </x:c>
      <x:c r="AN433" s="74" t="str">
        <x:v>0</x:v>
      </x:c>
      <x:c r="AO433" s="60" t="str">
        <x:v>2018</x:v>
      </x:c>
      <x:c r="AP433" s="76" t="str">
        <x:v>Project/gallery proof found; no embedded homepage video found</x:v>
      </x:c>
      <x:c r="AQ433" s="76" t="str">
        <x:v>project/gallery proof; no embedded homepage video detected</x:v>
      </x:c>
      <x:c r="AR433" s="76" t="str">
        <x:v>I found project/gallery proof on RainTight Roofing's site that could be repackaged into short-form ad concepts.</x:v>
      </x:c>
      <x:c r="AS433" s="76" t="str">
        <x:v>storm-to-inspection before/after ad</x:v>
      </x:c>
      <x:c r="AT433" s="76" t="str">
        <x:v>RainTight Roofing ad concept</x:v>
      </x:c>
      <x:c r="AU433" s="76" t="str">
        <x:v>Hi RainTight Roofing — I found project/gallery proof on RainTight Roofing's site that could be repackaged into short-form ad concepts. I mapped a private 15-second storm-to-inspection before/after ad for RainTight Roofing using only public brand context—not for publishing, just to show the angle. We build three client-approved video ad concepts in seven days, then turn the winners into fresh variations. No filming day required. Worth sending the private sample?</x:v>
      </x:c>
      <x:c r="AV433" s="76" t="str">
        <x:v>Quick follow-up: the sample angle is a storm-to-inspection before/after ad. If it misses the mark, no problem—I won't keep chasing. Should I send it?</x:v>
      </x:c>
      <x:c r="AW433" s="76" t="str">
        <x:v>Hi RainTight Roofing, Ryan here. I was looking at RainTight Roofing's public marketing and noticed: project/gallery proof found; no embedded homepage video found. I mapped one private storm-to-inspection before/after ad as an example. Did I catch you with 30 seconds?</x:v>
      </x:c>
      <x:c r="AX433" s="60" t="str">
        <x:v>https://www.facebook.com/ads/library/?active_status=active&amp;ad_type=all&amp;country=US&amp;q=RainTight%20Roofing&amp;search_type=keyword_unordered</x:v>
      </x:c>
      <x:c r="AY433" s="60" t="str">
        <x:v>ok:200</x:v>
      </x:c>
      <x:c r="AZ433" s="60" t="n">
        <x:v>46232.722858796296</x:v>
      </x:c>
      <x:c r="BA433" s="60" t="str">
        <x:v>Google Maps home-services export</x:v>
      </x:c>
      <x:c r="BB433" s="60" t="str">
        <x:v>https://maps.google.com/?cid=14550860875137367900&amp;g_mp=Cidnb29nbGUubWFwcy5wbGFjZXMudjEuUGxhY2VzLlNlYXJjaFRleHQQAhgEIAA | https://raintight-roofing.com</x:v>
      </x:c>
      <x:c r="BC433" s="60" t="str"/>
    </x:row>
    <x:row r="434" ht="18" customHeight="1">
      <x:c r="A434" s="70" t="str">
        <x:v>433</x:v>
      </x:c>
      <x:c r="B434" s="70" t="str">
        <x:v>C - Verify</x:v>
      </x:c>
      <x:c r="C434" s="72" t="str">
        <x:v>52</x:v>
      </x:c>
      <x:c r="D434" s="60" t="str">
        <x:v>Catawba Waterproofing</x:v>
      </x:c>
      <x:c r="E434" s="60" t="str">
        <x:v>https://catawbawaterproofing.com</x:v>
      </x:c>
      <x:c r="F434" s="60" t="str">
        <x:v>https://catawbawaterproofing.com</x:v>
      </x:c>
      <x:c r="G434" s="60" t="str">
        <x:v>Rock Hill</x:v>
      </x:c>
      <x:c r="H434" s="60" t="str">
        <x:v>South Carolina</x:v>
      </x:c>
      <x:c r="I434" s="60" t="str">
        <x:v>Roofing</x:v>
      </x:c>
      <x:c r="J434" s="60" t="str">
        <x:v>Chris</x:v>
      </x:c>
      <x:c r="K434" s="60" t="str">
        <x:v>Estes</x:v>
      </x:c>
      <x:c r="L434" s="60" t="str">
        <x:v>Owner</x:v>
      </x:c>
      <x:c r="M434" s="60" t="str">
        <x:v>cestes@catawbawaterproofing.com</x:v>
      </x:c>
      <x:c r="N434" s="60" t="str">
        <x:v>Verified with BounceBan on 08 Jun 26 12:06</x:v>
      </x:c>
      <x:c r="O434" s="60" t="str"/>
      <x:c r="P434" s="60" t="str">
        <x:v>https://www.linkedin.com/in/chris-estes-47066823b</x:v>
      </x:c>
      <x:c r="Q434" s="60" t="str">
        <x:v>11-50</x:v>
      </x:c>
      <x:c r="R434" s="60" t="str">
        <x:v>100000-499999</x:v>
      </x:c>
      <x:c r="S434" s="60" t="str"/>
      <x:c r="T434" s="74" t="str">
        <x:v>0</x:v>
      </x:c>
      <x:c r="U434" s="60" t="str"/>
      <x:c r="V434" s="74" t="str">
        <x:v>30</x:v>
      </x:c>
      <x:c r="W434" s="74" t="str">
        <x:v>0</x:v>
      </x:c>
      <x:c r="X434" s="74" t="str">
        <x:v>10</x:v>
      </x:c>
      <x:c r="Y434" s="74" t="str">
        <x:v>5</x:v>
      </x:c>
      <x:c r="Z434" s="74" t="str">
        <x:v>7</x:v>
      </x:c>
      <x:c r="AA434" s="74" t="str">
        <x:v>0</x:v>
      </x:c>
      <x:c r="AB434" s="74" t="str">
        <x:v>0</x:v>
      </x:c>
      <x:c r="AC434" s="74" t="str">
        <x:v>0</x:v>
      </x:c>
      <x:c r="AD434" s="74" t="str">
        <x:v>0</x:v>
      </x:c>
      <x:c r="AE434" s="74" t="str">
        <x:v>0</x:v>
      </x:c>
      <x:c r="AF434" s="74" t="str"/>
      <x:c r="AG434" s="74" t="str">
        <x:v>0</x:v>
      </x:c>
      <x:c r="AH434" s="74" t="str">
        <x:v>1</x:v>
      </x:c>
      <x:c r="AI434" s="74" t="str">
        <x:v>0</x:v>
      </x:c>
      <x:c r="AJ434" s="74" t="str">
        <x:v>0</x:v>
      </x:c>
      <x:c r="AK434" s="74" t="str">
        <x:v>0</x:v>
      </x:c>
      <x:c r="AL434" s="74" t="str">
        <x:v>0</x:v>
      </x:c>
      <x:c r="AM434" s="74" t="str">
        <x:v>0</x:v>
      </x:c>
      <x:c r="AN434" s="74" t="str">
        <x:v>0</x:v>
      </x:c>
      <x:c r="AO434" s="60" t="str">
        <x:v>2026</x:v>
      </x:c>
      <x:c r="AP434" s="76" t="str">
        <x:v>Project/gallery proof found; no embedded homepage video found</x:v>
      </x:c>
      <x:c r="AQ434" s="76" t="str">
        <x:v>project/gallery proof; no embedded homepage video detected</x:v>
      </x:c>
      <x:c r="AR434" s="76" t="str">
        <x:v>I found project/gallery proof on Catawba Waterproofing's site that could be repackaged into short-form ad concepts.</x:v>
      </x:c>
      <x:c r="AS434" s="76" t="str">
        <x:v>storm-to-inspection before/after ad</x:v>
      </x:c>
      <x:c r="AT434" s="76" t="str">
        <x:v>Catawba Waterproofing ad concept</x:v>
      </x:c>
      <x:c r="AU434" s="76" t="str">
        <x:v>Hi Chris — I found project/gallery proof on Catawba Waterproofing's site that could be repackaged into short-form ad concepts. I mapped a private 15-second storm-to-inspection before/after ad for Catawba Waterproofing using only public brand context—not for publishing, just to show the angle. We build three client-approved video ad concepts in seven days, then turn the winners into fresh variations. No filming day required. Worth sending the private sample?</x:v>
      </x:c>
      <x:c r="AV434" s="76" t="str">
        <x:v>Quick follow-up: the sample angle is a storm-to-inspection before/after ad. If it misses the mark, no problem—I won't keep chasing. Should I send it?</x:v>
      </x:c>
      <x:c r="AW434" s="76" t="str">
        <x:v>Hi Chris, Ryan here. I was looking at Catawba Waterproofing's public marketing and noticed: project/gallery proof found; no embedded homepage video found. I mapped one private storm-to-inspection before/after ad as an example. Did I catch you with 30 seconds?</x:v>
      </x:c>
      <x:c r="AX434" s="60" t="str">
        <x:v>https://www.facebook.com/ads/library/?active_status=active&amp;ad_type=all&amp;country=US&amp;q=Catawba%20Waterproofing&amp;search_type=keyword_unordered</x:v>
      </x:c>
      <x:c r="AY434" s="60" t="str">
        <x:v>ok:200</x:v>
      </x:c>
      <x:c r="AZ434" s="60" t="n">
        <x:v>46232.722858796296</x:v>
      </x:c>
      <x:c r="BA434" s="60" t="str">
        <x:v>AI Ark SC trades export</x:v>
      </x:c>
      <x:c r="BB434" s="60" t="str">
        <x:v>https://catawbawaterproofing.com | https://www.linkedin.com/company/catawbawaterproofing</x:v>
      </x:c>
      <x:c r="BC434" s="60" t="str"/>
    </x:row>
    <x:row r="435" ht="18" customHeight="1">
      <x:c r="A435" s="70" t="str">
        <x:v>434</x:v>
      </x:c>
      <x:c r="B435" s="70" t="str">
        <x:v>C - Verify</x:v>
      </x:c>
      <x:c r="C435" s="72" t="str">
        <x:v>52</x:v>
      </x:c>
      <x:c r="D435" s="60" t="str">
        <x:v>Storm Guard Roofing</x:v>
      </x:c>
      <x:c r="E435" s="60" t="str">
        <x:v>https://stormguardrc.com</x:v>
      </x:c>
      <x:c r="F435" s="60" t="str">
        <x:v>https://www.stormguardrc.com/</x:v>
      </x:c>
      <x:c r="G435" s="60" t="str">
        <x:v>Charleston</x:v>
      </x:c>
      <x:c r="H435" s="60" t="str">
        <x:v>South Carolina Metropolitan Area</x:v>
      </x:c>
      <x:c r="I435" s="60" t="str">
        <x:v>Roofing</x:v>
      </x:c>
      <x:c r="J435" s="60" t="str">
        <x:v>Scott</x:v>
      </x:c>
      <x:c r="K435" s="60" t="str">
        <x:v>Deavenport</x:v>
      </x:c>
      <x:c r="L435" s="60" t="str">
        <x:v>President / Owner</x:v>
      </x:c>
      <x:c r="M435" s="60" t="str">
        <x:v>sdeavenport@stormguardrc.com</x:v>
      </x:c>
      <x:c r="N435" s="60" t="str">
        <x:v>Verified with BounceBan on 07 Jun 26 21:09</x:v>
      </x:c>
      <x:c r="O435" s="60" t="str">
        <x:v>(843) 920-6089</x:v>
      </x:c>
      <x:c r="P435" s="60" t="str">
        <x:v>https://www.linkedin.com/in/scott-deavenport-11573a96</x:v>
      </x:c>
      <x:c r="Q435" s="60" t="str">
        <x:v>11-50</x:v>
      </x:c>
      <x:c r="R435" s="60" t="str">
        <x:v>5000000-9999999</x:v>
      </x:c>
      <x:c r="S435" s="60" t="str">
        <x:v>4.9</x:v>
      </x:c>
      <x:c r="T435" s="74" t="str">
        <x:v>66</x:v>
      </x:c>
      <x:c r="U435" s="60" t="str"/>
      <x:c r="V435" s="74" t="str">
        <x:v>30</x:v>
      </x:c>
      <x:c r="W435" s="74" t="str">
        <x:v>0</x:v>
      </x:c>
      <x:c r="X435" s="74" t="str">
        <x:v>10</x:v>
      </x:c>
      <x:c r="Y435" s="74" t="str">
        <x:v>2</x:v>
      </x:c>
      <x:c r="Z435" s="74" t="str">
        <x:v>10</x:v>
      </x:c>
      <x:c r="AA435" s="74" t="str">
        <x:v>0</x:v>
      </x:c>
      <x:c r="AB435" s="74" t="str">
        <x:v>0</x:v>
      </x:c>
      <x:c r="AC435" s="74" t="str">
        <x:v>0</x:v>
      </x:c>
      <x:c r="AD435" s="74" t="str">
        <x:v>0</x:v>
      </x:c>
      <x:c r="AE435" s="74" t="str">
        <x:v>0</x:v>
      </x:c>
      <x:c r="AF435" s="74" t="str"/>
      <x:c r="AG435" s="74" t="str">
        <x:v>0</x:v>
      </x:c>
      <x:c r="AH435" s="74" t="str">
        <x:v>0</x:v>
      </x:c>
      <x:c r="AI435" s="74" t="str">
        <x:v>0</x:v>
      </x:c>
      <x:c r="AJ435" s="74" t="str">
        <x:v>0</x:v>
      </x:c>
      <x:c r="AK435" s="74" t="str">
        <x:v>0</x:v>
      </x:c>
      <x:c r="AL435" s="74" t="str">
        <x:v>0</x:v>
      </x:c>
      <x:c r="AM435" s="74" t="str">
        <x:v>0</x:v>
      </x:c>
      <x:c r="AN435" s="74" t="str">
        <x:v>0</x:v>
      </x:c>
      <x:c r="AO435" s="60" t="str">
        <x:v>0</x:v>
      </x:c>
      <x:c r="AP435" s="76" t="str">
        <x:v>ICP fit; paid-demand need requires manual verification</x:v>
      </x:c>
      <x:c r="AQ435" s="76" t="str">
        <x:v>no embedded homepage video detected</x:v>
      </x:c>
      <x:c r="AR435" s="76" t="str">
        <x:v>I was reviewing roofing companies in Charleston, South Carolina Metropolitan Area and Storm Guard Roofing looked like a strong fit for a creative test.</x:v>
      </x:c>
      <x:c r="AS435" s="76" t="str">
        <x:v>storm-to-inspection before/after ad</x:v>
      </x:c>
      <x:c r="AT435" s="76" t="str">
        <x:v>Storm Guard Roofing ad concept</x:v>
      </x:c>
      <x:c r="AU435" s="76" t="str">
        <x:v>Hi Scott — I was reviewing roofing companies in Charleston, South Carolina Metropolitan Area and Storm Guard Roofing looked like a strong fit for a creative test. I mapped a private 15-second storm-to-inspection before/after ad for Storm Guard Roofing using only public brand context—not for publishing, just to show the angle. We build three client-approved video ad concepts in seven days, then turn the winners into fresh variations. No filming day required. Worth sending the private sample?</x:v>
      </x:c>
      <x:c r="AV435" s="76" t="str">
        <x:v>Quick follow-up: the sample angle is a storm-to-inspection before/after ad. If it misses the mark, no problem—I won't keep chasing. Should I send it?</x:v>
      </x:c>
      <x:c r="AW435" s="76" t="str">
        <x:v>Hi Scott, Ryan here. I was looking at Storm Guard Roofing's public marketing and noticed: icp fit; paid-demand need requires manual verification. I mapped one private storm-to-inspection before/after ad as an example. Did I catch you with 30 seconds?</x:v>
      </x:c>
      <x:c r="AX435" s="60" t="str">
        <x:v>https://www.facebook.com/ads/library/?active_status=active&amp;ad_type=all&amp;country=US&amp;q=Storm%20Guard%20Roofing&amp;search_type=keyword_unordered</x:v>
      </x:c>
      <x:c r="AY435" s="60" t="str">
        <x:v>ok:200</x:v>
      </x:c>
      <x:c r="AZ435" s="60" t="n">
        <x:v>46232.722858796296</x:v>
      </x:c>
      <x:c r="BA435" s="60" t="str">
        <x:v>AI Ark SC trades export | Google Maps home-services export</x:v>
      </x:c>
      <x:c r="BB435" s="60" t="str">
        <x:v>https://maps.google.com/?cid=11369083140454882891&amp;g_mp=Cidnb29nbGUubWFwcy5wbGFjZXMudjEuUGxhY2VzLlNlYXJjaFRleHQQAhgEIAA | https://stormguardrc.com | https://www.linkedin.com/company/storm-guard-confidence</x:v>
      </x:c>
      <x:c r="BC435" s="60" t="str"/>
    </x:row>
    <x:row r="436" ht="18" customHeight="1">
      <x:c r="A436" s="70" t="str">
        <x:v>435</x:v>
      </x:c>
      <x:c r="B436" s="70" t="str">
        <x:v>C - Verify</x:v>
      </x:c>
      <x:c r="C436" s="72" t="str">
        <x:v>52</x:v>
      </x:c>
      <x:c r="D436" s="60" t="str">
        <x:v>IPW Construction Group, LLC</x:v>
      </x:c>
      <x:c r="E436" s="60" t="str">
        <x:v>https://ipwcg.com</x:v>
      </x:c>
      <x:c r="F436" s="60" t="str">
        <x:v>https://ipwcg.com</x:v>
      </x:c>
      <x:c r="G436" s="60" t="str">
        <x:v>North Charleston</x:v>
      </x:c>
      <x:c r="H436" s="60" t="str">
        <x:v>South Carolina</x:v>
      </x:c>
      <x:c r="I436" s="60" t="str">
        <x:v>Foundation &amp; Waterproofing</x:v>
      </x:c>
      <x:c r="J436" s="60" t="str">
        <x:v>Cyrus</x:v>
      </x:c>
      <x:c r="K436" s="60" t="str">
        <x:v>Sinor</x:v>
      </x:c>
      <x:c r="L436" s="60" t="str">
        <x:v>Owner</x:v>
      </x:c>
      <x:c r="M436" s="60" t="str">
        <x:v>csinor@ipwco.com</x:v>
      </x:c>
      <x:c r="N436" s="60" t="str">
        <x:v>Verified with BounceBan on 08 Jun 26 12:06</x:v>
      </x:c>
      <x:c r="O436" s="60" t="str">
        <x:v>+1 843 437 3777, +1 864 201 6204</x:v>
      </x:c>
      <x:c r="P436" s="60" t="str">
        <x:v>https://www.linkedin.com/in/cyrus-sinor-a48078b</x:v>
      </x:c>
      <x:c r="Q436" s="60" t="str">
        <x:v>11-50</x:v>
      </x:c>
      <x:c r="R436" s="60" t="str">
        <x:v>100000-499999</x:v>
      </x:c>
      <x:c r="S436" s="60" t="str"/>
      <x:c r="T436" s="74" t="str">
        <x:v>0</x:v>
      </x:c>
      <x:c r="U436" s="60" t="str"/>
      <x:c r="V436" s="74" t="str">
        <x:v>29</x:v>
      </x:c>
      <x:c r="W436" s="74" t="str">
        <x:v>0</x:v>
      </x:c>
      <x:c r="X436" s="74" t="str">
        <x:v>13</x:v>
      </x:c>
      <x:c r="Y436" s="74" t="str">
        <x:v>0</x:v>
      </x:c>
      <x:c r="Z436" s="74" t="str">
        <x:v>10</x:v>
      </x:c>
      <x:c r="AA436" s="74" t="str">
        <x:v>0</x:v>
      </x:c>
      <x:c r="AB436" s="74" t="str">
        <x:v>0</x:v>
      </x:c>
      <x:c r="AC436" s="74" t="str">
        <x:v>0</x:v>
      </x:c>
      <x:c r="AD436" s="74" t="str">
        <x:v>0</x:v>
      </x:c>
      <x:c r="AE436" s="74" t="str">
        <x:v>0</x:v>
      </x:c>
      <x:c r="AF436" s="74" t="str"/>
      <x:c r="AG436" s="74" t="str">
        <x:v>0</x:v>
      </x:c>
      <x:c r="AH436" s="74" t="str">
        <x:v>0</x:v>
      </x:c>
      <x:c r="AI436" s="74" t="str">
        <x:v>0</x:v>
      </x:c>
      <x:c r="AJ436" s="74" t="str">
        <x:v>0</x:v>
      </x:c>
      <x:c r="AK436" s="74" t="str">
        <x:v>0</x:v>
      </x:c>
      <x:c r="AL436" s="74" t="str">
        <x:v>0</x:v>
      </x:c>
      <x:c r="AM436" s="74" t="str">
        <x:v>0</x:v>
      </x:c>
      <x:c r="AN436" s="74" t="str">
        <x:v>0</x:v>
      </x:c>
      <x:c r="AO436" s="60" t="str">
        <x:v>2015</x:v>
      </x:c>
      <x:c r="AP436" s="76" t="str">
        <x:v>ICP fit; paid-demand need requires manual verification</x:v>
      </x:c>
      <x:c r="AQ436" s="76" t="str">
        <x:v>no embedded homepage video detected</x:v>
      </x:c>
      <x:c r="AR436" s="76" t="str">
        <x:v>I was reviewing foundation &amp; waterproofing companies in North Charleston, South Carolina and IPW Construction Group, LLC looked like a strong fit for a creative test.</x:v>
      </x:c>
      <x:c r="AS436" s="76" t="str">
        <x:v>visible-warning-signs inspection ad</x:v>
      </x:c>
      <x:c r="AT436" s="76" t="str">
        <x:v>IPW Construction Group, LLC ad concept</x:v>
      </x:c>
      <x:c r="AU436" s="76" t="str">
        <x:v>Hi Cyrus — I was reviewing foundation &amp; waterproofing companies in North Charleston, South Carolina and IPW Construction Group, LLC looked like a strong fit for a creative test. I mapped a private 15-second visible-warning-signs inspection ad for IPW Construction Group, LLC using only public brand context—not for publishing, just to show the angle. We build three client-approved video ad concepts in seven days, then turn the winners into fresh variations. No filming day required. Worth sending the private sample?</x:v>
      </x:c>
      <x:c r="AV436" s="76" t="str">
        <x:v>Quick follow-up: the sample angle is a visible-warning-signs inspection ad. If it misses the mark, no problem—I won't keep chasing. Should I send it?</x:v>
      </x:c>
      <x:c r="AW436" s="76" t="str">
        <x:v>Hi Cyrus, Ryan here. I was looking at IPW Construction Group, LLC's public marketing and noticed: icp fit; paid-demand need requires manual verification. I mapped one private visible-warning-signs inspection ad as an example. Did I catch you with 30 seconds?</x:v>
      </x:c>
      <x:c r="AX436" s="60" t="str">
        <x:v>https://www.facebook.com/ads/library/?active_status=active&amp;ad_type=all&amp;country=US&amp;q=IPW%20Construction%20Group%2C%20LLC&amp;search_type=keyword_unordered</x:v>
      </x:c>
      <x:c r="AY436" s="60" t="str">
        <x:v>ok:200</x:v>
      </x:c>
      <x:c r="AZ436" s="60" t="n">
        <x:v>46232.722858796296</x:v>
      </x:c>
      <x:c r="BA436" s="60" t="str">
        <x:v>AI Ark SC trades export</x:v>
      </x:c>
      <x:c r="BB436" s="60" t="str">
        <x:v>https://ipwcg.com | https://www.linkedin.com/company/ipwco</x:v>
      </x:c>
      <x:c r="BC436" s="60" t="str"/>
    </x:row>
    <x:row r="437" ht="18" customHeight="1">
      <x:c r="A437" s="70" t="str">
        <x:v>436</x:v>
      </x:c>
      <x:c r="B437" s="70" t="str">
        <x:v>C - Verify</x:v>
      </x:c>
      <x:c r="C437" s="72" t="str">
        <x:v>51</x:v>
      </x:c>
      <x:c r="D437" s="60" t="str">
        <x:v>Corporate Cleaning Group</x:v>
      </x:c>
      <x:c r="E437" s="60" t="str">
        <x:v>https://corporatecleaninggroup.com</x:v>
      </x:c>
      <x:c r="F437" s="60" t="str">
        <x:v>https://corporatecleaninggroup.com</x:v>
      </x:c>
      <x:c r="G437" s="60" t="str">
        <x:v>Isle Of Palms</x:v>
      </x:c>
      <x:c r="H437" s="60" t="str">
        <x:v>South Carolina</x:v>
      </x:c>
      <x:c r="I437" s="60" t="str">
        <x:v>Windows &amp; Doors</x:v>
      </x:c>
      <x:c r="J437" s="60" t="str">
        <x:v>Tina</x:v>
      </x:c>
      <x:c r="K437" s="60" t="str">
        <x:v>Bradford</x:v>
      </x:c>
      <x:c r="L437" s="60" t="str">
        <x:v>Co-Owner</x:v>
      </x:c>
      <x:c r="M437" s="60" t="str"/>
      <x:c r="N437" s="60" t="str"/>
      <x:c r="O437" s="60" t="str"/>
      <x:c r="P437" s="60" t="str">
        <x:v>https://www.linkedin.com/in/tina-bradford-ab444231a</x:v>
      </x:c>
      <x:c r="Q437" s="60" t="str">
        <x:v>201-500</x:v>
      </x:c>
      <x:c r="R437" s="60" t="str">
        <x:v>10000000-24999999</x:v>
      </x:c>
      <x:c r="S437" s="60" t="str"/>
      <x:c r="T437" s="74" t="str">
        <x:v>0</x:v>
      </x:c>
      <x:c r="U437" s="60" t="str"/>
      <x:c r="V437" s="74" t="str">
        <x:v>30</x:v>
      </x:c>
      <x:c r="W437" s="74" t="str">
        <x:v>15</x:v>
      </x:c>
      <x:c r="X437" s="74" t="str">
        <x:v>4</x:v>
      </x:c>
      <x:c r="Y437" s="74" t="str">
        <x:v>0</x:v>
      </x:c>
      <x:c r="Z437" s="74" t="str">
        <x:v>2</x:v>
      </x:c>
      <x:c r="AA437" s="74" t="str">
        <x:v>1</x:v>
      </x:c>
      <x:c r="AB437" s="74" t="str">
        <x:v>0</x:v>
      </x:c>
      <x:c r="AC437" s="74" t="str">
        <x:v>1</x:v>
      </x:c>
      <x:c r="AD437" s="74" t="str">
        <x:v>0</x:v>
      </x:c>
      <x:c r="AE437" s="74" t="str">
        <x:v>0</x:v>
      </x:c>
      <x:c r="AF437" s="74" t="str"/>
      <x:c r="AG437" s="74" t="str">
        <x:v>1</x:v>
      </x:c>
      <x:c r="AH437" s="74" t="str">
        <x:v>0</x:v>
      </x:c>
      <x:c r="AI437" s="74" t="str">
        <x:v>0</x:v>
      </x:c>
      <x:c r="AJ437" s="74" t="str">
        <x:v>0</x:v>
      </x:c>
      <x:c r="AK437" s="74" t="str">
        <x:v>0</x:v>
      </x:c>
      <x:c r="AL437" s="74" t="str">
        <x:v>0</x:v>
      </x:c>
      <x:c r="AM437" s="74" t="str">
        <x:v>1</x:v>
      </x:c>
      <x:c r="AN437" s="74" t="str">
        <x:v>0</x:v>
      </x:c>
      <x:c r="AO437" s="60" t="str">
        <x:v>2026</x:v>
      </x:c>
      <x:c r="AP437" s="76" t="str">
        <x:v>Paid-demand technology detected; creative refresh hypothesis</x:v>
      </x:c>
      <x:c r="AQ437" s="76" t="str">
        <x:v>Meta Pixel</x:v>
      </x:c>
      <x:c r="AR437" s="76" t="str">
        <x:v>I was reviewing windows &amp; doors companies in Isle Of Palms, South Carolina and Corporate Cleaning Group looked like a strong fit for a creative test.</x:v>
      </x:c>
      <x:c r="AS437" s="76" t="str">
        <x:v>energy-loss to installed-window transformation ad</x:v>
      </x:c>
      <x:c r="AT437" s="76" t="str">
        <x:v>Corporate Cleaning Group ad concept</x:v>
      </x:c>
      <x:c r="AU437" s="76" t="str">
        <x:v>Hi Tina — I was reviewing windows &amp; doors companies in Isle Of Palms, South Carolina and Corporate Cleaning Group looked like a strong fit for a creative test. I mapped a private 15-second energy-loss to installed-window transformation ad for Corporate Cleaning Group using only public brand context—not for publishing, just to show the angle. We build three client-approved video ad concepts in seven days, then turn the winners into fresh variations. No filming day required. Worth sending the private sample?</x:v>
      </x:c>
      <x:c r="AV437" s="76" t="str">
        <x:v>Quick follow-up: the sample angle is a energy-loss to installed-window transformation ad. If it misses the mark, no problem—I won't keep chasing. Should I send it?</x:v>
      </x:c>
      <x:c r="AW437" s="76" t="str">
        <x:v>Hi Tina, Ryan here. I was looking at Corporate Cleaning Group's public marketing and noticed: paid-demand technology detected; creative refresh hypothesis. I mapped one private energy-loss to installed-window transformation ad as an example. Did I catch you with 30 seconds?</x:v>
      </x:c>
      <x:c r="AX437" s="60" t="str">
        <x:v>https://www.facebook.com/ads/library/?active_status=active&amp;ad_type=all&amp;country=US&amp;q=Corporate%20Cleaning%20Group&amp;search_type=keyword_unordered</x:v>
      </x:c>
      <x:c r="AY437" s="60" t="str">
        <x:v>ok:200</x:v>
      </x:c>
      <x:c r="AZ437" s="60" t="n">
        <x:v>46232.722858796296</x:v>
      </x:c>
      <x:c r="BA437" s="60" t="str">
        <x:v>AI Ark SC trades export</x:v>
      </x:c>
      <x:c r="BB437" s="60" t="str">
        <x:v>https://corporatecleaninggroup.com | https://www.linkedin.com/company/corporate-cleaning-group</x:v>
      </x:c>
      <x:c r="BC437" s="60" t="str"/>
    </x:row>
    <x:row r="438" ht="18" customHeight="1">
      <x:c r="A438" s="70" t="str">
        <x:v>437</x:v>
      </x:c>
      <x:c r="B438" s="70" t="str">
        <x:v>C - Verify</x:v>
      </x:c>
      <x:c r="C438" s="72" t="str">
        <x:v>51</x:v>
      </x:c>
      <x:c r="D438" s="60" t="str">
        <x:v>The Goat Heating and Cooling</x:v>
      </x:c>
      <x:c r="E438" s="60" t="str">
        <x:v>https://callthegoats.com</x:v>
      </x:c>
      <x:c r="F438" s="60" t="str">
        <x:v>https://www.callthegoats.com/</x:v>
      </x:c>
      <x:c r="G438" s="60" t="str">
        <x:v>Summerville</x:v>
      </x:c>
      <x:c r="H438" s="60" t="str">
        <x:v>South Carolina</x:v>
      </x:c>
      <x:c r="I438" s="60" t="str">
        <x:v>HVAC</x:v>
      </x:c>
      <x:c r="J438" s="60" t="str">
        <x:v>The Goat Heating and Cooling</x:v>
      </x:c>
      <x:c r="K438" s="60" t="str"/>
      <x:c r="L438" s="60" t="str">
        <x:v>Owner / decision maker to verify</x:v>
      </x:c>
      <x:c r="M438" s="60" t="str"/>
      <x:c r="N438" s="60" t="str"/>
      <x:c r="O438" s="60" t="str">
        <x:v>(843) 704-8755</x:v>
      </x:c>
      <x:c r="P438" s="60" t="str"/>
      <x:c r="Q438" s="60" t="str"/>
      <x:c r="R438" s="60" t="str"/>
      <x:c r="S438" s="60" t="str">
        <x:v>5</x:v>
      </x:c>
      <x:c r="T438" s="74" t="str">
        <x:v>416</x:v>
      </x:c>
      <x:c r="U438" s="60" t="str"/>
      <x:c r="V438" s="74" t="str">
        <x:v>29</x:v>
      </x:c>
      <x:c r="W438" s="74" t="str">
        <x:v>6</x:v>
      </x:c>
      <x:c r="X438" s="74" t="str">
        <x:v>0</x:v>
      </x:c>
      <x:c r="Y438" s="74" t="str">
        <x:v>11</x:v>
      </x:c>
      <x:c r="Z438" s="74" t="str">
        <x:v>5</x:v>
      </x:c>
      <x:c r="AA438" s="74" t="str">
        <x:v>0</x:v>
      </x:c>
      <x:c r="AB438" s="74" t="str">
        <x:v>0</x:v>
      </x:c>
      <x:c r="AC438" s="74" t="str">
        <x:v>1</x:v>
      </x:c>
      <x:c r="AD438" s="74" t="str">
        <x:v>0</x:v>
      </x:c>
      <x:c r="AE438" s="74" t="str">
        <x:v>0</x:v>
      </x:c>
      <x:c r="AF438" s="74" t="str">
        <x:v>housecallpro</x:v>
      </x:c>
      <x:c r="AG438" s="74" t="str">
        <x:v>1</x:v>
      </x:c>
      <x:c r="AH438" s="74" t="str">
        <x:v>1</x:v>
      </x:c>
      <x:c r="AI438" s="74" t="str">
        <x:v>0</x:v>
      </x:c>
      <x:c r="AJ438" s="74" t="str">
        <x:v>0</x:v>
      </x:c>
      <x:c r="AK438" s="74" t="str">
        <x:v>1</x:v>
      </x:c>
      <x:c r="AL438" s="74" t="str">
        <x:v>1</x:v>
      </x:c>
      <x:c r="AM438" s="74" t="str">
        <x:v>1</x:v>
      </x:c>
      <x:c r="AN438" s="74" t="str">
        <x:v>0</x:v>
      </x:c>
      <x:c r="AO438" s="60" t="str">
        <x:v>0</x:v>
      </x:c>
      <x:c r="AP438" s="76" t="str">
        <x:v>ICP fit; paid-demand need requires manual verification</x:v>
      </x:c>
      <x:c r="AQ438" s="76" t="str">
        <x:v>project/gallery proof; visible service offer</x:v>
      </x:c>
      <x:c r="AR438" s="76" t="str">
        <x:v>I was reviewing hvac companies in Summerville, South Carolina and The Goat Heating and Cooling looked like a strong fit for a creative test.</x:v>
      </x:c>
      <x:c r="AS438" s="76" t="str">
        <x:v>no-cool-call to same-day comfort ad</x:v>
      </x:c>
      <x:c r="AT438" s="76" t="str">
        <x:v>The Goat Heating and Cooling ad concept</x:v>
      </x:c>
      <x:c r="AU438" s="76" t="str">
        <x:v>Hi The Goat Heating and Cooling — I was reviewing hvac companies in Summerville, South Carolina and The Goat Heating and Cooling looked like a strong fit for a creative test. I mapped a private 15-second no-cool-call to same-day comfort ad for The Goat Heating and Cooling using only public brand context—not for publishing, just to show the angle. We build three client-approved video ad concepts in seven days, then turn the winners into fresh variations. No filming day required. Worth sending the private sample?</x:v>
      </x:c>
      <x:c r="AV438" s="76" t="str">
        <x:v>Quick follow-up: the sample angle is a no-cool-call to same-day comfort ad. If it misses the mark, no problem—I won't keep chasing. Should I send it?</x:v>
      </x:c>
      <x:c r="AW438" s="76" t="str">
        <x:v>Hi The Goat Heating and Cooling, Ryan here. I was looking at The Goat Heating and Cooling's public marketing and noticed: icp fit; paid-demand need requires manual verification. I mapped one private no-cool-call to same-day comfort ad as an example. Did I catch you with 30 seconds?</x:v>
      </x:c>
      <x:c r="AX438" s="60" t="str">
        <x:v>https://www.facebook.com/ads/library/?active_status=active&amp;ad_type=all&amp;country=US&amp;q=The%20Goat%20Heating%20and%20Cooling&amp;search_type=keyword_unordered</x:v>
      </x:c>
      <x:c r="AY438" s="60" t="str">
        <x:v>ok:200</x:v>
      </x:c>
      <x:c r="AZ438" s="60" t="n">
        <x:v>46232.722858796296</x:v>
      </x:c>
      <x:c r="BA438" s="60" t="str">
        <x:v>Google Maps home-services export</x:v>
      </x:c>
      <x:c r="BB438" s="60" t="str">
        <x:v>https://callthegoats.com | https://maps.google.com/?cid=8631820863565388769&amp;g_mp=Cidnb29nbGUubWFwcy5wbGFjZXMudjEuUGxhY2VzLlNlYXJjaFRleHQQAhgEIAA</x:v>
      </x:c>
      <x:c r="BC438" s="60" t="str"/>
    </x:row>
    <x:row r="439" ht="18" customHeight="1">
      <x:c r="A439" s="70" t="str">
        <x:v>438</x:v>
      </x:c>
      <x:c r="B439" s="70" t="str">
        <x:v>C - Verify</x:v>
      </x:c>
      <x:c r="C439" s="72" t="str">
        <x:v>51</x:v>
      </x:c>
      <x:c r="D439" s="60" t="str">
        <x:v>Al's A/C and Heating Service LLC.</x:v>
      </x:c>
      <x:c r="E439" s="60" t="str">
        <x:v>https://alsacheating.com</x:v>
      </x:c>
      <x:c r="F439" s="60" t="str">
        <x:v>https://www.alsacheating.com/</x:v>
      </x:c>
      <x:c r="G439" s="60" t="str">
        <x:v>Spartanburg</x:v>
      </x:c>
      <x:c r="H439" s="60" t="str">
        <x:v>South Carolina</x:v>
      </x:c>
      <x:c r="I439" s="60" t="str">
        <x:v>HVAC</x:v>
      </x:c>
      <x:c r="J439" s="60" t="str">
        <x:v>Al's A/C and Heating Service LLC.</x:v>
      </x:c>
      <x:c r="K439" s="60" t="str"/>
      <x:c r="L439" s="60" t="str">
        <x:v>Owner / decision maker to verify</x:v>
      </x:c>
      <x:c r="M439" s="60" t="str"/>
      <x:c r="N439" s="60" t="str"/>
      <x:c r="O439" s="60" t="str">
        <x:v>(864) 580-0124</x:v>
      </x:c>
      <x:c r="P439" s="60" t="str"/>
      <x:c r="Q439" s="60" t="str"/>
      <x:c r="R439" s="60" t="str"/>
      <x:c r="S439" s="60" t="str">
        <x:v>4.9</x:v>
      </x:c>
      <x:c r="T439" s="74" t="str">
        <x:v>81</x:v>
      </x:c>
      <x:c r="U439" s="60" t="str"/>
      <x:c r="V439" s="74" t="str">
        <x:v>26</x:v>
      </x:c>
      <x:c r="W439" s="74" t="str">
        <x:v>6</x:v>
      </x:c>
      <x:c r="X439" s="74" t="str">
        <x:v>4</x:v>
      </x:c>
      <x:c r="Y439" s="74" t="str">
        <x:v>10</x:v>
      </x:c>
      <x:c r="Z439" s="74" t="str">
        <x:v>5</x:v>
      </x:c>
      <x:c r="AA439" s="74" t="str">
        <x:v>0</x:v>
      </x:c>
      <x:c r="AB439" s="74" t="str">
        <x:v>0</x:v>
      </x:c>
      <x:c r="AC439" s="74" t="str">
        <x:v>1</x:v>
      </x:c>
      <x:c r="AD439" s="74" t="str">
        <x:v>0</x:v>
      </x:c>
      <x:c r="AE439" s="74" t="str">
        <x:v>0</x:v>
      </x:c>
      <x:c r="AF439" s="74" t="str">
        <x:v>housecallpro</x:v>
      </x:c>
      <x:c r="AG439" s="74" t="str">
        <x:v>1</x:v>
      </x:c>
      <x:c r="AH439" s="74" t="str">
        <x:v>1</x:v>
      </x:c>
      <x:c r="AI439" s="74" t="str">
        <x:v>0</x:v>
      </x:c>
      <x:c r="AJ439" s="74" t="str">
        <x:v>0</x:v>
      </x:c>
      <x:c r="AK439" s="74" t="str">
        <x:v>1</x:v>
      </x:c>
      <x:c r="AL439" s="74" t="str">
        <x:v>0</x:v>
      </x:c>
      <x:c r="AM439" s="74" t="str">
        <x:v>1</x:v>
      </x:c>
      <x:c r="AN439" s="74" t="str">
        <x:v>0</x:v>
      </x:c>
      <x:c r="AO439" s="60" t="str">
        <x:v>0</x:v>
      </x:c>
      <x:c r="AP439" s="76" t="str">
        <x:v>ICP fit; paid-demand need requires manual verification</x:v>
      </x:c>
      <x:c r="AQ439" s="76" t="str">
        <x:v>project/gallery proof; visible service offer</x:v>
      </x:c>
      <x:c r="AR439" s="76" t="str">
        <x:v>I was reviewing hvac companies in Spartanburg, South Carolina and Al's A/C and Heating Service LLC. looked like a strong fit for a creative test.</x:v>
      </x:c>
      <x:c r="AS439" s="76" t="str">
        <x:v>no-cool-call to same-day comfort ad</x:v>
      </x:c>
      <x:c r="AT439" s="76" t="str">
        <x:v>Al's A/C and Heating Service LLC. ad concept</x:v>
      </x:c>
      <x:c r="AU439" s="76" t="str">
        <x:v>Hi Al's A/C and Heating Service LLC. — I was reviewing hvac companies in Spartanburg, South Carolina and Al's A/C and Heating Service LLC. looked like a strong fit for a creative test. I mapped a private 15-second no-cool-call to same-day comfort ad for Al's A/C and Heating Service LLC. using only public brand context—not for publishing, just to show the angle. We build three client-approved video ad concepts in seven days, then turn the winners into fresh variations. No filming day required. Worth sending the private sample?</x:v>
      </x:c>
      <x:c r="AV439" s="76" t="str">
        <x:v>Quick follow-up: the sample angle is a no-cool-call to same-day comfort ad. If it misses the mark, no problem—I won't keep chasing. Should I send it?</x:v>
      </x:c>
      <x:c r="AW439" s="76" t="str">
        <x:v>Hi Al's A/C and Heating Service LLC., Ryan here. I was looking at Al's A/C and Heating Service LLC.'s public marketing and noticed: icp fit; paid-demand need requires manual verification. I mapped one private no-cool-call to same-day comfort ad as an example. Did I catch you with 30 seconds?</x:v>
      </x:c>
      <x:c r="AX439" s="60" t="str">
        <x:v>https://www.facebook.com/ads/library/?active_status=active&amp;ad_type=all&amp;country=US&amp;q=Al%27s%20A/C%20and%20Heating%20Service%20LLC.&amp;search_type=keyword_unordered</x:v>
      </x:c>
      <x:c r="AY439" s="60" t="str">
        <x:v>ok:200</x:v>
      </x:c>
      <x:c r="AZ439" s="60" t="n">
        <x:v>46232.722858796296</x:v>
      </x:c>
      <x:c r="BA439" s="60" t="str">
        <x:v>Google Maps home-services export</x:v>
      </x:c>
      <x:c r="BB439" s="60" t="str">
        <x:v>https://alsacheating.com | https://maps.google.com/?cid=13581659453441774761&amp;g_mp=Cidnb29nbGUubWFwcy5wbGFjZXMudjEuUGxhY2VzLlNlYXJjaFRleHQQAhgEIAA</x:v>
      </x:c>
      <x:c r="BC439" s="60" t="str"/>
    </x:row>
    <x:row r="440" ht="18" customHeight="1">
      <x:c r="A440" s="70" t="str">
        <x:v>439</x:v>
      </x:c>
      <x:c r="B440" s="70" t="str">
        <x:v>C - Verify</x:v>
      </x:c>
      <x:c r="C440" s="72" t="str">
        <x:v>51</x:v>
      </x:c>
      <x:c r="D440" s="60" t="str">
        <x:v>Pryor Electric</x:v>
      </x:c>
      <x:c r="E440" s="60" t="str">
        <x:v>https://pryorelectricsc.com</x:v>
      </x:c>
      <x:c r="F440" s="60" t="str">
        <x:v>https://www.pryorelectricsc.com/</x:v>
      </x:c>
      <x:c r="G440" s="60" t="str">
        <x:v>Florence</x:v>
      </x:c>
      <x:c r="H440" s="60" t="str">
        <x:v>South Carolina</x:v>
      </x:c>
      <x:c r="I440" s="60" t="str">
        <x:v>Electrical</x:v>
      </x:c>
      <x:c r="J440" s="60" t="str">
        <x:v>Pryor Electric</x:v>
      </x:c>
      <x:c r="K440" s="60" t="str"/>
      <x:c r="L440" s="60" t="str">
        <x:v>Owner / decision maker to verify</x:v>
      </x:c>
      <x:c r="M440" s="60" t="str"/>
      <x:c r="N440" s="60" t="str"/>
      <x:c r="O440" s="60" t="str">
        <x:v>(843) 319-1578</x:v>
      </x:c>
      <x:c r="P440" s="60" t="str"/>
      <x:c r="Q440" s="60" t="str"/>
      <x:c r="R440" s="60" t="str"/>
      <x:c r="S440" s="60" t="str">
        <x:v>4.9</x:v>
      </x:c>
      <x:c r="T440" s="74" t="str">
        <x:v>314</x:v>
      </x:c>
      <x:c r="U440" s="60" t="str"/>
      <x:c r="V440" s="74" t="str">
        <x:v>24</x:v>
      </x:c>
      <x:c r="W440" s="74" t="str">
        <x:v>6</x:v>
      </x:c>
      <x:c r="X440" s="74" t="str">
        <x:v>10</x:v>
      </x:c>
      <x:c r="Y440" s="74" t="str">
        <x:v>6</x:v>
      </x:c>
      <x:c r="Z440" s="74" t="str">
        <x:v>5</x:v>
      </x:c>
      <x:c r="AA440" s="74" t="str">
        <x:v>0</x:v>
      </x:c>
      <x:c r="AB440" s="74" t="str">
        <x:v>0</x:v>
      </x:c>
      <x:c r="AC440" s="74" t="str">
        <x:v>1</x:v>
      </x:c>
      <x:c r="AD440" s="74" t="str">
        <x:v>0</x:v>
      </x:c>
      <x:c r="AE440" s="74" t="str">
        <x:v>0</x:v>
      </x:c>
      <x:c r="AF440" s="74" t="str">
        <x:v>housecallpro</x:v>
      </x:c>
      <x:c r="AG440" s="74" t="str">
        <x:v>0</x:v>
      </x:c>
      <x:c r="AH440" s="74" t="str">
        <x:v>0</x:v>
      </x:c>
      <x:c r="AI440" s="74" t="str">
        <x:v>0</x:v>
      </x:c>
      <x:c r="AJ440" s="74" t="str">
        <x:v>0</x:v>
      </x:c>
      <x:c r="AK440" s="74" t="str">
        <x:v>1</x:v>
      </x:c>
      <x:c r="AL440" s="74" t="str">
        <x:v>0</x:v>
      </x:c>
      <x:c r="AM440" s="74" t="str">
        <x:v>1</x:v>
      </x:c>
      <x:c r="AN440" s="74" t="str">
        <x:v>0</x:v>
      </x:c>
      <x:c r="AO440" s="60" t="str">
        <x:v>0</x:v>
      </x:c>
      <x:c r="AP440" s="76" t="str">
        <x:v>314 Google reviews; no embedded homepage video found</x:v>
      </x:c>
      <x:c r="AQ440" s="76" t="str">
        <x:v>visible service offer; no embedded homepage video detected</x:v>
      </x:c>
      <x:c r="AR440" s="76" t="str">
        <x:v>Pryor Electric has 314 Google reviews—strong proof that could be turned into short-form ad concepts.</x:v>
      </x:c>
      <x:c r="AS440" s="76" t="str">
        <x:v>safety inspection problem/solution ad</x:v>
      </x:c>
      <x:c r="AT440" s="76" t="str">
        <x:v>Pryor Electric ad concept</x:v>
      </x:c>
      <x:c r="AU440" s="76" t="str">
        <x:v>Hi Pryor Electric — Pryor Electric has 314 Google reviews—strong proof that could be turned into short-form ad concepts. I mapped a private 15-second safety inspection problem/solution ad for Pryor Electric using only public brand context—not for publishing, just to show the angle. We build three client-approved video ad concepts in seven days, then turn the winners into fresh variations. No filming day required. Worth sending the private sample?</x:v>
      </x:c>
      <x:c r="AV440" s="76" t="str">
        <x:v>Quick follow-up: the sample angle is a safety inspection problem/solution ad. If it misses the mark, no problem—I won't keep chasing. Should I send it?</x:v>
      </x:c>
      <x:c r="AW440" s="76" t="str">
        <x:v>Hi Pryor Electric, Ryan here. I was looking at Pryor Electric's public marketing and noticed: 314 google reviews; no embedded homepage video found. I mapped one private safety inspection problem/solution ad as an example. Did I catch you with 30 seconds?</x:v>
      </x:c>
      <x:c r="AX440" s="60" t="str">
        <x:v>https://www.facebook.com/ads/library/?active_status=active&amp;ad_type=all&amp;country=US&amp;q=Pryor%20Electric&amp;search_type=keyword_unordered</x:v>
      </x:c>
      <x:c r="AY440" s="60" t="str">
        <x:v>ok:200</x:v>
      </x:c>
      <x:c r="AZ440" s="60" t="n">
        <x:v>46232.722858796296</x:v>
      </x:c>
      <x:c r="BA440" s="60" t="str">
        <x:v>Google Maps home-services export</x:v>
      </x:c>
      <x:c r="BB440" s="60" t="str">
        <x:v>https://maps.google.com/?cid=9328128415013923310&amp;g_mp=Cidnb29nbGUubWFwcy5wbGFjZXMudjEuUGxhY2VzLlNlYXJjaFRleHQQAhgEIAA | https://pryorelectricsc.com</x:v>
      </x:c>
      <x:c r="BC440" s="60" t="str"/>
    </x:row>
    <x:row r="441" ht="18" customHeight="1">
      <x:c r="A441" s="70" t="str">
        <x:v>440</x:v>
      </x:c>
      <x:c r="B441" s="70" t="str">
        <x:v>C - Verify</x:v>
      </x:c>
      <x:c r="C441" s="72" t="str">
        <x:v>51</x:v>
      </x:c>
      <x:c r="D441" s="60" t="str">
        <x:v>Elite Overhead Garage Doors</x:v>
      </x:c>
      <x:c r="E441" s="60" t="str">
        <x:v>https://elitegaragedoorshiltonhead.com</x:v>
      </x:c>
      <x:c r="F441" s="60" t="str">
        <x:v>https://elitegaragedoorshiltonhead.com</x:v>
      </x:c>
      <x:c r="G441" s="60" t="str">
        <x:v>Hilton Head</x:v>
      </x:c>
      <x:c r="H441" s="60" t="str">
        <x:v>South Carolina</x:v>
      </x:c>
      <x:c r="I441" s="60" t="str">
        <x:v>Garage Doors</x:v>
      </x:c>
      <x:c r="J441" s="60" t="str">
        <x:v>Elite Overhead Garage Doors</x:v>
      </x:c>
      <x:c r="K441" s="60" t="str"/>
      <x:c r="L441" s="60" t="str">
        <x:v>Owner / decision maker to verify</x:v>
      </x:c>
      <x:c r="M441" s="60" t="str"/>
      <x:c r="N441" s="60" t="str"/>
      <x:c r="O441" s="60" t="str">
        <x:v>(843) 415-8383</x:v>
      </x:c>
      <x:c r="P441" s="60" t="str"/>
      <x:c r="Q441" s="60" t="str"/>
      <x:c r="R441" s="60" t="str"/>
      <x:c r="S441" s="60" t="str">
        <x:v>4.9</x:v>
      </x:c>
      <x:c r="T441" s="74" t="str">
        <x:v>176</x:v>
      </x:c>
      <x:c r="U441" s="60" t="str"/>
      <x:c r="V441" s="74" t="str">
        <x:v>24</x:v>
      </x:c>
      <x:c r="W441" s="74" t="str">
        <x:v>6</x:v>
      </x:c>
      <x:c r="X441" s="74" t="str">
        <x:v>10</x:v>
      </x:c>
      <x:c r="Y441" s="74" t="str">
        <x:v>6</x:v>
      </x:c>
      <x:c r="Z441" s="74" t="str">
        <x:v>5</x:v>
      </x:c>
      <x:c r="AA441" s="74" t="str">
        <x:v>0</x:v>
      </x:c>
      <x:c r="AB441" s="74" t="str">
        <x:v>0</x:v>
      </x:c>
      <x:c r="AC441" s="74" t="str">
        <x:v>1</x:v>
      </x:c>
      <x:c r="AD441" s="74" t="str">
        <x:v>0</x:v>
      </x:c>
      <x:c r="AE441" s="74" t="str">
        <x:v>0</x:v>
      </x:c>
      <x:c r="AF441" s="74" t="str">
        <x:v>housecallpro</x:v>
      </x:c>
      <x:c r="AG441" s="74" t="str">
        <x:v>0</x:v>
      </x:c>
      <x:c r="AH441" s="74" t="str">
        <x:v>0</x:v>
      </x:c>
      <x:c r="AI441" s="74" t="str">
        <x:v>0</x:v>
      </x:c>
      <x:c r="AJ441" s="74" t="str">
        <x:v>0</x:v>
      </x:c>
      <x:c r="AK441" s="74" t="str">
        <x:v>1</x:v>
      </x:c>
      <x:c r="AL441" s="74" t="str">
        <x:v>0</x:v>
      </x:c>
      <x:c r="AM441" s="74" t="str">
        <x:v>1</x:v>
      </x:c>
      <x:c r="AN441" s="74" t="str">
        <x:v>0</x:v>
      </x:c>
      <x:c r="AO441" s="60" t="str">
        <x:v>2025</x:v>
      </x:c>
      <x:c r="AP441" s="76" t="str">
        <x:v>176 Google reviews; no embedded homepage video found</x:v>
      </x:c>
      <x:c r="AQ441" s="76" t="str">
        <x:v>visible service offer; no embedded homepage video detected</x:v>
      </x:c>
      <x:c r="AR441" s="76" t="str">
        <x:v>Elite Overhead Garage Doors has 176 Google reviews—strong proof that could be turned into short-form ad concepts.</x:v>
      </x:c>
      <x:c r="AS441" s="76" t="str">
        <x:v>curb-appeal transformation ad</x:v>
      </x:c>
      <x:c r="AT441" s="76" t="str">
        <x:v>Elite Overhead Garage Doors ad concept</x:v>
      </x:c>
      <x:c r="AU441" s="76" t="str">
        <x:v>Hi Elite Overhead Garage Doors — Elite Overhead Garage Doors has 176 Google reviews—strong proof that could be turned into short-form ad concepts. I mapped a private 15-second curb-appeal transformation ad for Elite Overhead Garage Doors using only public brand context—not for publishing, just to show the angle. We build three client-approved video ad concepts in seven days, then turn the winners into fresh variations. No filming day required. Worth sending the private sample?</x:v>
      </x:c>
      <x:c r="AV441" s="76" t="str">
        <x:v>Quick follow-up: the sample angle is a curb-appeal transformation ad. If it misses the mark, no problem—I won't keep chasing. Should I send it?</x:v>
      </x:c>
      <x:c r="AW441" s="76" t="str">
        <x:v>Hi Elite Overhead Garage Doors, Ryan here. I was looking at Elite Overhead Garage Doors's public marketing and noticed: 176 google reviews; no embedded homepage video found. I mapped one private curb-appeal transformation ad as an example. Did I catch you with 30 seconds?</x:v>
      </x:c>
      <x:c r="AX441" s="60" t="str">
        <x:v>https://www.facebook.com/ads/library/?active_status=active&amp;ad_type=all&amp;country=US&amp;q=Elite%20Overhead%20Garage%20Doors&amp;search_type=keyword_unordered</x:v>
      </x:c>
      <x:c r="AY441" s="60" t="str">
        <x:v>ok:200</x:v>
      </x:c>
      <x:c r="AZ441" s="60" t="n">
        <x:v>46232.722858796296</x:v>
      </x:c>
      <x:c r="BA441" s="60" t="str">
        <x:v>Google Maps home-services export</x:v>
      </x:c>
      <x:c r="BB441" s="60" t="str">
        <x:v>https://elitegaragedoorshiltonhead.com | https://maps.google.com/?cid=4854526902035327310&amp;g_mp=Cidnb29nbGUubWFwcy5wbGFjZXMudjEuUGxhY2VzLlNlYXJjaFRleHQQAhgEIAA</x:v>
      </x:c>
      <x:c r="BC441" s="60" t="str"/>
    </x:row>
    <x:row r="442" ht="18" customHeight="1">
      <x:c r="A442" s="70" t="str">
        <x:v>441</x:v>
      </x:c>
      <x:c r="B442" s="70" t="str">
        <x:v>C - Verify</x:v>
      </x:c>
      <x:c r="C442" s="72" t="str">
        <x:v>51</x:v>
      </x:c>
      <x:c r="D442" s="60" t="str">
        <x:v>B&amp;B Family Plumbing</x:v>
      </x:c>
      <x:c r="E442" s="60" t="str">
        <x:v>https://bbfamilyplumbing.com</x:v>
      </x:c>
      <x:c r="F442" s="60" t="str">
        <x:v>https://bbfamilyplumbing.com</x:v>
      </x:c>
      <x:c r="G442" s="60" t="str">
        <x:v>Rock Hill</x:v>
      </x:c>
      <x:c r="H442" s="60" t="str">
        <x:v>South Carolina</x:v>
      </x:c>
      <x:c r="I442" s="60" t="str">
        <x:v>Plumbing</x:v>
      </x:c>
      <x:c r="J442" s="60" t="str">
        <x:v>B&amp;B Family Plumbing</x:v>
      </x:c>
      <x:c r="K442" s="60" t="str"/>
      <x:c r="L442" s="60" t="str">
        <x:v>Owner / decision maker to verify</x:v>
      </x:c>
      <x:c r="M442" s="60" t="str"/>
      <x:c r="N442" s="60" t="str"/>
      <x:c r="O442" s="60" t="str">
        <x:v>(803) 809-3992</x:v>
      </x:c>
      <x:c r="P442" s="60" t="str"/>
      <x:c r="Q442" s="60" t="str"/>
      <x:c r="R442" s="60" t="str"/>
      <x:c r="S442" s="60" t="str">
        <x:v>4.9</x:v>
      </x:c>
      <x:c r="T442" s="74" t="str">
        <x:v>92</x:v>
      </x:c>
      <x:c r="U442" s="60" t="str"/>
      <x:c r="V442" s="74" t="str">
        <x:v>22</x:v>
      </x:c>
      <x:c r="W442" s="74" t="str">
        <x:v>3</x:v>
      </x:c>
      <x:c r="X442" s="74" t="str">
        <x:v>6</x:v>
      </x:c>
      <x:c r="Y442" s="74" t="str">
        <x:v>15</x:v>
      </x:c>
      <x:c r="Z442" s="74" t="str">
        <x:v>5</x:v>
      </x:c>
      <x:c r="AA442" s="74" t="str">
        <x:v>0</x:v>
      </x:c>
      <x:c r="AB442" s="74" t="str">
        <x:v>0</x:v>
      </x:c>
      <x:c r="AC442" s="74" t="str">
        <x:v>1</x:v>
      </x:c>
      <x:c r="AD442" s="74" t="str">
        <x:v>0</x:v>
      </x:c>
      <x:c r="AE442" s="74" t="str">
        <x:v>0</x:v>
      </x:c>
      <x:c r="AF442" s="74" t="str"/>
      <x:c r="AG442" s="74" t="str">
        <x:v>0</x:v>
      </x:c>
      <x:c r="AH442" s="74" t="str">
        <x:v>1</x:v>
      </x:c>
      <x:c r="AI442" s="74" t="str">
        <x:v>1</x:v>
      </x:c>
      <x:c r="AJ442" s="74" t="str">
        <x:v>1</x:v>
      </x:c>
      <x:c r="AK442" s="74" t="str">
        <x:v>1</x:v>
      </x:c>
      <x:c r="AL442" s="74" t="str">
        <x:v>1</x:v>
      </x:c>
      <x:c r="AM442" s="74" t="str">
        <x:v>1</x:v>
      </x:c>
      <x:c r="AN442" s="74" t="str">
        <x:v>0</x:v>
      </x:c>
      <x:c r="AO442" s="60" t="str">
        <x:v>2026</x:v>
      </x:c>
      <x:c r="AP442" s="76" t="str">
        <x:v>Project/gallery proof found; no embedded homepage video found</x:v>
      </x:c>
      <x:c r="AQ442" s="76" t="str">
        <x:v>project/gallery proof; testimonials; financing; visible service offer; no embedded homepage video detected</x:v>
      </x:c>
      <x:c r="AR442" s="76" t="str">
        <x:v>I found project/gallery proof on B&amp;B Family Plumbing's site that could be repackaged into short-form ad concepts.</x:v>
      </x:c>
      <x:c r="AS442" s="76" t="str">
        <x:v>small symptom to prevented-emergency ad</x:v>
      </x:c>
      <x:c r="AT442" s="76" t="str">
        <x:v>B&amp;B Family Plumbing ad concept</x:v>
      </x:c>
      <x:c r="AU442" s="76" t="str">
        <x:v>Hi B&amp;B Family Plumbing — I found project/gallery proof on B&amp;B Family Plumbing's site that could be repackaged into short-form ad concepts. I mapped a private 15-second small symptom to prevented-emergency ad for B&amp;B Family Plumbing using only public brand context—not for publishing, just to show the angle. We build three client-approved video ad concepts in seven days, then turn the winners into fresh variations. No filming day required. Worth sending the private sample?</x:v>
      </x:c>
      <x:c r="AV442" s="76" t="str">
        <x:v>Quick follow-up: the sample angle is a small symptom to prevented-emergency ad. If it misses the mark, no problem—I won't keep chasing. Should I send it?</x:v>
      </x:c>
      <x:c r="AW442" s="76" t="str">
        <x:v>Hi B&amp;B Family Plumbing, Ryan here. I was looking at B&amp;B Family Plumbing's public marketing and noticed: project/gallery proof found; no embedded homepage video found. I mapped one private small symptom to prevented-emergency ad as an example. Did I catch you with 30 seconds?</x:v>
      </x:c>
      <x:c r="AX442" s="60" t="str">
        <x:v>https://www.facebook.com/ads/library/?active_status=active&amp;ad_type=all&amp;country=US&amp;q=B%26B%20Family%20Plumbing&amp;search_type=keyword_unordered</x:v>
      </x:c>
      <x:c r="AY442" s="60" t="str">
        <x:v>ok:200</x:v>
      </x:c>
      <x:c r="AZ442" s="60" t="n">
        <x:v>46232.722858796296</x:v>
      </x:c>
      <x:c r="BA442" s="60" t="str">
        <x:v>Google Maps home-services export</x:v>
      </x:c>
      <x:c r="BB442" s="60" t="str">
        <x:v>https://bbfamilyplumbing.com | https://maps.google.com/?cid=15235107911916752302&amp;g_mp=Cidnb29nbGUubWFwcy5wbGFjZXMudjEuUGxhY2VzLlNlYXJjaFRleHQQAhgEIAA</x:v>
      </x:c>
      <x:c r="BC442" s="60" t="str"/>
    </x:row>
    <x:row r="443" ht="18" customHeight="1">
      <x:c r="A443" s="70" t="str">
        <x:v>442</x:v>
      </x:c>
      <x:c r="B443" s="70" t="str">
        <x:v>C - Verify</x:v>
      </x:c>
      <x:c r="C443" s="72" t="str">
        <x:v>51</x:v>
      </x:c>
      <x:c r="D443" s="60" t="str">
        <x:v>Palm &amp; Pineapple Roofing and Exteriors</x:v>
      </x:c>
      <x:c r="E443" s="60" t="str">
        <x:v>https://palmandpineappleroofing.com</x:v>
      </x:c>
      <x:c r="F443" s="60" t="str">
        <x:v>https://www.palmandpineappleroofing.com/</x:v>
      </x:c>
      <x:c r="G443" s="60" t="str">
        <x:v>Summerville</x:v>
      </x:c>
      <x:c r="H443" s="60" t="str">
        <x:v>South Carolina</x:v>
      </x:c>
      <x:c r="I443" s="60" t="str">
        <x:v>Roofing</x:v>
      </x:c>
      <x:c r="J443" s="60" t="str">
        <x:v>Palm &amp; Pineapple Roofing and Exteriors</x:v>
      </x:c>
      <x:c r="K443" s="60" t="str"/>
      <x:c r="L443" s="60" t="str">
        <x:v>Owner / decision maker to verify</x:v>
      </x:c>
      <x:c r="M443" s="60" t="str"/>
      <x:c r="N443" s="60" t="str"/>
      <x:c r="O443" s="60" t="str">
        <x:v>(854) 213-6870</x:v>
      </x:c>
      <x:c r="P443" s="60" t="str"/>
      <x:c r="Q443" s="60" t="str"/>
      <x:c r="R443" s="60" t="str"/>
      <x:c r="S443" s="60" t="str">
        <x:v>4.9</x:v>
      </x:c>
      <x:c r="T443" s="74" t="str">
        <x:v>155</x:v>
      </x:c>
      <x:c r="U443" s="60" t="str"/>
      <x:c r="V443" s="74" t="str">
        <x:v>29</x:v>
      </x:c>
      <x:c r="W443" s="74" t="str">
        <x:v>3</x:v>
      </x:c>
      <x:c r="X443" s="74" t="str">
        <x:v>0</x:v>
      </x:c>
      <x:c r="Y443" s="74" t="str">
        <x:v>14</x:v>
      </x:c>
      <x:c r="Z443" s="74" t="str">
        <x:v>5</x:v>
      </x:c>
      <x:c r="AA443" s="74" t="str">
        <x:v>0</x:v>
      </x:c>
      <x:c r="AB443" s="74" t="str">
        <x:v>0</x:v>
      </x:c>
      <x:c r="AC443" s="74" t="str">
        <x:v>1</x:v>
      </x:c>
      <x:c r="AD443" s="74" t="str">
        <x:v>0</x:v>
      </x:c>
      <x:c r="AE443" s="74" t="str">
        <x:v>0</x:v>
      </x:c>
      <x:c r="AF443" s="74" t="str"/>
      <x:c r="AG443" s="74" t="str">
        <x:v>1</x:v>
      </x:c>
      <x:c r="AH443" s="74" t="str">
        <x:v>1</x:v>
      </x:c>
      <x:c r="AI443" s="74" t="str">
        <x:v>0</x:v>
      </x:c>
      <x:c r="AJ443" s="74" t="str">
        <x:v>1</x:v>
      </x:c>
      <x:c r="AK443" s="74" t="str">
        <x:v>1</x:v>
      </x:c>
      <x:c r="AL443" s="74" t="str">
        <x:v>1</x:v>
      </x:c>
      <x:c r="AM443" s="74" t="str">
        <x:v>1</x:v>
      </x:c>
      <x:c r="AN443" s="74" t="str">
        <x:v>1</x:v>
      </x:c>
      <x:c r="AO443" s="60" t="str">
        <x:v>0</x:v>
      </x:c>
      <x:c r="AP443" s="76" t="str">
        <x:v>ICP fit; paid-demand need requires manual verification</x:v>
      </x:c>
      <x:c r="AQ443" s="76" t="str">
        <x:v>project/gallery proof; financing; visible service offer</x:v>
      </x:c>
      <x:c r="AR443" s="76" t="str">
        <x:v>I was reviewing roofing companies in Summerville, South Carolina and Palm &amp; Pineapple Roofing and Exteriors looked like a strong fit for a creative test.</x:v>
      </x:c>
      <x:c r="AS443" s="76" t="str">
        <x:v>storm-to-inspection before/after ad</x:v>
      </x:c>
      <x:c r="AT443" s="76" t="str">
        <x:v>Palm &amp; Pineapple Roofing and Exteriors ad concept</x:v>
      </x:c>
      <x:c r="AU443" s="76" t="str">
        <x:v>Hi Palm &amp; Pineapple Roofing and Exteriors — I was reviewing roofing companies in Summerville, South Carolina and Palm &amp; Pineapple Roofing and Exteriors looked like a strong fit for a creative test. I mapped a private 15-second storm-to-inspection before/after ad for Palm &amp; Pineapple Roofing and Exteriors using only public brand context—not for publishing, just to show the angle. We build three client-approved video ad concepts in seven days, then turn the winners into fresh variations. No filming day required. Worth sending the private sample?</x:v>
      </x:c>
      <x:c r="AV443" s="76" t="str">
        <x:v>Quick follow-up: the sample angle is a storm-to-inspection before/after ad. If it misses the mark, no problem—I won't keep chasing. Should I send it?</x:v>
      </x:c>
      <x:c r="AW443" s="76" t="str">
        <x:v>Hi Palm &amp; Pineapple Roofing and Exteriors, Ryan here. I was looking at Palm &amp; Pineapple Roofing and Exteriors's public marketing and noticed: icp fit; paid-demand need requires manual verification. I mapped one private storm-to-inspection before/after ad as an example. Did I catch you with 30 seconds?</x:v>
      </x:c>
      <x:c r="AX443" s="60" t="str">
        <x:v>https://www.facebook.com/ads/library/?active_status=active&amp;ad_type=all&amp;country=US&amp;q=Palm%20%26%20Pineapple%20Roofing%20and%20Exteriors&amp;search_type=keyword_unordered</x:v>
      </x:c>
      <x:c r="AY443" s="60" t="str">
        <x:v>ok:200</x:v>
      </x:c>
      <x:c r="AZ443" s="60" t="n">
        <x:v>46232.722858796296</x:v>
      </x:c>
      <x:c r="BA443" s="60" t="str">
        <x:v>Google Maps home-services export</x:v>
      </x:c>
      <x:c r="BB443" s="60" t="str">
        <x:v>https://maps.google.com/?cid=8996555549944670239&amp;g_mp=Cidnb29nbGUubWFwcy5wbGFjZXMudjEuUGxhY2VzLlNlYXJjaFRleHQQAhgEIAA | https://palmandpineappleroofing.com</x:v>
      </x:c>
      <x:c r="BC443" s="60" t="str"/>
    </x:row>
    <x:row r="444" ht="18" customHeight="1">
      <x:c r="A444" s="70" t="str">
        <x:v>443</x:v>
      </x:c>
      <x:c r="B444" s="70" t="str">
        <x:v>C - Verify</x:v>
      </x:c>
      <x:c r="C444" s="72" t="str">
        <x:v>51</x:v>
      </x:c>
      <x:c r="D444" s="60" t="str">
        <x:v>Brown's Roofing LLC</x:v>
      </x:c>
      <x:c r="E444" s="60" t="str">
        <x:v>https://brownsroofingcompany.com</x:v>
      </x:c>
      <x:c r="F444" s="60" t="str">
        <x:v>https://brownsroofingcompany.com</x:v>
      </x:c>
      <x:c r="G444" s="60" t="str">
        <x:v>Rock Hill</x:v>
      </x:c>
      <x:c r="H444" s="60" t="str">
        <x:v>South Carolina</x:v>
      </x:c>
      <x:c r="I444" s="60" t="str">
        <x:v>Roofing</x:v>
      </x:c>
      <x:c r="J444" s="60" t="str">
        <x:v>Brown's Roofing LLC</x:v>
      </x:c>
      <x:c r="K444" s="60" t="str"/>
      <x:c r="L444" s="60" t="str">
        <x:v>Owner / decision maker to verify</x:v>
      </x:c>
      <x:c r="M444" s="60" t="str"/>
      <x:c r="N444" s="60" t="str"/>
      <x:c r="O444" s="60" t="str">
        <x:v>(803) 980-7663</x:v>
      </x:c>
      <x:c r="P444" s="60" t="str"/>
      <x:c r="Q444" s="60" t="str"/>
      <x:c r="R444" s="60" t="str"/>
      <x:c r="S444" s="60" t="str">
        <x:v>4.6</x:v>
      </x:c>
      <x:c r="T444" s="74" t="str">
        <x:v>163</x:v>
      </x:c>
      <x:c r="U444" s="60" t="str"/>
      <x:c r="V444" s="74" t="str">
        <x:v>29</x:v>
      </x:c>
      <x:c r="W444" s="74" t="str">
        <x:v>3</x:v>
      </x:c>
      <x:c r="X444" s="74" t="str">
        <x:v>0</x:v>
      </x:c>
      <x:c r="Y444" s="74" t="str">
        <x:v>14</x:v>
      </x:c>
      <x:c r="Z444" s="74" t="str">
        <x:v>5</x:v>
      </x:c>
      <x:c r="AA444" s="74" t="str">
        <x:v>0</x:v>
      </x:c>
      <x:c r="AB444" s="74" t="str">
        <x:v>0</x:v>
      </x:c>
      <x:c r="AC444" s="74" t="str">
        <x:v>1</x:v>
      </x:c>
      <x:c r="AD444" s="74" t="str">
        <x:v>0</x:v>
      </x:c>
      <x:c r="AE444" s="74" t="str">
        <x:v>0</x:v>
      </x:c>
      <x:c r="AF444" s="74" t="str"/>
      <x:c r="AG444" s="74" t="str">
        <x:v>1</x:v>
      </x:c>
      <x:c r="AH444" s="74" t="str">
        <x:v>1</x:v>
      </x:c>
      <x:c r="AI444" s="74" t="str">
        <x:v>0</x:v>
      </x:c>
      <x:c r="AJ444" s="74" t="str">
        <x:v>1</x:v>
      </x:c>
      <x:c r="AK444" s="74" t="str">
        <x:v>1</x:v>
      </x:c>
      <x:c r="AL444" s="74" t="str">
        <x:v>0</x:v>
      </x:c>
      <x:c r="AM444" s="74" t="str">
        <x:v>0</x:v>
      </x:c>
      <x:c r="AN444" s="74" t="str">
        <x:v>1</x:v>
      </x:c>
      <x:c r="AO444" s="60" t="str">
        <x:v>2026</x:v>
      </x:c>
      <x:c r="AP444" s="76" t="str">
        <x:v>ICP fit; paid-demand need requires manual verification</x:v>
      </x:c>
      <x:c r="AQ444" s="76" t="str">
        <x:v>project/gallery proof; financing; visible service offer</x:v>
      </x:c>
      <x:c r="AR444" s="76" t="str">
        <x:v>I was reviewing roofing companies in Rock Hill, South Carolina and Brown's Roofing LLC looked like a strong fit for a creative test.</x:v>
      </x:c>
      <x:c r="AS444" s="76" t="str">
        <x:v>storm-to-inspection before/after ad</x:v>
      </x:c>
      <x:c r="AT444" s="76" t="str">
        <x:v>Brown's Roofing LLC ad concept</x:v>
      </x:c>
      <x:c r="AU444" s="76" t="str">
        <x:v>Hi Brown's Roofing LLC — I was reviewing roofing companies in Rock Hill, South Carolina and Brown's Roofing LLC looked like a strong fit for a creative test. I mapped a private 15-second storm-to-inspection before/after ad for Brown's Roofing LLC using only public brand context—not for publishing, just to show the angle. We build three client-approved video ad concepts in seven days, then turn the winners into fresh variations. No filming day required. Worth sending the private sample?</x:v>
      </x:c>
      <x:c r="AV444" s="76" t="str">
        <x:v>Quick follow-up: the sample angle is a storm-to-inspection before/after ad. If it misses the mark, no problem—I won't keep chasing. Should I send it?</x:v>
      </x:c>
      <x:c r="AW444" s="76" t="str">
        <x:v>Hi Brown's Roofing LLC, Ryan here. I was looking at Brown's Roofing LLC's public marketing and noticed: icp fit; paid-demand need requires manual verification. I mapped one private storm-to-inspection before/after ad as an example. Did I catch you with 30 seconds?</x:v>
      </x:c>
      <x:c r="AX444" s="60" t="str">
        <x:v>https://www.facebook.com/ads/library/?active_status=active&amp;ad_type=all&amp;country=US&amp;q=Brown%27s%20Roofing%20LLC&amp;search_type=keyword_unordered</x:v>
      </x:c>
      <x:c r="AY444" s="60" t="str">
        <x:v>ok:200</x:v>
      </x:c>
      <x:c r="AZ444" s="60" t="n">
        <x:v>46232.722858796296</x:v>
      </x:c>
      <x:c r="BA444" s="60" t="str">
        <x:v>Google Maps home-services export</x:v>
      </x:c>
      <x:c r="BB444" s="60" t="str">
        <x:v>https://brownsroofingcompany.com | https://maps.google.com/?cid=3787327790821313582&amp;g_mp=Cidnb29nbGUubWFwcy5wbGFjZXMudjEuUGxhY2VzLlNlYXJjaFRleHQQAhgEIAA</x:v>
      </x:c>
      <x:c r="BC444" s="60" t="str"/>
    </x:row>
    <x:row r="445" ht="18" customHeight="1">
      <x:c r="A445" s="70" t="str">
        <x:v>444</x:v>
      </x:c>
      <x:c r="B445" s="70" t="str">
        <x:v>C - Verify</x:v>
      </x:c>
      <x:c r="C445" s="72" t="str">
        <x:v>51</x:v>
      </x:c>
      <x:c r="D445" s="60" t="str">
        <x:v>21 Roofing Group (Serving The Carolinas)</x:v>
      </x:c>
      <x:c r="E445" s="60" t="str">
        <x:v>https://21roofinggroup.com</x:v>
      </x:c>
      <x:c r="F445" s="60" t="str">
        <x:v>https://21roofinggroup.com</x:v>
      </x:c>
      <x:c r="G445" s="60" t="str">
        <x:v>Rock Hill</x:v>
      </x:c>
      <x:c r="H445" s="60" t="str">
        <x:v>South Carolina</x:v>
      </x:c>
      <x:c r="I445" s="60" t="str">
        <x:v>Roofing</x:v>
      </x:c>
      <x:c r="J445" s="60" t="str">
        <x:v>21 Roofing Group (Serving The Carolinas)</x:v>
      </x:c>
      <x:c r="K445" s="60" t="str"/>
      <x:c r="L445" s="60" t="str">
        <x:v>Owner / decision maker to verify</x:v>
      </x:c>
      <x:c r="M445" s="60" t="str"/>
      <x:c r="N445" s="60" t="str"/>
      <x:c r="O445" s="60" t="str">
        <x:v>(980) 277-4421</x:v>
      </x:c>
      <x:c r="P445" s="60" t="str"/>
      <x:c r="Q445" s="60" t="str"/>
      <x:c r="R445" s="60" t="str"/>
      <x:c r="S445" s="60" t="str">
        <x:v>4.9</x:v>
      </x:c>
      <x:c r="T445" s="74" t="str">
        <x:v>359</x:v>
      </x:c>
      <x:c r="U445" s="60" t="str"/>
      <x:c r="V445" s="74" t="str">
        <x:v>30</x:v>
      </x:c>
      <x:c r="W445" s="74" t="str">
        <x:v>3</x:v>
      </x:c>
      <x:c r="X445" s="74" t="str">
        <x:v>0</x:v>
      </x:c>
      <x:c r="Y445" s="74" t="str">
        <x:v>13</x:v>
      </x:c>
      <x:c r="Z445" s="74" t="str">
        <x:v>5</x:v>
      </x:c>
      <x:c r="AA445" s="74" t="str">
        <x:v>0</x:v>
      </x:c>
      <x:c r="AB445" s="74" t="str">
        <x:v>0</x:v>
      </x:c>
      <x:c r="AC445" s="74" t="str">
        <x:v>1</x:v>
      </x:c>
      <x:c r="AD445" s="74" t="str">
        <x:v>0</x:v>
      </x:c>
      <x:c r="AE445" s="74" t="str">
        <x:v>0</x:v>
      </x:c>
      <x:c r="AF445" s="74" t="str"/>
      <x:c r="AG445" s="74" t="str">
        <x:v>1</x:v>
      </x:c>
      <x:c r="AH445" s="74" t="str">
        <x:v>0</x:v>
      </x:c>
      <x:c r="AI445" s="74" t="str">
        <x:v>1</x:v>
      </x:c>
      <x:c r="AJ445" s="74" t="str">
        <x:v>1</x:v>
      </x:c>
      <x:c r="AK445" s="74" t="str">
        <x:v>1</x:v>
      </x:c>
      <x:c r="AL445" s="74" t="str">
        <x:v>1</x:v>
      </x:c>
      <x:c r="AM445" s="74" t="str">
        <x:v>1</x:v>
      </x:c>
      <x:c r="AN445" s="74" t="str">
        <x:v>1</x:v>
      </x:c>
      <x:c r="AO445" s="60" t="str">
        <x:v>2026</x:v>
      </x:c>
      <x:c r="AP445" s="76" t="str">
        <x:v>ICP fit; paid-demand need requires manual verification</x:v>
      </x:c>
      <x:c r="AQ445" s="76" t="str">
        <x:v>testimonials; financing; visible service offer</x:v>
      </x:c>
      <x:c r="AR445" s="76" t="str">
        <x:v>I was reviewing roofing companies in Rock Hill, South Carolina and 21 Roofing Group (Serving The Carolinas) looked like a strong fit for a creative test.</x:v>
      </x:c>
      <x:c r="AS445" s="76" t="str">
        <x:v>storm-to-inspection before/after ad</x:v>
      </x:c>
      <x:c r="AT445" s="76" t="str">
        <x:v>21 Roofing Group (Serving The Carolinas) ad concept</x:v>
      </x:c>
      <x:c r="AU445" s="76" t="str">
        <x:v>Hi 21 Roofing Group (Serving The Carolinas) — I was reviewing roofing companies in Rock Hill, South Carolina and 21 Roofing Group (Serving The Carolinas) looked like a strong fit for a creative test. I mapped a private 15-second storm-to-inspection before/after ad for 21 Roofing Group (Serving The Carolinas) using only public brand context—not for publishing, just to show the angle. We build three client-approved video ad concepts in seven days, then turn the winners into fresh variations. No filming day required. Worth sending the private sample?</x:v>
      </x:c>
      <x:c r="AV445" s="76" t="str">
        <x:v>Quick follow-up: the sample angle is a storm-to-inspection before/after ad. If it misses the mark, no problem—I won't keep chasing. Should I send it?</x:v>
      </x:c>
      <x:c r="AW445" s="76" t="str">
        <x:v>Hi 21 Roofing Group (Serving The Carolinas), Ryan here. I was looking at 21 Roofing Group (Serving The Carolinas)'s public marketing and noticed: icp fit; paid-demand need requires manual verification. I mapped one private storm-to-inspection before/after ad as an example. Did I catch you with 30 seconds?</x:v>
      </x:c>
      <x:c r="AX445" s="60" t="str">
        <x:v>https://www.facebook.com/ads/library/?active_status=active&amp;ad_type=all&amp;country=US&amp;q=21%20Roofing%20Group%20%28Serving%20The%20Carolinas%29&amp;search_type=keyword_unordered</x:v>
      </x:c>
      <x:c r="AY445" s="60" t="str">
        <x:v>ok:200</x:v>
      </x:c>
      <x:c r="AZ445" s="60" t="n">
        <x:v>46232.722858796296</x:v>
      </x:c>
      <x:c r="BA445" s="60" t="str">
        <x:v>Google Maps home-services export</x:v>
      </x:c>
      <x:c r="BB445" s="60" t="str">
        <x:v>https://21roofinggroup.com | https://maps.google.com/?cid=537919488979884217&amp;g_mp=Cidnb29nbGUubWFwcy5wbGFjZXMudjEuUGxhY2VzLlNlYXJjaFRleHQQAhgEIAA</x:v>
      </x:c>
      <x:c r="BC445" s="60" t="str"/>
    </x:row>
    <x:row r="446" ht="18" customHeight="1">
      <x:c r="A446" s="70" t="str">
        <x:v>445</x:v>
      </x:c>
      <x:c r="B446" s="70" t="str">
        <x:v>C - Verify</x:v>
      </x:c>
      <x:c r="C446" s="72" t="str">
        <x:v>51</x:v>
      </x:c>
      <x:c r="D446" s="60" t="str">
        <x:v>RoofServ</x:v>
      </x:c>
      <x:c r="E446" s="60" t="str">
        <x:v>https://roofserv.com</x:v>
      </x:c>
      <x:c r="F446" s="60" t="str">
        <x:v>https://roofserv.com</x:v>
      </x:c>
      <x:c r="G446" s="60" t="str">
        <x:v>Mount Pleasant</x:v>
      </x:c>
      <x:c r="H446" s="60" t="str">
        <x:v>South Carolina</x:v>
      </x:c>
      <x:c r="I446" s="60" t="str">
        <x:v>Roofing</x:v>
      </x:c>
      <x:c r="J446" s="60" t="str">
        <x:v>RoofServ</x:v>
      </x:c>
      <x:c r="K446" s="60" t="str"/>
      <x:c r="L446" s="60" t="str">
        <x:v>Owner / decision maker to verify</x:v>
      </x:c>
      <x:c r="M446" s="60" t="str"/>
      <x:c r="N446" s="60" t="str"/>
      <x:c r="O446" s="60" t="str">
        <x:v>(843) 638-7378</x:v>
      </x:c>
      <x:c r="P446" s="60" t="str"/>
      <x:c r="Q446" s="60" t="str"/>
      <x:c r="R446" s="60" t="str"/>
      <x:c r="S446" s="60" t="str">
        <x:v>5</x:v>
      </x:c>
      <x:c r="T446" s="74" t="str">
        <x:v>66</x:v>
      </x:c>
      <x:c r="U446" s="60" t="str"/>
      <x:c r="V446" s="74" t="str">
        <x:v>27</x:v>
      </x:c>
      <x:c r="W446" s="74" t="str">
        <x:v>3</x:v>
      </x:c>
      <x:c r="X446" s="74" t="str">
        <x:v>6</x:v>
      </x:c>
      <x:c r="Y446" s="74" t="str">
        <x:v>10</x:v>
      </x:c>
      <x:c r="Z446" s="74" t="str">
        <x:v>5</x:v>
      </x:c>
      <x:c r="AA446" s="74" t="str">
        <x:v>0</x:v>
      </x:c>
      <x:c r="AB446" s="74" t="str">
        <x:v>0</x:v>
      </x:c>
      <x:c r="AC446" s="74" t="str">
        <x:v>1</x:v>
      </x:c>
      <x:c r="AD446" s="74" t="str">
        <x:v>0</x:v>
      </x:c>
      <x:c r="AE446" s="74" t="str">
        <x:v>0</x:v>
      </x:c>
      <x:c r="AF446" s="74" t="str"/>
      <x:c r="AG446" s="74" t="str">
        <x:v>0</x:v>
      </x:c>
      <x:c r="AH446" s="74" t="str">
        <x:v>1</x:v>
      </x:c>
      <x:c r="AI446" s="74" t="str">
        <x:v>0</x:v>
      </x:c>
      <x:c r="AJ446" s="74" t="str">
        <x:v>1</x:v>
      </x:c>
      <x:c r="AK446" s="74" t="str">
        <x:v>0</x:v>
      </x:c>
      <x:c r="AL446" s="74" t="str">
        <x:v>1</x:v>
      </x:c>
      <x:c r="AM446" s="74" t="str">
        <x:v>1</x:v>
      </x:c>
      <x:c r="AN446" s="74" t="str">
        <x:v>0</x:v>
      </x:c>
      <x:c r="AO446" s="60" t="str">
        <x:v>2026</x:v>
      </x:c>
      <x:c r="AP446" s="76" t="str">
        <x:v>Project/gallery proof found; no embedded homepage video found</x:v>
      </x:c>
      <x:c r="AQ446" s="76" t="str">
        <x:v>project/gallery proof; financing; no embedded homepage video detected</x:v>
      </x:c>
      <x:c r="AR446" s="76" t="str">
        <x:v>I found project/gallery proof on RoofServ's site that could be repackaged into short-form ad concepts.</x:v>
      </x:c>
      <x:c r="AS446" s="76" t="str">
        <x:v>storm-to-inspection before/after ad</x:v>
      </x:c>
      <x:c r="AT446" s="76" t="str">
        <x:v>RoofServ ad concept</x:v>
      </x:c>
      <x:c r="AU446" s="76" t="str">
        <x:v>Hi RoofServ — I found project/gallery proof on RoofServ's site that could be repackaged into short-form ad concepts. I mapped a private 15-second storm-to-inspection before/after ad for RoofServ using only public brand context—not for publishing, just to show the angle. We build three client-approved video ad concepts in seven days, then turn the winners into fresh variations. No filming day required. Worth sending the private sample?</x:v>
      </x:c>
      <x:c r="AV446" s="76" t="str">
        <x:v>Quick follow-up: the sample angle is a storm-to-inspection before/after ad. If it misses the mark, no problem—I won't keep chasing. Should I send it?</x:v>
      </x:c>
      <x:c r="AW446" s="76" t="str">
        <x:v>Hi RoofServ, Ryan here. I was looking at RoofServ's public marketing and noticed: project/gallery proof found; no embedded homepage video found. I mapped one private storm-to-inspection before/after ad as an example. Did I catch you with 30 seconds?</x:v>
      </x:c>
      <x:c r="AX446" s="60" t="str">
        <x:v>https://www.facebook.com/ads/library/?active_status=active&amp;ad_type=all&amp;country=US&amp;q=RoofServ&amp;search_type=keyword_unordered</x:v>
      </x:c>
      <x:c r="AY446" s="60" t="str">
        <x:v>ok:200</x:v>
      </x:c>
      <x:c r="AZ446" s="60" t="n">
        <x:v>46232.722858796296</x:v>
      </x:c>
      <x:c r="BA446" s="60" t="str">
        <x:v>Google Maps home-services export</x:v>
      </x:c>
      <x:c r="BB446" s="60" t="str">
        <x:v>https://maps.google.com/?cid=12824362315447311871&amp;g_mp=Cidnb29nbGUubWFwcy5wbGFjZXMudjEuUGxhY2VzLlNlYXJjaFRleHQQAhgEIAA | https://roofserv.com</x:v>
      </x:c>
      <x:c r="BC446" s="60" t="str"/>
    </x:row>
    <x:row r="447" ht="18" customHeight="1">
      <x:c r="A447" s="70" t="str">
        <x:v>446</x:v>
      </x:c>
      <x:c r="B447" s="70" t="str">
        <x:v>C - Verify</x:v>
      </x:c>
      <x:c r="C447" s="72" t="str">
        <x:v>51</x:v>
      </x:c>
      <x:c r="D447" s="60" t="str">
        <x:v>Powell Electric</x:v>
      </x:c>
      <x:c r="E447" s="60" t="str">
        <x:v>https://powell-elec.com</x:v>
      </x:c>
      <x:c r="F447" s="60" t="str">
        <x:v>https://powell-elec.com</x:v>
      </x:c>
      <x:c r="G447" s="60" t="str">
        <x:v>Beaufort</x:v>
      </x:c>
      <x:c r="H447" s="60" t="str">
        <x:v>South Carolina</x:v>
      </x:c>
      <x:c r="I447" s="60" t="str">
        <x:v>Electrical</x:v>
      </x:c>
      <x:c r="J447" s="60" t="str">
        <x:v>Powell Electric</x:v>
      </x:c>
      <x:c r="K447" s="60" t="str"/>
      <x:c r="L447" s="60" t="str">
        <x:v>Owner / decision maker to verify</x:v>
      </x:c>
      <x:c r="M447" s="60" t="str"/>
      <x:c r="N447" s="60" t="str"/>
      <x:c r="O447" s="60" t="str">
        <x:v>(843) 524-4891</x:v>
      </x:c>
      <x:c r="P447" s="60" t="str"/>
      <x:c r="Q447" s="60" t="str"/>
      <x:c r="R447" s="60" t="str"/>
      <x:c r="S447" s="60" t="str">
        <x:v>4.3</x:v>
      </x:c>
      <x:c r="T447" s="74" t="str">
        <x:v>34</x:v>
      </x:c>
      <x:c r="U447" s="60" t="str">
        <x:v>missed_calls, scheduling, slow_response, communication</x:v>
      </x:c>
      <x:c r="V447" s="74" t="str">
        <x:v>21</x:v>
      </x:c>
      <x:c r="W447" s="74" t="str">
        <x:v>3</x:v>
      </x:c>
      <x:c r="X447" s="74" t="str">
        <x:v>12</x:v>
      </x:c>
      <x:c r="Y447" s="74" t="str">
        <x:v>10</x:v>
      </x:c>
      <x:c r="Z447" s="74" t="str">
        <x:v>5</x:v>
      </x:c>
      <x:c r="AA447" s="74" t="str">
        <x:v>0</x:v>
      </x:c>
      <x:c r="AB447" s="74" t="str">
        <x:v>0</x:v>
      </x:c>
      <x:c r="AC447" s="74" t="str">
        <x:v>1</x:v>
      </x:c>
      <x:c r="AD447" s="74" t="str">
        <x:v>0</x:v>
      </x:c>
      <x:c r="AE447" s="74" t="str">
        <x:v>0</x:v>
      </x:c>
      <x:c r="AF447" s="74" t="str"/>
      <x:c r="AG447" s="74" t="str">
        <x:v>0</x:v>
      </x:c>
      <x:c r="AH447" s="74" t="str">
        <x:v>1</x:v>
      </x:c>
      <x:c r="AI447" s="74" t="str">
        <x:v>0</x:v>
      </x:c>
      <x:c r="AJ447" s="74" t="str">
        <x:v>0</x:v>
      </x:c>
      <x:c r="AK447" s="74" t="str">
        <x:v>1</x:v>
      </x:c>
      <x:c r="AL447" s="74" t="str">
        <x:v>0</x:v>
      </x:c>
      <x:c r="AM447" s="74" t="str">
        <x:v>1</x:v>
      </x:c>
      <x:c r="AN447" s="74" t="str">
        <x:v>0</x:v>
      </x:c>
      <x:c r="AO447" s="60" t="str">
        <x:v>2026</x:v>
      </x:c>
      <x:c r="AP447" s="76" t="str">
        <x:v>Project/gallery proof found; no embedded homepage video found</x:v>
      </x:c>
      <x:c r="AQ447" s="76" t="str">
        <x:v>project/gallery proof; visible service offer; no embedded homepage video detected</x:v>
      </x:c>
      <x:c r="AR447" s="76" t="str">
        <x:v>I found project/gallery proof on Powell Electric's site that could be repackaged into short-form ad concepts.</x:v>
      </x:c>
      <x:c r="AS447" s="76" t="str">
        <x:v>safety inspection problem/solution ad</x:v>
      </x:c>
      <x:c r="AT447" s="76" t="str">
        <x:v>Powell Electric ad concept</x:v>
      </x:c>
      <x:c r="AU447" s="76" t="str">
        <x:v>Hi Powell Electric — I found project/gallery proof on Powell Electric's site that could be repackaged into short-form ad concepts. I mapped a private 15-second safety inspection problem/solution ad for Powell Electric using only public brand context—not for publishing, just to show the angle. We build three client-approved video ad concepts in seven days, then turn the winners into fresh variations. No filming day required. Worth sending the private sample?</x:v>
      </x:c>
      <x:c r="AV447" s="76" t="str">
        <x:v>Quick follow-up: the sample angle is a safety inspection problem/solution ad. If it misses the mark, no problem—I won't keep chasing. Should I send it?</x:v>
      </x:c>
      <x:c r="AW447" s="76" t="str">
        <x:v>Hi Powell Electric, Ryan here. I was looking at Powell Electric's public marketing and noticed: project/gallery proof found; no embedded homepage video found. I mapped one private safety inspection problem/solution ad as an example. Did I catch you with 30 seconds?</x:v>
      </x:c>
      <x:c r="AX447" s="60" t="str">
        <x:v>https://www.facebook.com/ads/library/?active_status=active&amp;ad_type=all&amp;country=US&amp;q=Powell%20Electric&amp;search_type=keyword_unordered</x:v>
      </x:c>
      <x:c r="AY447" s="60" t="str">
        <x:v>ok:200</x:v>
      </x:c>
      <x:c r="AZ447" s="60" t="n">
        <x:v>46232.722858796296</x:v>
      </x:c>
      <x:c r="BA447" s="60" t="str">
        <x:v>Google Maps home-services export</x:v>
      </x:c>
      <x:c r="BB447" s="60" t="str">
        <x:v>https://maps.google.com/?cid=15926757099681989282&amp;g_mp=Cidnb29nbGUubWFwcy5wbGFjZXMudjEuUGxhY2VzLlNlYXJjaFRleHQQAhgEIAA | https://powell-elec.com</x:v>
      </x:c>
      <x:c r="BC447" s="60" t="str"/>
    </x:row>
    <x:row r="448" ht="18" customHeight="1">
      <x:c r="A448" s="70" t="str">
        <x:v>447</x:v>
      </x:c>
      <x:c r="B448" s="70" t="str">
        <x:v>C - Verify</x:v>
      </x:c>
      <x:c r="C448" s="72" t="str">
        <x:v>51</x:v>
      </x:c>
      <x:c r="D448" s="60" t="str">
        <x:v>Harper Roofing Company of Beaufort</x:v>
      </x:c>
      <x:c r="E448" s="60" t="str">
        <x:v>https://harperroofingbeaufort.com</x:v>
      </x:c>
      <x:c r="F448" s="60" t="str">
        <x:v>https://harperroofingbeaufort.com</x:v>
      </x:c>
      <x:c r="G448" s="60" t="str">
        <x:v>Beaufort</x:v>
      </x:c>
      <x:c r="H448" s="60" t="str">
        <x:v>South Carolina</x:v>
      </x:c>
      <x:c r="I448" s="60" t="str">
        <x:v>Roofing</x:v>
      </x:c>
      <x:c r="J448" s="60" t="str">
        <x:v>Harper Roofing Company of Beaufort</x:v>
      </x:c>
      <x:c r="K448" s="60" t="str"/>
      <x:c r="L448" s="60" t="str">
        <x:v>Owner / decision maker to verify</x:v>
      </x:c>
      <x:c r="M448" s="60" t="str"/>
      <x:c r="N448" s="60" t="str"/>
      <x:c r="O448" s="60" t="str">
        <x:v>(843) 631-3496</x:v>
      </x:c>
      <x:c r="P448" s="60" t="str"/>
      <x:c r="Q448" s="60" t="str"/>
      <x:c r="R448" s="60" t="str"/>
      <x:c r="S448" s="60" t="str">
        <x:v>5</x:v>
      </x:c>
      <x:c r="T448" s="74" t="str">
        <x:v>58</x:v>
      </x:c>
      <x:c r="U448" s="60" t="str"/>
      <x:c r="V448" s="74" t="str">
        <x:v>27</x:v>
      </x:c>
      <x:c r="W448" s="74" t="str">
        <x:v>3</x:v>
      </x:c>
      <x:c r="X448" s="74" t="str">
        <x:v>6</x:v>
      </x:c>
      <x:c r="Y448" s="74" t="str">
        <x:v>10</x:v>
      </x:c>
      <x:c r="Z448" s="74" t="str">
        <x:v>5</x:v>
      </x:c>
      <x:c r="AA448" s="74" t="str">
        <x:v>0</x:v>
      </x:c>
      <x:c r="AB448" s="74" t="str">
        <x:v>0</x:v>
      </x:c>
      <x:c r="AC448" s="74" t="str">
        <x:v>1</x:v>
      </x:c>
      <x:c r="AD448" s="74" t="str">
        <x:v>0</x:v>
      </x:c>
      <x:c r="AE448" s="74" t="str">
        <x:v>0</x:v>
      </x:c>
      <x:c r="AF448" s="74" t="str"/>
      <x:c r="AG448" s="74" t="str">
        <x:v>0</x:v>
      </x:c>
      <x:c r="AH448" s="74" t="str">
        <x:v>1</x:v>
      </x:c>
      <x:c r="AI448" s="74" t="str">
        <x:v>0</x:v>
      </x:c>
      <x:c r="AJ448" s="74" t="str">
        <x:v>1</x:v>
      </x:c>
      <x:c r="AK448" s="74" t="str">
        <x:v>0</x:v>
      </x:c>
      <x:c r="AL448" s="74" t="str">
        <x:v>1</x:v>
      </x:c>
      <x:c r="AM448" s="74" t="str">
        <x:v>1</x:v>
      </x:c>
      <x:c r="AN448" s="74" t="str">
        <x:v>0</x:v>
      </x:c>
      <x:c r="AO448" s="60" t="str">
        <x:v>0</x:v>
      </x:c>
      <x:c r="AP448" s="76" t="str">
        <x:v>Project/gallery proof found; no embedded homepage video found</x:v>
      </x:c>
      <x:c r="AQ448" s="76" t="str">
        <x:v>project/gallery proof; financing; no embedded homepage video detected</x:v>
      </x:c>
      <x:c r="AR448" s="76" t="str">
        <x:v>I found project/gallery proof on Harper Roofing Company of Beaufort's site that could be repackaged into short-form ad concepts.</x:v>
      </x:c>
      <x:c r="AS448" s="76" t="str">
        <x:v>storm-to-inspection before/after ad</x:v>
      </x:c>
      <x:c r="AT448" s="76" t="str">
        <x:v>Harper Roofing Company of Beaufort ad concept</x:v>
      </x:c>
      <x:c r="AU448" s="76" t="str">
        <x:v>Hi Harper Roofing Company of Beaufort — I found project/gallery proof on Harper Roofing Company of Beaufort's site that could be repackaged into short-form ad concepts. I mapped a private 15-second storm-to-inspection before/after ad for Harper Roofing Company of Beaufort using only public brand context—not for publishing, just to show the angle. We build three client-approved video ad concepts in seven days, then turn the winners into fresh variations. No filming day required. Worth sending the private sample?</x:v>
      </x:c>
      <x:c r="AV448" s="76" t="str">
        <x:v>Quick follow-up: the sample angle is a storm-to-inspection before/after ad. If it misses the mark, no problem—I won't keep chasing. Should I send it?</x:v>
      </x:c>
      <x:c r="AW448" s="76" t="str">
        <x:v>Hi Harper Roofing Company of Beaufort, Ryan here. I was looking at Harper Roofing Company of Beaufort's public marketing and noticed: project/gallery proof found; no embedded homepage video found. I mapped one private storm-to-inspection before/after ad as an example. Did I catch you with 30 seconds?</x:v>
      </x:c>
      <x:c r="AX448" s="60" t="str">
        <x:v>https://www.facebook.com/ads/library/?active_status=active&amp;ad_type=all&amp;country=US&amp;q=Harper%20Roofing%20Company%20of%20Beaufort&amp;search_type=keyword_unordered</x:v>
      </x:c>
      <x:c r="AY448" s="60" t="str">
        <x:v>ok:200</x:v>
      </x:c>
      <x:c r="AZ448" s="60" t="n">
        <x:v>46232.722858796296</x:v>
      </x:c>
      <x:c r="BA448" s="60" t="str">
        <x:v>Google Maps home-services export</x:v>
      </x:c>
      <x:c r="BB448" s="60" t="str">
        <x:v>https://harperroofingbeaufort.com | https://maps.google.com/?cid=13427900863721181623&amp;g_mp=Cidnb29nbGUubWFwcy5wbGFjZXMudjEuUGxhY2VzLlNlYXJjaFRleHQQAhgEIAA</x:v>
      </x:c>
      <x:c r="BC448" s="60" t="str"/>
    </x:row>
    <x:row r="449" ht="18" customHeight="1">
      <x:c r="A449" s="70" t="str">
        <x:v>448</x:v>
      </x:c>
      <x:c r="B449" s="70" t="str">
        <x:v>C - Verify</x:v>
      </x:c>
      <x:c r="C449" s="72" t="str">
        <x:v>51</x:v>
      </x:c>
      <x:c r="D449" s="60" t="str">
        <x:v>R.M. Buck Builders, Inc.</x:v>
      </x:c>
      <x:c r="E449" s="60" t="str">
        <x:v>https://rmbuckbuilders.com</x:v>
      </x:c>
      <x:c r="F449" s="60" t="str">
        <x:v>https://rmbuckbuilders.com</x:v>
      </x:c>
      <x:c r="G449" s="60" t="str">
        <x:v>Charleston</x:v>
      </x:c>
      <x:c r="H449" s="60" t="str">
        <x:v>South Carolina</x:v>
      </x:c>
      <x:c r="I449" s="60" t="str">
        <x:v>General Contractor</x:v>
      </x:c>
      <x:c r="J449" s="60" t="str">
        <x:v>Ryan M.</x:v>
      </x:c>
      <x:c r="K449" s="60" t="str">
        <x:v>Buck</x:v>
      </x:c>
      <x:c r="L449" s="60" t="str">
        <x:v>Owner / Partner</x:v>
      </x:c>
      <x:c r="M449" s="60" t="str">
        <x:v>ryan@rmbuckbuilders.com</x:v>
      </x:c>
      <x:c r="N449" s="60" t="str">
        <x:v>Verified with BounceBan on 08 Jun 26 12:06</x:v>
      </x:c>
      <x:c r="O449" s="60" t="str">
        <x:v>+1 843 296 6404</x:v>
      </x:c>
      <x:c r="P449" s="60" t="str">
        <x:v>https://www.linkedin.com/in/ryan-m-buck-b3659110</x:v>
      </x:c>
      <x:c r="Q449" s="60" t="str">
        <x:v>11-50</x:v>
      </x:c>
      <x:c r="R449" s="60" t="str">
        <x:v>100000-499999</x:v>
      </x:c>
      <x:c r="S449" s="60" t="str"/>
      <x:c r="T449" s="74" t="str">
        <x:v>0</x:v>
      </x:c>
      <x:c r="U449" s="60" t="str"/>
      <x:c r="V449" s="74" t="str">
        <x:v>23</x:v>
      </x:c>
      <x:c r="W449" s="74" t="str">
        <x:v>3</x:v>
      </x:c>
      <x:c r="X449" s="74" t="str">
        <x:v>6</x:v>
      </x:c>
      <x:c r="Y449" s="74" t="str">
        <x:v>9</x:v>
      </x:c>
      <x:c r="Z449" s="74" t="str">
        <x:v>10</x:v>
      </x:c>
      <x:c r="AA449" s="74" t="str">
        <x:v>0</x:v>
      </x:c>
      <x:c r="AB449" s="74" t="str">
        <x:v>0</x:v>
      </x:c>
      <x:c r="AC449" s="74" t="str">
        <x:v>1</x:v>
      </x:c>
      <x:c r="AD449" s="74" t="str">
        <x:v>0</x:v>
      </x:c>
      <x:c r="AE449" s="74" t="str">
        <x:v>0</x:v>
      </x:c>
      <x:c r="AF449" s="74" t="str"/>
      <x:c r="AG449" s="74" t="str">
        <x:v>0</x:v>
      </x:c>
      <x:c r="AH449" s="74" t="str">
        <x:v>1</x:v>
      </x:c>
      <x:c r="AI449" s="74" t="str">
        <x:v>1</x:v>
      </x:c>
      <x:c r="AJ449" s="74" t="str">
        <x:v>0</x:v>
      </x:c>
      <x:c r="AK449" s="74" t="str">
        <x:v>0</x:v>
      </x:c>
      <x:c r="AL449" s="74" t="str">
        <x:v>1</x:v>
      </x:c>
      <x:c r="AM449" s="74" t="str">
        <x:v>1</x:v>
      </x:c>
      <x:c r="AN449" s="74" t="str">
        <x:v>0</x:v>
      </x:c>
      <x:c r="AO449" s="60" t="str">
        <x:v>0</x:v>
      </x:c>
      <x:c r="AP449" s="76" t="str">
        <x:v>Project/gallery proof found; no embedded homepage video found</x:v>
      </x:c>
      <x:c r="AQ449" s="76" t="str">
        <x:v>project/gallery proof; testimonials; no embedded homepage video detected</x:v>
      </x:c>
      <x:c r="AR449" s="76" t="str">
        <x:v>I found project/gallery proof on R.M. Buck Builders, Inc.'s site that could be repackaged into short-form ad concepts.</x:v>
      </x:c>
      <x:c r="AS449" s="76" t="str">
        <x:v>project walkthrough with proof milestones</x:v>
      </x:c>
      <x:c r="AT449" s="76" t="str">
        <x:v>R.M. Buck Builders, Inc. ad concept</x:v>
      </x:c>
      <x:c r="AU449" s="76" t="str">
        <x:v>Hi Ryan M. — I found project/gallery proof on R.M. Buck Builders, Inc.'s site that could be repackaged into short-form ad concepts. I mapped a private 15-second project walkthrough with proof milestones for R.M. Buck Builders, Inc. using only public brand context—not for publishing, just to show the angle. We build three client-approved video ad concepts in seven days, then turn the winners into fresh variations. No filming day required. Worth sending the private sample?</x:v>
      </x:c>
      <x:c r="AV449" s="76" t="str">
        <x:v>Quick follow-up: the sample angle is a project walkthrough with proof milestones. If it misses the mark, no problem—I won't keep chasing. Should I send it?</x:v>
      </x:c>
      <x:c r="AW449" s="76" t="str">
        <x:v>Hi Ryan M., Ryan here. I was looking at R.M. Buck Builders, Inc.'s public marketing and noticed: project/gallery proof found; no embedded homepage video found. I mapped one private project walkthrough with proof milestones as an example. Did I catch you with 30 seconds?</x:v>
      </x:c>
      <x:c r="AX449" s="60" t="str">
        <x:v>https://www.facebook.com/ads/library/?active_status=active&amp;ad_type=all&amp;country=US&amp;q=R.M.%20Buck%20Builders%2C%20Inc.&amp;search_type=keyword_unordered</x:v>
      </x:c>
      <x:c r="AY449" s="60" t="str">
        <x:v>ok:200</x:v>
      </x:c>
      <x:c r="AZ449" s="60" t="n">
        <x:v>46232.722858796296</x:v>
      </x:c>
      <x:c r="BA449" s="60" t="str">
        <x:v>AI Ark SC trades export</x:v>
      </x:c>
      <x:c r="BB449" s="60" t="str">
        <x:v>https://rmbuckbuilders.com | https://www.linkedin.com/company/r.m.-buck-builders-inc.</x:v>
      </x:c>
      <x:c r="BC449" s="60" t="str"/>
    </x:row>
    <x:row r="450" ht="18" customHeight="1">
      <x:c r="A450" s="70" t="str">
        <x:v>449</x:v>
      </x:c>
      <x:c r="B450" s="70" t="str">
        <x:v>C - Verify</x:v>
      </x:c>
      <x:c r="C450" s="72" t="str">
        <x:v>51</x:v>
      </x:c>
      <x:c r="D450" s="60" t="str">
        <x:v>Baldwin Builders</x:v>
      </x:c>
      <x:c r="E450" s="60" t="str">
        <x:v>https://scbaldwin.com</x:v>
      </x:c>
      <x:c r="F450" s="60" t="str">
        <x:v>https://scbaldwin.com</x:v>
      </x:c>
      <x:c r="G450" s="60" t="str">
        <x:v>North Myrtle Beach</x:v>
      </x:c>
      <x:c r="H450" s="60" t="str">
        <x:v>South Carolina</x:v>
      </x:c>
      <x:c r="I450" s="60" t="str">
        <x:v>General Contractor</x:v>
      </x:c>
      <x:c r="J450" s="60" t="str">
        <x:v>Larson</x:v>
      </x:c>
      <x:c r="K450" s="60" t="str">
        <x:v>Baldwin</x:v>
      </x:c>
      <x:c r="L450" s="60" t="str">
        <x:v>Owner</x:v>
      </x:c>
      <x:c r="M450" s="60" t="str">
        <x:v>larson@scbaldwin.com</x:v>
      </x:c>
      <x:c r="N450" s="60" t="str">
        <x:v>Verified with BounceBan on 08 Jun 26 12:06</x:v>
      </x:c>
      <x:c r="O450" s="60" t="str">
        <x:v>+1 618 789 7494</x:v>
      </x:c>
      <x:c r="P450" s="60" t="str">
        <x:v>https://www.linkedin.com/in/josephbaldwin</x:v>
      </x:c>
      <x:c r="Q450" s="60" t="str">
        <x:v>11-50</x:v>
      </x:c>
      <x:c r="R450" s="60" t="str">
        <x:v>0-99999</x:v>
      </x:c>
      <x:c r="S450" s="60" t="str"/>
      <x:c r="T450" s="74" t="str">
        <x:v>0</x:v>
      </x:c>
      <x:c r="U450" s="60" t="str"/>
      <x:c r="V450" s="74" t="str">
        <x:v>23</x:v>
      </x:c>
      <x:c r="W450" s="74" t="str">
        <x:v>3</x:v>
      </x:c>
      <x:c r="X450" s="74" t="str">
        <x:v>6</x:v>
      </x:c>
      <x:c r="Y450" s="74" t="str">
        <x:v>9</x:v>
      </x:c>
      <x:c r="Z450" s="74" t="str">
        <x:v>10</x:v>
      </x:c>
      <x:c r="AA450" s="74" t="str">
        <x:v>0</x:v>
      </x:c>
      <x:c r="AB450" s="74" t="str">
        <x:v>0</x:v>
      </x:c>
      <x:c r="AC450" s="74" t="str">
        <x:v>1</x:v>
      </x:c>
      <x:c r="AD450" s="74" t="str">
        <x:v>0</x:v>
      </x:c>
      <x:c r="AE450" s="74" t="str">
        <x:v>0</x:v>
      </x:c>
      <x:c r="AF450" s="74" t="str"/>
      <x:c r="AG450" s="74" t="str">
        <x:v>0</x:v>
      </x:c>
      <x:c r="AH450" s="74" t="str">
        <x:v>1</x:v>
      </x:c>
      <x:c r="AI450" s="74" t="str">
        <x:v>1</x:v>
      </x:c>
      <x:c r="AJ450" s="74" t="str">
        <x:v>0</x:v>
      </x:c>
      <x:c r="AK450" s="74" t="str">
        <x:v>0</x:v>
      </x:c>
      <x:c r="AL450" s="74" t="str">
        <x:v>1</x:v>
      </x:c>
      <x:c r="AM450" s="74" t="str">
        <x:v>1</x:v>
      </x:c>
      <x:c r="AN450" s="74" t="str">
        <x:v>0</x:v>
      </x:c>
      <x:c r="AO450" s="60" t="str">
        <x:v>0</x:v>
      </x:c>
      <x:c r="AP450" s="76" t="str">
        <x:v>Project/gallery proof found; no embedded homepage video found</x:v>
      </x:c>
      <x:c r="AQ450" s="76" t="str">
        <x:v>project/gallery proof; testimonials; no embedded homepage video detected</x:v>
      </x:c>
      <x:c r="AR450" s="76" t="str">
        <x:v>I found project/gallery proof on Baldwin Builders's site that could be repackaged into short-form ad concepts.</x:v>
      </x:c>
      <x:c r="AS450" s="76" t="str">
        <x:v>project walkthrough with proof milestones</x:v>
      </x:c>
      <x:c r="AT450" s="76" t="str">
        <x:v>Baldwin Builders ad concept</x:v>
      </x:c>
      <x:c r="AU450" s="76" t="str">
        <x:v>Hi Larson — I found project/gallery proof on Baldwin Builders's site that could be repackaged into short-form ad concepts. I mapped a private 15-second project walkthrough with proof milestones for Baldwin Builders using only public brand context—not for publishing, just to show the angle. We build three client-approved video ad concepts in seven days, then turn the winners into fresh variations. No filming day required. Worth sending the private sample?</x:v>
      </x:c>
      <x:c r="AV450" s="76" t="str">
        <x:v>Quick follow-up: the sample angle is a project walkthrough with proof milestones. If it misses the mark, no problem—I won't keep chasing. Should I send it?</x:v>
      </x:c>
      <x:c r="AW450" s="76" t="str">
        <x:v>Hi Larson, Ryan here. I was looking at Baldwin Builders's public marketing and noticed: project/gallery proof found; no embedded homepage video found. I mapped one private project walkthrough with proof milestones as an example. Did I catch you with 30 seconds?</x:v>
      </x:c>
      <x:c r="AX450" s="60" t="str">
        <x:v>https://www.facebook.com/ads/library/?active_status=active&amp;ad_type=all&amp;country=US&amp;q=Baldwin%20Builders&amp;search_type=keyword_unordered</x:v>
      </x:c>
      <x:c r="AY450" s="60" t="str">
        <x:v>ok:200</x:v>
      </x:c>
      <x:c r="AZ450" s="60" t="n">
        <x:v>46232.722858796296</x:v>
      </x:c>
      <x:c r="BA450" s="60" t="str">
        <x:v>AI Ark SC trades export</x:v>
      </x:c>
      <x:c r="BB450" s="60" t="str">
        <x:v>https://scbaldwin.com | https://www.linkedin.com/company/baldwin-builders-sc</x:v>
      </x:c>
      <x:c r="BC450" s="60" t="str"/>
    </x:row>
    <x:row r="451" ht="18" customHeight="1">
      <x:c r="A451" s="70" t="str">
        <x:v>450</x:v>
      </x:c>
      <x:c r="B451" s="70" t="str">
        <x:v>C - Verify</x:v>
      </x:c>
      <x:c r="C451" s="72" t="str">
        <x:v>51</x:v>
      </x:c>
      <x:c r="D451" s="60" t="str">
        <x:v>Unite Contractors</x:v>
      </x:c>
      <x:c r="E451" s="60" t="str">
        <x:v>https://unitecontractors.com</x:v>
      </x:c>
      <x:c r="F451" s="60" t="str">
        <x:v>https://unitecontractors.com</x:v>
      </x:c>
      <x:c r="G451" s="60" t="str">
        <x:v>Woodruff</x:v>
      </x:c>
      <x:c r="H451" s="60" t="str">
        <x:v>South Carolina</x:v>
      </x:c>
      <x:c r="I451" s="60" t="str">
        <x:v>Roofing</x:v>
      </x:c>
      <x:c r="J451" s="60" t="str">
        <x:v>Roberto</x:v>
      </x:c>
      <x:c r="K451" s="60" t="str">
        <x:v>Fernandes</x:v>
      </x:c>
      <x:c r="L451" s="60" t="str">
        <x:v>Owner / General Contractor</x:v>
      </x:c>
      <x:c r="M451" s="60" t="str"/>
      <x:c r="N451" s="60" t="str"/>
      <x:c r="O451" s="60" t="str">
        <x:v>+1 508 685 5632</x:v>
      </x:c>
      <x:c r="P451" s="60" t="str">
        <x:v>https://www.linkedin.com/in/robertofernandescontractor</x:v>
      </x:c>
      <x:c r="Q451" s="60" t="str">
        <x:v>2-10</x:v>
      </x:c>
      <x:c r="R451" s="60" t="str">
        <x:v>0-99999</x:v>
      </x:c>
      <x:c r="S451" s="60" t="str"/>
      <x:c r="T451" s="74" t="str">
        <x:v>0</x:v>
      </x:c>
      <x:c r="U451" s="60" t="str"/>
      <x:c r="V451" s="74" t="str">
        <x:v>28</x:v>
      </x:c>
      <x:c r="W451" s="74" t="str">
        <x:v>3</x:v>
      </x:c>
      <x:c r="X451" s="74" t="str">
        <x:v>6</x:v>
      </x:c>
      <x:c r="Y451" s="74" t="str">
        <x:v>9</x:v>
      </x:c>
      <x:c r="Z451" s="74" t="str">
        <x:v>5</x:v>
      </x:c>
      <x:c r="AA451" s="74" t="str">
        <x:v>0</x:v>
      </x:c>
      <x:c r="AB451" s="74" t="str">
        <x:v>0</x:v>
      </x:c>
      <x:c r="AC451" s="74" t="str">
        <x:v>1</x:v>
      </x:c>
      <x:c r="AD451" s="74" t="str">
        <x:v>0</x:v>
      </x:c>
      <x:c r="AE451" s="74" t="str">
        <x:v>0</x:v>
      </x:c>
      <x:c r="AF451" s="74" t="str"/>
      <x:c r="AG451" s="74" t="str">
        <x:v>0</x:v>
      </x:c>
      <x:c r="AH451" s="74" t="str">
        <x:v>1</x:v>
      </x:c>
      <x:c r="AI451" s="74" t="str">
        <x:v>1</x:v>
      </x:c>
      <x:c r="AJ451" s="74" t="str">
        <x:v>0</x:v>
      </x:c>
      <x:c r="AK451" s="74" t="str">
        <x:v>0</x:v>
      </x:c>
      <x:c r="AL451" s="74" t="str">
        <x:v>1</x:v>
      </x:c>
      <x:c r="AM451" s="74" t="str">
        <x:v>1</x:v>
      </x:c>
      <x:c r="AN451" s="74" t="str">
        <x:v>1</x:v>
      </x:c>
      <x:c r="AO451" s="60" t="str">
        <x:v>0</x:v>
      </x:c>
      <x:c r="AP451" s="76" t="str">
        <x:v>Project/gallery proof found; no embedded homepage video found</x:v>
      </x:c>
      <x:c r="AQ451" s="76" t="str">
        <x:v>project/gallery proof; testimonials; no embedded homepage video detected</x:v>
      </x:c>
      <x:c r="AR451" s="76" t="str">
        <x:v>I found project/gallery proof on Unite Contractors's site that could be repackaged into short-form ad concepts.</x:v>
      </x:c>
      <x:c r="AS451" s="76" t="str">
        <x:v>storm-to-inspection before/after ad</x:v>
      </x:c>
      <x:c r="AT451" s="76" t="str">
        <x:v>Unite Contractors ad concept</x:v>
      </x:c>
      <x:c r="AU451" s="76" t="str">
        <x:v>Hi Roberto — I found project/gallery proof on Unite Contractors's site that could be repackaged into short-form ad concepts. I mapped a private 15-second storm-to-inspection before/after ad for Unite Contractors using only public brand context—not for publishing, just to show the angle. We build three client-approved video ad concepts in seven days, then turn the winners into fresh variations. No filming day required. Worth sending the private sample?</x:v>
      </x:c>
      <x:c r="AV451" s="76" t="str">
        <x:v>Quick follow-up: the sample angle is a storm-to-inspection before/after ad. If it misses the mark, no problem—I won't keep chasing. Should I send it?</x:v>
      </x:c>
      <x:c r="AW451" s="76" t="str">
        <x:v>Hi Roberto, Ryan here. I was looking at Unite Contractors's public marketing and noticed: project/gallery proof found; no embedded homepage video found. I mapped one private storm-to-inspection before/after ad as an example. Did I catch you with 30 seconds?</x:v>
      </x:c>
      <x:c r="AX451" s="60" t="str">
        <x:v>https://www.facebook.com/ads/library/?active_status=active&amp;ad_type=all&amp;country=US&amp;q=Unite%20Contractors&amp;search_type=keyword_unordered</x:v>
      </x:c>
      <x:c r="AY451" s="60" t="str">
        <x:v>ok:200</x:v>
      </x:c>
      <x:c r="AZ451" s="60" t="n">
        <x:v>46232.722858796296</x:v>
      </x:c>
      <x:c r="BA451" s="60" t="str">
        <x:v>AI Ark SC trades export</x:v>
      </x:c>
      <x:c r="BB451" s="60" t="str">
        <x:v>https://unitecontractors.com | https://www.linkedin.com/company/unitecontractors</x:v>
      </x:c>
      <x:c r="BC451" s="60" t="str"/>
    </x:row>
    <x:row r="452" ht="18" customHeight="1">
      <x:c r="A452" s="70" t="str">
        <x:v>451</x:v>
      </x:c>
      <x:c r="B452" s="70" t="str">
        <x:v>C - Verify</x:v>
      </x:c>
      <x:c r="C452" s="72" t="str">
        <x:v>51</x:v>
      </x:c>
      <x:c r="D452" s="60" t="str">
        <x:v>SC Heating And Air</x:v>
      </x:c>
      <x:c r="E452" s="60" t="str">
        <x:v>https://scheatingandair.com</x:v>
      </x:c>
      <x:c r="F452" s="60" t="str">
        <x:v>https://scheatingandair.com</x:v>
      </x:c>
      <x:c r="G452" s="60" t="str">
        <x:v>Columbia</x:v>
      </x:c>
      <x:c r="H452" s="60" t="str">
        <x:v>South Carolina</x:v>
      </x:c>
      <x:c r="I452" s="60" t="str">
        <x:v>HVAC</x:v>
      </x:c>
      <x:c r="J452" s="60" t="str">
        <x:v>SC Heating And Air</x:v>
      </x:c>
      <x:c r="K452" s="60" t="str"/>
      <x:c r="L452" s="60" t="str">
        <x:v>Owner / decision maker to verify</x:v>
      </x:c>
      <x:c r="M452" s="60" t="str"/>
      <x:c r="N452" s="60" t="str"/>
      <x:c r="O452" s="60" t="str">
        <x:v>(803) 309-8475</x:v>
      </x:c>
      <x:c r="P452" s="60" t="str"/>
      <x:c r="Q452" s="60" t="str"/>
      <x:c r="R452" s="60" t="str"/>
      <x:c r="S452" s="60" t="str">
        <x:v>4.8</x:v>
      </x:c>
      <x:c r="T452" s="74" t="str">
        <x:v>112</x:v>
      </x:c>
      <x:c r="U452" s="60" t="str"/>
      <x:c r="V452" s="74" t="str">
        <x:v>28</x:v>
      </x:c>
      <x:c r="W452" s="74" t="str">
        <x:v>3</x:v>
      </x:c>
      <x:c r="X452" s="74" t="str">
        <x:v>6</x:v>
      </x:c>
      <x:c r="Y452" s="74" t="str">
        <x:v>9</x:v>
      </x:c>
      <x:c r="Z452" s="74" t="str">
        <x:v>5</x:v>
      </x:c>
      <x:c r="AA452" s="74" t="str">
        <x:v>0</x:v>
      </x:c>
      <x:c r="AB452" s="74" t="str">
        <x:v>0</x:v>
      </x:c>
      <x:c r="AC452" s="74" t="str">
        <x:v>1</x:v>
      </x:c>
      <x:c r="AD452" s="74" t="str">
        <x:v>0</x:v>
      </x:c>
      <x:c r="AE452" s="74" t="str">
        <x:v>0</x:v>
      </x:c>
      <x:c r="AF452" s="74" t="str"/>
      <x:c r="AG452" s="74" t="str">
        <x:v>0</x:v>
      </x:c>
      <x:c r="AH452" s="74" t="str">
        <x:v>0</x:v>
      </x:c>
      <x:c r="AI452" s="74" t="str">
        <x:v>0</x:v>
      </x:c>
      <x:c r="AJ452" s="74" t="str">
        <x:v>1</x:v>
      </x:c>
      <x:c r="AK452" s="74" t="str">
        <x:v>1</x:v>
      </x:c>
      <x:c r="AL452" s="74" t="str">
        <x:v>0</x:v>
      </x:c>
      <x:c r="AM452" s="74" t="str">
        <x:v>1</x:v>
      </x:c>
      <x:c r="AN452" s="74" t="str">
        <x:v>1</x:v>
      </x:c>
      <x:c r="AO452" s="60" t="str">
        <x:v>2026</x:v>
      </x:c>
      <x:c r="AP452" s="76" t="str">
        <x:v>112 Google reviews; no embedded homepage video found</x:v>
      </x:c>
      <x:c r="AQ452" s="76" t="str">
        <x:v>financing; visible service offer; no embedded homepage video detected</x:v>
      </x:c>
      <x:c r="AR452" s="76" t="str">
        <x:v>SC Heating And Air has 112 Google reviews—strong proof that could be turned into short-form ad concepts.</x:v>
      </x:c>
      <x:c r="AS452" s="76" t="str">
        <x:v>no-cool-call to same-day comfort ad</x:v>
      </x:c>
      <x:c r="AT452" s="76" t="str">
        <x:v>SC Heating And Air ad concept</x:v>
      </x:c>
      <x:c r="AU452" s="76" t="str">
        <x:v>Hi SC Heating And Air — SC Heating And Air has 112 Google reviews—strong proof that could be turned into short-form ad concepts. I mapped a private 15-second no-cool-call to same-day comfort ad for SC Heating And Air using only public brand context—not for publishing, just to show the angle. We build three client-approved video ad concepts in seven days, then turn the winners into fresh variations. No filming day required. Worth sending the private sample?</x:v>
      </x:c>
      <x:c r="AV452" s="76" t="str">
        <x:v>Quick follow-up: the sample angle is a no-cool-call to same-day comfort ad. If it misses the mark, no problem—I won't keep chasing. Should I send it?</x:v>
      </x:c>
      <x:c r="AW452" s="76" t="str">
        <x:v>Hi SC Heating And Air, Ryan here. I was looking at SC Heating And Air's public marketing and noticed: 112 google reviews; no embedded homepage video found. I mapped one private no-cool-call to same-day comfort ad as an example. Did I catch you with 30 seconds?</x:v>
      </x:c>
      <x:c r="AX452" s="60" t="str">
        <x:v>https://www.facebook.com/ads/library/?active_status=active&amp;ad_type=all&amp;country=US&amp;q=SC%20Heating%20And%20Air&amp;search_type=keyword_unordered</x:v>
      </x:c>
      <x:c r="AY452" s="60" t="str">
        <x:v>ok:200</x:v>
      </x:c>
      <x:c r="AZ452" s="60" t="n">
        <x:v>46232.722858796296</x:v>
      </x:c>
      <x:c r="BA452" s="60" t="str">
        <x:v>Google Maps home-services export</x:v>
      </x:c>
      <x:c r="BB452" s="60" t="str">
        <x:v>https://maps.google.com/?cid=7390966873730144486&amp;g_mp=Cidnb29nbGUubWFwcy5wbGFjZXMudjEuUGxhY2VzLlNlYXJjaFRleHQQAhgEIAA | https://scheatingandair.com</x:v>
      </x:c>
      <x:c r="BC452" s="60" t="str"/>
    </x:row>
    <x:row r="453" ht="18" customHeight="1">
      <x:c r="A453" s="70" t="str">
        <x:v>452</x:v>
      </x:c>
      <x:c r="B453" s="70" t="str">
        <x:v>C - Verify</x:v>
      </x:c>
      <x:c r="C453" s="72" t="str">
        <x:v>51</x:v>
      </x:c>
      <x:c r="D453" s="60" t="str">
        <x:v>B &amp; D Heating and Air Conditioning</x:v>
      </x:c>
      <x:c r="E453" s="60" t="str">
        <x:v>https://banddheatingandair.com</x:v>
      </x:c>
      <x:c r="F453" s="60" t="str">
        <x:v>https://banddheatingandair.com</x:v>
      </x:c>
      <x:c r="G453" s="60" t="str">
        <x:v>Goose Creek</x:v>
      </x:c>
      <x:c r="H453" s="60" t="str">
        <x:v>South Carolina</x:v>
      </x:c>
      <x:c r="I453" s="60" t="str">
        <x:v>HVAC</x:v>
      </x:c>
      <x:c r="J453" s="60" t="str">
        <x:v>B &amp; D Heating and Air Conditioning</x:v>
      </x:c>
      <x:c r="K453" s="60" t="str"/>
      <x:c r="L453" s="60" t="str">
        <x:v>Owner / decision maker to verify</x:v>
      </x:c>
      <x:c r="M453" s="60" t="str"/>
      <x:c r="N453" s="60" t="str"/>
      <x:c r="O453" s="60" t="str">
        <x:v>(843) 225-5212</x:v>
      </x:c>
      <x:c r="P453" s="60" t="str"/>
      <x:c r="Q453" s="60" t="str"/>
      <x:c r="R453" s="60" t="str"/>
      <x:c r="S453" s="60" t="str">
        <x:v>4.6</x:v>
      </x:c>
      <x:c r="T453" s="74" t="str">
        <x:v>182</x:v>
      </x:c>
      <x:c r="U453" s="60" t="str"/>
      <x:c r="V453" s="74" t="str">
        <x:v>28</x:v>
      </x:c>
      <x:c r="W453" s="74" t="str">
        <x:v>3</x:v>
      </x:c>
      <x:c r="X453" s="74" t="str">
        <x:v>6</x:v>
      </x:c>
      <x:c r="Y453" s="74" t="str">
        <x:v>9</x:v>
      </x:c>
      <x:c r="Z453" s="74" t="str">
        <x:v>5</x:v>
      </x:c>
      <x:c r="AA453" s="74" t="str">
        <x:v>0</x:v>
      </x:c>
      <x:c r="AB453" s="74" t="str">
        <x:v>0</x:v>
      </x:c>
      <x:c r="AC453" s="74" t="str">
        <x:v>1</x:v>
      </x:c>
      <x:c r="AD453" s="74" t="str">
        <x:v>0</x:v>
      </x:c>
      <x:c r="AE453" s="74" t="str">
        <x:v>0</x:v>
      </x:c>
      <x:c r="AF453" s="74" t="str"/>
      <x:c r="AG453" s="74" t="str">
        <x:v>0</x:v>
      </x:c>
      <x:c r="AH453" s="74" t="str">
        <x:v>0</x:v>
      </x:c>
      <x:c r="AI453" s="74" t="str">
        <x:v>0</x:v>
      </x:c>
      <x:c r="AJ453" s="74" t="str">
        <x:v>1</x:v>
      </x:c>
      <x:c r="AK453" s="74" t="str">
        <x:v>1</x:v>
      </x:c>
      <x:c r="AL453" s="74" t="str">
        <x:v>1</x:v>
      </x:c>
      <x:c r="AM453" s="74" t="str">
        <x:v>1</x:v>
      </x:c>
      <x:c r="AN453" s="74" t="str">
        <x:v>0</x:v>
      </x:c>
      <x:c r="AO453" s="60" t="str">
        <x:v>2026</x:v>
      </x:c>
      <x:c r="AP453" s="76" t="str">
        <x:v>182 Google reviews; no embedded homepage video found</x:v>
      </x:c>
      <x:c r="AQ453" s="76" t="str">
        <x:v>financing; visible service offer; no embedded homepage video detected</x:v>
      </x:c>
      <x:c r="AR453" s="76" t="str">
        <x:v>B &amp; D Heating and Air Conditioning has 182 Google reviews—strong proof that could be turned into short-form ad concepts.</x:v>
      </x:c>
      <x:c r="AS453" s="76" t="str">
        <x:v>no-cool-call to same-day comfort ad</x:v>
      </x:c>
      <x:c r="AT453" s="76" t="str">
        <x:v>B &amp; D Heating and Air Conditioning ad concept</x:v>
      </x:c>
      <x:c r="AU453" s="76" t="str">
        <x:v>Hi B &amp; D Heating and Air Conditioning — B &amp; D Heating and Air Conditioning has 182 Google reviews—strong proof that could be turned into short-form ad concepts. I mapped a private 15-second no-cool-call to same-day comfort ad for B &amp; D Heating and Air Conditioning using only public brand context—not for publishing, just to show the angle. We build three client-approved video ad concepts in seven days, then turn the winners into fresh variations. No filming day required. Worth sending the private sample?</x:v>
      </x:c>
      <x:c r="AV453" s="76" t="str">
        <x:v>Quick follow-up: the sample angle is a no-cool-call to same-day comfort ad. If it misses the mark, no problem—I won't keep chasing. Should I send it?</x:v>
      </x:c>
      <x:c r="AW453" s="76" t="str">
        <x:v>Hi B &amp; D Heating and Air Conditioning, Ryan here. I was looking at B &amp; D Heating and Air Conditioning's public marketing and noticed: 182 google reviews; no embedded homepage video found. I mapped one private no-cool-call to same-day comfort ad as an example. Did I catch you with 30 seconds?</x:v>
      </x:c>
      <x:c r="AX453" s="60" t="str">
        <x:v>https://www.facebook.com/ads/library/?active_status=active&amp;ad_type=all&amp;country=US&amp;q=B%20%26%20D%20Heating%20and%20Air%20Conditioning&amp;search_type=keyword_unordered</x:v>
      </x:c>
      <x:c r="AY453" s="60" t="str">
        <x:v>ok:200</x:v>
      </x:c>
      <x:c r="AZ453" s="60" t="n">
        <x:v>46232.722858796296</x:v>
      </x:c>
      <x:c r="BA453" s="60" t="str">
        <x:v>Google Maps home-services export</x:v>
      </x:c>
      <x:c r="BB453" s="60" t="str">
        <x:v>https://banddheatingandair.com | https://maps.google.com/?cid=2815285344278955045&amp;g_mp=Cidnb29nbGUubWFwcy5wbGFjZXMudjEuUGxhY2VzLlNlYXJjaFRleHQQAhgEIAA</x:v>
      </x:c>
      <x:c r="BC453" s="60" t="str"/>
    </x:row>
    <x:row r="454" ht="18" customHeight="1">
      <x:c r="A454" s="70" t="str">
        <x:v>453</x:v>
      </x:c>
      <x:c r="B454" s="70" t="str">
        <x:v>C - Verify</x:v>
      </x:c>
      <x:c r="C454" s="72" t="str">
        <x:v>51</x:v>
      </x:c>
      <x:c r="D454" s="60" t="str">
        <x:v>Carolina Prime Roofing</x:v>
      </x:c>
      <x:c r="E454" s="60" t="str">
        <x:v>https://carolinaprimeroofing.com</x:v>
      </x:c>
      <x:c r="F454" s="60" t="str">
        <x:v>https://carolinaprimeroofing.com</x:v>
      </x:c>
      <x:c r="G454" s="60" t="str">
        <x:v>Charleston County</x:v>
      </x:c>
      <x:c r="H454" s="60" t="str">
        <x:v>South Carolina</x:v>
      </x:c>
      <x:c r="I454" s="60" t="str">
        <x:v>Roofing</x:v>
      </x:c>
      <x:c r="J454" s="60" t="str">
        <x:v>Tyler</x:v>
      </x:c>
      <x:c r="K454" s="60" t="str">
        <x:v>Woods</x:v>
      </x:c>
      <x:c r="L454" s="60" t="str">
        <x:v>Owner</x:v>
      </x:c>
      <x:c r="M454" s="60" t="str">
        <x:v>tyler@carolinaprimeroofing.com</x:v>
      </x:c>
      <x:c r="N454" s="60" t="str">
        <x:v>Verified with BounceBan on 08 Jun 26 12:06</x:v>
      </x:c>
      <x:c r="O454" s="60" t="str">
        <x:v>+1 803 238 3239</x:v>
      </x:c>
      <x:c r="P454" s="60" t="str">
        <x:v>https://www.linkedin.com/in/tylergwoods</x:v>
      </x:c>
      <x:c r="Q454" s="60" t="str">
        <x:v>11-50</x:v>
      </x:c>
      <x:c r="R454" s="60" t="str">
        <x:v>0-99999</x:v>
      </x:c>
      <x:c r="S454" s="60" t="str"/>
      <x:c r="T454" s="74" t="str">
        <x:v>0</x:v>
      </x:c>
      <x:c r="U454" s="60" t="str"/>
      <x:c r="V454" s="74" t="str">
        <x:v>30</x:v>
      </x:c>
      <x:c r="W454" s="74" t="str">
        <x:v>3</x:v>
      </x:c>
      <x:c r="X454" s="74" t="str">
        <x:v>0</x:v>
      </x:c>
      <x:c r="Y454" s="74" t="str">
        <x:v>8</x:v>
      </x:c>
      <x:c r="Z454" s="74" t="str">
        <x:v>10</x:v>
      </x:c>
      <x:c r="AA454" s="74" t="str">
        <x:v>0</x:v>
      </x:c>
      <x:c r="AB454" s="74" t="str">
        <x:v>0</x:v>
      </x:c>
      <x:c r="AC454" s="74" t="str">
        <x:v>1</x:v>
      </x:c>
      <x:c r="AD454" s="74" t="str">
        <x:v>0</x:v>
      </x:c>
      <x:c r="AE454" s="74" t="str">
        <x:v>0</x:v>
      </x:c>
      <x:c r="AF454" s="74" t="str"/>
      <x:c r="AG454" s="74" t="str">
        <x:v>1</x:v>
      </x:c>
      <x:c r="AH454" s="74" t="str">
        <x:v>1</x:v>
      </x:c>
      <x:c r="AI454" s="74" t="str">
        <x:v>0</x:v>
      </x:c>
      <x:c r="AJ454" s="74" t="str">
        <x:v>0</x:v>
      </x:c>
      <x:c r="AK454" s="74" t="str">
        <x:v>1</x:v>
      </x:c>
      <x:c r="AL454" s="74" t="str">
        <x:v>1</x:v>
      </x:c>
      <x:c r="AM454" s="74" t="str">
        <x:v>1</x:v>
      </x:c>
      <x:c r="AN454" s="74" t="str">
        <x:v>0</x:v>
      </x:c>
      <x:c r="AO454" s="60" t="str">
        <x:v>2026</x:v>
      </x:c>
      <x:c r="AP454" s="76" t="str">
        <x:v>ICP fit; paid-demand need requires manual verification</x:v>
      </x:c>
      <x:c r="AQ454" s="76" t="str">
        <x:v>project/gallery proof; visible service offer</x:v>
      </x:c>
      <x:c r="AR454" s="76" t="str">
        <x:v>I was reviewing roofing companies in Charleston County, South Carolina and Carolina Prime Roofing looked like a strong fit for a creative test.</x:v>
      </x:c>
      <x:c r="AS454" s="76" t="str">
        <x:v>storm-to-inspection before/after ad</x:v>
      </x:c>
      <x:c r="AT454" s="76" t="str">
        <x:v>Carolina Prime Roofing ad concept</x:v>
      </x:c>
      <x:c r="AU454" s="76" t="str">
        <x:v>Hi Tyler — I was reviewing roofing companies in Charleston County, South Carolina and Carolina Prime Roofing looked like a strong fit for a creative test. I mapped a private 15-second storm-to-inspection before/after ad for Carolina Prime Roofing using only public brand context—not for publishing, just to show the angle. We build three client-approved video ad concepts in seven days, then turn the winners into fresh variations. No filming day required. Worth sending the private sample?</x:v>
      </x:c>
      <x:c r="AV454" s="76" t="str">
        <x:v>Quick follow-up: the sample angle is a storm-to-inspection before/after ad. If it misses the mark, no problem—I won't keep chasing. Should I send it?</x:v>
      </x:c>
      <x:c r="AW454" s="76" t="str">
        <x:v>Hi Tyler, Ryan here. I was looking at Carolina Prime Roofing's public marketing and noticed: icp fit; paid-demand need requires manual verification. I mapped one private storm-to-inspection before/after ad as an example. Did I catch you with 30 seconds?</x:v>
      </x:c>
      <x:c r="AX454" s="60" t="str">
        <x:v>https://www.facebook.com/ads/library/?active_status=active&amp;ad_type=all&amp;country=US&amp;q=Carolina%20Prime%20Roofing&amp;search_type=keyword_unordered</x:v>
      </x:c>
      <x:c r="AY454" s="60" t="str">
        <x:v>ok:200</x:v>
      </x:c>
      <x:c r="AZ454" s="60" t="n">
        <x:v>46232.722858796296</x:v>
      </x:c>
      <x:c r="BA454" s="60" t="str">
        <x:v>AI Ark SC trades export</x:v>
      </x:c>
      <x:c r="BB454" s="60" t="str">
        <x:v>https://carolinaprimeroofing.com | https://www.linkedin.com/company/carolina-prime-roofing</x:v>
      </x:c>
      <x:c r="BC454" s="60" t="str"/>
    </x:row>
    <x:row r="455" ht="18" customHeight="1">
      <x:c r="A455" s="70" t="str">
        <x:v>454</x:v>
      </x:c>
      <x:c r="B455" s="70" t="str">
        <x:v>C - Verify</x:v>
      </x:c>
      <x:c r="C455" s="72" t="str">
        <x:v>51</x:v>
      </x:c>
      <x:c r="D455" s="60" t="str">
        <x:v>The Roofing Company of Charleston</x:v>
      </x:c>
      <x:c r="E455" s="60" t="str">
        <x:v>https://trccharleston.com</x:v>
      </x:c>
      <x:c r="F455" s="60" t="str">
        <x:v>https://www.trccharleston.com/</x:v>
      </x:c>
      <x:c r="G455" s="60" t="str">
        <x:v>Mount Pleasant</x:v>
      </x:c>
      <x:c r="H455" s="60" t="str">
        <x:v>South Carolina</x:v>
      </x:c>
      <x:c r="I455" s="60" t="str">
        <x:v>Roofing</x:v>
      </x:c>
      <x:c r="J455" s="60" t="str">
        <x:v>The Roofing Company of Charleston</x:v>
      </x:c>
      <x:c r="K455" s="60" t="str"/>
      <x:c r="L455" s="60" t="str">
        <x:v>Owner / decision maker to verify</x:v>
      </x:c>
      <x:c r="M455" s="60" t="str"/>
      <x:c r="N455" s="60" t="str"/>
      <x:c r="O455" s="60" t="str">
        <x:v>(843) 718-6488</x:v>
      </x:c>
      <x:c r="P455" s="60" t="str"/>
      <x:c r="Q455" s="60" t="str"/>
      <x:c r="R455" s="60" t="str"/>
      <x:c r="S455" s="60" t="str">
        <x:v>5</x:v>
      </x:c>
      <x:c r="T455" s="74" t="str">
        <x:v>11</x:v>
      </x:c>
      <x:c r="U455" s="60" t="str"/>
      <x:c r="V455" s="74" t="str">
        <x:v>25</x:v>
      </x:c>
      <x:c r="W455" s="74" t="str">
        <x:v>3</x:v>
      </x:c>
      <x:c r="X455" s="74" t="str">
        <x:v>10</x:v>
      </x:c>
      <x:c r="Y455" s="74" t="str">
        <x:v>8</x:v>
      </x:c>
      <x:c r="Z455" s="74" t="str">
        <x:v>5</x:v>
      </x:c>
      <x:c r="AA455" s="74" t="str">
        <x:v>0</x:v>
      </x:c>
      <x:c r="AB455" s="74" t="str">
        <x:v>0</x:v>
      </x:c>
      <x:c r="AC455" s="74" t="str">
        <x:v>1</x:v>
      </x:c>
      <x:c r="AD455" s="74" t="str">
        <x:v>0</x:v>
      </x:c>
      <x:c r="AE455" s="74" t="str">
        <x:v>0</x:v>
      </x:c>
      <x:c r="AF455" s="74" t="str"/>
      <x:c r="AG455" s="74" t="str">
        <x:v>0</x:v>
      </x:c>
      <x:c r="AH455" s="74" t="str">
        <x:v>1</x:v>
      </x:c>
      <x:c r="AI455" s="74" t="str">
        <x:v>0</x:v>
      </x:c>
      <x:c r="AJ455" s="74" t="str">
        <x:v>0</x:v>
      </x:c>
      <x:c r="AK455" s="74" t="str">
        <x:v>1</x:v>
      </x:c>
      <x:c r="AL455" s="74" t="str">
        <x:v>0</x:v>
      </x:c>
      <x:c r="AM455" s="74" t="str">
        <x:v>1</x:v>
      </x:c>
      <x:c r="AN455" s="74" t="str">
        <x:v>0</x:v>
      </x:c>
      <x:c r="AO455" s="60" t="str">
        <x:v>0</x:v>
      </x:c>
      <x:c r="AP455" s="76" t="str">
        <x:v>Project/gallery proof found; no embedded homepage video found</x:v>
      </x:c>
      <x:c r="AQ455" s="76" t="str">
        <x:v>project/gallery proof; visible service offer; no embedded homepage video detected</x:v>
      </x:c>
      <x:c r="AR455" s="76" t="str">
        <x:v>I found project/gallery proof on The Roofing Company of Charleston's site that could be repackaged into short-form ad concepts.</x:v>
      </x:c>
      <x:c r="AS455" s="76" t="str">
        <x:v>storm-to-inspection before/after ad</x:v>
      </x:c>
      <x:c r="AT455" s="76" t="str">
        <x:v>The Roofing Company of Charleston ad concept</x:v>
      </x:c>
      <x:c r="AU455" s="76" t="str">
        <x:v>Hi The Roofing Company of Charleston — I found project/gallery proof on The Roofing Company of Charleston's site that could be repackaged into short-form ad concepts. I mapped a private 15-second storm-to-inspection before/after ad for The Roofing Company of Charleston using only public brand context—not for publishing, just to show the angle. We build three client-approved video ad concepts in seven days, then turn the winners into fresh variations. No filming day required. Worth sending the private sample?</x:v>
      </x:c>
      <x:c r="AV455" s="76" t="str">
        <x:v>Quick follow-up: the sample angle is a storm-to-inspection before/after ad. If it misses the mark, no problem—I won't keep chasing. Should I send it?</x:v>
      </x:c>
      <x:c r="AW455" s="76" t="str">
        <x:v>Hi The Roofing Company of Charleston, Ryan here. I was looking at The Roofing Company of Charleston's public marketing and noticed: project/gallery proof found; no embedded homepage video found. I mapped one private storm-to-inspection before/after ad as an example. Did I catch you with 30 seconds?</x:v>
      </x:c>
      <x:c r="AX455" s="60" t="str">
        <x:v>https://www.facebook.com/ads/library/?active_status=active&amp;ad_type=all&amp;country=US&amp;q=The%20Roofing%20Company%20of%20Charleston&amp;search_type=keyword_unordered</x:v>
      </x:c>
      <x:c r="AY455" s="60" t="str">
        <x:v>ok:200</x:v>
      </x:c>
      <x:c r="AZ455" s="60" t="n">
        <x:v>46232.722858796296</x:v>
      </x:c>
      <x:c r="BA455" s="60" t="str">
        <x:v>Google Maps home-services export</x:v>
      </x:c>
      <x:c r="BB455" s="60" t="str">
        <x:v>https://maps.google.com/?cid=8810951738852446500&amp;g_mp=Cidnb29nbGUubWFwcy5wbGFjZXMudjEuUGxhY2VzLlNlYXJjaFRleHQQAhgEIAA | https://trccharleston.com</x:v>
      </x:c>
      <x:c r="BC455" s="60" t="str"/>
    </x:row>
    <x:row r="456" ht="18" customHeight="1">
      <x:c r="A456" s="70" t="str">
        <x:v>455</x:v>
      </x:c>
      <x:c r="B456" s="70" t="str">
        <x:v>C - Verify</x:v>
      </x:c>
      <x:c r="C456" s="72" t="str">
        <x:v>51</x:v>
      </x:c>
      <x:c r="D456" s="60" t="str">
        <x:v>Drip Ninjas</x:v>
      </x:c>
      <x:c r="E456" s="60" t="str">
        <x:v>https://dripninjas.com</x:v>
      </x:c>
      <x:c r="F456" s="60" t="str">
        <x:v>https://dripninjas.com</x:v>
      </x:c>
      <x:c r="G456" s="60" t="str">
        <x:v>Chapin</x:v>
      </x:c>
      <x:c r="H456" s="60" t="str">
        <x:v>South Carolina</x:v>
      </x:c>
      <x:c r="I456" s="60" t="str">
        <x:v>Restoration</x:v>
      </x:c>
      <x:c r="J456" s="60" t="str">
        <x:v>Shannon</x:v>
      </x:c>
      <x:c r="K456" s="60" t="str">
        <x:v>Frazer</x:v>
      </x:c>
      <x:c r="L456" s="60" t="str">
        <x:v>Small Business Owner</x:v>
      </x:c>
      <x:c r="M456" s="60" t="str">
        <x:v>shannon@dripninjas.com</x:v>
      </x:c>
      <x:c r="N456" s="60" t="str">
        <x:v>Verified with BounceBan on 08 Jun 26 12:06</x:v>
      </x:c>
      <x:c r="O456" s="60" t="str"/>
      <x:c r="P456" s="60" t="str">
        <x:v>https://www.linkedin.com/in/shannon-frazer-dripninjas</x:v>
      </x:c>
      <x:c r="Q456" s="60" t="str">
        <x:v>2-10</x:v>
      </x:c>
      <x:c r="R456" s="60" t="str">
        <x:v>0-99999</x:v>
      </x:c>
      <x:c r="S456" s="60" t="str"/>
      <x:c r="T456" s="74" t="str">
        <x:v>0</x:v>
      </x:c>
      <x:c r="U456" s="60" t="str"/>
      <x:c r="V456" s="74" t="str">
        <x:v>28</x:v>
      </x:c>
      <x:c r="W456" s="74" t="str">
        <x:v>3</x:v>
      </x:c>
      <x:c r="X456" s="74" t="str">
        <x:v>6</x:v>
      </x:c>
      <x:c r="Y456" s="74" t="str">
        <x:v>7</x:v>
      </x:c>
      <x:c r="Z456" s="74" t="str">
        <x:v>7</x:v>
      </x:c>
      <x:c r="AA456" s="74" t="str">
        <x:v>0</x:v>
      </x:c>
      <x:c r="AB456" s="74" t="str">
        <x:v>0</x:v>
      </x:c>
      <x:c r="AC456" s="74" t="str">
        <x:v>1</x:v>
      </x:c>
      <x:c r="AD456" s="74" t="str">
        <x:v>0</x:v>
      </x:c>
      <x:c r="AE456" s="74" t="str">
        <x:v>0</x:v>
      </x:c>
      <x:c r="AF456" s="74" t="str"/>
      <x:c r="AG456" s="74" t="str">
        <x:v>0</x:v>
      </x:c>
      <x:c r="AH456" s="74" t="str">
        <x:v>0</x:v>
      </x:c>
      <x:c r="AI456" s="74" t="str">
        <x:v>1</x:v>
      </x:c>
      <x:c r="AJ456" s="74" t="str">
        <x:v>0</x:v>
      </x:c>
      <x:c r="AK456" s="74" t="str">
        <x:v>1</x:v>
      </x:c>
      <x:c r="AL456" s="74" t="str">
        <x:v>1</x:v>
      </x:c>
      <x:c r="AM456" s="74" t="str">
        <x:v>1</x:v>
      </x:c>
      <x:c r="AN456" s="74" t="str">
        <x:v>1</x:v>
      </x:c>
      <x:c r="AO456" s="60" t="str">
        <x:v>2026</x:v>
      </x:c>
      <x:c r="AP456" s="76" t="str">
        <x:v>ICP fit; paid-demand need requires manual verification</x:v>
      </x:c>
      <x:c r="AQ456" s="76" t="str">
        <x:v>testimonials; visible service offer; no embedded homepage video detected</x:v>
      </x:c>
      <x:c r="AR456" s="76" t="str">
        <x:v>I was reviewing restoration companies in Chapin, South Carolina and Drip Ninjas looked like a strong fit for a creative test.</x:v>
      </x:c>
      <x:c r="AS456" s="76" t="str">
        <x:v>first-24-hours emergency-response ad</x:v>
      </x:c>
      <x:c r="AT456" s="76" t="str">
        <x:v>Drip Ninjas ad concept</x:v>
      </x:c>
      <x:c r="AU456" s="76" t="str">
        <x:v>Hi Shannon — I was reviewing restoration companies in Chapin, South Carolina and Drip Ninjas looked like a strong fit for a creative test. I mapped a private 15-second first-24-hours emergency-response ad for Drip Ninjas using only public brand context—not for publishing, just to show the angle. We build three client-approved video ad concepts in seven days, then turn the winners into fresh variations. No filming day required. Worth sending the private sample?</x:v>
      </x:c>
      <x:c r="AV456" s="76" t="str">
        <x:v>Quick follow-up: the sample angle is a first-24-hours emergency-response ad. If it misses the mark, no problem—I won't keep chasing. Should I send it?</x:v>
      </x:c>
      <x:c r="AW456" s="76" t="str">
        <x:v>Hi Shannon, Ryan here. I was looking at Drip Ninjas's public marketing and noticed: icp fit; paid-demand need requires manual verification. I mapped one private first-24-hours emergency-response ad as an example. Did I catch you with 30 seconds?</x:v>
      </x:c>
      <x:c r="AX456" s="60" t="str">
        <x:v>https://www.facebook.com/ads/library/?active_status=active&amp;ad_type=all&amp;country=US&amp;q=Drip%20Ninjas&amp;search_type=keyword_unordered</x:v>
      </x:c>
      <x:c r="AY456" s="60" t="str">
        <x:v>ok:200</x:v>
      </x:c>
      <x:c r="AZ456" s="60" t="n">
        <x:v>46232.722858796296</x:v>
      </x:c>
      <x:c r="BA456" s="60" t="str">
        <x:v>AI Ark SC trades export</x:v>
      </x:c>
      <x:c r="BB456" s="60" t="str">
        <x:v>https://dripninjas.com | https://www.linkedin.com/company/midlands-restoration-pros</x:v>
      </x:c>
      <x:c r="BC456" s="60" t="str"/>
    </x:row>
    <x:row r="457" ht="18" customHeight="1">
      <x:c r="A457" s="70" t="str">
        <x:v>456</x:v>
      </x:c>
      <x:c r="B457" s="70" t="str">
        <x:v>C - Verify</x:v>
      </x:c>
      <x:c r="C457" s="72" t="str">
        <x:v>51</x:v>
      </x:c>
      <x:c r="D457" s="60" t="str">
        <x:v>Wood Insulating Co. Inc.</x:v>
      </x:c>
      <x:c r="E457" s="60" t="str">
        <x:v>https://woodinsulating.com</x:v>
      </x:c>
      <x:c r="F457" s="60" t="str">
        <x:v>https://woodinsulating.com</x:v>
      </x:c>
      <x:c r="G457" s="60" t="str">
        <x:v>Anderson</x:v>
      </x:c>
      <x:c r="H457" s="60" t="str">
        <x:v>South Carolina</x:v>
      </x:c>
      <x:c r="I457" s="60" t="str">
        <x:v>General Contractor</x:v>
      </x:c>
      <x:c r="J457" s="60" t="str">
        <x:v>Dodd</x:v>
      </x:c>
      <x:c r="K457" s="60" t="str">
        <x:v>Wood</x:v>
      </x:c>
      <x:c r="L457" s="60" t="str">
        <x:v>Owner</x:v>
      </x:c>
      <x:c r="M457" s="60" t="str">
        <x:v>dodd@woodinsulating.com</x:v>
      </x:c>
      <x:c r="N457" s="60" t="str">
        <x:v>Verified with BounceBan on 08 Jun 26 12:06</x:v>
      </x:c>
      <x:c r="O457" s="60" t="str">
        <x:v>+1 864 844 3279</x:v>
      </x:c>
      <x:c r="P457" s="60" t="str">
        <x:v>https://www.linkedin.com/in/dodd-wood-33050113</x:v>
      </x:c>
      <x:c r="Q457" s="60" t="str">
        <x:v>11-50</x:v>
      </x:c>
      <x:c r="R457" s="60" t="str">
        <x:v>100000-499999</x:v>
      </x:c>
      <x:c r="S457" s="60" t="str"/>
      <x:c r="T457" s="74" t="str">
        <x:v>0</x:v>
      </x:c>
      <x:c r="U457" s="60" t="str"/>
      <x:c r="V457" s="74" t="str">
        <x:v>23</x:v>
      </x:c>
      <x:c r="W457" s="74" t="str">
        <x:v>3</x:v>
      </x:c>
      <x:c r="X457" s="74" t="str">
        <x:v>10</x:v>
      </x:c>
      <x:c r="Y457" s="74" t="str">
        <x:v>5</x:v>
      </x:c>
      <x:c r="Z457" s="74" t="str">
        <x:v>10</x:v>
      </x:c>
      <x:c r="AA457" s="74" t="str">
        <x:v>0</x:v>
      </x:c>
      <x:c r="AB457" s="74" t="str">
        <x:v>0</x:v>
      </x:c>
      <x:c r="AC457" s="74" t="str">
        <x:v>1</x:v>
      </x:c>
      <x:c r="AD457" s="74" t="str">
        <x:v>0</x:v>
      </x:c>
      <x:c r="AE457" s="74" t="str">
        <x:v>0</x:v>
      </x:c>
      <x:c r="AF457" s="74" t="str"/>
      <x:c r="AG457" s="74" t="str">
        <x:v>0</x:v>
      </x:c>
      <x:c r="AH457" s="74" t="str">
        <x:v>1</x:v>
      </x:c>
      <x:c r="AI457" s="74" t="str">
        <x:v>0</x:v>
      </x:c>
      <x:c r="AJ457" s="74" t="str">
        <x:v>0</x:v>
      </x:c>
      <x:c r="AK457" s="74" t="str">
        <x:v>0</x:v>
      </x:c>
      <x:c r="AL457" s="74" t="str">
        <x:v>0</x:v>
      </x:c>
      <x:c r="AM457" s="74" t="str">
        <x:v>1</x:v>
      </x:c>
      <x:c r="AN457" s="74" t="str">
        <x:v>0</x:v>
      </x:c>
      <x:c r="AO457" s="60" t="str">
        <x:v>2026</x:v>
      </x:c>
      <x:c r="AP457" s="76" t="str">
        <x:v>Project/gallery proof found; no embedded homepage video found</x:v>
      </x:c>
      <x:c r="AQ457" s="76" t="str">
        <x:v>project/gallery proof; no embedded homepage video detected</x:v>
      </x:c>
      <x:c r="AR457" s="76" t="str">
        <x:v>I found project/gallery proof on Wood Insulating Co. Inc.'s site that could be repackaged into short-form ad concepts.</x:v>
      </x:c>
      <x:c r="AS457" s="76" t="str">
        <x:v>project walkthrough with proof milestones</x:v>
      </x:c>
      <x:c r="AT457" s="76" t="str">
        <x:v>Wood Insulating Co. Inc. ad concept</x:v>
      </x:c>
      <x:c r="AU457" s="76" t="str">
        <x:v>Hi Dodd — I found project/gallery proof on Wood Insulating Co. Inc.'s site that could be repackaged into short-form ad concepts. I mapped a private 15-second project walkthrough with proof milestones for Wood Insulating Co. Inc. using only public brand context—not for publishing, just to show the angle. We build three client-approved video ad concepts in seven days, then turn the winners into fresh variations. No filming day required. Worth sending the private sample?</x:v>
      </x:c>
      <x:c r="AV457" s="76" t="str">
        <x:v>Quick follow-up: the sample angle is a project walkthrough with proof milestones. If it misses the mark, no problem—I won't keep chasing. Should I send it?</x:v>
      </x:c>
      <x:c r="AW457" s="76" t="str">
        <x:v>Hi Dodd, Ryan here. I was looking at Wood Insulating Co. Inc.'s public marketing and noticed: project/gallery proof found; no embedded homepage video found. I mapped one private project walkthrough with proof milestones as an example. Did I catch you with 30 seconds?</x:v>
      </x:c>
      <x:c r="AX457" s="60" t="str">
        <x:v>https://www.facebook.com/ads/library/?active_status=active&amp;ad_type=all&amp;country=US&amp;q=Wood%20Insulating%20Co.%20Inc.&amp;search_type=keyword_unordered</x:v>
      </x:c>
      <x:c r="AY457" s="60" t="str">
        <x:v>ok:200</x:v>
      </x:c>
      <x:c r="AZ457" s="60" t="n">
        <x:v>46232.722858796296</x:v>
      </x:c>
      <x:c r="BA457" s="60" t="str">
        <x:v>AI Ark SC trades export</x:v>
      </x:c>
      <x:c r="BB457" s="60" t="str">
        <x:v>https://woodinsulating.com | https://www.linkedin.com/company/wood-insulating-co.-inc.</x:v>
      </x:c>
      <x:c r="BC457" s="60" t="str"/>
    </x:row>
    <x:row r="458" ht="18" customHeight="1">
      <x:c r="A458" s="70" t="str">
        <x:v>457</x:v>
      </x:c>
      <x:c r="B458" s="70" t="str">
        <x:v>C - Verify</x:v>
      </x:c>
      <x:c r="C458" s="72" t="str">
        <x:v>51</x:v>
      </x:c>
      <x:c r="D458" s="60" t="str">
        <x:v>Nexus Flooring, LLC.</x:v>
      </x:c>
      <x:c r="E458" s="60" t="str">
        <x:v>https://nexus-flooring.com</x:v>
      </x:c>
      <x:c r="F458" s="60" t="str">
        <x:v>https://nexus-flooring.com</x:v>
      </x:c>
      <x:c r="G458" s="60" t="str">
        <x:v>Rock Hill</x:v>
      </x:c>
      <x:c r="H458" s="60" t="str">
        <x:v>South Carolina</x:v>
      </x:c>
      <x:c r="I458" s="60" t="str">
        <x:v>Flooring</x:v>
      </x:c>
      <x:c r="J458" s="60" t="str">
        <x:v>Seth</x:v>
      </x:c>
      <x:c r="K458" s="60" t="str">
        <x:v>Palmer</x:v>
      </x:c>
      <x:c r="L458" s="60" t="str">
        <x:v>Co-Owner / Chief Executive Officer</x:v>
      </x:c>
      <x:c r="M458" s="60" t="str">
        <x:v>seth@nexus-flooring.com</x:v>
      </x:c>
      <x:c r="N458" s="60" t="str">
        <x:v>Verified with BounceBan on 08 Jun 26 12:06</x:v>
      </x:c>
      <x:c r="O458" s="60" t="str"/>
      <x:c r="P458" s="60" t="str">
        <x:v>https://www.linkedin.com/in/seth-palmer-70792145</x:v>
      </x:c>
      <x:c r="Q458" s="60" t="str">
        <x:v>2-10</x:v>
      </x:c>
      <x:c r="R458" s="60" t="str">
        <x:v>100000-499999</x:v>
      </x:c>
      <x:c r="S458" s="60" t="str"/>
      <x:c r="T458" s="74" t="str">
        <x:v>0</x:v>
      </x:c>
      <x:c r="U458" s="60" t="str"/>
      <x:c r="V458" s="74" t="str">
        <x:v>23</x:v>
      </x:c>
      <x:c r="W458" s="74" t="str">
        <x:v>3</x:v>
      </x:c>
      <x:c r="X458" s="74" t="str">
        <x:v>13</x:v>
      </x:c>
      <x:c r="Y458" s="74" t="str">
        <x:v>5</x:v>
      </x:c>
      <x:c r="Z458" s="74" t="str">
        <x:v>7</x:v>
      </x:c>
      <x:c r="AA458" s="74" t="str">
        <x:v>0</x:v>
      </x:c>
      <x:c r="AB458" s="74" t="str">
        <x:v>0</x:v>
      </x:c>
      <x:c r="AC458" s="74" t="str">
        <x:v>1</x:v>
      </x:c>
      <x:c r="AD458" s="74" t="str">
        <x:v>0</x:v>
      </x:c>
      <x:c r="AE458" s="74" t="str">
        <x:v>0</x:v>
      </x:c>
      <x:c r="AF458" s="74" t="str"/>
      <x:c r="AG458" s="74" t="str">
        <x:v>0</x:v>
      </x:c>
      <x:c r="AH458" s="74" t="str">
        <x:v>1</x:v>
      </x:c>
      <x:c r="AI458" s="74" t="str">
        <x:v>0</x:v>
      </x:c>
      <x:c r="AJ458" s="74" t="str">
        <x:v>0</x:v>
      </x:c>
      <x:c r="AK458" s="74" t="str">
        <x:v>0</x:v>
      </x:c>
      <x:c r="AL458" s="74" t="str">
        <x:v>0</x:v>
      </x:c>
      <x:c r="AM458" s="74" t="str">
        <x:v>1</x:v>
      </x:c>
      <x:c r="AN458" s="74" t="str">
        <x:v>0</x:v>
      </x:c>
      <x:c r="AO458" s="60" t="str">
        <x:v>2023</x:v>
      </x:c>
      <x:c r="AP458" s="76" t="str">
        <x:v>Project/gallery proof found; no embedded homepage video found</x:v>
      </x:c>
      <x:c r="AQ458" s="76" t="str">
        <x:v>project/gallery proof; no embedded homepage video detected</x:v>
      </x:c>
      <x:c r="AR458" s="76" t="str">
        <x:v>I found project/gallery proof on Nexus Flooring, LLC.'s site that could be repackaged into short-form ad concepts.</x:v>
      </x:c>
      <x:c r="AS458" s="76" t="str">
        <x:v>room transformation before/after ad</x:v>
      </x:c>
      <x:c r="AT458" s="76" t="str">
        <x:v>Nexus Flooring, LLC. ad concept</x:v>
      </x:c>
      <x:c r="AU458" s="76" t="str">
        <x:v>Hi Seth — I found project/gallery proof on Nexus Flooring, LLC.'s site that could be repackaged into short-form ad concepts. I mapped a private 15-second room transformation before/after ad for Nexus Flooring, LLC. using only public brand context—not for publishing, just to show the angle. We build three client-approved video ad concepts in seven days, then turn the winners into fresh variations. No filming day required. Worth sending the private sample?</x:v>
      </x:c>
      <x:c r="AV458" s="76" t="str">
        <x:v>Quick follow-up: the sample angle is a room transformation before/after ad. If it misses the mark, no problem—I won't keep chasing. Should I send it?</x:v>
      </x:c>
      <x:c r="AW458" s="76" t="str">
        <x:v>Hi Seth, Ryan here. I was looking at Nexus Flooring, LLC.'s public marketing and noticed: project/gallery proof found; no embedded homepage video found. I mapped one private room transformation before/after ad as an example. Did I catch you with 30 seconds?</x:v>
      </x:c>
      <x:c r="AX458" s="60" t="str">
        <x:v>https://www.facebook.com/ads/library/?active_status=active&amp;ad_type=all&amp;country=US&amp;q=Nexus%20Flooring%2C%20LLC.&amp;search_type=keyword_unordered</x:v>
      </x:c>
      <x:c r="AY458" s="60" t="str">
        <x:v>ok:200</x:v>
      </x:c>
      <x:c r="AZ458" s="60" t="n">
        <x:v>46232.722858796296</x:v>
      </x:c>
      <x:c r="BA458" s="60" t="str">
        <x:v>AI Ark SC trades export</x:v>
      </x:c>
      <x:c r="BB458" s="60" t="str">
        <x:v>https://nexus-flooring.com | https://www.linkedin.com/company/nexus-flooring-llc</x:v>
      </x:c>
      <x:c r="BC458" s="60" t="str"/>
    </x:row>
    <x:row r="459" ht="18" customHeight="1">
      <x:c r="A459" s="70" t="str">
        <x:v>458</x:v>
      </x:c>
      <x:c r="B459" s="70" t="str">
        <x:v>C - Verify</x:v>
      </x:c>
      <x:c r="C459" s="72" t="str">
        <x:v>51</x:v>
      </x:c>
      <x:c r="D459" s="60" t="str">
        <x:v>Spratlin Electric Contracting, Inc.</x:v>
      </x:c>
      <x:c r="E459" s="60" t="str">
        <x:v>https://spratlinelectric.com</x:v>
      </x:c>
      <x:c r="F459" s="60" t="str">
        <x:v>https://spratlinelectric.com</x:v>
      </x:c>
      <x:c r="G459" s="60" t="str">
        <x:v>Cayce</x:v>
      </x:c>
      <x:c r="H459" s="60" t="str">
        <x:v>South Carolina</x:v>
      </x:c>
      <x:c r="I459" s="60" t="str">
        <x:v>General Contractor</x:v>
      </x:c>
      <x:c r="J459" s="60" t="str">
        <x:v>Gene</x:v>
      </x:c>
      <x:c r="K459" s="60" t="str">
        <x:v>Gibbs</x:v>
      </x:c>
      <x:c r="L459" s="60" t="str">
        <x:v>Company Owner/President</x:v>
      </x:c>
      <x:c r="M459" s="60" t="str">
        <x:v>gene@spratlinelectric.com</x:v>
      </x:c>
      <x:c r="N459" s="60" t="str">
        <x:v>Verified with BounceBan on 08 Jun 26 12:06</x:v>
      </x:c>
      <x:c r="O459" s="60" t="str">
        <x:v>+1 803 788 3967</x:v>
      </x:c>
      <x:c r="P459" s="60" t="str">
        <x:v>https://www.linkedin.com/in/gene-gibbs-60053427</x:v>
      </x:c>
      <x:c r="Q459" s="60" t="str">
        <x:v>11-50</x:v>
      </x:c>
      <x:c r="R459" s="60" t="str">
        <x:v>500000-999999</x:v>
      </x:c>
      <x:c r="S459" s="60" t="str"/>
      <x:c r="T459" s="74" t="str">
        <x:v>0</x:v>
      </x:c>
      <x:c r="U459" s="60" t="str"/>
      <x:c r="V459" s="74" t="str">
        <x:v>25</x:v>
      </x:c>
      <x:c r="W459" s="74" t="str">
        <x:v>3</x:v>
      </x:c>
      <x:c r="X459" s="74" t="str">
        <x:v>10</x:v>
      </x:c>
      <x:c r="Y459" s="74" t="str">
        <x:v>3</x:v>
      </x:c>
      <x:c r="Z459" s="74" t="str">
        <x:v>10</x:v>
      </x:c>
      <x:c r="AA459" s="74" t="str">
        <x:v>0</x:v>
      </x:c>
      <x:c r="AB459" s="74" t="str">
        <x:v>0</x:v>
      </x:c>
      <x:c r="AC459" s="74" t="str">
        <x:v>1</x:v>
      </x:c>
      <x:c r="AD459" s="74" t="str">
        <x:v>0</x:v>
      </x:c>
      <x:c r="AE459" s="74" t="str">
        <x:v>0</x:v>
      </x:c>
      <x:c r="AF459" s="74" t="str"/>
      <x:c r="AG459" s="74" t="str">
        <x:v>0</x:v>
      </x:c>
      <x:c r="AH459" s="74" t="str">
        <x:v>0</x:v>
      </x:c>
      <x:c r="AI459" s="74" t="str">
        <x:v>0</x:v>
      </x:c>
      <x:c r="AJ459" s="74" t="str">
        <x:v>0</x:v>
      </x:c>
      <x:c r="AK459" s="74" t="str">
        <x:v>1</x:v>
      </x:c>
      <x:c r="AL459" s="74" t="str">
        <x:v>0</x:v>
      </x:c>
      <x:c r="AM459" s="74" t="str">
        <x:v>1</x:v>
      </x:c>
      <x:c r="AN459" s="74" t="str">
        <x:v>0</x:v>
      </x:c>
      <x:c r="AO459" s="60" t="str">
        <x:v>0</x:v>
      </x:c>
      <x:c r="AP459" s="76" t="str">
        <x:v>ICP fit; paid-demand need requires manual verification</x:v>
      </x:c>
      <x:c r="AQ459" s="76" t="str">
        <x:v>visible service offer; no embedded homepage video detected</x:v>
      </x:c>
      <x:c r="AR459" s="76" t="str">
        <x:v>I was reviewing general contractor companies in Cayce, South Carolina and Spratlin Electric Contracting, Inc. looked like a strong fit for a creative test.</x:v>
      </x:c>
      <x:c r="AS459" s="76" t="str">
        <x:v>project walkthrough with proof milestones</x:v>
      </x:c>
      <x:c r="AT459" s="76" t="str">
        <x:v>Spratlin Electric Contracting, Inc. ad concept</x:v>
      </x:c>
      <x:c r="AU459" s="76" t="str">
        <x:v>Hi Gene — I was reviewing general contractor companies in Cayce, South Carolina and Spratlin Electric Contracting, Inc. looked like a strong fit for a creative test. I mapped a private 15-second project walkthrough with proof milestones for Spratlin Electric Contracting, Inc. using only public brand context—not for publishing, just to show the angle. We build three client-approved video ad concepts in seven days, then turn the winners into fresh variations. No filming day required. Worth sending the private sample?</x:v>
      </x:c>
      <x:c r="AV459" s="76" t="str">
        <x:v>Quick follow-up: the sample angle is a project walkthrough with proof milestones. If it misses the mark, no problem—I won't keep chasing. Should I send it?</x:v>
      </x:c>
      <x:c r="AW459" s="76" t="str">
        <x:v>Hi Gene, Ryan here. I was looking at Spratlin Electric Contracting, Inc.'s public marketing and noticed: icp fit; paid-demand need requires manual verification. I mapped one private project walkthrough with proof milestones as an example. Did I catch you with 30 seconds?</x:v>
      </x:c>
      <x:c r="AX459" s="60" t="str">
        <x:v>https://www.facebook.com/ads/library/?active_status=active&amp;ad_type=all&amp;country=US&amp;q=Spratlin%20Electric%20Contracting%2C%20Inc.&amp;search_type=keyword_unordered</x:v>
      </x:c>
      <x:c r="AY459" s="60" t="str">
        <x:v>ok:200</x:v>
      </x:c>
      <x:c r="AZ459" s="60" t="n">
        <x:v>46232.722858796296</x:v>
      </x:c>
      <x:c r="BA459" s="60" t="str">
        <x:v>AI Ark SC trades export</x:v>
      </x:c>
      <x:c r="BB459" s="60" t="str">
        <x:v>https://spratlinelectric.com | https://www.linkedin.com/company/spratlin-electric-contracting-inc</x:v>
      </x:c>
      <x:c r="BC459" s="60" t="str"/>
    </x:row>
    <x:row r="460" ht="18" customHeight="1">
      <x:c r="A460" s="70" t="str">
        <x:v>459</x:v>
      </x:c>
      <x:c r="B460" s="70" t="str">
        <x:v>C - Verify</x:v>
      </x:c>
      <x:c r="C460" s="72" t="str">
        <x:v>51</x:v>
      </x:c>
      <x:c r="D460" s="60" t="str">
        <x:v>Gregory Electric Company, Inc</x:v>
      </x:c>
      <x:c r="E460" s="60" t="str">
        <x:v>https://gregoryelectric.com</x:v>
      </x:c>
      <x:c r="F460" s="60" t="str">
        <x:v>https://www.gregoryelectric.com/</x:v>
      </x:c>
      <x:c r="G460" s="60" t="str">
        <x:v>Columbia</x:v>
      </x:c>
      <x:c r="H460" s="60" t="str">
        <x:v>South Carolina Metropolitan Area</x:v>
      </x:c>
      <x:c r="I460" s="60" t="str">
        <x:v>HVAC</x:v>
      </x:c>
      <x:c r="J460" s="60" t="str">
        <x:v>Tommy</x:v>
      </x:c>
      <x:c r="K460" s="60" t="str">
        <x:v>Gregory</x:v>
      </x:c>
      <x:c r="L460" s="60" t="str">
        <x:v>Owner</x:v>
      </x:c>
      <x:c r="M460" s="60" t="str"/>
      <x:c r="N460" s="60" t="str"/>
      <x:c r="O460" s="60" t="str">
        <x:v>(803) 748-1122</x:v>
      </x:c>
      <x:c r="P460" s="60" t="str">
        <x:v>https://www.linkedin.com/in/tommy-gregory-058486197</x:v>
      </x:c>
      <x:c r="Q460" s="60" t="str">
        <x:v>201-500</x:v>
      </x:c>
      <x:c r="R460" s="60" t="str">
        <x:v>5000000-9999999</x:v>
      </x:c>
      <x:c r="S460" s="60" t="str">
        <x:v>4.6</x:v>
      </x:c>
      <x:c r="T460" s="74" t="str">
        <x:v>24</x:v>
      </x:c>
      <x:c r="U460" s="60" t="str"/>
      <x:c r="V460" s="74" t="str">
        <x:v>30</x:v>
      </x:c>
      <x:c r="W460" s="74" t="str">
        <x:v>3</x:v>
      </x:c>
      <x:c r="X460" s="74" t="str">
        <x:v>10</x:v>
      </x:c>
      <x:c r="Y460" s="74" t="str">
        <x:v>3</x:v>
      </x:c>
      <x:c r="Z460" s="74" t="str">
        <x:v>5</x:v>
      </x:c>
      <x:c r="AA460" s="74" t="str">
        <x:v>0</x:v>
      </x:c>
      <x:c r="AB460" s="74" t="str">
        <x:v>0</x:v>
      </x:c>
      <x:c r="AC460" s="74" t="str">
        <x:v>1</x:v>
      </x:c>
      <x:c r="AD460" s="74" t="str">
        <x:v>0</x:v>
      </x:c>
      <x:c r="AE460" s="74" t="str">
        <x:v>0</x:v>
      </x:c>
      <x:c r="AF460" s="74" t="str"/>
      <x:c r="AG460" s="74" t="str">
        <x:v>0</x:v>
      </x:c>
      <x:c r="AH460" s="74" t="str">
        <x:v>0</x:v>
      </x:c>
      <x:c r="AI460" s="74" t="str">
        <x:v>0</x:v>
      </x:c>
      <x:c r="AJ460" s="74" t="str">
        <x:v>0</x:v>
      </x:c>
      <x:c r="AK460" s="74" t="str">
        <x:v>1</x:v>
      </x:c>
      <x:c r="AL460" s="74" t="str">
        <x:v>0</x:v>
      </x:c>
      <x:c r="AM460" s="74" t="str">
        <x:v>0</x:v>
      </x:c>
      <x:c r="AN460" s="74" t="str">
        <x:v>0</x:v>
      </x:c>
      <x:c r="AO460" s="60" t="str">
        <x:v>2026</x:v>
      </x:c>
      <x:c r="AP460" s="76" t="str">
        <x:v>ICP fit; paid-demand need requires manual verification</x:v>
      </x:c>
      <x:c r="AQ460" s="76" t="str">
        <x:v>visible service offer; no embedded homepage video detected</x:v>
      </x:c>
      <x:c r="AR460" s="76" t="str">
        <x:v>I was reviewing hvac companies in Columbia, South Carolina Metropolitan Area and Gregory Electric Company, Inc looked like a strong fit for a creative test.</x:v>
      </x:c>
      <x:c r="AS460" s="76" t="str">
        <x:v>no-cool-call to same-day comfort ad</x:v>
      </x:c>
      <x:c r="AT460" s="76" t="str">
        <x:v>Gregory Electric Company, Inc ad concept</x:v>
      </x:c>
      <x:c r="AU460" s="76" t="str">
        <x:v>Hi Tommy — I was reviewing hvac companies in Columbia, South Carolina Metropolitan Area and Gregory Electric Company, Inc looked like a strong fit for a creative test. I mapped a private 15-second no-cool-call to same-day comfort ad for Gregory Electric Company, Inc using only public brand context—not for publishing, just to show the angle. We build three client-approved video ad concepts in seven days, then turn the winners into fresh variations. No filming day required. Worth sending the private sample?</x:v>
      </x:c>
      <x:c r="AV460" s="76" t="str">
        <x:v>Quick follow-up: the sample angle is a no-cool-call to same-day comfort ad. If it misses the mark, no problem—I won't keep chasing. Should I send it?</x:v>
      </x:c>
      <x:c r="AW460" s="76" t="str">
        <x:v>Hi Tommy, Ryan here. I was looking at Gregory Electric Company, Inc's public marketing and noticed: icp fit; paid-demand need requires manual verification. I mapped one private no-cool-call to same-day comfort ad as an example. Did I catch you with 30 seconds?</x:v>
      </x:c>
      <x:c r="AX460" s="60" t="str">
        <x:v>https://www.facebook.com/ads/library/?active_status=active&amp;ad_type=all&amp;country=US&amp;q=Gregory%20Electric%20Company%2C%20Inc&amp;search_type=keyword_unordered</x:v>
      </x:c>
      <x:c r="AY460" s="60" t="str">
        <x:v>ok:200</x:v>
      </x:c>
      <x:c r="AZ460" s="60" t="n">
        <x:v>46232.722858796296</x:v>
      </x:c>
      <x:c r="BA460" s="60" t="str">
        <x:v>AI Ark SC trades export | Google Maps home-services export</x:v>
      </x:c>
      <x:c r="BB460" s="60" t="str">
        <x:v>https://gregoryelectric.com | https://maps.google.com/?cid=14075354450500688045&amp;g_mp=Cidnb29nbGUubWFwcy5wbGFjZXMudjEuUGxhY2VzLlNlYXJjaFRleHQQAhgEIAA | https://maps.google.com/?cid=3994086889157625076&amp;g_mp=Cidnb29nbGUubWFwcy5wbGFjZXMudjEuUGxhY2VzLlNlYXJjaFRleHQQAhgEIAA | https://maps.google.com/?cid=6791755331307517943&amp;g_mp=Cidnb29nbGUubWFwcy5wbGFjZXMudjEuUGxhY2VzLlNlYXJjaFRleHQQAhgEIAA | https://www.linkedin.com/company/gregory-electric-inc</x:v>
      </x:c>
      <x:c r="BC460" s="60" t="str"/>
    </x:row>
    <x:row r="461" ht="18" customHeight="1">
      <x:c r="A461" s="70" t="str">
        <x:v>460</x:v>
      </x:c>
      <x:c r="B461" s="70" t="str">
        <x:v>C - Verify</x:v>
      </x:c>
      <x:c r="C461" s="72" t="str">
        <x:v>51</x:v>
      </x:c>
      <x:c r="D461" s="60" t="str">
        <x:v>Belle Plumbing</x:v>
      </x:c>
      <x:c r="E461" s="60" t="str">
        <x:v>https://belleplumbingllc.com</x:v>
      </x:c>
      <x:c r="F461" s="60" t="str">
        <x:v>https://www.belleplumbingllc.com/</x:v>
      </x:c>
      <x:c r="G461" s="60" t="str">
        <x:v>Summerville</x:v>
      </x:c>
      <x:c r="H461" s="60" t="str">
        <x:v>South Carolina</x:v>
      </x:c>
      <x:c r="I461" s="60" t="str">
        <x:v>Plumbing</x:v>
      </x:c>
      <x:c r="J461" s="60" t="str">
        <x:v>Belle Plumbing</x:v>
      </x:c>
      <x:c r="K461" s="60" t="str"/>
      <x:c r="L461" s="60" t="str">
        <x:v>Owner / decision maker to verify</x:v>
      </x:c>
      <x:c r="M461" s="60" t="str"/>
      <x:c r="N461" s="60" t="str"/>
      <x:c r="O461" s="60" t="str">
        <x:v>(843) 288-0430</x:v>
      </x:c>
      <x:c r="P461" s="60" t="str"/>
      <x:c r="Q461" s="60" t="str"/>
      <x:c r="R461" s="60" t="str"/>
      <x:c r="S461" s="60" t="str">
        <x:v>5</x:v>
      </x:c>
      <x:c r="T461" s="74" t="str">
        <x:v>266</x:v>
      </x:c>
      <x:c r="U461" s="60" t="str"/>
      <x:c r="V461" s="74" t="str">
        <x:v>25</x:v>
      </x:c>
      <x:c r="W461" s="74" t="str">
        <x:v>0</x:v>
      </x:c>
      <x:c r="X461" s="74" t="str">
        <x:v>6</x:v>
      </x:c>
      <x:c r="Y461" s="74" t="str">
        <x:v>15</x:v>
      </x:c>
      <x:c r="Z461" s="74" t="str">
        <x:v>5</x:v>
      </x:c>
      <x:c r="AA461" s="74" t="str">
        <x:v>0</x:v>
      </x:c>
      <x:c r="AB461" s="74" t="str">
        <x:v>0</x:v>
      </x:c>
      <x:c r="AC461" s="74" t="str">
        <x:v>0</x:v>
      </x:c>
      <x:c r="AD461" s="74" t="str">
        <x:v>0</x:v>
      </x:c>
      <x:c r="AE461" s="74" t="str">
        <x:v>0</x:v>
      </x:c>
      <x:c r="AF461" s="74" t="str"/>
      <x:c r="AG461" s="74" t="str">
        <x:v>0</x:v>
      </x:c>
      <x:c r="AH461" s="74" t="str">
        <x:v>1</x:v>
      </x:c>
      <x:c r="AI461" s="74" t="str">
        <x:v>1</x:v>
      </x:c>
      <x:c r="AJ461" s="74" t="str">
        <x:v>0</x:v>
      </x:c>
      <x:c r="AK461" s="74" t="str">
        <x:v>1</x:v>
      </x:c>
      <x:c r="AL461" s="74" t="str">
        <x:v>1</x:v>
      </x:c>
      <x:c r="AM461" s="74" t="str">
        <x:v>1</x:v>
      </x:c>
      <x:c r="AN461" s="74" t="str">
        <x:v>0</x:v>
      </x:c>
      <x:c r="AO461" s="60" t="str">
        <x:v>0</x:v>
      </x:c>
      <x:c r="AP461" s="76" t="str">
        <x:v>Project/gallery proof found; no embedded homepage video found</x:v>
      </x:c>
      <x:c r="AQ461" s="76" t="str">
        <x:v>project/gallery proof; testimonials; visible service offer; no embedded homepage video detected</x:v>
      </x:c>
      <x:c r="AR461" s="76" t="str">
        <x:v>I found project/gallery proof on Belle Plumbing's site that could be repackaged into short-form ad concepts.</x:v>
      </x:c>
      <x:c r="AS461" s="76" t="str">
        <x:v>small symptom to prevented-emergency ad</x:v>
      </x:c>
      <x:c r="AT461" s="76" t="str">
        <x:v>Belle Plumbing ad concept</x:v>
      </x:c>
      <x:c r="AU461" s="76" t="str">
        <x:v>Hi Belle Plumbing — I found project/gallery proof on Belle Plumbing's site that could be repackaged into short-form ad concepts. I mapped a private 15-second small symptom to prevented-emergency ad for Belle Plumbing using only public brand context—not for publishing, just to show the angle. We build three client-approved video ad concepts in seven days, then turn the winners into fresh variations. No filming day required. Worth sending the private sample?</x:v>
      </x:c>
      <x:c r="AV461" s="76" t="str">
        <x:v>Quick follow-up: the sample angle is a small symptom to prevented-emergency ad. If it misses the mark, no problem—I won't keep chasing. Should I send it?</x:v>
      </x:c>
      <x:c r="AW461" s="76" t="str">
        <x:v>Hi Belle Plumbing, Ryan here. I was looking at Belle Plumbing's public marketing and noticed: project/gallery proof found; no embedded homepage video found. I mapped one private small symptom to prevented-emergency ad as an example. Did I catch you with 30 seconds?</x:v>
      </x:c>
      <x:c r="AX461" s="60" t="str">
        <x:v>https://www.facebook.com/ads/library/?active_status=active&amp;ad_type=all&amp;country=US&amp;q=Belle%20Plumbing&amp;search_type=keyword_unordered</x:v>
      </x:c>
      <x:c r="AY461" s="60" t="str">
        <x:v>ok:200</x:v>
      </x:c>
      <x:c r="AZ461" s="60" t="n">
        <x:v>46232.722858796296</x:v>
      </x:c>
      <x:c r="BA461" s="60" t="str">
        <x:v>Google Maps home-services export</x:v>
      </x:c>
      <x:c r="BB461" s="60" t="str">
        <x:v>https://belleplumbingllc.com | https://maps.google.com/?cid=11953242978823782991&amp;g_mp=Cidnb29nbGUubWFwcy5wbGFjZXMudjEuUGxhY2VzLlNlYXJjaFRleHQQAhgEIAA</x:v>
      </x:c>
      <x:c r="BC461" s="60" t="str"/>
    </x:row>
    <x:row r="462" ht="18" customHeight="1">
      <x:c r="A462" s="70" t="str">
        <x:v>461</x:v>
      </x:c>
      <x:c r="B462" s="70" t="str">
        <x:v>C - Verify</x:v>
      </x:c>
      <x:c r="C462" s="72" t="str">
        <x:v>51</x:v>
      </x:c>
      <x:c r="D462" s="60" t="str">
        <x:v>Trusted Goose Creek HVAC Repair</x:v>
      </x:c>
      <x:c r="E462" s="60" t="str">
        <x:v>https://summervilletrustedheatingcooling.com</x:v>
      </x:c>
      <x:c r="F462" s="60" t="str">
        <x:v>http://summervilletrustedheatingcooling.com</x:v>
      </x:c>
      <x:c r="G462" s="60" t="str">
        <x:v>Goose Creek</x:v>
      </x:c>
      <x:c r="H462" s="60" t="str">
        <x:v>South Carolina</x:v>
      </x:c>
      <x:c r="I462" s="60" t="str">
        <x:v>HVAC</x:v>
      </x:c>
      <x:c r="J462" s="60" t="str">
        <x:v>Trusted Goose Creek HVAC Repair</x:v>
      </x:c>
      <x:c r="K462" s="60" t="str"/>
      <x:c r="L462" s="60" t="str">
        <x:v>Owner / decision maker to verify</x:v>
      </x:c>
      <x:c r="M462" s="60" t="str"/>
      <x:c r="N462" s="60" t="str"/>
      <x:c r="O462" s="60" t="str">
        <x:v>(854) 264-8173</x:v>
      </x:c>
      <x:c r="P462" s="60" t="str"/>
      <x:c r="Q462" s="60" t="str"/>
      <x:c r="R462" s="60" t="str"/>
      <x:c r="S462" s="60" t="str">
        <x:v>5</x:v>
      </x:c>
      <x:c r="T462" s="74" t="str">
        <x:v>16</x:v>
      </x:c>
      <x:c r="U462" s="60" t="str"/>
      <x:c r="V462" s="74" t="str">
        <x:v>24</x:v>
      </x:c>
      <x:c r="W462" s="74" t="str">
        <x:v>0</x:v>
      </x:c>
      <x:c r="X462" s="74" t="str">
        <x:v>10</x:v>
      </x:c>
      <x:c r="Y462" s="74" t="str">
        <x:v>12</x:v>
      </x:c>
      <x:c r="Z462" s="74" t="str">
        <x:v>5</x:v>
      </x:c>
      <x:c r="AA462" s="74" t="str">
        <x:v>0</x:v>
      </x:c>
      <x:c r="AB462" s="74" t="str">
        <x:v>0</x:v>
      </x:c>
      <x:c r="AC462" s="74" t="str">
        <x:v>0</x:v>
      </x:c>
      <x:c r="AD462" s="74" t="str">
        <x:v>0</x:v>
      </x:c>
      <x:c r="AE462" s="74" t="str">
        <x:v>0</x:v>
      </x:c>
      <x:c r="AF462" s="74" t="str"/>
      <x:c r="AG462" s="74" t="str">
        <x:v>0</x:v>
      </x:c>
      <x:c r="AH462" s="74" t="str">
        <x:v>1</x:v>
      </x:c>
      <x:c r="AI462" s="74" t="str">
        <x:v>1</x:v>
      </x:c>
      <x:c r="AJ462" s="74" t="str">
        <x:v>0</x:v>
      </x:c>
      <x:c r="AK462" s="74" t="str">
        <x:v>1</x:v>
      </x:c>
      <x:c r="AL462" s="74" t="str">
        <x:v>0</x:v>
      </x:c>
      <x:c r="AM462" s="74" t="str">
        <x:v>0</x:v>
      </x:c>
      <x:c r="AN462" s="74" t="str">
        <x:v>0</x:v>
      </x:c>
      <x:c r="AO462" s="60" t="str">
        <x:v>0</x:v>
      </x:c>
      <x:c r="AP462" s="76" t="str">
        <x:v>Project/gallery proof found; no embedded homepage video found</x:v>
      </x:c>
      <x:c r="AQ462" s="76" t="str">
        <x:v>project/gallery proof; testimonials; visible service offer; no embedded homepage video detected</x:v>
      </x:c>
      <x:c r="AR462" s="76" t="str">
        <x:v>I found project/gallery proof on Trusted Goose Creek HVAC Repair's site that could be repackaged into short-form ad concepts.</x:v>
      </x:c>
      <x:c r="AS462" s="76" t="str">
        <x:v>no-cool-call to same-day comfort ad</x:v>
      </x:c>
      <x:c r="AT462" s="76" t="str">
        <x:v>Trusted Goose Creek HVAC Repair ad concept</x:v>
      </x:c>
      <x:c r="AU462" s="76" t="str">
        <x:v>Hi Trusted Goose Creek HVAC Repair — I found project/gallery proof on Trusted Goose Creek HVAC Repair's site that could be repackaged into short-form ad concepts. I mapped a private 15-second no-cool-call to same-day comfort ad for Trusted Goose Creek HVAC Repair using only public brand context—not for publishing, just to show the angle. We build three client-approved video ad concepts in seven days, then turn the winners into fresh variations. No filming day required. Worth sending the private sample?</x:v>
      </x:c>
      <x:c r="AV462" s="76" t="str">
        <x:v>Quick follow-up: the sample angle is a no-cool-call to same-day comfort ad. If it misses the mark, no problem—I won't keep chasing. Should I send it?</x:v>
      </x:c>
      <x:c r="AW462" s="76" t="str">
        <x:v>Hi Trusted Goose Creek HVAC Repair, Ryan here. I was looking at Trusted Goose Creek HVAC Repair's public marketing and noticed: project/gallery proof found; no embedded homepage video found. I mapped one private no-cool-call to same-day comfort ad as an example. Did I catch you with 30 seconds?</x:v>
      </x:c>
      <x:c r="AX462" s="60" t="str">
        <x:v>https://www.facebook.com/ads/library/?active_status=active&amp;ad_type=all&amp;country=US&amp;q=Trusted%20Goose%20Creek%20HVAC%20Repair&amp;search_type=keyword_unordered</x:v>
      </x:c>
      <x:c r="AY462" s="60" t="str">
        <x:v>ok:200</x:v>
      </x:c>
      <x:c r="AZ462" s="60" t="n">
        <x:v>46232.722858796296</x:v>
      </x:c>
      <x:c r="BA462" s="60" t="str">
        <x:v>Google Maps home-services export</x:v>
      </x:c>
      <x:c r="BB462" s="60" t="str">
        <x:v>https://maps.google.com/?cid=5300227110194194859&amp;g_mp=Cidnb29nbGUubWFwcy5wbGFjZXMudjEuUGxhY2VzLlNlYXJjaFRleHQQAhgEIAA | https://summervilletrustedheatingcooling.com</x:v>
      </x:c>
      <x:c r="BC462" s="60" t="str"/>
    </x:row>
    <x:row r="463" ht="18" customHeight="1">
      <x:c r="A463" s="70" t="str">
        <x:v>462</x:v>
      </x:c>
      <x:c r="B463" s="70" t="str">
        <x:v>C - Verify</x:v>
      </x:c>
      <x:c r="C463" s="72" t="str">
        <x:v>51</x:v>
      </x:c>
      <x:c r="D463" s="60" t="str">
        <x:v>Mr. Rooter Plumbing of Rock Hill</x:v>
      </x:c>
      <x:c r="E463" s="60" t="str">
        <x:v>https://mrrooter.com</x:v>
      </x:c>
      <x:c r="F463" s="60" t="str">
        <x:v>https://www.mrrooter.com/</x:v>
      </x:c>
      <x:c r="G463" s="60" t="str">
        <x:v>Rock Hill</x:v>
      </x:c>
      <x:c r="H463" s="60" t="str">
        <x:v>South Carolina</x:v>
      </x:c>
      <x:c r="I463" s="60" t="str">
        <x:v>Plumbing</x:v>
      </x:c>
      <x:c r="J463" s="60" t="str">
        <x:v>Mr. Rooter Plumbing of Rock Hill</x:v>
      </x:c>
      <x:c r="K463" s="60" t="str"/>
      <x:c r="L463" s="60" t="str">
        <x:v>Owner / decision maker to verify</x:v>
      </x:c>
      <x:c r="M463" s="60" t="str"/>
      <x:c r="N463" s="60" t="str"/>
      <x:c r="O463" s="60" t="str">
        <x:v>(803) 291-0085</x:v>
      </x:c>
      <x:c r="P463" s="60" t="str"/>
      <x:c r="Q463" s="60" t="str"/>
      <x:c r="R463" s="60" t="str"/>
      <x:c r="S463" s="60" t="str">
        <x:v>5</x:v>
      </x:c>
      <x:c r="T463" s="74" t="str">
        <x:v>150</x:v>
      </x:c>
      <x:c r="U463" s="60" t="str"/>
      <x:c r="V463" s="74" t="str">
        <x:v>24</x:v>
      </x:c>
      <x:c r="W463" s="74" t="str">
        <x:v>0</x:v>
      </x:c>
      <x:c r="X463" s="74" t="str">
        <x:v>10</x:v>
      </x:c>
      <x:c r="Y463" s="74" t="str">
        <x:v>12</x:v>
      </x:c>
      <x:c r="Z463" s="74" t="str">
        <x:v>5</x:v>
      </x:c>
      <x:c r="AA463" s="74" t="str">
        <x:v>0</x:v>
      </x:c>
      <x:c r="AB463" s="74" t="str">
        <x:v>0</x:v>
      </x:c>
      <x:c r="AC463" s="74" t="str">
        <x:v>0</x:v>
      </x:c>
      <x:c r="AD463" s="74" t="str">
        <x:v>0</x:v>
      </x:c>
      <x:c r="AE463" s="74" t="str">
        <x:v>0</x:v>
      </x:c>
      <x:c r="AF463" s="74" t="str"/>
      <x:c r="AG463" s="74" t="str">
        <x:v>0</x:v>
      </x:c>
      <x:c r="AH463" s="74" t="str">
        <x:v>1</x:v>
      </x:c>
      <x:c r="AI463" s="74" t="str">
        <x:v>1</x:v>
      </x:c>
      <x:c r="AJ463" s="74" t="str">
        <x:v>0</x:v>
      </x:c>
      <x:c r="AK463" s="74" t="str">
        <x:v>0</x:v>
      </x:c>
      <x:c r="AL463" s="74" t="str">
        <x:v>0</x:v>
      </x:c>
      <x:c r="AM463" s="74" t="str">
        <x:v>0</x:v>
      </x:c>
      <x:c r="AN463" s="74" t="str">
        <x:v>0</x:v>
      </x:c>
      <x:c r="AO463" s="60" t="str">
        <x:v>0</x:v>
      </x:c>
      <x:c r="AP463" s="76" t="str">
        <x:v>Project/gallery proof found; no embedded homepage video found</x:v>
      </x:c>
      <x:c r="AQ463" s="76" t="str">
        <x:v>project/gallery proof; testimonials; no embedded homepage video detected</x:v>
      </x:c>
      <x:c r="AR463" s="76" t="str">
        <x:v>I found project/gallery proof on Mr. Rooter Plumbing of Rock Hill's site that could be repackaged into short-form ad concepts.</x:v>
      </x:c>
      <x:c r="AS463" s="76" t="str">
        <x:v>small symptom to prevented-emergency ad</x:v>
      </x:c>
      <x:c r="AT463" s="76" t="str">
        <x:v>Mr. Rooter Plumbing of Rock Hill ad concept</x:v>
      </x:c>
      <x:c r="AU463" s="76" t="str">
        <x:v>Hi Mr. Rooter Plumbing of Rock Hill — I found project/gallery proof on Mr. Rooter Plumbing of Rock Hill's site that could be repackaged into short-form ad concepts. I mapped a private 15-second small symptom to prevented-emergency ad for Mr. Rooter Plumbing of Rock Hill using only public brand context—not for publishing, just to show the angle. We build three client-approved video ad concepts in seven days, then turn the winners into fresh variations. No filming day required. Worth sending the private sample?</x:v>
      </x:c>
      <x:c r="AV463" s="76" t="str">
        <x:v>Quick follow-up: the sample angle is a small symptom to prevented-emergency ad. If it misses the mark, no problem—I won't keep chasing. Should I send it?</x:v>
      </x:c>
      <x:c r="AW463" s="76" t="str">
        <x:v>Hi Mr. Rooter Plumbing of Rock Hill, Ryan here. I was looking at Mr. Rooter Plumbing of Rock Hill's public marketing and noticed: project/gallery proof found; no embedded homepage video found. I mapped one private small symptom to prevented-emergency ad as an example. Did I catch you with 30 seconds?</x:v>
      </x:c>
      <x:c r="AX463" s="60" t="str">
        <x:v>https://www.facebook.com/ads/library/?active_status=active&amp;ad_type=all&amp;country=US&amp;q=Mr.%20Rooter%20Plumbing%20of%20Rock%20Hill&amp;search_type=keyword_unordered</x:v>
      </x:c>
      <x:c r="AY463" s="60" t="str">
        <x:v>ok:200</x:v>
      </x:c>
      <x:c r="AZ463" s="60" t="n">
        <x:v>46232.722858796296</x:v>
      </x:c>
      <x:c r="BA463" s="60" t="str">
        <x:v>Google Maps home-services export</x:v>
      </x:c>
      <x:c r="BB463" s="60" t="str">
        <x:v>https://maps.google.com/?cid=13125767627719149601&amp;g_mp=Cidnb29nbGUubWFwcy5wbGFjZXMudjEuUGxhY2VzLlNlYXJjaFRleHQQAhgEIAA | https://mrrooter.com</x:v>
      </x:c>
      <x:c r="BC463" s="60" t="str"/>
    </x:row>
    <x:row r="464" ht="18" customHeight="1">
      <x:c r="A464" s="70" t="str">
        <x:v>463</x:v>
      </x:c>
      <x:c r="B464" s="70" t="str">
        <x:v>C - Verify</x:v>
      </x:c>
      <x:c r="C464" s="72" t="str">
        <x:v>51</x:v>
      </x:c>
      <x:c r="D464" s="60" t="str">
        <x:v>Chucktown Roofing</x:v>
      </x:c>
      <x:c r="E464" s="60" t="str">
        <x:v>https://chucktownroofing.com</x:v>
      </x:c>
      <x:c r="F464" s="60" t="str">
        <x:v>https://chucktownroofing.com</x:v>
      </x:c>
      <x:c r="G464" s="60" t="str">
        <x:v>Mount Pleasant</x:v>
      </x:c>
      <x:c r="H464" s="60" t="str">
        <x:v>South Carolina</x:v>
      </x:c>
      <x:c r="I464" s="60" t="str">
        <x:v>Roofing</x:v>
      </x:c>
      <x:c r="J464" s="60" t="str">
        <x:v>Brian</x:v>
      </x:c>
      <x:c r="K464" s="60" t="str">
        <x:v>Surguy</x:v>
      </x:c>
      <x:c r="L464" s="60" t="str">
        <x:v>Company Owner</x:v>
      </x:c>
      <x:c r="M464" s="60" t="str">
        <x:v>brian@chucktownroofing.com</x:v>
      </x:c>
      <x:c r="N464" s="60" t="str">
        <x:v>Verified with BounceBan on 08 Jun 26 12:06</x:v>
      </x:c>
      <x:c r="O464" s="60" t="str">
        <x:v>(843) 410-8783</x:v>
      </x:c>
      <x:c r="P464" s="60" t="str">
        <x:v>https://www.linkedin.com/in/brian-surguy-7443b41a0</x:v>
      </x:c>
      <x:c r="Q464" s="60" t="str">
        <x:v>11-50</x:v>
      </x:c>
      <x:c r="R464" s="60" t="str">
        <x:v>100000-499999</x:v>
      </x:c>
      <x:c r="S464" s="60" t="str">
        <x:v>5</x:v>
      </x:c>
      <x:c r="T464" s="74" t="str">
        <x:v>116</x:v>
      </x:c>
      <x:c r="U464" s="60" t="str"/>
      <x:c r="V464" s="74" t="str">
        <x:v>30</x:v>
      </x:c>
      <x:c r="W464" s="74" t="str">
        <x:v>0</x:v>
      </x:c>
      <x:c r="X464" s="74" t="str">
        <x:v>0</x:v>
      </x:c>
      <x:c r="Y464" s="74" t="str">
        <x:v>11</x:v>
      </x:c>
      <x:c r="Z464" s="74" t="str">
        <x:v>10</x:v>
      </x:c>
      <x:c r="AA464" s="74" t="str">
        <x:v>0</x:v>
      </x:c>
      <x:c r="AB464" s="74" t="str">
        <x:v>0</x:v>
      </x:c>
      <x:c r="AC464" s="74" t="str">
        <x:v>0</x:v>
      </x:c>
      <x:c r="AD464" s="74" t="str">
        <x:v>0</x:v>
      </x:c>
      <x:c r="AE464" s="74" t="str">
        <x:v>0</x:v>
      </x:c>
      <x:c r="AF464" s="74" t="str"/>
      <x:c r="AG464" s="74" t="str">
        <x:v>1</x:v>
      </x:c>
      <x:c r="AH464" s="74" t="str">
        <x:v>1</x:v>
      </x:c>
      <x:c r="AI464" s="74" t="str">
        <x:v>0</x:v>
      </x:c>
      <x:c r="AJ464" s="74" t="str">
        <x:v>0</x:v>
      </x:c>
      <x:c r="AK464" s="74" t="str">
        <x:v>1</x:v>
      </x:c>
      <x:c r="AL464" s="74" t="str">
        <x:v>1</x:v>
      </x:c>
      <x:c r="AM464" s="74" t="str">
        <x:v>1</x:v>
      </x:c>
      <x:c r="AN464" s="74" t="str">
        <x:v>0</x:v>
      </x:c>
      <x:c r="AO464" s="60" t="str">
        <x:v>0</x:v>
      </x:c>
      <x:c r="AP464" s="76" t="str">
        <x:v>ICP fit; paid-demand need requires manual verification</x:v>
      </x:c>
      <x:c r="AQ464" s="76" t="str">
        <x:v>project/gallery proof; visible service offer</x:v>
      </x:c>
      <x:c r="AR464" s="76" t="str">
        <x:v>I was reviewing roofing companies in Mount Pleasant, South Carolina and Chucktown Roofing looked like a strong fit for a creative test.</x:v>
      </x:c>
      <x:c r="AS464" s="76" t="str">
        <x:v>storm-to-inspection before/after ad</x:v>
      </x:c>
      <x:c r="AT464" s="76" t="str">
        <x:v>Chucktown Roofing ad concept</x:v>
      </x:c>
      <x:c r="AU464" s="76" t="str">
        <x:v>Hi Brian — I was reviewing roofing companies in Mount Pleasant, South Carolina and Chucktown Roofing looked like a strong fit for a creative test. I mapped a private 15-second storm-to-inspection before/after ad for Chucktown Roofing using only public brand context—not for publishing, just to show the angle. We build three client-approved video ad concepts in seven days, then turn the winners into fresh variations. No filming day required. Worth sending the private sample?</x:v>
      </x:c>
      <x:c r="AV464" s="76" t="str">
        <x:v>Quick follow-up: the sample angle is a storm-to-inspection before/after ad. If it misses the mark, no problem—I won't keep chasing. Should I send it?</x:v>
      </x:c>
      <x:c r="AW464" s="76" t="str">
        <x:v>Hi Brian, Ryan here. I was looking at Chucktown Roofing's public marketing and noticed: icp fit; paid-demand need requires manual verification. I mapped one private storm-to-inspection before/after ad as an example. Did I catch you with 30 seconds?</x:v>
      </x:c>
      <x:c r="AX464" s="60" t="str">
        <x:v>https://www.facebook.com/ads/library/?active_status=active&amp;ad_type=all&amp;country=US&amp;q=Chucktown%20Roofing&amp;search_type=keyword_unordered</x:v>
      </x:c>
      <x:c r="AY464" s="60" t="str">
        <x:v>ok:200</x:v>
      </x:c>
      <x:c r="AZ464" s="60" t="n">
        <x:v>46232.722858796296</x:v>
      </x:c>
      <x:c r="BA464" s="60" t="str">
        <x:v>AI Ark SC trades export | Google Maps home-services export</x:v>
      </x:c>
      <x:c r="BB464" s="60" t="str">
        <x:v>https://chucktownroofing.com | https://maps.google.com/?cid=11302190127586011900&amp;g_mp=Cidnb29nbGUubWFwcy5wbGFjZXMudjEuUGxhY2VzLlNlYXJjaFRleHQQAhgEIAA | https://www.linkedin.com/company/chucktownroofing</x:v>
      </x:c>
      <x:c r="BC464" s="60" t="str"/>
    </x:row>
    <x:row r="465" ht="18" customHeight="1">
      <x:c r="A465" s="70" t="str">
        <x:v>464</x:v>
      </x:c>
      <x:c r="B465" s="70" t="str">
        <x:v>C - Verify</x:v>
      </x:c>
      <x:c r="C465" s="72" t="str">
        <x:v>51</x:v>
      </x:c>
      <x:c r="D465" s="60" t="str">
        <x:v>Integrity Plumbing of the Upstate LLC</x:v>
      </x:c>
      <x:c r="E465" s="60" t="str">
        <x:v>https://integrityplumbingsc.com</x:v>
      </x:c>
      <x:c r="F465" s="60" t="str">
        <x:v>https://integrityplumbingsc.com</x:v>
      </x:c>
      <x:c r="G465" s="60" t="str">
        <x:v>Spartanburg</x:v>
      </x:c>
      <x:c r="H465" s="60" t="str">
        <x:v>South Carolina</x:v>
      </x:c>
      <x:c r="I465" s="60" t="str">
        <x:v>Plumbing</x:v>
      </x:c>
      <x:c r="J465" s="60" t="str">
        <x:v>Integrity Plumbing of the Upstate LLC</x:v>
      </x:c>
      <x:c r="K465" s="60" t="str"/>
      <x:c r="L465" s="60" t="str">
        <x:v>Owner / decision maker to verify</x:v>
      </x:c>
      <x:c r="M465" s="60" t="str"/>
      <x:c r="N465" s="60" t="str"/>
      <x:c r="O465" s="60" t="str">
        <x:v>(864) 382-7506</x:v>
      </x:c>
      <x:c r="P465" s="60" t="str"/>
      <x:c r="Q465" s="60" t="str"/>
      <x:c r="R465" s="60" t="str"/>
      <x:c r="S465" s="60" t="str">
        <x:v>5</x:v>
      </x:c>
      <x:c r="T465" s="74" t="str">
        <x:v>328</x:v>
      </x:c>
      <x:c r="U465" s="60" t="str"/>
      <x:c r="V465" s="74" t="str">
        <x:v>25</x:v>
      </x:c>
      <x:c r="W465" s="74" t="str">
        <x:v>0</x:v>
      </x:c>
      <x:c r="X465" s="74" t="str">
        <x:v>10</x:v>
      </x:c>
      <x:c r="Y465" s="74" t="str">
        <x:v>11</x:v>
      </x:c>
      <x:c r="Z465" s="74" t="str">
        <x:v>5</x:v>
      </x:c>
      <x:c r="AA465" s="74" t="str">
        <x:v>0</x:v>
      </x:c>
      <x:c r="AB465" s="74" t="str">
        <x:v>0</x:v>
      </x:c>
      <x:c r="AC465" s="74" t="str">
        <x:v>0</x:v>
      </x:c>
      <x:c r="AD465" s="74" t="str">
        <x:v>0</x:v>
      </x:c>
      <x:c r="AE465" s="74" t="str">
        <x:v>0</x:v>
      </x:c>
      <x:c r="AF465" s="74" t="str"/>
      <x:c r="AG465" s="74" t="str">
        <x:v>0</x:v>
      </x:c>
      <x:c r="AH465" s="74" t="str">
        <x:v>1</x:v>
      </x:c>
      <x:c r="AI465" s="74" t="str">
        <x:v>0</x:v>
      </x:c>
      <x:c r="AJ465" s="74" t="str">
        <x:v>0</x:v>
      </x:c>
      <x:c r="AK465" s="74" t="str">
        <x:v>1</x:v>
      </x:c>
      <x:c r="AL465" s="74" t="str">
        <x:v>0</x:v>
      </x:c>
      <x:c r="AM465" s="74" t="str">
        <x:v>1</x:v>
      </x:c>
      <x:c r="AN465" s="74" t="str">
        <x:v>0</x:v>
      </x:c>
      <x:c r="AO465" s="60" t="str">
        <x:v>2026</x:v>
      </x:c>
      <x:c r="AP465" s="76" t="str">
        <x:v>Project/gallery proof found; no embedded homepage video found</x:v>
      </x:c>
      <x:c r="AQ465" s="76" t="str">
        <x:v>project/gallery proof; visible service offer; no embedded homepage video detected</x:v>
      </x:c>
      <x:c r="AR465" s="76" t="str">
        <x:v>I found project/gallery proof on Integrity Plumbing of the Upstate LLC's site that could be repackaged into short-form ad concepts.</x:v>
      </x:c>
      <x:c r="AS465" s="76" t="str">
        <x:v>small symptom to prevented-emergency ad</x:v>
      </x:c>
      <x:c r="AT465" s="76" t="str">
        <x:v>Integrity Plumbing of the Upstate LLC ad concept</x:v>
      </x:c>
      <x:c r="AU465" s="76" t="str">
        <x:v>Hi Integrity Plumbing of the Upstate LLC — I found project/gallery proof on Integrity Plumbing of the Upstate LLC's site that could be repackaged into short-form ad concepts. I mapped a private 15-second small symptom to prevented-emergency ad for Integrity Plumbing of the Upstate LLC using only public brand context—not for publishing, just to show the angle. We build three client-approved video ad concepts in seven days, then turn the winners into fresh variations. No filming day required. Worth sending the private sample?</x:v>
      </x:c>
      <x:c r="AV465" s="76" t="str">
        <x:v>Quick follow-up: the sample angle is a small symptom to prevented-emergency ad. If it misses the mark, no problem—I won't keep chasing. Should I send it?</x:v>
      </x:c>
      <x:c r="AW465" s="76" t="str">
        <x:v>Hi Integrity Plumbing of the Upstate LLC, Ryan here. I was looking at Integrity Plumbing of the Upstate LLC's public marketing and noticed: project/gallery proof found; no embedded homepage video found. I mapped one private small symptom to prevented-emergency ad as an example. Did I catch you with 30 seconds?</x:v>
      </x:c>
      <x:c r="AX465" s="60" t="str">
        <x:v>https://www.facebook.com/ads/library/?active_status=active&amp;ad_type=all&amp;country=US&amp;q=Integrity%20Plumbing%20of%20the%20Upstate%20LLC&amp;search_type=keyword_unordered</x:v>
      </x:c>
      <x:c r="AY465" s="60" t="str">
        <x:v>ok:200</x:v>
      </x:c>
      <x:c r="AZ465" s="60" t="n">
        <x:v>46232.722858796296</x:v>
      </x:c>
      <x:c r="BA465" s="60" t="str">
        <x:v>Google Maps home-services export</x:v>
      </x:c>
      <x:c r="BB465" s="60" t="str">
        <x:v>https://integrityplumbingsc.com | https://maps.google.com/?cid=2740509964980693779&amp;g_mp=Cidnb29nbGUubWFwcy5wbGFjZXMudjEuUGxhY2VzLlNlYXJjaFRleHQQAhgEIAA</x:v>
      </x:c>
      <x:c r="BC465" s="60" t="str"/>
    </x:row>
    <x:row r="466" ht="18" customHeight="1">
      <x:c r="A466" s="70" t="str">
        <x:v>465</x:v>
      </x:c>
      <x:c r="B466" s="70" t="str">
        <x:v>C - Verify</x:v>
      </x:c>
      <x:c r="C466" s="72" t="str">
        <x:v>51</x:v>
      </x:c>
      <x:c r="D466" s="60" t="str">
        <x:v>Hernandez Roofing and Repair LLC</x:v>
      </x:c>
      <x:c r="E466" s="60" t="str">
        <x:v>https://hernandezroofingsc.com</x:v>
      </x:c>
      <x:c r="F466" s="60" t="str">
        <x:v>https://hernandezroofingsc.com</x:v>
      </x:c>
      <x:c r="G466" s="60" t="str">
        <x:v>Summerville</x:v>
      </x:c>
      <x:c r="H466" s="60" t="str">
        <x:v>South Carolina</x:v>
      </x:c>
      <x:c r="I466" s="60" t="str">
        <x:v>Roofing</x:v>
      </x:c>
      <x:c r="J466" s="60" t="str">
        <x:v>Hernandez Roofing and Repair LLC</x:v>
      </x:c>
      <x:c r="K466" s="60" t="str"/>
      <x:c r="L466" s="60" t="str">
        <x:v>Owner / decision maker to verify</x:v>
      </x:c>
      <x:c r="M466" s="60" t="str"/>
      <x:c r="N466" s="60" t="str"/>
      <x:c r="O466" s="60" t="str">
        <x:v>(843) 406-5487</x:v>
      </x:c>
      <x:c r="P466" s="60" t="str"/>
      <x:c r="Q466" s="60" t="str"/>
      <x:c r="R466" s="60" t="str"/>
      <x:c r="S466" s="60" t="str">
        <x:v>5</x:v>
      </x:c>
      <x:c r="T466" s="74" t="str">
        <x:v>107</x:v>
      </x:c>
      <x:c r="U466" s="60" t="str"/>
      <x:c r="V466" s="74" t="str">
        <x:v>29</x:v>
      </x:c>
      <x:c r="W466" s="74" t="str">
        <x:v>0</x:v>
      </x:c>
      <x:c r="X466" s="74" t="str">
        <x:v>6</x:v>
      </x:c>
      <x:c r="Y466" s="74" t="str">
        <x:v>11</x:v>
      </x:c>
      <x:c r="Z466" s="74" t="str">
        <x:v>5</x:v>
      </x:c>
      <x:c r="AA466" s="74" t="str">
        <x:v>0</x:v>
      </x:c>
      <x:c r="AB466" s="74" t="str">
        <x:v>0</x:v>
      </x:c>
      <x:c r="AC466" s="74" t="str">
        <x:v>0</x:v>
      </x:c>
      <x:c r="AD466" s="74" t="str">
        <x:v>0</x:v>
      </x:c>
      <x:c r="AE466" s="74" t="str">
        <x:v>0</x:v>
      </x:c>
      <x:c r="AF466" s="74" t="str"/>
      <x:c r="AG466" s="74" t="str">
        <x:v>0</x:v>
      </x:c>
      <x:c r="AH466" s="74" t="str">
        <x:v>1</x:v>
      </x:c>
      <x:c r="AI466" s="74" t="str">
        <x:v>0</x:v>
      </x:c>
      <x:c r="AJ466" s="74" t="str">
        <x:v>0</x:v>
      </x:c>
      <x:c r="AK466" s="74" t="str">
        <x:v>1</x:v>
      </x:c>
      <x:c r="AL466" s="74" t="str">
        <x:v>1</x:v>
      </x:c>
      <x:c r="AM466" s="74" t="str">
        <x:v>1</x:v>
      </x:c>
      <x:c r="AN466" s="74" t="str">
        <x:v>0</x:v>
      </x:c>
      <x:c r="AO466" s="60" t="str">
        <x:v>2026</x:v>
      </x:c>
      <x:c r="AP466" s="76" t="str">
        <x:v>Project/gallery proof found; no embedded homepage video found</x:v>
      </x:c>
      <x:c r="AQ466" s="76" t="str">
        <x:v>project/gallery proof; visible service offer; no embedded homepage video detected</x:v>
      </x:c>
      <x:c r="AR466" s="76" t="str">
        <x:v>I found project/gallery proof on Hernandez Roofing and Repair LLC's site that could be repackaged into short-form ad concepts.</x:v>
      </x:c>
      <x:c r="AS466" s="76" t="str">
        <x:v>storm-to-inspection before/after ad</x:v>
      </x:c>
      <x:c r="AT466" s="76" t="str">
        <x:v>Hernandez Roofing and Repair LLC ad concept</x:v>
      </x:c>
      <x:c r="AU466" s="76" t="str">
        <x:v>Hi Hernandez Roofing and Repair LLC — I found project/gallery proof on Hernandez Roofing and Repair LLC's site that could be repackaged into short-form ad concepts. I mapped a private 15-second storm-to-inspection before/after ad for Hernandez Roofing and Repair LLC using only public brand context—not for publishing, just to show the angle. We build three client-approved video ad concepts in seven days, then turn the winners into fresh variations. No filming day required. Worth sending the private sample?</x:v>
      </x:c>
      <x:c r="AV466" s="76" t="str">
        <x:v>Quick follow-up: the sample angle is a storm-to-inspection before/after ad. If it misses the mark, no problem—I won't keep chasing. Should I send it?</x:v>
      </x:c>
      <x:c r="AW466" s="76" t="str">
        <x:v>Hi Hernandez Roofing and Repair LLC, Ryan here. I was looking at Hernandez Roofing and Repair LLC's public marketing and noticed: project/gallery proof found; no embedded homepage video found. I mapped one private storm-to-inspection before/after ad as an example. Did I catch you with 30 seconds?</x:v>
      </x:c>
      <x:c r="AX466" s="60" t="str">
        <x:v>https://www.facebook.com/ads/library/?active_status=active&amp;ad_type=all&amp;country=US&amp;q=Hernandez%20Roofing%20and%20Repair%20LLC&amp;search_type=keyword_unordered</x:v>
      </x:c>
      <x:c r="AY466" s="60" t="str">
        <x:v>ok:200</x:v>
      </x:c>
      <x:c r="AZ466" s="60" t="n">
        <x:v>46232.722858796296</x:v>
      </x:c>
      <x:c r="BA466" s="60" t="str">
        <x:v>Google Maps home-services export</x:v>
      </x:c>
      <x:c r="BB466" s="60" t="str">
        <x:v>https://hernandezroofingsc.com | https://maps.google.com/?cid=15330538993491196213&amp;g_mp=Cidnb29nbGUubWFwcy5wbGFjZXMudjEuUGxhY2VzLlNlYXJjaFRleHQQAhgEIAA</x:v>
      </x:c>
      <x:c r="BC466" s="60" t="str"/>
    </x:row>
    <x:row r="467" ht="18" customHeight="1">
      <x:c r="A467" s="70" t="str">
        <x:v>466</x:v>
      </x:c>
      <x:c r="B467" s="70" t="str">
        <x:v>C - Verify</x:v>
      </x:c>
      <x:c r="C467" s="72" t="str">
        <x:v>51</x:v>
      </x:c>
      <x:c r="D467" s="60" t="str">
        <x:v>On-Site Builders</x:v>
      </x:c>
      <x:c r="E467" s="60" t="str">
        <x:v>https://on-sitebuilders.com</x:v>
      </x:c>
      <x:c r="F467" s="60" t="str">
        <x:v>https://on-sitebuilders.com</x:v>
      </x:c>
      <x:c r="G467" s="60" t="str">
        <x:v>Myrtle Beach</x:v>
      </x:c>
      <x:c r="H467" s="60" t="str">
        <x:v>South Carolina</x:v>
      </x:c>
      <x:c r="I467" s="60" t="str">
        <x:v>Remodeling</x:v>
      </x:c>
      <x:c r="J467" s="60" t="str">
        <x:v>Shannon</x:v>
      </x:c>
      <x:c r="K467" s="60" t="str">
        <x:v>Cook</x:v>
      </x:c>
      <x:c r="L467" s="60" t="str">
        <x:v>Company Owner</x:v>
      </x:c>
      <x:c r="M467" s="60" t="str">
        <x:v>shannon@on-sitebuilders.com</x:v>
      </x:c>
      <x:c r="N467" s="60" t="str">
        <x:v>Verified with BounceBan on 08 Jun 26 12:06</x:v>
      </x:c>
      <x:c r="O467" s="60" t="str"/>
      <x:c r="P467" s="60" t="str">
        <x:v>https://www.linkedin.com/in/shannon-cook-191019311</x:v>
      </x:c>
      <x:c r="Q467" s="60" t="str">
        <x:v>2-10</x:v>
      </x:c>
      <x:c r="R467" s="60" t="str">
        <x:v>100000-499999</x:v>
      </x:c>
      <x:c r="S467" s="60" t="str"/>
      <x:c r="T467" s="74" t="str">
        <x:v>0</x:v>
      </x:c>
      <x:c r="U467" s="60" t="str"/>
      <x:c r="V467" s="74" t="str">
        <x:v>25</x:v>
      </x:c>
      <x:c r="W467" s="74" t="str">
        <x:v>0</x:v>
      </x:c>
      <x:c r="X467" s="74" t="str">
        <x:v>10</x:v>
      </x:c>
      <x:c r="Y467" s="74" t="str">
        <x:v>9</x:v>
      </x:c>
      <x:c r="Z467" s="74" t="str">
        <x:v>7</x:v>
      </x:c>
      <x:c r="AA467" s="74" t="str">
        <x:v>0</x:v>
      </x:c>
      <x:c r="AB467" s="74" t="str">
        <x:v>0</x:v>
      </x:c>
      <x:c r="AC467" s="74" t="str">
        <x:v>0</x:v>
      </x:c>
      <x:c r="AD467" s="74" t="str">
        <x:v>0</x:v>
      </x:c>
      <x:c r="AE467" s="74" t="str">
        <x:v>0</x:v>
      </x:c>
      <x:c r="AF467" s="74" t="str"/>
      <x:c r="AG467" s="74" t="str">
        <x:v>0</x:v>
      </x:c>
      <x:c r="AH467" s="74" t="str">
        <x:v>1</x:v>
      </x:c>
      <x:c r="AI467" s="74" t="str">
        <x:v>1</x:v>
      </x:c>
      <x:c r="AJ467" s="74" t="str">
        <x:v>0</x:v>
      </x:c>
      <x:c r="AK467" s="74" t="str">
        <x:v>0</x:v>
      </x:c>
      <x:c r="AL467" s="74" t="str">
        <x:v>0</x:v>
      </x:c>
      <x:c r="AM467" s="74" t="str">
        <x:v>1</x:v>
      </x:c>
      <x:c r="AN467" s="74" t="str">
        <x:v>0</x:v>
      </x:c>
      <x:c r="AO467" s="60" t="str">
        <x:v>0</x:v>
      </x:c>
      <x:c r="AP467" s="76" t="str">
        <x:v>Project/gallery proof found; no embedded homepage video found</x:v>
      </x:c>
      <x:c r="AQ467" s="76" t="str">
        <x:v>project/gallery proof; testimonials; no embedded homepage video detected</x:v>
      </x:c>
      <x:c r="AR467" s="76" t="str">
        <x:v>I found project/gallery proof on On-Site Builders's site that could be repackaged into short-form ad concepts.</x:v>
      </x:c>
      <x:c r="AS467" s="76" t="str">
        <x:v>project reveal with budget-and-timeline proof</x:v>
      </x:c>
      <x:c r="AT467" s="76" t="str">
        <x:v>On-Site Builders ad concept</x:v>
      </x:c>
      <x:c r="AU467" s="76" t="str">
        <x:v>Hi Shannon — I found project/gallery proof on On-Site Builders's site that could be repackaged into short-form ad concepts. I mapped a private 15-second project reveal with budget-and-timeline proof for On-Site Builders using only public brand context—not for publishing, just to show the angle. We build three client-approved video ad concepts in seven days, then turn the winners into fresh variations. No filming day required. Worth sending the private sample?</x:v>
      </x:c>
      <x:c r="AV467" s="76" t="str">
        <x:v>Quick follow-up: the sample angle is a project reveal with budget-and-timeline proof. If it misses the mark, no problem—I won't keep chasing. Should I send it?</x:v>
      </x:c>
      <x:c r="AW467" s="76" t="str">
        <x:v>Hi Shannon, Ryan here. I was looking at On-Site Builders's public marketing and noticed: project/gallery proof found; no embedded homepage video found. I mapped one private project reveal with budget-and-timeline proof as an example. Did I catch you with 30 seconds?</x:v>
      </x:c>
      <x:c r="AX467" s="60" t="str">
        <x:v>https://www.facebook.com/ads/library/?active_status=active&amp;ad_type=all&amp;country=US&amp;q=On-Site%20Builders&amp;search_type=keyword_unordered</x:v>
      </x:c>
      <x:c r="AY467" s="60" t="str">
        <x:v>ok:200</x:v>
      </x:c>
      <x:c r="AZ467" s="60" t="n">
        <x:v>46232.722858796296</x:v>
      </x:c>
      <x:c r="BA467" s="60" t="str">
        <x:v>AI Ark SC trades export</x:v>
      </x:c>
      <x:c r="BB467" s="60" t="str">
        <x:v>https://on-sitebuilders.com | https://www.linkedin.com/company/on-site-builders</x:v>
      </x:c>
      <x:c r="BC467" s="60" t="str"/>
    </x:row>
    <x:row r="468" ht="18" customHeight="1">
      <x:c r="A468" s="70" t="str">
        <x:v>467</x:v>
      </x:c>
      <x:c r="B468" s="70" t="str">
        <x:v>C - Verify</x:v>
      </x:c>
      <x:c r="C468" s="72" t="str">
        <x:v>51</x:v>
      </x:c>
      <x:c r="D468" s="60" t="str">
        <x:v>Owners Choice Construction LLC</x:v>
      </x:c>
      <x:c r="E468" s="60" t="str">
        <x:v>https://ownerschoiceconstruction.com</x:v>
      </x:c>
      <x:c r="F468" s="60" t="str">
        <x:v>https://www.ownerschoiceconstruction.com/</x:v>
      </x:c>
      <x:c r="G468" s="60" t="str">
        <x:v>Greenville-spartanburg-anderson</x:v>
      </x:c>
      <x:c r="H468" s="60" t="str">
        <x:v>South Carolina Area</x:v>
      </x:c>
      <x:c r="I468" s="60" t="str">
        <x:v>Remodeling</x:v>
      </x:c>
      <x:c r="J468" s="60" t="str">
        <x:v>Ben</x:v>
      </x:c>
      <x:c r="K468" s="60" t="str">
        <x:v>Creasman</x:v>
      </x:c>
      <x:c r="L468" s="60" t="str">
        <x:v>Operations Manager | Co-Owner</x:v>
      </x:c>
      <x:c r="M468" s="60" t="str">
        <x:v>ben@ownerschoiceconstruction.com</x:v>
      </x:c>
      <x:c r="N468" s="60" t="str">
        <x:v>Verified with BounceBan on 08 Jun 26 12:06</x:v>
      </x:c>
      <x:c r="O468" s="60" t="str">
        <x:v>+1 865 804 2727</x:v>
      </x:c>
      <x:c r="P468" s="60" t="str">
        <x:v>https://www.linkedin.com/in/ben-creasman-0901b5184</x:v>
      </x:c>
      <x:c r="Q468" s="60" t="str">
        <x:v>11-50</x:v>
      </x:c>
      <x:c r="R468" s="60" t="str">
        <x:v>500000-999999</x:v>
      </x:c>
      <x:c r="S468" s="60" t="str"/>
      <x:c r="T468" s="74" t="str">
        <x:v>0</x:v>
      </x:c>
      <x:c r="U468" s="60" t="str"/>
      <x:c r="V468" s="74" t="str">
        <x:v>30</x:v>
      </x:c>
      <x:c r="W468" s="74" t="str">
        <x:v>0</x:v>
      </x:c>
      <x:c r="X468" s="74" t="str">
        <x:v>6</x:v>
      </x:c>
      <x:c r="Y468" s="74" t="str">
        <x:v>5</x:v>
      </x:c>
      <x:c r="Z468" s="74" t="str">
        <x:v>10</x:v>
      </x:c>
      <x:c r="AA468" s="74" t="str">
        <x:v>0</x:v>
      </x:c>
      <x:c r="AB468" s="74" t="str">
        <x:v>0</x:v>
      </x:c>
      <x:c r="AC468" s="74" t="str">
        <x:v>0</x:v>
      </x:c>
      <x:c r="AD468" s="74" t="str">
        <x:v>0</x:v>
      </x:c>
      <x:c r="AE468" s="74" t="str">
        <x:v>0</x:v>
      </x:c>
      <x:c r="AF468" s="74" t="str"/>
      <x:c r="AG468" s="74" t="str">
        <x:v>0</x:v>
      </x:c>
      <x:c r="AH468" s="74" t="str">
        <x:v>1</x:v>
      </x:c>
      <x:c r="AI468" s="74" t="str">
        <x:v>0</x:v>
      </x:c>
      <x:c r="AJ468" s="74" t="str">
        <x:v>0</x:v>
      </x:c>
      <x:c r="AK468" s="74" t="str">
        <x:v>0</x:v>
      </x:c>
      <x:c r="AL468" s="74" t="str">
        <x:v>1</x:v>
      </x:c>
      <x:c r="AM468" s="74" t="str">
        <x:v>1</x:v>
      </x:c>
      <x:c r="AN468" s="74" t="str">
        <x:v>0</x:v>
      </x:c>
      <x:c r="AO468" s="60" t="str">
        <x:v>0</x:v>
      </x:c>
      <x:c r="AP468" s="76" t="str">
        <x:v>Project/gallery proof found; no embedded homepage video found</x:v>
      </x:c>
      <x:c r="AQ468" s="76" t="str">
        <x:v>project/gallery proof; no embedded homepage video detected</x:v>
      </x:c>
      <x:c r="AR468" s="76" t="str">
        <x:v>I found project/gallery proof on Owners Choice Construction LLC's site that could be repackaged into short-form ad concepts.</x:v>
      </x:c>
      <x:c r="AS468" s="76" t="str">
        <x:v>project reveal with budget-and-timeline proof</x:v>
      </x:c>
      <x:c r="AT468" s="76" t="str">
        <x:v>Owners Choice Construction LLC ad concept</x:v>
      </x:c>
      <x:c r="AU468" s="76" t="str">
        <x:v>Hi Ben — I found project/gallery proof on Owners Choice Construction LLC's site that could be repackaged into short-form ad concepts. I mapped a private 15-second project reveal with budget-and-timeline proof for Owners Choice Construction LLC using only public brand context—not for publishing, just to show the angle. We build three client-approved video ad concepts in seven days, then turn the winners into fresh variations. No filming day required. Worth sending the private sample?</x:v>
      </x:c>
      <x:c r="AV468" s="76" t="str">
        <x:v>Quick follow-up: the sample angle is a project reveal with budget-and-timeline proof. If it misses the mark, no problem—I won't keep chasing. Should I send it?</x:v>
      </x:c>
      <x:c r="AW468" s="76" t="str">
        <x:v>Hi Ben, Ryan here. I was looking at Owners Choice Construction LLC's public marketing and noticed: project/gallery proof found; no embedded homepage video found. I mapped one private project reveal with budget-and-timeline proof as an example. Did I catch you with 30 seconds?</x:v>
      </x:c>
      <x:c r="AX468" s="60" t="str">
        <x:v>https://www.facebook.com/ads/library/?active_status=active&amp;ad_type=all&amp;country=US&amp;q=Owners%20Choice%20Construction%20LLC&amp;search_type=keyword_unordered</x:v>
      </x:c>
      <x:c r="AY468" s="60" t="str">
        <x:v>ok:200</x:v>
      </x:c>
      <x:c r="AZ468" s="60" t="n">
        <x:v>46232.722858796296</x:v>
      </x:c>
      <x:c r="BA468" s="60" t="str">
        <x:v>AI Ark SC trades export</x:v>
      </x:c>
      <x:c r="BB468" s="60" t="str">
        <x:v>https://ownerschoiceconstruction.com | https://www.linkedin.com/company/owners-choice-construction</x:v>
      </x:c>
      <x:c r="BC468" s="60" t="str"/>
    </x:row>
    <x:row r="469" ht="18" customHeight="1">
      <x:c r="A469" s="70" t="str">
        <x:v>468</x:v>
      </x:c>
      <x:c r="B469" s="70" t="str">
        <x:v>C - Verify</x:v>
      </x:c>
      <x:c r="C469" s="72" t="str">
        <x:v>51</x:v>
      </x:c>
      <x:c r="D469" s="60" t="str">
        <x:v>Burgin Roofing Services</x:v>
      </x:c>
      <x:c r="E469" s="60" t="str">
        <x:v>https://burginroofing.com</x:v>
      </x:c>
      <x:c r="F469" s="60" t="str">
        <x:v>https://www.burginroofing.com/</x:v>
      </x:c>
      <x:c r="G469" s="60" t="str">
        <x:v>Columbia</x:v>
      </x:c>
      <x:c r="H469" s="60" t="str">
        <x:v>South Carolina</x:v>
      </x:c>
      <x:c r="I469" s="60" t="str">
        <x:v>Roofing</x:v>
      </x:c>
      <x:c r="J469" s="60" t="str">
        <x:v>Burgin Roofing Services</x:v>
      </x:c>
      <x:c r="K469" s="60" t="str"/>
      <x:c r="L469" s="60" t="str">
        <x:v>Owner / decision maker to verify</x:v>
      </x:c>
      <x:c r="M469" s="60" t="str"/>
      <x:c r="N469" s="60" t="str"/>
      <x:c r="O469" s="60" t="str">
        <x:v>(803) 798-0063</x:v>
      </x:c>
      <x:c r="P469" s="60" t="str"/>
      <x:c r="Q469" s="60" t="str"/>
      <x:c r="R469" s="60" t="str"/>
      <x:c r="S469" s="60" t="str">
        <x:v>4.9</x:v>
      </x:c>
      <x:c r="T469" s="74" t="str">
        <x:v>297</x:v>
      </x:c>
      <x:c r="U469" s="60" t="str"/>
      <x:c r="V469" s="74" t="str">
        <x:v>30</x:v>
      </x:c>
      <x:c r="W469" s="74" t="str">
        <x:v>0</x:v>
      </x:c>
      <x:c r="X469" s="74" t="str">
        <x:v>13</x:v>
      </x:c>
      <x:c r="Y469" s="74" t="str">
        <x:v>3</x:v>
      </x:c>
      <x:c r="Z469" s="74" t="str">
        <x:v>5</x:v>
      </x:c>
      <x:c r="AA469" s="74" t="str">
        <x:v>0</x:v>
      </x:c>
      <x:c r="AB469" s="74" t="str">
        <x:v>0</x:v>
      </x:c>
      <x:c r="AC469" s="74" t="str">
        <x:v>0</x:v>
      </x:c>
      <x:c r="AD469" s="74" t="str">
        <x:v>0</x:v>
      </x:c>
      <x:c r="AE469" s="74" t="str">
        <x:v>0</x:v>
      </x:c>
      <x:c r="AF469" s="74" t="str"/>
      <x:c r="AG469" s="74" t="str">
        <x:v>0</x:v>
      </x:c>
      <x:c r="AH469" s="74" t="str">
        <x:v>0</x:v>
      </x:c>
      <x:c r="AI469" s="74" t="str">
        <x:v>0</x:v>
      </x:c>
      <x:c r="AJ469" s="74" t="str">
        <x:v>0</x:v>
      </x:c>
      <x:c r="AK469" s="74" t="str">
        <x:v>0</x:v>
      </x:c>
      <x:c r="AL469" s="74" t="str">
        <x:v>0</x:v>
      </x:c>
      <x:c r="AM469" s="74" t="str">
        <x:v>0</x:v>
      </x:c>
      <x:c r="AN469" s="74" t="str">
        <x:v>0</x:v>
      </x:c>
      <x:c r="AO469" s="60" t="str">
        <x:v>2018</x:v>
      </x:c>
      <x:c r="AP469" s="76" t="str">
        <x:v>297 Google reviews; no embedded homepage video found</x:v>
      </x:c>
      <x:c r="AQ469" s="76" t="str">
        <x:v>no embedded homepage video detected</x:v>
      </x:c>
      <x:c r="AR469" s="76" t="str">
        <x:v>Burgin Roofing Services has 297 Google reviews—strong proof that could be turned into short-form ad concepts.</x:v>
      </x:c>
      <x:c r="AS469" s="76" t="str">
        <x:v>storm-to-inspection before/after ad</x:v>
      </x:c>
      <x:c r="AT469" s="76" t="str">
        <x:v>Burgin Roofing Services ad concept</x:v>
      </x:c>
      <x:c r="AU469" s="76" t="str">
        <x:v>Hi Burgin Roofing Services — Burgin Roofing Services has 297 Google reviews—strong proof that could be turned into short-form ad concepts. I mapped a private 15-second storm-to-inspection before/after ad for Burgin Roofing Services using only public brand context—not for publishing, just to show the angle. We build three client-approved video ad concepts in seven days, then turn the winners into fresh variations. No filming day required. Worth sending the private sample?</x:v>
      </x:c>
      <x:c r="AV469" s="76" t="str">
        <x:v>Quick follow-up: the sample angle is a storm-to-inspection before/after ad. If it misses the mark, no problem—I won't keep chasing. Should I send it?</x:v>
      </x:c>
      <x:c r="AW469" s="76" t="str">
        <x:v>Hi Burgin Roofing Services, Ryan here. I was looking at Burgin Roofing Services's public marketing and noticed: 297 google reviews; no embedded homepage video found. I mapped one private storm-to-inspection before/after ad as an example. Did I catch you with 30 seconds?</x:v>
      </x:c>
      <x:c r="AX469" s="60" t="str">
        <x:v>https://www.facebook.com/ads/library/?active_status=active&amp;ad_type=all&amp;country=US&amp;q=Burgin%20Roofing%20Services&amp;search_type=keyword_unordered</x:v>
      </x:c>
      <x:c r="AY469" s="60" t="str">
        <x:v>ok:200</x:v>
      </x:c>
      <x:c r="AZ469" s="60" t="n">
        <x:v>46232.722858796296</x:v>
      </x:c>
      <x:c r="BA469" s="60" t="str">
        <x:v>Google Maps home-services export</x:v>
      </x:c>
      <x:c r="BB469" s="60" t="str">
        <x:v>https://burginroofing.com | https://maps.google.com/?cid=11590145373767935801&amp;g_mp=Cidnb29nbGUubWFwcy5wbGFjZXMudjEuUGxhY2VzLlNlYXJjaFRleHQQAhgEIAA</x:v>
      </x:c>
      <x:c r="BC469" s="60" t="str"/>
    </x:row>
    <x:row r="470" ht="18" customHeight="1">
      <x:c r="A470" s="70" t="str">
        <x:v>469</x:v>
      </x:c>
      <x:c r="B470" s="70" t="str">
        <x:v>C - Verify</x:v>
      </x:c>
      <x:c r="C470" s="72" t="str">
        <x:v>51</x:v>
      </x:c>
      <x:c r="D470" s="60" t="str">
        <x:v>Construction Consultants of the Carolinas, L.L.C.</x:v>
      </x:c>
      <x:c r="E470" s="60" t="str">
        <x:v>https://schomeinspections.com</x:v>
      </x:c>
      <x:c r="F470" s="60" t="str">
        <x:v>http://schomeinspections.com</x:v>
      </x:c>
      <x:c r="G470" s="60" t="str">
        <x:v>Lancaster</x:v>
      </x:c>
      <x:c r="H470" s="60" t="str">
        <x:v>South Carolina</x:v>
      </x:c>
      <x:c r="I470" s="60" t="str">
        <x:v>Roofing</x:v>
      </x:c>
      <x:c r="J470" s="60" t="str">
        <x:v>Rick</x:v>
      </x:c>
      <x:c r="K470" s="60" t="str">
        <x:v>Crimminger</x:v>
      </x:c>
      <x:c r="L470" s="60" t="str">
        <x:v>Owner</x:v>
      </x:c>
      <x:c r="M470" s="60" t="str">
        <x:v>rick@schomeinspections.com</x:v>
      </x:c>
      <x:c r="N470" s="60" t="str">
        <x:v>Verified with BounceBan on 08 Jun 26 12:06</x:v>
      </x:c>
      <x:c r="O470" s="60" t="str">
        <x:v>+1 803 804 2673, +1 803 285 1825</x:v>
      </x:c>
      <x:c r="P470" s="60" t="str">
        <x:v>https://www.linkedin.com/in/rick-crimminger-22b9b232</x:v>
      </x:c>
      <x:c r="Q470" s="60" t="str">
        <x:v>2-10</x:v>
      </x:c>
      <x:c r="R470" s="60" t="str">
        <x:v>100000-499999</x:v>
      </x:c>
      <x:c r="S470" s="60" t="str"/>
      <x:c r="T470" s="74" t="str">
        <x:v>0</x:v>
      </x:c>
      <x:c r="U470" s="60" t="str"/>
      <x:c r="V470" s="74" t="str">
        <x:v>28</x:v>
      </x:c>
      <x:c r="W470" s="74" t="str">
        <x:v>0</x:v>
      </x:c>
      <x:c r="X470" s="74" t="str">
        <x:v>13</x:v>
      </x:c>
      <x:c r="Y470" s="74" t="str">
        <x:v>0</x:v>
      </x:c>
      <x:c r="Z470" s="74" t="str">
        <x:v>10</x:v>
      </x:c>
      <x:c r="AA470" s="74" t="str">
        <x:v>0</x:v>
      </x:c>
      <x:c r="AB470" s="74" t="str">
        <x:v>0</x:v>
      </x:c>
      <x:c r="AC470" s="74" t="str">
        <x:v>0</x:v>
      </x:c>
      <x:c r="AD470" s="74" t="str">
        <x:v>0</x:v>
      </x:c>
      <x:c r="AE470" s="74" t="str">
        <x:v>0</x:v>
      </x:c>
      <x:c r="AF470" s="74" t="str"/>
      <x:c r="AG470" s="74" t="str">
        <x:v>0</x:v>
      </x:c>
      <x:c r="AH470" s="74" t="str">
        <x:v>0</x:v>
      </x:c>
      <x:c r="AI470" s="74" t="str">
        <x:v>0</x:v>
      </x:c>
      <x:c r="AJ470" s="74" t="str">
        <x:v>0</x:v>
      </x:c>
      <x:c r="AK470" s="74" t="str">
        <x:v>0</x:v>
      </x:c>
      <x:c r="AL470" s="74" t="str">
        <x:v>0</x:v>
      </x:c>
      <x:c r="AM470" s="74" t="str">
        <x:v>1</x:v>
      </x:c>
      <x:c r="AN470" s="74" t="str">
        <x:v>0</x:v>
      </x:c>
      <x:c r="AO470" s="60" t="str">
        <x:v>2010</x:v>
      </x:c>
      <x:c r="AP470" s="76" t="str">
        <x:v>ICP fit; paid-demand need requires manual verification</x:v>
      </x:c>
      <x:c r="AQ470" s="76" t="str">
        <x:v>no embedded homepage video detected</x:v>
      </x:c>
      <x:c r="AR470" s="76" t="str">
        <x:v>I was reviewing roofing companies in Lancaster, South Carolina and Construction Consultants of the Carolinas, L.L.C. looked like a strong fit for a creative test.</x:v>
      </x:c>
      <x:c r="AS470" s="76" t="str">
        <x:v>storm-to-inspection before/after ad</x:v>
      </x:c>
      <x:c r="AT470" s="76" t="str">
        <x:v>Construction Consultants of the Carolinas, L.L.C. ad concept</x:v>
      </x:c>
      <x:c r="AU470" s="76" t="str">
        <x:v>Hi Rick — I was reviewing roofing companies in Lancaster, South Carolina and Construction Consultants of the Carolinas, L.L.C. looked like a strong fit for a creative test. I mapped a private 15-second storm-to-inspection before/after ad for Construction Consultants of the Carolinas, L.L.C. using only public brand context—not for publishing, just to show the angle. We build three client-approved video ad concepts in seven days, then turn the winners into fresh variations. No filming day required. Worth sending the private sample?</x:v>
      </x:c>
      <x:c r="AV470" s="76" t="str">
        <x:v>Quick follow-up: the sample angle is a storm-to-inspection before/after ad. If it misses the mark, no problem—I won't keep chasing. Should I send it?</x:v>
      </x:c>
      <x:c r="AW470" s="76" t="str">
        <x:v>Hi Rick, Ryan here. I was looking at Construction Consultants of the Carolinas, L.L.C.'s public marketing and noticed: icp fit; paid-demand need requires manual verification. I mapped one private storm-to-inspection before/after ad as an example. Did I catch you with 30 seconds?</x:v>
      </x:c>
      <x:c r="AX470" s="60" t="str">
        <x:v>https://www.facebook.com/ads/library/?active_status=active&amp;ad_type=all&amp;country=US&amp;q=Construction%20Consultants%20of%20the%20Carolinas%2C%20L.L.C.&amp;search_type=keyword_unordered</x:v>
      </x:c>
      <x:c r="AY470" s="60" t="str">
        <x:v>ok:200</x:v>
      </x:c>
      <x:c r="AZ470" s="60" t="n">
        <x:v>46232.722858796296</x:v>
      </x:c>
      <x:c r="BA470" s="60" t="str">
        <x:v>AI Ark SC trades export</x:v>
      </x:c>
      <x:c r="BB470" s="60" t="str">
        <x:v>https://schomeinspections.com | https://www.linkedin.com/company/construction-consultants-of-the-carolinas-l.l.c.</x:v>
      </x:c>
      <x:c r="BC470" s="60" t="str"/>
    </x:row>
    <x:row r="471" ht="18" customHeight="1">
      <x:c r="A471" s="70" t="str">
        <x:v>470</x:v>
      </x:c>
      <x:c r="B471" s="70" t="str">
        <x:v>C - Verify</x:v>
      </x:c>
      <x:c r="C471" s="72" t="str">
        <x:v>50</x:v>
      </x:c>
      <x:c r="D471" s="60" t="str">
        <x:v>OnTime Garage Doors</x:v>
      </x:c>
      <x:c r="E471" s="60" t="str">
        <x:v>https://ontimegaragesc.com</x:v>
      </x:c>
      <x:c r="F471" s="60" t="str">
        <x:v>https://ontimegaragesc.com</x:v>
      </x:c>
      <x:c r="G471" s="60" t="str">
        <x:v>Greenville</x:v>
      </x:c>
      <x:c r="H471" s="60" t="str">
        <x:v>South Carolina</x:v>
      </x:c>
      <x:c r="I471" s="60" t="str">
        <x:v>Garage Doors</x:v>
      </x:c>
      <x:c r="J471" s="60" t="str">
        <x:v>OnTime Garage Doors</x:v>
      </x:c>
      <x:c r="K471" s="60" t="str"/>
      <x:c r="L471" s="60" t="str">
        <x:v>Owner / decision maker to verify</x:v>
      </x:c>
      <x:c r="M471" s="60" t="str"/>
      <x:c r="N471" s="60" t="str"/>
      <x:c r="O471" s="60" t="str">
        <x:v>(864) 900-0724</x:v>
      </x:c>
      <x:c r="P471" s="60" t="str"/>
      <x:c r="Q471" s="60" t="str"/>
      <x:c r="R471" s="60" t="str"/>
      <x:c r="S471" s="60" t="str">
        <x:v>5</x:v>
      </x:c>
      <x:c r="T471" s="74" t="str">
        <x:v>12</x:v>
      </x:c>
      <x:c r="U471" s="60" t="str"/>
      <x:c r="V471" s="74" t="str">
        <x:v>20</x:v>
      </x:c>
      <x:c r="W471" s="74" t="str">
        <x:v>13</x:v>
      </x:c>
      <x:c r="X471" s="74" t="str">
        <x:v>4</x:v>
      </x:c>
      <x:c r="Y471" s="74" t="str">
        <x:v>8</x:v>
      </x:c>
      <x:c r="Z471" s="74" t="str">
        <x:v>5</x:v>
      </x:c>
      <x:c r="AA471" s="74" t="str">
        <x:v>0</x:v>
      </x:c>
      <x:c r="AB471" s="74" t="str">
        <x:v>1</x:v>
      </x:c>
      <x:c r="AC471" s="74" t="str">
        <x:v>1</x:v>
      </x:c>
      <x:c r="AD471" s="74" t="str">
        <x:v>0</x:v>
      </x:c>
      <x:c r="AE471" s="74" t="str">
        <x:v>0</x:v>
      </x:c>
      <x:c r="AF471" s="74" t="str"/>
      <x:c r="AG471" s="74" t="str">
        <x:v>1</x:v>
      </x:c>
      <x:c r="AH471" s="74" t="str">
        <x:v>1</x:v>
      </x:c>
      <x:c r="AI471" s="74" t="str">
        <x:v>0</x:v>
      </x:c>
      <x:c r="AJ471" s="74" t="str">
        <x:v>0</x:v>
      </x:c>
      <x:c r="AK471" s="74" t="str">
        <x:v>1</x:v>
      </x:c>
      <x:c r="AL471" s="74" t="str">
        <x:v>0</x:v>
      </x:c>
      <x:c r="AM471" s="74" t="str">
        <x:v>0</x:v>
      </x:c>
      <x:c r="AN471" s="74" t="str">
        <x:v>0</x:v>
      </x:c>
      <x:c r="AO471" s="60" t="str">
        <x:v>2026</x:v>
      </x:c>
      <x:c r="AP471" s="76" t="str">
        <x:v>Paid-demand technology detected; creative refresh hypothesis</x:v>
      </x:c>
      <x:c r="AQ471" s="76" t="str">
        <x:v>Google Ads tag; project/gallery proof; visible service offer</x:v>
      </x:c>
      <x:c r="AR471" s="76" t="str">
        <x:v>I was reviewing garage doors companies in Greenville, South Carolina and OnTime Garage Doors looked like a strong fit for a creative test.</x:v>
      </x:c>
      <x:c r="AS471" s="76" t="str">
        <x:v>curb-appeal transformation ad</x:v>
      </x:c>
      <x:c r="AT471" s="76" t="str">
        <x:v>OnTime Garage Doors ad concept</x:v>
      </x:c>
      <x:c r="AU471" s="76" t="str">
        <x:v>Hi OnTime Garage Doors — I was reviewing garage doors companies in Greenville, South Carolina and OnTime Garage Doors looked like a strong fit for a creative test. I mapped a private 15-second curb-appeal transformation ad for OnTime Garage Doors using only public brand context—not for publishing, just to show the angle. We build three client-approved video ad concepts in seven days, then turn the winners into fresh variations. No filming day required. Worth sending the private sample?</x:v>
      </x:c>
      <x:c r="AV471" s="76" t="str">
        <x:v>Quick follow-up: the sample angle is a curb-appeal transformation ad. If it misses the mark, no problem—I won't keep chasing. Should I send it?</x:v>
      </x:c>
      <x:c r="AW471" s="76" t="str">
        <x:v>Hi OnTime Garage Doors, Ryan here. I was looking at OnTime Garage Doors's public marketing and noticed: paid-demand technology detected; creative refresh hypothesis. I mapped one private curb-appeal transformation ad as an example. Did I catch you with 30 seconds?</x:v>
      </x:c>
      <x:c r="AX471" s="60" t="str">
        <x:v>https://www.facebook.com/ads/library/?active_status=active&amp;ad_type=all&amp;country=US&amp;q=OnTime%20Garage%20Doors&amp;search_type=keyword_unordered</x:v>
      </x:c>
      <x:c r="AY471" s="60" t="str">
        <x:v>ok:200</x:v>
      </x:c>
      <x:c r="AZ471" s="60" t="n">
        <x:v>46232.722858796296</x:v>
      </x:c>
      <x:c r="BA471" s="60" t="str">
        <x:v>Google Maps home-services export</x:v>
      </x:c>
      <x:c r="BB471" s="60" t="str">
        <x:v>https://maps.google.com/?cid=16583253637559531331&amp;g_mp=Cidnb29nbGUubWFwcy5wbGFjZXMudjEuUGxhY2VzLlNlYXJjaFRleHQQAhgEIAA | https://ontimegaragesc.com</x:v>
      </x:c>
      <x:c r="BC471" s="60" t="str"/>
    </x:row>
    <x:row r="472" ht="18" customHeight="1">
      <x:c r="A472" s="70" t="str">
        <x:v>471</x:v>
      </x:c>
      <x:c r="B472" s="70" t="str">
        <x:v>C - Verify</x:v>
      </x:c>
      <x:c r="C472" s="72" t="str">
        <x:v>50</x:v>
      </x:c>
      <x:c r="D472" s="60" t="str">
        <x:v>Kalberer Construction</x:v>
      </x:c>
      <x:c r="E472" s="60" t="str">
        <x:v>https://kalbererconstruction.com</x:v>
      </x:c>
      <x:c r="F472" s="60" t="str">
        <x:v>https://kalbererconstruction.com</x:v>
      </x:c>
      <x:c r="G472" s="60" t="str">
        <x:v>Chapin</x:v>
      </x:c>
      <x:c r="H472" s="60" t="str">
        <x:v>South Carolina</x:v>
      </x:c>
      <x:c r="I472" s="60" t="str">
        <x:v>General Contractor</x:v>
      </x:c>
      <x:c r="J472" s="60" t="str">
        <x:v>Matthew</x:v>
      </x:c>
      <x:c r="K472" s="60" t="str">
        <x:v>Kalberer</x:v>
      </x:c>
      <x:c r="L472" s="60" t="str">
        <x:v>Owner</x:v>
      </x:c>
      <x:c r="M472" s="60" t="str"/>
      <x:c r="N472" s="60" t="str"/>
      <x:c r="O472" s="60" t="str"/>
      <x:c r="P472" s="60" t="str">
        <x:v>https://www.linkedin.com/in/matthew-kalberer-a77446310</x:v>
      </x:c>
      <x:c r="Q472" s="60" t="str">
        <x:v>2-10</x:v>
      </x:c>
      <x:c r="R472" s="60" t="str">
        <x:v>0-99999</x:v>
      </x:c>
      <x:c r="S472" s="60" t="str"/>
      <x:c r="T472" s="74" t="str">
        <x:v>0</x:v>
      </x:c>
      <x:c r="U472" s="60" t="str"/>
      <x:c r="V472" s="74" t="str">
        <x:v>20</x:v>
      </x:c>
      <x:c r="W472" s="74" t="str">
        <x:v>12</x:v>
      </x:c>
      <x:c r="X472" s="74" t="str">
        <x:v>16</x:v>
      </x:c>
      <x:c r="Y472" s="74" t="str">
        <x:v>0</x:v>
      </x:c>
      <x:c r="Z472" s="74" t="str">
        <x:v>2</x:v>
      </x:c>
      <x:c r="AA472" s="74" t="str">
        <x:v>1</x:v>
      </x:c>
      <x:c r="AB472" s="74" t="str">
        <x:v>0</x:v>
      </x:c>
      <x:c r="AC472" s="74" t="str">
        <x:v>0</x:v>
      </x:c>
      <x:c r="AD472" s="74" t="str">
        <x:v>0</x:v>
      </x:c>
      <x:c r="AE472" s="74" t="str">
        <x:v>0</x:v>
      </x:c>
      <x:c r="AF472" s="74" t="str"/>
      <x:c r="AG472" s="74" t="str">
        <x:v>0</x:v>
      </x:c>
      <x:c r="AH472" s="74" t="str">
        <x:v>0</x:v>
      </x:c>
      <x:c r="AI472" s="74" t="str">
        <x:v>0</x:v>
      </x:c>
      <x:c r="AJ472" s="74" t="str">
        <x:v>0</x:v>
      </x:c>
      <x:c r="AK472" s="74" t="str">
        <x:v>0</x:v>
      </x:c>
      <x:c r="AL472" s="74" t="str">
        <x:v>0</x:v>
      </x:c>
      <x:c r="AM472" s="74" t="str">
        <x:v>0</x:v>
      </x:c>
      <x:c r="AN472" s="74" t="str">
        <x:v>0</x:v>
      </x:c>
      <x:c r="AO472" s="60" t="str">
        <x:v>0</x:v>
      </x:c>
      <x:c r="AP472" s="76" t="str">
        <x:v>Meta tracking detected; no embedded homepage video found</x:v>
      </x:c>
      <x:c r="AQ472" s="76" t="str">
        <x:v>Meta Pixel; no embedded homepage video detected</x:v>
      </x:c>
      <x:c r="AR472" s="76" t="str">
        <x:v>I noticed Kalberer Construction's site has Meta tracking installed, but I couldn't find an embedded video on the homepage.</x:v>
      </x:c>
      <x:c r="AS472" s="76" t="str">
        <x:v>project walkthrough with proof milestones</x:v>
      </x:c>
      <x:c r="AT472" s="76" t="str">
        <x:v>Kalberer Construction ad concept</x:v>
      </x:c>
      <x:c r="AU472" s="76" t="str">
        <x:v>Hi Matthew — I noticed Kalberer Construction's site has Meta tracking installed, but I couldn't find an embedded video on the homepage. I mapped a private 15-second project walkthrough with proof milestones for Kalberer Construction using only public brand context—not for publishing, just to show the angle. We build three client-approved video ad concepts in seven days, then turn the winners into fresh variations. No filming day required. Worth sending the private sample?</x:v>
      </x:c>
      <x:c r="AV472" s="76" t="str">
        <x:v>Quick follow-up: the sample angle is a project walkthrough with proof milestones. If it misses the mark, no problem—I won't keep chasing. Should I send it?</x:v>
      </x:c>
      <x:c r="AW472" s="76" t="str">
        <x:v>Hi Matthew, Ryan here. I was looking at Kalberer Construction's public marketing and noticed: meta tracking detected; no embedded homepage video found. I mapped one private project walkthrough with proof milestones as an example. Did I catch you with 30 seconds?</x:v>
      </x:c>
      <x:c r="AX472" s="60" t="str">
        <x:v>https://www.facebook.com/ads/library/?active_status=active&amp;ad_type=all&amp;country=US&amp;q=Kalberer%20Construction&amp;search_type=keyword_unordered</x:v>
      </x:c>
      <x:c r="AY472" s="60" t="str">
        <x:v>ok:200</x:v>
      </x:c>
      <x:c r="AZ472" s="60" t="n">
        <x:v>46232.722858796296</x:v>
      </x:c>
      <x:c r="BA472" s="60" t="str">
        <x:v>AI Ark SC trades export</x:v>
      </x:c>
      <x:c r="BB472" s="60" t="str">
        <x:v>https://kalbererconstruction.com | https://www.linkedin.com/company/kalberer-construction</x:v>
      </x:c>
      <x:c r="BC472" s="60" t="str"/>
    </x:row>
    <x:row r="473" ht="18" customHeight="1">
      <x:c r="A473" s="70" t="str">
        <x:v>472</x:v>
      </x:c>
      <x:c r="B473" s="70" t="str">
        <x:v>C - Verify</x:v>
      </x:c>
      <x:c r="C473" s="72" t="str">
        <x:v>50</x:v>
      </x:c>
      <x:c r="D473" s="60" t="str">
        <x:v>Mint Condition Inc.</x:v>
      </x:c>
      <x:c r="E473" s="60" t="str">
        <x:v>https://mintconditioninc.com</x:v>
      </x:c>
      <x:c r="F473" s="60" t="str">
        <x:v>https://mintconditioninc.com</x:v>
      </x:c>
      <x:c r="G473" s="60" t="str">
        <x:v>Simpsonville</x:v>
      </x:c>
      <x:c r="H473" s="60" t="str">
        <x:v>South Carolina</x:v>
      </x:c>
      <x:c r="I473" s="60" t="str">
        <x:v>Cleaning &amp; Exterior Care</x:v>
      </x:c>
      <x:c r="J473" s="60" t="str">
        <x:v>Tammy</x:v>
      </x:c>
      <x:c r="K473" s="60" t="str">
        <x:v>Teal</x:v>
      </x:c>
      <x:c r="L473" s="60" t="str">
        <x:v>owner</x:v>
      </x:c>
      <x:c r="M473" s="60" t="str"/>
      <x:c r="N473" s="60" t="str"/>
      <x:c r="O473" s="60" t="str">
        <x:v>+1 828 748 6493</x:v>
      </x:c>
      <x:c r="P473" s="60" t="str">
        <x:v>https://www.linkedin.com/in/tammy-teal-71756633</x:v>
      </x:c>
      <x:c r="Q473" s="60" t="str">
        <x:v>51-200</x:v>
      </x:c>
      <x:c r="R473" s="60" t="str">
        <x:v>5000000-9999999</x:v>
      </x:c>
      <x:c r="S473" s="60" t="str"/>
      <x:c r="T473" s="74" t="str">
        <x:v>0</x:v>
      </x:c>
      <x:c r="U473" s="60" t="str"/>
      <x:c r="V473" s="74" t="str">
        <x:v>25</x:v>
      </x:c>
      <x:c r="W473" s="74" t="str">
        <x:v>11</x:v>
      </x:c>
      <x:c r="X473" s="74" t="str">
        <x:v>0</x:v>
      </x:c>
      <x:c r="Y473" s="74" t="str">
        <x:v>9</x:v>
      </x:c>
      <x:c r="Z473" s="74" t="str">
        <x:v>5</x:v>
      </x:c>
      <x:c r="AA473" s="74" t="str">
        <x:v>0</x:v>
      </x:c>
      <x:c r="AB473" s="74" t="str">
        <x:v>0</x:v>
      </x:c>
      <x:c r="AC473" s="74" t="str">
        <x:v>1</x:v>
      </x:c>
      <x:c r="AD473" s="74" t="str">
        <x:v>0</x:v>
      </x:c>
      <x:c r="AE473" s="74" t="str">
        <x:v>1</x:v>
      </x:c>
      <x:c r="AF473" s="74" t="str"/>
      <x:c r="AG473" s="74" t="str">
        <x:v>1</x:v>
      </x:c>
      <x:c r="AH473" s="74" t="str">
        <x:v>1</x:v>
      </x:c>
      <x:c r="AI473" s="74" t="str">
        <x:v>1</x:v>
      </x:c>
      <x:c r="AJ473" s="74" t="str">
        <x:v>0</x:v>
      </x:c>
      <x:c r="AK473" s="74" t="str">
        <x:v>0</x:v>
      </x:c>
      <x:c r="AL473" s="74" t="str">
        <x:v>0</x:v>
      </x:c>
      <x:c r="AM473" s="74" t="str">
        <x:v>1</x:v>
      </x:c>
      <x:c r="AN473" s="74" t="str">
        <x:v>1</x:v>
      </x:c>
      <x:c r="AO473" s="60" t="str">
        <x:v>0</x:v>
      </x:c>
      <x:c r="AP473" s="76" t="str">
        <x:v>Paid-demand technology detected; creative refresh hypothesis</x:v>
      </x:c>
      <x:c r="AQ473" s="76" t="str">
        <x:v>call tracking; project/gallery proof; testimonials</x:v>
      </x:c>
      <x:c r="AR473" s="76" t="str">
        <x:v>I was reviewing cleaning &amp; exterior care companies in Simpsonville, South Carolina and Mint Condition Inc. looked like a strong fit for a creative test.</x:v>
      </x:c>
      <x:c r="AS473" s="76" t="str">
        <x:v>high-contrast before/after ad</x:v>
      </x:c>
      <x:c r="AT473" s="76" t="str">
        <x:v>Mint Condition Inc. ad concept</x:v>
      </x:c>
      <x:c r="AU473" s="76" t="str">
        <x:v>Hi Tammy — I was reviewing cleaning &amp; exterior care companies in Simpsonville, South Carolina and Mint Condition Inc. looked like a strong fit for a creative test. I mapped a private 15-second high-contrast before/after ad for Mint Condition Inc. using only public brand context—not for publishing, just to show the angle. We build three client-approved video ad concepts in seven days, then turn the winners into fresh variations. No filming day required. Worth sending the private sample?</x:v>
      </x:c>
      <x:c r="AV473" s="76" t="str">
        <x:v>Quick follow-up: the sample angle is a high-contrast before/after ad. If it misses the mark, no problem—I won't keep chasing. Should I send it?</x:v>
      </x:c>
      <x:c r="AW473" s="76" t="str">
        <x:v>Hi Tammy, Ryan here. I was looking at Mint Condition Inc.'s public marketing and noticed: paid-demand technology detected; creative refresh hypothesis. I mapped one private high-contrast before/after ad as an example. Did I catch you with 30 seconds?</x:v>
      </x:c>
      <x:c r="AX473" s="60" t="str">
        <x:v>https://www.facebook.com/ads/library/?active_status=active&amp;ad_type=all&amp;country=US&amp;q=Mint%20Condition%20Inc.&amp;search_type=keyword_unordered</x:v>
      </x:c>
      <x:c r="AY473" s="60" t="str">
        <x:v>ok:200</x:v>
      </x:c>
      <x:c r="AZ473" s="60" t="n">
        <x:v>46232.722858796296</x:v>
      </x:c>
      <x:c r="BA473" s="60" t="str">
        <x:v>AI Ark SC trades export</x:v>
      </x:c>
      <x:c r="BB473" s="60" t="str">
        <x:v>https://mintconditioninc.com | https://www.linkedin.com/company/mint-condition-inc</x:v>
      </x:c>
      <x:c r="BC473" s="60" t="str"/>
    </x:row>
    <x:row r="474" ht="18" customHeight="1">
      <x:c r="A474" s="70" t="str">
        <x:v>473</x:v>
      </x:c>
      <x:c r="B474" s="70" t="str">
        <x:v>C - Verify</x:v>
      </x:c>
      <x:c r="C474" s="72" t="str">
        <x:v>50</x:v>
      </x:c>
      <x:c r="D474" s="60" t="str">
        <x:v>RCS Roofing Company</x:v>
      </x:c>
      <x:c r="E474" s="60" t="str">
        <x:v>https://rcsroofing.net</x:v>
      </x:c>
      <x:c r="F474" s="60" t="str">
        <x:v>https://www.rcsroofing.net/</x:v>
      </x:c>
      <x:c r="G474" s="60" t="str">
        <x:v>Aiken</x:v>
      </x:c>
      <x:c r="H474" s="60" t="str">
        <x:v>South Carolina</x:v>
      </x:c>
      <x:c r="I474" s="60" t="str">
        <x:v>Roofing</x:v>
      </x:c>
      <x:c r="J474" s="60" t="str">
        <x:v>RCS Roofing Company</x:v>
      </x:c>
      <x:c r="K474" s="60" t="str"/>
      <x:c r="L474" s="60" t="str">
        <x:v>Owner / decision maker to verify</x:v>
      </x:c>
      <x:c r="M474" s="60" t="str"/>
      <x:c r="N474" s="60" t="str"/>
      <x:c r="O474" s="60" t="str">
        <x:v>(706) 922-0148</x:v>
      </x:c>
      <x:c r="P474" s="60" t="str"/>
      <x:c r="Q474" s="60" t="str"/>
      <x:c r="R474" s="60" t="str"/>
      <x:c r="S474" s="60" t="str">
        <x:v>5</x:v>
      </x:c>
      <x:c r="T474" s="74" t="str">
        <x:v>11</x:v>
      </x:c>
      <x:c r="U474" s="60" t="str"/>
      <x:c r="V474" s="74" t="str">
        <x:v>25</x:v>
      </x:c>
      <x:c r="W474" s="74" t="str">
        <x:v>6</x:v>
      </x:c>
      <x:c r="X474" s="74" t="str">
        <x:v>6</x:v>
      </x:c>
      <x:c r="Y474" s="74" t="str">
        <x:v>8</x:v>
      </x:c>
      <x:c r="Z474" s="74" t="str">
        <x:v>5</x:v>
      </x:c>
      <x:c r="AA474" s="74" t="str">
        <x:v>0</x:v>
      </x:c>
      <x:c r="AB474" s="74" t="str">
        <x:v>0</x:v>
      </x:c>
      <x:c r="AC474" s="74" t="str">
        <x:v>1</x:v>
      </x:c>
      <x:c r="AD474" s="74" t="str">
        <x:v>0</x:v>
      </x:c>
      <x:c r="AE474" s="74" t="str">
        <x:v>0</x:v>
      </x:c>
      <x:c r="AF474" s="74" t="str">
        <x:v>birdeye</x:v>
      </x:c>
      <x:c r="AG474" s="74" t="str">
        <x:v>0</x:v>
      </x:c>
      <x:c r="AH474" s="74" t="str">
        <x:v>1</x:v>
      </x:c>
      <x:c r="AI474" s="74" t="str">
        <x:v>0</x:v>
      </x:c>
      <x:c r="AJ474" s="74" t="str">
        <x:v>1</x:v>
      </x:c>
      <x:c r="AK474" s="74" t="str">
        <x:v>0</x:v>
      </x:c>
      <x:c r="AL474" s="74" t="str">
        <x:v>1</x:v>
      </x:c>
      <x:c r="AM474" s="74" t="str">
        <x:v>1</x:v>
      </x:c>
      <x:c r="AN474" s="74" t="str">
        <x:v>0</x:v>
      </x:c>
      <x:c r="AO474" s="60" t="str">
        <x:v>0</x:v>
      </x:c>
      <x:c r="AP474" s="76" t="str">
        <x:v>Project/gallery proof found; no embedded homepage video found</x:v>
      </x:c>
      <x:c r="AQ474" s="76" t="str">
        <x:v>project/gallery proof; financing; no embedded homepage video detected</x:v>
      </x:c>
      <x:c r="AR474" s="76" t="str">
        <x:v>I found project/gallery proof on RCS Roofing Company's site that could be repackaged into short-form ad concepts.</x:v>
      </x:c>
      <x:c r="AS474" s="76" t="str">
        <x:v>storm-to-inspection before/after ad</x:v>
      </x:c>
      <x:c r="AT474" s="76" t="str">
        <x:v>RCS Roofing Company ad concept</x:v>
      </x:c>
      <x:c r="AU474" s="76" t="str">
        <x:v>Hi RCS Roofing Company — I found project/gallery proof on RCS Roofing Company's site that could be repackaged into short-form ad concepts. I mapped a private 15-second storm-to-inspection before/after ad for RCS Roofing Company using only public brand context—not for publishing, just to show the angle. We build three client-approved video ad concepts in seven days, then turn the winners into fresh variations. No filming day required. Worth sending the private sample?</x:v>
      </x:c>
      <x:c r="AV474" s="76" t="str">
        <x:v>Quick follow-up: the sample angle is a storm-to-inspection before/after ad. If it misses the mark, no problem—I won't keep chasing. Should I send it?</x:v>
      </x:c>
      <x:c r="AW474" s="76" t="str">
        <x:v>Hi RCS Roofing Company, Ryan here. I was looking at RCS Roofing Company's public marketing and noticed: project/gallery proof found; no embedded homepage video found. I mapped one private storm-to-inspection before/after ad as an example. Did I catch you with 30 seconds?</x:v>
      </x:c>
      <x:c r="AX474" s="60" t="str">
        <x:v>https://www.facebook.com/ads/library/?active_status=active&amp;ad_type=all&amp;country=US&amp;q=RCS%20Roofing%20Company&amp;search_type=keyword_unordered</x:v>
      </x:c>
      <x:c r="AY474" s="60" t="str">
        <x:v>ok:200</x:v>
      </x:c>
      <x:c r="AZ474" s="60" t="n">
        <x:v>46232.722858796296</x:v>
      </x:c>
      <x:c r="BA474" s="60" t="str">
        <x:v>Google Maps home-services export</x:v>
      </x:c>
      <x:c r="BB474" s="60" t="str">
        <x:v>https://maps.google.com/?cid=1791226002686291414&amp;g_mp=Cidnb29nbGUubWFwcy5wbGFjZXMudjEuUGxhY2VzLlNlYXJjaFRleHQQAhgEIAA | https://maps.google.com/?cid=2807939063757613725&amp;g_mp=Cidnb29nbGUubWFwcy5wbGFjZXMudjEuUGxhY2VzLlNlYXJjaFRleHQQAhgEIAA | https://rcsroofing.net</x:v>
      </x:c>
      <x:c r="BC474" s="60" t="str"/>
    </x:row>
    <x:row r="475" ht="18" customHeight="1">
      <x:c r="A475" s="70" t="str">
        <x:v>474</x:v>
      </x:c>
      <x:c r="B475" s="70" t="str">
        <x:v>C - Verify</x:v>
      </x:c>
      <x:c r="C475" s="72" t="str">
        <x:v>50</x:v>
      </x:c>
      <x:c r="D475" s="60" t="str">
        <x:v>Austin Air LLC</x:v>
      </x:c>
      <x:c r="E475" s="60" t="str">
        <x:v>https://austinairsc.com</x:v>
      </x:c>
      <x:c r="F475" s="60" t="str">
        <x:v>https://www.austinairsc.com/</x:v>
      </x:c>
      <x:c r="G475" s="60" t="str">
        <x:v>Mount Pleasant</x:v>
      </x:c>
      <x:c r="H475" s="60" t="str">
        <x:v>South Carolina</x:v>
      </x:c>
      <x:c r="I475" s="60" t="str">
        <x:v>HVAC</x:v>
      </x:c>
      <x:c r="J475" s="60" t="str">
        <x:v>Austin Air LLC</x:v>
      </x:c>
      <x:c r="K475" s="60" t="str"/>
      <x:c r="L475" s="60" t="str">
        <x:v>Owner / decision maker to verify</x:v>
      </x:c>
      <x:c r="M475" s="60" t="str"/>
      <x:c r="N475" s="60" t="str"/>
      <x:c r="O475" s="60" t="str">
        <x:v>(843) 813-5035</x:v>
      </x:c>
      <x:c r="P475" s="60" t="str"/>
      <x:c r="Q475" s="60" t="str"/>
      <x:c r="R475" s="60" t="str"/>
      <x:c r="S475" s="60" t="str">
        <x:v>4.9</x:v>
      </x:c>
      <x:c r="T475" s="74" t="str">
        <x:v>267</x:v>
      </x:c>
      <x:c r="U475" s="60" t="str"/>
      <x:c r="V475" s="74" t="str">
        <x:v>29</x:v>
      </x:c>
      <x:c r="W475" s="74" t="str">
        <x:v>6</x:v>
      </x:c>
      <x:c r="X475" s="74" t="str">
        <x:v>4</x:v>
      </x:c>
      <x:c r="Y475" s="74" t="str">
        <x:v>6</x:v>
      </x:c>
      <x:c r="Z475" s="74" t="str">
        <x:v>5</x:v>
      </x:c>
      <x:c r="AA475" s="74" t="str">
        <x:v>0</x:v>
      </x:c>
      <x:c r="AB475" s="74" t="str">
        <x:v>0</x:v>
      </x:c>
      <x:c r="AC475" s="74" t="str">
        <x:v>1</x:v>
      </x:c>
      <x:c r="AD475" s="74" t="str">
        <x:v>0</x:v>
      </x:c>
      <x:c r="AE475" s="74" t="str">
        <x:v>0</x:v>
      </x:c>
      <x:c r="AF475" s="74" t="str">
        <x:v>podium</x:v>
      </x:c>
      <x:c r="AG475" s="74" t="str">
        <x:v>1</x:v>
      </x:c>
      <x:c r="AH475" s="74" t="str">
        <x:v>0</x:v>
      </x:c>
      <x:c r="AI475" s="74" t="str">
        <x:v>0</x:v>
      </x:c>
      <x:c r="AJ475" s="74" t="str">
        <x:v>0</x:v>
      </x:c>
      <x:c r="AK475" s="74" t="str">
        <x:v>1</x:v>
      </x:c>
      <x:c r="AL475" s="74" t="str">
        <x:v>0</x:v>
      </x:c>
      <x:c r="AM475" s="74" t="str">
        <x:v>0</x:v>
      </x:c>
      <x:c r="AN475" s="74" t="str">
        <x:v>0</x:v>
      </x:c>
      <x:c r="AO475" s="60" t="str">
        <x:v>2026</x:v>
      </x:c>
      <x:c r="AP475" s="76" t="str">
        <x:v>ICP fit; paid-demand need requires manual verification</x:v>
      </x:c>
      <x:c r="AQ475" s="76" t="str">
        <x:v>visible service offer</x:v>
      </x:c>
      <x:c r="AR475" s="76" t="str">
        <x:v>I was reviewing hvac companies in Mount Pleasant, South Carolina and Austin Air LLC looked like a strong fit for a creative test.</x:v>
      </x:c>
      <x:c r="AS475" s="76" t="str">
        <x:v>no-cool-call to same-day comfort ad</x:v>
      </x:c>
      <x:c r="AT475" s="76" t="str">
        <x:v>Austin Air LLC ad concept</x:v>
      </x:c>
      <x:c r="AU475" s="76" t="str">
        <x:v>Hi Austin Air LLC — I was reviewing hvac companies in Mount Pleasant, South Carolina and Austin Air LLC looked like a strong fit for a creative test. I mapped a private 15-second no-cool-call to same-day comfort ad for Austin Air LLC using only public brand context—not for publishing, just to show the angle. We build three client-approved video ad concepts in seven days, then turn the winners into fresh variations. No filming day required. Worth sending the private sample?</x:v>
      </x:c>
      <x:c r="AV475" s="76" t="str">
        <x:v>Quick follow-up: the sample angle is a no-cool-call to same-day comfort ad. If it misses the mark, no problem—I won't keep chasing. Should I send it?</x:v>
      </x:c>
      <x:c r="AW475" s="76" t="str">
        <x:v>Hi Austin Air LLC, Ryan here. I was looking at Austin Air LLC's public marketing and noticed: icp fit; paid-demand need requires manual verification. I mapped one private no-cool-call to same-day comfort ad as an example. Did I catch you with 30 seconds?</x:v>
      </x:c>
      <x:c r="AX475" s="60" t="str">
        <x:v>https://www.facebook.com/ads/library/?active_status=active&amp;ad_type=all&amp;country=US&amp;q=Austin%20Air%20LLC&amp;search_type=keyword_unordered</x:v>
      </x:c>
      <x:c r="AY475" s="60" t="str">
        <x:v>ok:200</x:v>
      </x:c>
      <x:c r="AZ475" s="60" t="n">
        <x:v>46232.722858796296</x:v>
      </x:c>
      <x:c r="BA475" s="60" t="str">
        <x:v>Google Maps home-services export</x:v>
      </x:c>
      <x:c r="BB475" s="60" t="str">
        <x:v>https://austinairsc.com | https://maps.google.com/?cid=11536054229209068918&amp;g_mp=Cidnb29nbGUubWFwcy5wbGFjZXMudjEuUGxhY2VzLlNlYXJjaFRleHQQAhgEIAA</x:v>
      </x:c>
      <x:c r="BC475" s="60" t="str"/>
    </x:row>
    <x:row r="476" ht="18" customHeight="1">
      <x:c r="A476" s="70" t="str">
        <x:v>475</x:v>
      </x:c>
      <x:c r="B476" s="70" t="str">
        <x:v>C - Verify</x:v>
      </x:c>
      <x:c r="C476" s="72" t="str">
        <x:v>50</x:v>
      </x:c>
      <x:c r="D476" s="60" t="str">
        <x:v>Premiere Roofing</x:v>
      </x:c>
      <x:c r="E476" s="60" t="str">
        <x:v>https://roofteam.com</x:v>
      </x:c>
      <x:c r="F476" s="60" t="str">
        <x:v>https://roofteam.com</x:v>
      </x:c>
      <x:c r="G476" s="60" t="str">
        <x:v>Summerville</x:v>
      </x:c>
      <x:c r="H476" s="60" t="str">
        <x:v>South Carolina</x:v>
      </x:c>
      <x:c r="I476" s="60" t="str">
        <x:v>Roofing</x:v>
      </x:c>
      <x:c r="J476" s="60" t="str">
        <x:v>Premiere Roofing</x:v>
      </x:c>
      <x:c r="K476" s="60" t="str"/>
      <x:c r="L476" s="60" t="str">
        <x:v>Owner / decision maker to verify</x:v>
      </x:c>
      <x:c r="M476" s="60" t="str"/>
      <x:c r="N476" s="60" t="str"/>
      <x:c r="O476" s="60" t="str">
        <x:v>(843) 594-0409</x:v>
      </x:c>
      <x:c r="P476" s="60" t="str"/>
      <x:c r="Q476" s="60" t="str"/>
      <x:c r="R476" s="60" t="str"/>
      <x:c r="S476" s="60" t="str">
        <x:v>5</x:v>
      </x:c>
      <x:c r="T476" s="74" t="str">
        <x:v>84</x:v>
      </x:c>
      <x:c r="U476" s="60" t="str"/>
      <x:c r="V476" s="74" t="str">
        <x:v>27</x:v>
      </x:c>
      <x:c r="W476" s="74" t="str">
        <x:v>3</x:v>
      </x:c>
      <x:c r="X476" s="74" t="str">
        <x:v>0</x:v>
      </x:c>
      <x:c r="Y476" s="74" t="str">
        <x:v>15</x:v>
      </x:c>
      <x:c r="Z476" s="74" t="str">
        <x:v>5</x:v>
      </x:c>
      <x:c r="AA476" s="74" t="str">
        <x:v>0</x:v>
      </x:c>
      <x:c r="AB476" s="74" t="str">
        <x:v>0</x:v>
      </x:c>
      <x:c r="AC476" s="74" t="str">
        <x:v>1</x:v>
      </x:c>
      <x:c r="AD476" s="74" t="str">
        <x:v>0</x:v>
      </x:c>
      <x:c r="AE476" s="74" t="str">
        <x:v>0</x:v>
      </x:c>
      <x:c r="AF476" s="74" t="str"/>
      <x:c r="AG476" s="74" t="str">
        <x:v>1</x:v>
      </x:c>
      <x:c r="AH476" s="74" t="str">
        <x:v>1</x:v>
      </x:c>
      <x:c r="AI476" s="74" t="str">
        <x:v>1</x:v>
      </x:c>
      <x:c r="AJ476" s="74" t="str">
        <x:v>1</x:v>
      </x:c>
      <x:c r="AK476" s="74" t="str">
        <x:v>1</x:v>
      </x:c>
      <x:c r="AL476" s="74" t="str">
        <x:v>0</x:v>
      </x:c>
      <x:c r="AM476" s="74" t="str">
        <x:v>1</x:v>
      </x:c>
      <x:c r="AN476" s="74" t="str">
        <x:v>1</x:v>
      </x:c>
      <x:c r="AO476" s="60" t="str">
        <x:v>2026</x:v>
      </x:c>
      <x:c r="AP476" s="76" t="str">
        <x:v>ICP fit; paid-demand need requires manual verification</x:v>
      </x:c>
      <x:c r="AQ476" s="76" t="str">
        <x:v>project/gallery proof; testimonials; financing; visible service offer</x:v>
      </x:c>
      <x:c r="AR476" s="76" t="str">
        <x:v>I was reviewing roofing companies in Summerville, South Carolina and Premiere Roofing looked like a strong fit for a creative test.</x:v>
      </x:c>
      <x:c r="AS476" s="76" t="str">
        <x:v>storm-to-inspection before/after ad</x:v>
      </x:c>
      <x:c r="AT476" s="76" t="str">
        <x:v>Premiere Roofing ad concept</x:v>
      </x:c>
      <x:c r="AU476" s="76" t="str">
        <x:v>Hi Premiere Roofing — I was reviewing roofing companies in Summerville, South Carolina and Premiere Roofing looked like a strong fit for a creative test. I mapped a private 15-second storm-to-inspection before/after ad for Premiere Roofing using only public brand context—not for publishing, just to show the angle. We build three client-approved video ad concepts in seven days, then turn the winners into fresh variations. No filming day required. Worth sending the private sample?</x:v>
      </x:c>
      <x:c r="AV476" s="76" t="str">
        <x:v>Quick follow-up: the sample angle is a storm-to-inspection before/after ad. If it misses the mark, no problem—I won't keep chasing. Should I send it?</x:v>
      </x:c>
      <x:c r="AW476" s="76" t="str">
        <x:v>Hi Premiere Roofing, Ryan here. I was looking at Premiere Roofing's public marketing and noticed: icp fit; paid-demand need requires manual verification. I mapped one private storm-to-inspection before/after ad as an example. Did I catch you with 30 seconds?</x:v>
      </x:c>
      <x:c r="AX476" s="60" t="str">
        <x:v>https://www.facebook.com/ads/library/?active_status=active&amp;ad_type=all&amp;country=US&amp;q=Premiere%20Roofing&amp;search_type=keyword_unordered</x:v>
      </x:c>
      <x:c r="AY476" s="60" t="str">
        <x:v>ok:200</x:v>
      </x:c>
      <x:c r="AZ476" s="60" t="n">
        <x:v>46232.722858796296</x:v>
      </x:c>
      <x:c r="BA476" s="60" t="str">
        <x:v>Google Maps home-services export</x:v>
      </x:c>
      <x:c r="BB476" s="60" t="str">
        <x:v>https://maps.google.com/?cid=1614466218960783270&amp;g_mp=Cidnb29nbGUubWFwcy5wbGFjZXMudjEuUGxhY2VzLlNlYXJjaFRleHQQAhgEIAA | https://roofteam.com</x:v>
      </x:c>
      <x:c r="BC476" s="60" t="str"/>
    </x:row>
    <x:row r="477" ht="18" customHeight="1">
      <x:c r="A477" s="70" t="str">
        <x:v>476</x:v>
      </x:c>
      <x:c r="B477" s="70" t="str">
        <x:v>C - Verify</x:v>
      </x:c>
      <x:c r="C477" s="72" t="str">
        <x:v>50</x:v>
      </x:c>
      <x:c r="D477" s="60" t="str">
        <x:v>JCB Roofing / HHI, SC</x:v>
      </x:c>
      <x:c r="E477" s="60" t="str">
        <x:v>https://jcb-roofing.com</x:v>
      </x:c>
      <x:c r="F477" s="60" t="str">
        <x:v>https://www.jcb-roofing.com/</x:v>
      </x:c>
      <x:c r="G477" s="60" t="str">
        <x:v>Hilton Head</x:v>
      </x:c>
      <x:c r="H477" s="60" t="str">
        <x:v>South Carolina</x:v>
      </x:c>
      <x:c r="I477" s="60" t="str">
        <x:v>Roofing</x:v>
      </x:c>
      <x:c r="J477" s="60" t="str">
        <x:v>JCB Roofing / HHI, SC</x:v>
      </x:c>
      <x:c r="K477" s="60" t="str"/>
      <x:c r="L477" s="60" t="str">
        <x:v>Owner / decision maker to verify</x:v>
      </x:c>
      <x:c r="M477" s="60" t="str"/>
      <x:c r="N477" s="60" t="str"/>
      <x:c r="O477" s="60" t="str">
        <x:v>(843) 342-2255</x:v>
      </x:c>
      <x:c r="P477" s="60" t="str"/>
      <x:c r="Q477" s="60" t="str"/>
      <x:c r="R477" s="60" t="str"/>
      <x:c r="S477" s="60" t="str">
        <x:v>4.7</x:v>
      </x:c>
      <x:c r="T477" s="74" t="str">
        <x:v>53</x:v>
      </x:c>
      <x:c r="U477" s="60" t="str"/>
      <x:c r="V477" s="74" t="str">
        <x:v>27</x:v>
      </x:c>
      <x:c r="W477" s="74" t="str">
        <x:v>3</x:v>
      </x:c>
      <x:c r="X477" s="74" t="str">
        <x:v>0</x:v>
      </x:c>
      <x:c r="Y477" s="74" t="str">
        <x:v>15</x:v>
      </x:c>
      <x:c r="Z477" s="74" t="str">
        <x:v>5</x:v>
      </x:c>
      <x:c r="AA477" s="74" t="str">
        <x:v>0</x:v>
      </x:c>
      <x:c r="AB477" s="74" t="str">
        <x:v>0</x:v>
      </x:c>
      <x:c r="AC477" s="74" t="str">
        <x:v>1</x:v>
      </x:c>
      <x:c r="AD477" s="74" t="str">
        <x:v>0</x:v>
      </x:c>
      <x:c r="AE477" s="74" t="str">
        <x:v>0</x:v>
      </x:c>
      <x:c r="AF477" s="74" t="str"/>
      <x:c r="AG477" s="74" t="str">
        <x:v>1</x:v>
      </x:c>
      <x:c r="AH477" s="74" t="str">
        <x:v>1</x:v>
      </x:c>
      <x:c r="AI477" s="74" t="str">
        <x:v>1</x:v>
      </x:c>
      <x:c r="AJ477" s="74" t="str">
        <x:v>1</x:v>
      </x:c>
      <x:c r="AK477" s="74" t="str">
        <x:v>1</x:v>
      </x:c>
      <x:c r="AL477" s="74" t="str">
        <x:v>1</x:v>
      </x:c>
      <x:c r="AM477" s="74" t="str">
        <x:v>1</x:v>
      </x:c>
      <x:c r="AN477" s="74" t="str">
        <x:v>1</x:v>
      </x:c>
      <x:c r="AO477" s="60" t="str">
        <x:v>0</x:v>
      </x:c>
      <x:c r="AP477" s="76" t="str">
        <x:v>ICP fit; paid-demand need requires manual verification</x:v>
      </x:c>
      <x:c r="AQ477" s="76" t="str">
        <x:v>project/gallery proof; testimonials; financing; visible service offer</x:v>
      </x:c>
      <x:c r="AR477" s="76" t="str">
        <x:v>I was reviewing roofing companies in Hilton Head, South Carolina and JCB Roofing / HHI, SC looked like a strong fit for a creative test.</x:v>
      </x:c>
      <x:c r="AS477" s="76" t="str">
        <x:v>storm-to-inspection before/after ad</x:v>
      </x:c>
      <x:c r="AT477" s="76" t="str">
        <x:v>JCB Roofing / HHI, SC ad concept</x:v>
      </x:c>
      <x:c r="AU477" s="76" t="str">
        <x:v>Hi JCB Roofing / HHI, SC — I was reviewing roofing companies in Hilton Head, South Carolina and JCB Roofing / HHI, SC looked like a strong fit for a creative test. I mapped a private 15-second storm-to-inspection before/after ad for JCB Roofing / HHI, SC using only public brand context—not for publishing, just to show the angle. We build three client-approved video ad concepts in seven days, then turn the winners into fresh variations. No filming day required. Worth sending the private sample?</x:v>
      </x:c>
      <x:c r="AV477" s="76" t="str">
        <x:v>Quick follow-up: the sample angle is a storm-to-inspection before/after ad. If it misses the mark, no problem—I won't keep chasing. Should I send it?</x:v>
      </x:c>
      <x:c r="AW477" s="76" t="str">
        <x:v>Hi JCB Roofing / HHI, SC, Ryan here. I was looking at JCB Roofing / HHI, SC's public marketing and noticed: icp fit; paid-demand need requires manual verification. I mapped one private storm-to-inspection before/after ad as an example. Did I catch you with 30 seconds?</x:v>
      </x:c>
      <x:c r="AX477" s="60" t="str">
        <x:v>https://www.facebook.com/ads/library/?active_status=active&amp;ad_type=all&amp;country=US&amp;q=JCB%20Roofing%20/%20HHI%2C%20SC&amp;search_type=keyword_unordered</x:v>
      </x:c>
      <x:c r="AY477" s="60" t="str">
        <x:v>ok:200</x:v>
      </x:c>
      <x:c r="AZ477" s="60" t="n">
        <x:v>46232.722858796296</x:v>
      </x:c>
      <x:c r="BA477" s="60" t="str">
        <x:v>Google Maps home-services export</x:v>
      </x:c>
      <x:c r="BB477" s="60" t="str">
        <x:v>https://jcb-roofing.com | https://maps.google.com/?cid=9629923979442993894&amp;g_mp=Cidnb29nbGUubWFwcy5wbGFjZXMudjEuUGxhY2VzLlNlYXJjaFRleHQQAhgEIAA</x:v>
      </x:c>
      <x:c r="BC477" s="60" t="str"/>
    </x:row>
    <x:row r="478" ht="18" customHeight="1">
      <x:c r="A478" s="70" t="str">
        <x:v>477</x:v>
      </x:c>
      <x:c r="B478" s="70" t="str">
        <x:v>C - Verify</x:v>
      </x:c>
      <x:c r="C478" s="72" t="str">
        <x:v>50</x:v>
      </x:c>
      <x:c r="D478" s="60" t="str">
        <x:v>DLV Roofing and Exteriors</x:v>
      </x:c>
      <x:c r="E478" s="60" t="str">
        <x:v>https://dlvroofing.com</x:v>
      </x:c>
      <x:c r="F478" s="60" t="str">
        <x:v>https://dlvroofing.com</x:v>
      </x:c>
      <x:c r="G478" s="60" t="str">
        <x:v>Charleston</x:v>
      </x:c>
      <x:c r="H478" s="60" t="str">
        <x:v>South Carolina</x:v>
      </x:c>
      <x:c r="I478" s="60" t="str">
        <x:v>Roofing</x:v>
      </x:c>
      <x:c r="J478" s="60" t="str">
        <x:v>DLV Roofing and Exteriors</x:v>
      </x:c>
      <x:c r="K478" s="60" t="str"/>
      <x:c r="L478" s="60" t="str">
        <x:v>Owner / decision maker to verify</x:v>
      </x:c>
      <x:c r="M478" s="60" t="str"/>
      <x:c r="N478" s="60" t="str"/>
      <x:c r="O478" s="60" t="str">
        <x:v>(843) 724-3477</x:v>
      </x:c>
      <x:c r="P478" s="60" t="str"/>
      <x:c r="Q478" s="60" t="str"/>
      <x:c r="R478" s="60" t="str"/>
      <x:c r="S478" s="60" t="str">
        <x:v>4.8</x:v>
      </x:c>
      <x:c r="T478" s="74" t="str">
        <x:v>80</x:v>
      </x:c>
      <x:c r="U478" s="60" t="str"/>
      <x:c r="V478" s="74" t="str">
        <x:v>27</x:v>
      </x:c>
      <x:c r="W478" s="74" t="str">
        <x:v>3</x:v>
      </x:c>
      <x:c r="X478" s="74" t="str">
        <x:v>0</x:v>
      </x:c>
      <x:c r="Y478" s="74" t="str">
        <x:v>15</x:v>
      </x:c>
      <x:c r="Z478" s="74" t="str">
        <x:v>5</x:v>
      </x:c>
      <x:c r="AA478" s="74" t="str">
        <x:v>0</x:v>
      </x:c>
      <x:c r="AB478" s="74" t="str">
        <x:v>0</x:v>
      </x:c>
      <x:c r="AC478" s="74" t="str">
        <x:v>1</x:v>
      </x:c>
      <x:c r="AD478" s="74" t="str">
        <x:v>0</x:v>
      </x:c>
      <x:c r="AE478" s="74" t="str">
        <x:v>0</x:v>
      </x:c>
      <x:c r="AF478" s="74" t="str"/>
      <x:c r="AG478" s="74" t="str">
        <x:v>1</x:v>
      </x:c>
      <x:c r="AH478" s="74" t="str">
        <x:v>1</x:v>
      </x:c>
      <x:c r="AI478" s="74" t="str">
        <x:v>1</x:v>
      </x:c>
      <x:c r="AJ478" s="74" t="str">
        <x:v>1</x:v>
      </x:c>
      <x:c r="AK478" s="74" t="str">
        <x:v>1</x:v>
      </x:c>
      <x:c r="AL478" s="74" t="str">
        <x:v>1</x:v>
      </x:c>
      <x:c r="AM478" s="74" t="str">
        <x:v>1</x:v>
      </x:c>
      <x:c r="AN478" s="74" t="str">
        <x:v>1</x:v>
      </x:c>
      <x:c r="AO478" s="60" t="str">
        <x:v>2026</x:v>
      </x:c>
      <x:c r="AP478" s="76" t="str">
        <x:v>ICP fit; paid-demand need requires manual verification</x:v>
      </x:c>
      <x:c r="AQ478" s="76" t="str">
        <x:v>project/gallery proof; testimonials; financing; visible service offer</x:v>
      </x:c>
      <x:c r="AR478" s="76" t="str">
        <x:v>I was reviewing roofing companies in Charleston, South Carolina and DLV Roofing and Exteriors looked like a strong fit for a creative test.</x:v>
      </x:c>
      <x:c r="AS478" s="76" t="str">
        <x:v>storm-to-inspection before/after ad</x:v>
      </x:c>
      <x:c r="AT478" s="76" t="str">
        <x:v>DLV Roofing and Exteriors ad concept</x:v>
      </x:c>
      <x:c r="AU478" s="76" t="str">
        <x:v>Hi DLV Roofing and Exteriors — I was reviewing roofing companies in Charleston, South Carolina and DLV Roofing and Exteriors looked like a strong fit for a creative test. I mapped a private 15-second storm-to-inspection before/after ad for DLV Roofing and Exteriors using only public brand context—not for publishing, just to show the angle. We build three client-approved video ad concepts in seven days, then turn the winners into fresh variations. No filming day required. Worth sending the private sample?</x:v>
      </x:c>
      <x:c r="AV478" s="76" t="str">
        <x:v>Quick follow-up: the sample angle is a storm-to-inspection before/after ad. If it misses the mark, no problem—I won't keep chasing. Should I send it?</x:v>
      </x:c>
      <x:c r="AW478" s="76" t="str">
        <x:v>Hi DLV Roofing and Exteriors, Ryan here. I was looking at DLV Roofing and Exteriors's public marketing and noticed: icp fit; paid-demand need requires manual verification. I mapped one private storm-to-inspection before/after ad as an example. Did I catch you with 30 seconds?</x:v>
      </x:c>
      <x:c r="AX478" s="60" t="str">
        <x:v>https://www.facebook.com/ads/library/?active_status=active&amp;ad_type=all&amp;country=US&amp;q=DLV%20Roofing%20and%20Exteriors&amp;search_type=keyword_unordered</x:v>
      </x:c>
      <x:c r="AY478" s="60" t="str">
        <x:v>ok:200</x:v>
      </x:c>
      <x:c r="AZ478" s="60" t="n">
        <x:v>46232.722858796296</x:v>
      </x:c>
      <x:c r="BA478" s="60" t="str">
        <x:v>Google Maps home-services export</x:v>
      </x:c>
      <x:c r="BB478" s="60" t="str">
        <x:v>https://dlvroofing.com | https://maps.google.com/?cid=12356101409860718344&amp;g_mp=Cidnb29nbGUubWFwcy5wbGFjZXMudjEuUGxhY2VzLlNlYXJjaFRleHQQAhgEIAA</x:v>
      </x:c>
      <x:c r="BC478" s="60" t="str"/>
    </x:row>
    <x:row r="479" ht="18" customHeight="1">
      <x:c r="A479" s="70" t="str">
        <x:v>478</x:v>
      </x:c>
      <x:c r="B479" s="70" t="str">
        <x:v>C - Verify</x:v>
      </x:c>
      <x:c r="C479" s="72" t="str">
        <x:v>50</x:v>
      </x:c>
      <x:c r="D479" s="60" t="str">
        <x:v>Mastermind Plumbing</x:v>
      </x:c>
      <x:c r="E479" s="60" t="str">
        <x:v>https://mastermindplumbingllc.com</x:v>
      </x:c>
      <x:c r="F479" s="60" t="str">
        <x:v>https://www.mastermindplumbingllc.com/</x:v>
      </x:c>
      <x:c r="G479" s="60" t="str">
        <x:v>Spartanburg</x:v>
      </x:c>
      <x:c r="H479" s="60" t="str">
        <x:v>South Carolina</x:v>
      </x:c>
      <x:c r="I479" s="60" t="str">
        <x:v>Plumbing</x:v>
      </x:c>
      <x:c r="J479" s="60" t="str">
        <x:v>Mastermind Plumbing</x:v>
      </x:c>
      <x:c r="K479" s="60" t="str"/>
      <x:c r="L479" s="60" t="str">
        <x:v>Owner / decision maker to verify</x:v>
      </x:c>
      <x:c r="M479" s="60" t="str"/>
      <x:c r="N479" s="60" t="str"/>
      <x:c r="O479" s="60" t="str">
        <x:v>(864) 630-3554</x:v>
      </x:c>
      <x:c r="P479" s="60" t="str"/>
      <x:c r="Q479" s="60" t="str"/>
      <x:c r="R479" s="60" t="str"/>
      <x:c r="S479" s="60" t="str">
        <x:v>4.8</x:v>
      </x:c>
      <x:c r="T479" s="74" t="str">
        <x:v>56</x:v>
      </x:c>
      <x:c r="U479" s="60" t="str"/>
      <x:c r="V479" s="74" t="str">
        <x:v>22</x:v>
      </x:c>
      <x:c r="W479" s="74" t="str">
        <x:v>3</x:v>
      </x:c>
      <x:c r="X479" s="74" t="str">
        <x:v>6</x:v>
      </x:c>
      <x:c r="Y479" s="74" t="str">
        <x:v>14</x:v>
      </x:c>
      <x:c r="Z479" s="74" t="str">
        <x:v>5</x:v>
      </x:c>
      <x:c r="AA479" s="74" t="str">
        <x:v>0</x:v>
      </x:c>
      <x:c r="AB479" s="74" t="str">
        <x:v>0</x:v>
      </x:c>
      <x:c r="AC479" s="74" t="str">
        <x:v>1</x:v>
      </x:c>
      <x:c r="AD479" s="74" t="str">
        <x:v>0</x:v>
      </x:c>
      <x:c r="AE479" s="74" t="str">
        <x:v>0</x:v>
      </x:c>
      <x:c r="AF479" s="74" t="str"/>
      <x:c r="AG479" s="74" t="str">
        <x:v>0</x:v>
      </x:c>
      <x:c r="AH479" s="74" t="str">
        <x:v>1</x:v>
      </x:c>
      <x:c r="AI479" s="74" t="str">
        <x:v>1</x:v>
      </x:c>
      <x:c r="AJ479" s="74" t="str">
        <x:v>0</x:v>
      </x:c>
      <x:c r="AK479" s="74" t="str">
        <x:v>1</x:v>
      </x:c>
      <x:c r="AL479" s="74" t="str">
        <x:v>1</x:v>
      </x:c>
      <x:c r="AM479" s="74" t="str">
        <x:v>1</x:v>
      </x:c>
      <x:c r="AN479" s="74" t="str">
        <x:v>0</x:v>
      </x:c>
      <x:c r="AO479" s="60" t="str">
        <x:v>0</x:v>
      </x:c>
      <x:c r="AP479" s="76" t="str">
        <x:v>Project/gallery proof found; no embedded homepage video found</x:v>
      </x:c>
      <x:c r="AQ479" s="76" t="str">
        <x:v>project/gallery proof; testimonials; visible service offer; no embedded homepage video detected</x:v>
      </x:c>
      <x:c r="AR479" s="76" t="str">
        <x:v>I found project/gallery proof on Mastermind Plumbing's site that could be repackaged into short-form ad concepts.</x:v>
      </x:c>
      <x:c r="AS479" s="76" t="str">
        <x:v>small symptom to prevented-emergency ad</x:v>
      </x:c>
      <x:c r="AT479" s="76" t="str">
        <x:v>Mastermind Plumbing ad concept</x:v>
      </x:c>
      <x:c r="AU479" s="76" t="str">
        <x:v>Hi Mastermind Plumbing — I found project/gallery proof on Mastermind Plumbing's site that could be repackaged into short-form ad concepts. I mapped a private 15-second small symptom to prevented-emergency ad for Mastermind Plumbing using only public brand context—not for publishing, just to show the angle. We build three client-approved video ad concepts in seven days, then turn the winners into fresh variations. No filming day required. Worth sending the private sample?</x:v>
      </x:c>
      <x:c r="AV479" s="76" t="str">
        <x:v>Quick follow-up: the sample angle is a small symptom to prevented-emergency ad. If it misses the mark, no problem—I won't keep chasing. Should I send it?</x:v>
      </x:c>
      <x:c r="AW479" s="76" t="str">
        <x:v>Hi Mastermind Plumbing, Ryan here. I was looking at Mastermind Plumbing's public marketing and noticed: project/gallery proof found; no embedded homepage video found. I mapped one private small symptom to prevented-emergency ad as an example. Did I catch you with 30 seconds?</x:v>
      </x:c>
      <x:c r="AX479" s="60" t="str">
        <x:v>https://www.facebook.com/ads/library/?active_status=active&amp;ad_type=all&amp;country=US&amp;q=Mastermind%20Plumbing&amp;search_type=keyword_unordered</x:v>
      </x:c>
      <x:c r="AY479" s="60" t="str">
        <x:v>ok:200</x:v>
      </x:c>
      <x:c r="AZ479" s="60" t="n">
        <x:v>46232.722858796296</x:v>
      </x:c>
      <x:c r="BA479" s="60" t="str">
        <x:v>Google Maps home-services export</x:v>
      </x:c>
      <x:c r="BB479" s="60" t="str">
        <x:v>https://maps.google.com/?cid=3424227958684994905&amp;g_mp=Cidnb29nbGUubWFwcy5wbGFjZXMudjEuUGxhY2VzLlNlYXJjaFRleHQQAhgEIAA | https://mastermindplumbingllc.com</x:v>
      </x:c>
      <x:c r="BC479" s="60" t="str"/>
    </x:row>
    <x:row r="480" ht="18" customHeight="1">
      <x:c r="A480" s="70" t="str">
        <x:v>479</x:v>
      </x:c>
      <x:c r="B480" s="70" t="str">
        <x:v>C - Verify</x:v>
      </x:c>
      <x:c r="C480" s="72" t="str">
        <x:v>50</x:v>
      </x:c>
      <x:c r="D480" s="60" t="str">
        <x:v>Best Choice Roofing</x:v>
      </x:c>
      <x:c r="E480" s="60" t="str">
        <x:v>https://bestchoiceroofing.com</x:v>
      </x:c>
      <x:c r="F480" s="60" t="str">
        <x:v>https://bestchoiceroofing.com</x:v>
      </x:c>
      <x:c r="G480" s="60" t="str">
        <x:v>Rock Hill</x:v>
      </x:c>
      <x:c r="H480" s="60" t="str">
        <x:v>South Carolina</x:v>
      </x:c>
      <x:c r="I480" s="60" t="str">
        <x:v>Roofing</x:v>
      </x:c>
      <x:c r="J480" s="60" t="str">
        <x:v>Best Choice Roofing</x:v>
      </x:c>
      <x:c r="K480" s="60" t="str"/>
      <x:c r="L480" s="60" t="str">
        <x:v>Owner / decision maker to verify</x:v>
      </x:c>
      <x:c r="M480" s="60" t="str"/>
      <x:c r="N480" s="60" t="str"/>
      <x:c r="O480" s="60" t="str">
        <x:v>(803) 770-5342</x:v>
      </x:c>
      <x:c r="P480" s="60" t="str"/>
      <x:c r="Q480" s="60" t="str"/>
      <x:c r="R480" s="60" t="str"/>
      <x:c r="S480" s="60" t="str">
        <x:v>4.6</x:v>
      </x:c>
      <x:c r="T480" s="74" t="str">
        <x:v>148</x:v>
      </x:c>
      <x:c r="U480" s="60" t="str"/>
      <x:c r="V480" s="74" t="str">
        <x:v>29</x:v>
      </x:c>
      <x:c r="W480" s="74" t="str">
        <x:v>3</x:v>
      </x:c>
      <x:c r="X480" s="74" t="str">
        <x:v>0</x:v>
      </x:c>
      <x:c r="Y480" s="74" t="str">
        <x:v>13</x:v>
      </x:c>
      <x:c r="Z480" s="74" t="str">
        <x:v>5</x:v>
      </x:c>
      <x:c r="AA480" s="74" t="str">
        <x:v>0</x:v>
      </x:c>
      <x:c r="AB480" s="74" t="str">
        <x:v>0</x:v>
      </x:c>
      <x:c r="AC480" s="74" t="str">
        <x:v>1</x:v>
      </x:c>
      <x:c r="AD480" s="74" t="str">
        <x:v>0</x:v>
      </x:c>
      <x:c r="AE480" s="74" t="str">
        <x:v>0</x:v>
      </x:c>
      <x:c r="AF480" s="74" t="str"/>
      <x:c r="AG480" s="74" t="str">
        <x:v>1</x:v>
      </x:c>
      <x:c r="AH480" s="74" t="str">
        <x:v>0</x:v>
      </x:c>
      <x:c r="AI480" s="74" t="str">
        <x:v>1</x:v>
      </x:c>
      <x:c r="AJ480" s="74" t="str">
        <x:v>1</x:v>
      </x:c>
      <x:c r="AK480" s="74" t="str">
        <x:v>1</x:v>
      </x:c>
      <x:c r="AL480" s="74" t="str">
        <x:v>1</x:v>
      </x:c>
      <x:c r="AM480" s="74" t="str">
        <x:v>1</x:v>
      </x:c>
      <x:c r="AN480" s="74" t="str">
        <x:v>1</x:v>
      </x:c>
      <x:c r="AO480" s="60" t="str">
        <x:v>2026</x:v>
      </x:c>
      <x:c r="AP480" s="76" t="str">
        <x:v>ICP fit; paid-demand need requires manual verification</x:v>
      </x:c>
      <x:c r="AQ480" s="76" t="str">
        <x:v>testimonials; financing; visible service offer</x:v>
      </x:c>
      <x:c r="AR480" s="76" t="str">
        <x:v>I was reviewing roofing companies in Rock Hill, South Carolina and Best Choice Roofing looked like a strong fit for a creative test.</x:v>
      </x:c>
      <x:c r="AS480" s="76" t="str">
        <x:v>storm-to-inspection before/after ad</x:v>
      </x:c>
      <x:c r="AT480" s="76" t="str">
        <x:v>Best Choice Roofing ad concept</x:v>
      </x:c>
      <x:c r="AU480" s="76" t="str">
        <x:v>Hi Best Choice Roofing — I was reviewing roofing companies in Rock Hill, South Carolina and Best Choice Roofing looked like a strong fit for a creative test. I mapped a private 15-second storm-to-inspection before/after ad for Best Choice Roofing using only public brand context—not for publishing, just to show the angle. We build three client-approved video ad concepts in seven days, then turn the winners into fresh variations. No filming day required. Worth sending the private sample?</x:v>
      </x:c>
      <x:c r="AV480" s="76" t="str">
        <x:v>Quick follow-up: the sample angle is a storm-to-inspection before/after ad. If it misses the mark, no problem—I won't keep chasing. Should I send it?</x:v>
      </x:c>
      <x:c r="AW480" s="76" t="str">
        <x:v>Hi Best Choice Roofing, Ryan here. I was looking at Best Choice Roofing's public marketing and noticed: icp fit; paid-demand need requires manual verification. I mapped one private storm-to-inspection before/after ad as an example. Did I catch you with 30 seconds?</x:v>
      </x:c>
      <x:c r="AX480" s="60" t="str">
        <x:v>https://www.facebook.com/ads/library/?active_status=active&amp;ad_type=all&amp;country=US&amp;q=Best%20Choice%20Roofing&amp;search_type=keyword_unordered</x:v>
      </x:c>
      <x:c r="AY480" s="60" t="str">
        <x:v>ok:200</x:v>
      </x:c>
      <x:c r="AZ480" s="60" t="n">
        <x:v>46232.722858796296</x:v>
      </x:c>
      <x:c r="BA480" s="60" t="str">
        <x:v>Google Maps home-services export</x:v>
      </x:c>
      <x:c r="BB480" s="60" t="str">
        <x:v>https://bestchoiceroofing.com | https://maps.google.com/?cid=4055100149369283878&amp;g_mp=Cidnb29nbGUubWFwcy5wbGFjZXMudjEuUGxhY2VzLlNlYXJjaFRleHQQAhgEIAA</x:v>
      </x:c>
      <x:c r="BC480" s="60" t="str"/>
    </x:row>
    <x:row r="481" ht="18" customHeight="1">
      <x:c r="A481" s="70" t="str">
        <x:v>480</x:v>
      </x:c>
      <x:c r="B481" s="70" t="str">
        <x:v>C - Verify</x:v>
      </x:c>
      <x:c r="C481" s="72" t="str">
        <x:v>50</x:v>
      </x:c>
      <x:c r="D481" s="60" t="str">
        <x:v>Window Depot USA</x:v>
      </x:c>
      <x:c r="E481" s="60" t="str">
        <x:v>https://windowdepotusa.com</x:v>
      </x:c>
      <x:c r="F481" s="60" t="str">
        <x:v>https://windowdepotusa.com</x:v>
      </x:c>
      <x:c r="G481" s="60" t="str">
        <x:v>Anderson</x:v>
      </x:c>
      <x:c r="H481" s="60" t="str">
        <x:v>South Carolina</x:v>
      </x:c>
      <x:c r="I481" s="60" t="str">
        <x:v>Windows &amp; Doors</x:v>
      </x:c>
      <x:c r="J481" s="60" t="str">
        <x:v>Eric</x:v>
      </x:c>
      <x:c r="K481" s="60" t="str">
        <x:v>Gilbert</x:v>
      </x:c>
      <x:c r="L481" s="60" t="str">
        <x:v>Business Owner</x:v>
      </x:c>
      <x:c r="M481" s="60" t="str"/>
      <x:c r="N481" s="60" t="str"/>
      <x:c r="O481" s="60" t="str">
        <x:v>+1 678 982 2402</x:v>
      </x:c>
      <x:c r="P481" s="60" t="str">
        <x:v>https://www.linkedin.com/in/eric-gilbert-767b66b1</x:v>
      </x:c>
      <x:c r="Q481" s="60" t="str">
        <x:v>51-200</x:v>
      </x:c>
      <x:c r="R481" s="60" t="str">
        <x:v>1000000-4999999</x:v>
      </x:c>
      <x:c r="S481" s="60" t="str"/>
      <x:c r="T481" s="74" t="str">
        <x:v>0</x:v>
      </x:c>
      <x:c r="U481" s="60" t="str"/>
      <x:c r="V481" s="74" t="str">
        <x:v>30</x:v>
      </x:c>
      <x:c r="W481" s="74" t="str">
        <x:v>3</x:v>
      </x:c>
      <x:c r="X481" s="74" t="str">
        <x:v>0</x:v>
      </x:c>
      <x:c r="Y481" s="74" t="str">
        <x:v>12</x:v>
      </x:c>
      <x:c r="Z481" s="74" t="str">
        <x:v>5</x:v>
      </x:c>
      <x:c r="AA481" s="74" t="str">
        <x:v>0</x:v>
      </x:c>
      <x:c r="AB481" s="74" t="str">
        <x:v>0</x:v>
      </x:c>
      <x:c r="AC481" s="74" t="str">
        <x:v>1</x:v>
      </x:c>
      <x:c r="AD481" s="74" t="str">
        <x:v>0</x:v>
      </x:c>
      <x:c r="AE481" s="74" t="str">
        <x:v>0</x:v>
      </x:c>
      <x:c r="AF481" s="74" t="str"/>
      <x:c r="AG481" s="74" t="str">
        <x:v>1</x:v>
      </x:c>
      <x:c r="AH481" s="74" t="str">
        <x:v>1</x:v>
      </x:c>
      <x:c r="AI481" s="74" t="str">
        <x:v>1</x:v>
      </x:c>
      <x:c r="AJ481" s="74" t="str">
        <x:v>0</x:v>
      </x:c>
      <x:c r="AK481" s="74" t="str">
        <x:v>1</x:v>
      </x:c>
      <x:c r="AL481" s="74" t="str">
        <x:v>1</x:v>
      </x:c>
      <x:c r="AM481" s="74" t="str">
        <x:v>1</x:v>
      </x:c>
      <x:c r="AN481" s="74" t="str">
        <x:v>1</x:v>
      </x:c>
      <x:c r="AO481" s="60" t="str">
        <x:v>2026</x:v>
      </x:c>
      <x:c r="AP481" s="76" t="str">
        <x:v>ICP fit; paid-demand need requires manual verification</x:v>
      </x:c>
      <x:c r="AQ481" s="76" t="str">
        <x:v>project/gallery proof; testimonials; visible service offer</x:v>
      </x:c>
      <x:c r="AR481" s="76" t="str">
        <x:v>I was reviewing windows &amp; doors companies in Anderson, South Carolina and Window Depot USA looked like a strong fit for a creative test.</x:v>
      </x:c>
      <x:c r="AS481" s="76" t="str">
        <x:v>energy-loss to installed-window transformation ad</x:v>
      </x:c>
      <x:c r="AT481" s="76" t="str">
        <x:v>Window Depot USA ad concept</x:v>
      </x:c>
      <x:c r="AU481" s="76" t="str">
        <x:v>Hi Eric — I was reviewing windows &amp; doors companies in Anderson, South Carolina and Window Depot USA looked like a strong fit for a creative test. I mapped a private 15-second energy-loss to installed-window transformation ad for Window Depot USA using only public brand context—not for publishing, just to show the angle. We build three client-approved video ad concepts in seven days, then turn the winners into fresh variations. No filming day required. Worth sending the private sample?</x:v>
      </x:c>
      <x:c r="AV481" s="76" t="str">
        <x:v>Quick follow-up: the sample angle is a energy-loss to installed-window transformation ad. If it misses the mark, no problem—I won't keep chasing. Should I send it?</x:v>
      </x:c>
      <x:c r="AW481" s="76" t="str">
        <x:v>Hi Eric, Ryan here. I was looking at Window Depot USA's public marketing and noticed: icp fit; paid-demand need requires manual verification. I mapped one private energy-loss to installed-window transformation ad as an example. Did I catch you with 30 seconds?</x:v>
      </x:c>
      <x:c r="AX481" s="60" t="str">
        <x:v>https://www.facebook.com/ads/library/?active_status=active&amp;ad_type=all&amp;country=US&amp;q=Window%20Depot%20USA&amp;search_type=keyword_unordered</x:v>
      </x:c>
      <x:c r="AY481" s="60" t="str">
        <x:v>ok:200</x:v>
      </x:c>
      <x:c r="AZ481" s="60" t="n">
        <x:v>46232.722858796296</x:v>
      </x:c>
      <x:c r="BA481" s="60" t="str">
        <x:v>AI Ark SC trades export</x:v>
      </x:c>
      <x:c r="BB481" s="60" t="str">
        <x:v>https://windowdepotusa.com | https://www.linkedin.com/company/windowdepotusa</x:v>
      </x:c>
      <x:c r="BC481" s="60" t="str"/>
    </x:row>
    <x:row r="482" ht="18" customHeight="1">
      <x:c r="A482" s="70" t="str">
        <x:v>481</x:v>
      </x:c>
      <x:c r="B482" s="70" t="str">
        <x:v>C - Verify</x:v>
      </x:c>
      <x:c r="C482" s="72" t="str">
        <x:v>50</x:v>
      </x:c>
      <x:c r="D482" s="60" t="str">
        <x:v>Shick's Plumbing Solutions LLC</x:v>
      </x:c>
      <x:c r="E482" s="60" t="str">
        <x:v>https://shicksplumbingsolutions.com</x:v>
      </x:c>
      <x:c r="F482" s="60" t="str">
        <x:v>https://shicksplumbingsolutions.com</x:v>
      </x:c>
      <x:c r="G482" s="60" t="str">
        <x:v>Rock Hill</x:v>
      </x:c>
      <x:c r="H482" s="60" t="str">
        <x:v>South Carolina</x:v>
      </x:c>
      <x:c r="I482" s="60" t="str">
        <x:v>Plumbing</x:v>
      </x:c>
      <x:c r="J482" s="60" t="str">
        <x:v>Shick's Plumbing Solutions LLC</x:v>
      </x:c>
      <x:c r="K482" s="60" t="str"/>
      <x:c r="L482" s="60" t="str">
        <x:v>Owner / decision maker to verify</x:v>
      </x:c>
      <x:c r="M482" s="60" t="str"/>
      <x:c r="N482" s="60" t="str"/>
      <x:c r="O482" s="60" t="str">
        <x:v>(803) 207-1990</x:v>
      </x:c>
      <x:c r="P482" s="60" t="str"/>
      <x:c r="Q482" s="60" t="str"/>
      <x:c r="R482" s="60" t="str"/>
      <x:c r="S482" s="60" t="str">
        <x:v>5</x:v>
      </x:c>
      <x:c r="T482" s="74" t="str">
        <x:v>24</x:v>
      </x:c>
      <x:c r="U482" s="60" t="str"/>
      <x:c r="V482" s="74" t="str">
        <x:v>20</x:v>
      </x:c>
      <x:c r="W482" s="74" t="str">
        <x:v>3</x:v>
      </x:c>
      <x:c r="X482" s="74" t="str">
        <x:v>10</x:v>
      </x:c>
      <x:c r="Y482" s="74" t="str">
        <x:v>12</x:v>
      </x:c>
      <x:c r="Z482" s="74" t="str">
        <x:v>5</x:v>
      </x:c>
      <x:c r="AA482" s="74" t="str">
        <x:v>0</x:v>
      </x:c>
      <x:c r="AB482" s="74" t="str">
        <x:v>0</x:v>
      </x:c>
      <x:c r="AC482" s="74" t="str">
        <x:v>1</x:v>
      </x:c>
      <x:c r="AD482" s="74" t="str">
        <x:v>0</x:v>
      </x:c>
      <x:c r="AE482" s="74" t="str">
        <x:v>0</x:v>
      </x:c>
      <x:c r="AF482" s="74" t="str"/>
      <x:c r="AG482" s="74" t="str">
        <x:v>0</x:v>
      </x:c>
      <x:c r="AH482" s="74" t="str">
        <x:v>1</x:v>
      </x:c>
      <x:c r="AI482" s="74" t="str">
        <x:v>1</x:v>
      </x:c>
      <x:c r="AJ482" s="74" t="str">
        <x:v>0</x:v>
      </x:c>
      <x:c r="AK482" s="74" t="str">
        <x:v>1</x:v>
      </x:c>
      <x:c r="AL482" s="74" t="str">
        <x:v>0</x:v>
      </x:c>
      <x:c r="AM482" s="74" t="str">
        <x:v>1</x:v>
      </x:c>
      <x:c r="AN482" s="74" t="str">
        <x:v>0</x:v>
      </x:c>
      <x:c r="AO482" s="60" t="str">
        <x:v>2026</x:v>
      </x:c>
      <x:c r="AP482" s="76" t="str">
        <x:v>Project/gallery proof found; no embedded homepage video found</x:v>
      </x:c>
      <x:c r="AQ482" s="76" t="str">
        <x:v>project/gallery proof; testimonials; visible service offer; no embedded homepage video detected</x:v>
      </x:c>
      <x:c r="AR482" s="76" t="str">
        <x:v>I found project/gallery proof on Shick's Plumbing Solutions LLC's site that could be repackaged into short-form ad concepts.</x:v>
      </x:c>
      <x:c r="AS482" s="76" t="str">
        <x:v>small symptom to prevented-emergency ad</x:v>
      </x:c>
      <x:c r="AT482" s="76" t="str">
        <x:v>Shick's Plumbing Solutions LLC ad concept</x:v>
      </x:c>
      <x:c r="AU482" s="76" t="str">
        <x:v>Hi Shick's Plumbing Solutions LLC — I found project/gallery proof on Shick's Plumbing Solutions LLC's site that could be repackaged into short-form ad concepts. I mapped a private 15-second small symptom to prevented-emergency ad for Shick's Plumbing Solutions LLC using only public brand context—not for publishing, just to show the angle. We build three client-approved video ad concepts in seven days, then turn the winners into fresh variations. No filming day required. Worth sending the private sample?</x:v>
      </x:c>
      <x:c r="AV482" s="76" t="str">
        <x:v>Quick follow-up: the sample angle is a small symptom to prevented-emergency ad. If it misses the mark, no problem—I won't keep chasing. Should I send it?</x:v>
      </x:c>
      <x:c r="AW482" s="76" t="str">
        <x:v>Hi Shick's Plumbing Solutions LLC, Ryan here. I was looking at Shick's Plumbing Solutions LLC's public marketing and noticed: project/gallery proof found; no embedded homepage video found. I mapped one private small symptom to prevented-emergency ad as an example. Did I catch you with 30 seconds?</x:v>
      </x:c>
      <x:c r="AX482" s="60" t="str">
        <x:v>https://www.facebook.com/ads/library/?active_status=active&amp;ad_type=all&amp;country=US&amp;q=Shick%27s%20Plumbing%20Solutions%20LLC&amp;search_type=keyword_unordered</x:v>
      </x:c>
      <x:c r="AY482" s="60" t="str">
        <x:v>ok:200</x:v>
      </x:c>
      <x:c r="AZ482" s="60" t="n">
        <x:v>46232.722858796296</x:v>
      </x:c>
      <x:c r="BA482" s="60" t="str">
        <x:v>Google Maps home-services export</x:v>
      </x:c>
      <x:c r="BB482" s="60" t="str">
        <x:v>https://maps.google.com/?cid=15949841967065448148&amp;g_mp=Cidnb29nbGUubWFwcy5wbGFjZXMudjEuUGxhY2VzLlNlYXJjaFRleHQQAhgEIAA | https://shicksplumbingsolutions.com</x:v>
      </x:c>
      <x:c r="BC482" s="60" t="str"/>
    </x:row>
    <x:row r="483" ht="18" customHeight="1">
      <x:c r="A483" s="70" t="str">
        <x:v>482</x:v>
      </x:c>
      <x:c r="B483" s="70" t="str">
        <x:v>C - Verify</x:v>
      </x:c>
      <x:c r="C483" s="72" t="str">
        <x:v>50</x:v>
      </x:c>
      <x:c r="D483" s="60" t="str">
        <x:v>MGK PLUMBING</x:v>
      </x:c>
      <x:c r="E483" s="60" t="str">
        <x:v>https://mgkplumbing.com</x:v>
      </x:c>
      <x:c r="F483" s="60" t="str">
        <x:v>https://www.mgkplumbing.com/</x:v>
      </x:c>
      <x:c r="G483" s="60" t="str">
        <x:v>Rock Hill</x:v>
      </x:c>
      <x:c r="H483" s="60" t="str">
        <x:v>South Carolina</x:v>
      </x:c>
      <x:c r="I483" s="60" t="str">
        <x:v>Plumbing</x:v>
      </x:c>
      <x:c r="J483" s="60" t="str">
        <x:v>MGK PLUMBING</x:v>
      </x:c>
      <x:c r="K483" s="60" t="str"/>
      <x:c r="L483" s="60" t="str">
        <x:v>Owner / decision maker to verify</x:v>
      </x:c>
      <x:c r="M483" s="60" t="str"/>
      <x:c r="N483" s="60" t="str"/>
      <x:c r="O483" s="60" t="str">
        <x:v>(803) 448-6866</x:v>
      </x:c>
      <x:c r="P483" s="60" t="str"/>
      <x:c r="Q483" s="60" t="str"/>
      <x:c r="R483" s="60" t="str"/>
      <x:c r="S483" s="60" t="str">
        <x:v>5</x:v>
      </x:c>
      <x:c r="T483" s="74" t="str">
        <x:v>15</x:v>
      </x:c>
      <x:c r="U483" s="60" t="str"/>
      <x:c r="V483" s="74" t="str">
        <x:v>20</x:v>
      </x:c>
      <x:c r="W483" s="74" t="str">
        <x:v>3</x:v>
      </x:c>
      <x:c r="X483" s="74" t="str">
        <x:v>10</x:v>
      </x:c>
      <x:c r="Y483" s="74" t="str">
        <x:v>12</x:v>
      </x:c>
      <x:c r="Z483" s="74" t="str">
        <x:v>5</x:v>
      </x:c>
      <x:c r="AA483" s="74" t="str">
        <x:v>0</x:v>
      </x:c>
      <x:c r="AB483" s="74" t="str">
        <x:v>0</x:v>
      </x:c>
      <x:c r="AC483" s="74" t="str">
        <x:v>1</x:v>
      </x:c>
      <x:c r="AD483" s="74" t="str">
        <x:v>0</x:v>
      </x:c>
      <x:c r="AE483" s="74" t="str">
        <x:v>0</x:v>
      </x:c>
      <x:c r="AF483" s="74" t="str"/>
      <x:c r="AG483" s="74" t="str">
        <x:v>0</x:v>
      </x:c>
      <x:c r="AH483" s="74" t="str">
        <x:v>1</x:v>
      </x:c>
      <x:c r="AI483" s="74" t="str">
        <x:v>1</x:v>
      </x:c>
      <x:c r="AJ483" s="74" t="str">
        <x:v>0</x:v>
      </x:c>
      <x:c r="AK483" s="74" t="str">
        <x:v>1</x:v>
      </x:c>
      <x:c r="AL483" s="74" t="str">
        <x:v>0</x:v>
      </x:c>
      <x:c r="AM483" s="74" t="str">
        <x:v>1</x:v>
      </x:c>
      <x:c r="AN483" s="74" t="str">
        <x:v>0</x:v>
      </x:c>
      <x:c r="AO483" s="60" t="str">
        <x:v>2026</x:v>
      </x:c>
      <x:c r="AP483" s="76" t="str">
        <x:v>Project/gallery proof found; no embedded homepage video found</x:v>
      </x:c>
      <x:c r="AQ483" s="76" t="str">
        <x:v>project/gallery proof; testimonials; visible service offer; no embedded homepage video detected</x:v>
      </x:c>
      <x:c r="AR483" s="76" t="str">
        <x:v>I found project/gallery proof on MGK PLUMBING's site that could be repackaged into short-form ad concepts.</x:v>
      </x:c>
      <x:c r="AS483" s="76" t="str">
        <x:v>small symptom to prevented-emergency ad</x:v>
      </x:c>
      <x:c r="AT483" s="76" t="str">
        <x:v>MGK PLUMBING ad concept</x:v>
      </x:c>
      <x:c r="AU483" s="76" t="str">
        <x:v>Hi MGK PLUMBING — I found project/gallery proof on MGK PLUMBING's site that could be repackaged into short-form ad concepts. I mapped a private 15-second small symptom to prevented-emergency ad for MGK PLUMBING using only public brand context—not for publishing, just to show the angle. We build three client-approved video ad concepts in seven days, then turn the winners into fresh variations. No filming day required. Worth sending the private sample?</x:v>
      </x:c>
      <x:c r="AV483" s="76" t="str">
        <x:v>Quick follow-up: the sample angle is a small symptom to prevented-emergency ad. If it misses the mark, no problem—I won't keep chasing. Should I send it?</x:v>
      </x:c>
      <x:c r="AW483" s="76" t="str">
        <x:v>Hi MGK PLUMBING, Ryan here. I was looking at MGK PLUMBING's public marketing and noticed: project/gallery proof found; no embedded homepage video found. I mapped one private small symptom to prevented-emergency ad as an example. Did I catch you with 30 seconds?</x:v>
      </x:c>
      <x:c r="AX483" s="60" t="str">
        <x:v>https://www.facebook.com/ads/library/?active_status=active&amp;ad_type=all&amp;country=US&amp;q=MGK%20PLUMBING&amp;search_type=keyword_unordered</x:v>
      </x:c>
      <x:c r="AY483" s="60" t="str">
        <x:v>ok:200</x:v>
      </x:c>
      <x:c r="AZ483" s="60" t="n">
        <x:v>46232.722858796296</x:v>
      </x:c>
      <x:c r="BA483" s="60" t="str">
        <x:v>Google Maps home-services export</x:v>
      </x:c>
      <x:c r="BB483" s="60" t="str">
        <x:v>https://maps.google.com/?cid=16975014581446002249&amp;g_mp=Cidnb29nbGUubWFwcy5wbGFjZXMudjEuUGxhY2VzLlNlYXJjaFRleHQQAhgEIAA | https://mgkplumbing.com</x:v>
      </x:c>
      <x:c r="BC483" s="60" t="str"/>
    </x:row>
    <x:row r="484" ht="18" customHeight="1">
      <x:c r="A484" s="70" t="str">
        <x:v>483</x:v>
      </x:c>
      <x:c r="B484" s="70" t="str">
        <x:v>C - Verify</x:v>
      </x:c>
      <x:c r="C484" s="72" t="str">
        <x:v>50</x:v>
      </x:c>
      <x:c r="D484" s="60" t="str">
        <x:v>Ambassador Window Cleaning</x:v>
      </x:c>
      <x:c r="E484" s="60" t="str">
        <x:v>https://awc.cc</x:v>
      </x:c>
      <x:c r="F484" s="60" t="str">
        <x:v>https://awc.cc</x:v>
      </x:c>
      <x:c r="G484" s="60" t="str">
        <x:v>Charleston</x:v>
      </x:c>
      <x:c r="H484" s="60" t="str">
        <x:v>South Carolina</x:v>
      </x:c>
      <x:c r="I484" s="60" t="str">
        <x:v>Roofing</x:v>
      </x:c>
      <x:c r="J484" s="60" t="str">
        <x:v>Jeffrey</x:v>
      </x:c>
      <x:c r="K484" s="60" t="str">
        <x:v>Duchardt</x:v>
      </x:c>
      <x:c r="L484" s="60" t="str">
        <x:v>Owner &amp; President</x:v>
      </x:c>
      <x:c r="M484" s="60" t="str"/>
      <x:c r="N484" s="60" t="str"/>
      <x:c r="O484" s="60" t="str">
        <x:v>+1 513 708 5866</x:v>
      </x:c>
      <x:c r="P484" s="60" t="str">
        <x:v>https://www.linkedin.com/in/jeffrey-duchardt-547834128</x:v>
      </x:c>
      <x:c r="Q484" s="60" t="str">
        <x:v>11-50</x:v>
      </x:c>
      <x:c r="R484" s="60" t="str">
        <x:v>100000-499999</x:v>
      </x:c>
      <x:c r="S484" s="60" t="str"/>
      <x:c r="T484" s="74" t="str">
        <x:v>0</x:v>
      </x:c>
      <x:c r="U484" s="60" t="str"/>
      <x:c r="V484" s="74" t="str">
        <x:v>30</x:v>
      </x:c>
      <x:c r="W484" s="74" t="str">
        <x:v>3</x:v>
      </x:c>
      <x:c r="X484" s="74" t="str">
        <x:v>0</x:v>
      </x:c>
      <x:c r="Y484" s="74" t="str">
        <x:v>12</x:v>
      </x:c>
      <x:c r="Z484" s="74" t="str">
        <x:v>5</x:v>
      </x:c>
      <x:c r="AA484" s="74" t="str">
        <x:v>0</x:v>
      </x:c>
      <x:c r="AB484" s="74" t="str">
        <x:v>0</x:v>
      </x:c>
      <x:c r="AC484" s="74" t="str">
        <x:v>1</x:v>
      </x:c>
      <x:c r="AD484" s="74" t="str">
        <x:v>0</x:v>
      </x:c>
      <x:c r="AE484" s="74" t="str">
        <x:v>0</x:v>
      </x:c>
      <x:c r="AF484" s="74" t="str"/>
      <x:c r="AG484" s="74" t="str">
        <x:v>1</x:v>
      </x:c>
      <x:c r="AH484" s="74" t="str">
        <x:v>1</x:v>
      </x:c>
      <x:c r="AI484" s="74" t="str">
        <x:v>1</x:v>
      </x:c>
      <x:c r="AJ484" s="74" t="str">
        <x:v>0</x:v>
      </x:c>
      <x:c r="AK484" s="74" t="str">
        <x:v>1</x:v>
      </x:c>
      <x:c r="AL484" s="74" t="str">
        <x:v>0</x:v>
      </x:c>
      <x:c r="AM484" s="74" t="str">
        <x:v>1</x:v>
      </x:c>
      <x:c r="AN484" s="74" t="str">
        <x:v>1</x:v>
      </x:c>
      <x:c r="AO484" s="60" t="str">
        <x:v>2026</x:v>
      </x:c>
      <x:c r="AP484" s="76" t="str">
        <x:v>ICP fit; paid-demand need requires manual verification</x:v>
      </x:c>
      <x:c r="AQ484" s="76" t="str">
        <x:v>project/gallery proof; testimonials; visible service offer</x:v>
      </x:c>
      <x:c r="AR484" s="76" t="str">
        <x:v>I was reviewing roofing companies in Charleston, South Carolina and Ambassador Window Cleaning looked like a strong fit for a creative test.</x:v>
      </x:c>
      <x:c r="AS484" s="76" t="str">
        <x:v>storm-to-inspection before/after ad</x:v>
      </x:c>
      <x:c r="AT484" s="76" t="str">
        <x:v>Ambassador Window Cleaning ad concept</x:v>
      </x:c>
      <x:c r="AU484" s="76" t="str">
        <x:v>Hi Jeffrey — I was reviewing roofing companies in Charleston, South Carolina and Ambassador Window Cleaning looked like a strong fit for a creative test. I mapped a private 15-second storm-to-inspection before/after ad for Ambassador Window Cleaning using only public brand context—not for publishing, just to show the angle. We build three client-approved video ad concepts in seven days, then turn the winners into fresh variations. No filming day required. Worth sending the private sample?</x:v>
      </x:c>
      <x:c r="AV484" s="76" t="str">
        <x:v>Quick follow-up: the sample angle is a storm-to-inspection before/after ad. If it misses the mark, no problem—I won't keep chasing. Should I send it?</x:v>
      </x:c>
      <x:c r="AW484" s="76" t="str">
        <x:v>Hi Jeffrey, Ryan here. I was looking at Ambassador Window Cleaning's public marketing and noticed: icp fit; paid-demand need requires manual verification. I mapped one private storm-to-inspection before/after ad as an example. Did I catch you with 30 seconds?</x:v>
      </x:c>
      <x:c r="AX484" s="60" t="str">
        <x:v>https://www.facebook.com/ads/library/?active_status=active&amp;ad_type=all&amp;country=US&amp;q=Ambassador%20Window%20Cleaning&amp;search_type=keyword_unordered</x:v>
      </x:c>
      <x:c r="AY484" s="60" t="str">
        <x:v>ok:200</x:v>
      </x:c>
      <x:c r="AZ484" s="60" t="n">
        <x:v>46232.722858796296</x:v>
      </x:c>
      <x:c r="BA484" s="60" t="str">
        <x:v>AI Ark SC trades export</x:v>
      </x:c>
      <x:c r="BB484" s="60" t="str">
        <x:v>https://awc.cc | https://www.linkedin.com/company/ambassador-window-cleaning</x:v>
      </x:c>
      <x:c r="BC484" s="60" t="str"/>
    </x:row>
    <x:row r="485" ht="18" customHeight="1">
      <x:c r="A485" s="70" t="str">
        <x:v>484</x:v>
      </x:c>
      <x:c r="B485" s="70" t="str">
        <x:v>C - Verify</x:v>
      </x:c>
      <x:c r="C485" s="72" t="str">
        <x:v>50</x:v>
      </x:c>
      <x:c r="D485" s="60" t="str">
        <x:v>Superior Plumbing Services</x:v>
      </x:c>
      <x:c r="E485" s="60" t="str">
        <x:v>https://superiorplumbingsc.net</x:v>
      </x:c>
      <x:c r="F485" s="60" t="str">
        <x:v>https://superiorplumbingsc.net</x:v>
      </x:c>
      <x:c r="G485" s="60" t="str">
        <x:v>Greenville</x:v>
      </x:c>
      <x:c r="H485" s="60" t="str">
        <x:v>South Carolina</x:v>
      </x:c>
      <x:c r="I485" s="60" t="str">
        <x:v>Plumbing</x:v>
      </x:c>
      <x:c r="J485" s="60" t="str">
        <x:v>Superior Plumbing Services</x:v>
      </x:c>
      <x:c r="K485" s="60" t="str"/>
      <x:c r="L485" s="60" t="str">
        <x:v>Owner / decision maker to verify</x:v>
      </x:c>
      <x:c r="M485" s="60" t="str"/>
      <x:c r="N485" s="60" t="str"/>
      <x:c r="O485" s="60" t="str">
        <x:v>(864) 438-0599</x:v>
      </x:c>
      <x:c r="P485" s="60" t="str"/>
      <x:c r="Q485" s="60" t="str"/>
      <x:c r="R485" s="60" t="str"/>
      <x:c r="S485" s="60" t="str">
        <x:v>4.9</x:v>
      </x:c>
      <x:c r="T485" s="74" t="str">
        <x:v>263</x:v>
      </x:c>
      <x:c r="U485" s="60" t="str"/>
      <x:c r="V485" s="74" t="str">
        <x:v>25</x:v>
      </x:c>
      <x:c r="W485" s="74" t="str">
        <x:v>3</x:v>
      </x:c>
      <x:c r="X485" s="74" t="str">
        <x:v>6</x:v>
      </x:c>
      <x:c r="Y485" s="74" t="str">
        <x:v>11</x:v>
      </x:c>
      <x:c r="Z485" s="74" t="str">
        <x:v>5</x:v>
      </x:c>
      <x:c r="AA485" s="74" t="str">
        <x:v>0</x:v>
      </x:c>
      <x:c r="AB485" s="74" t="str">
        <x:v>0</x:v>
      </x:c>
      <x:c r="AC485" s="74" t="str">
        <x:v>1</x:v>
      </x:c>
      <x:c r="AD485" s="74" t="str">
        <x:v>0</x:v>
      </x:c>
      <x:c r="AE485" s="74" t="str">
        <x:v>0</x:v>
      </x:c>
      <x:c r="AF485" s="74" t="str"/>
      <x:c r="AG485" s="74" t="str">
        <x:v>0</x:v>
      </x:c>
      <x:c r="AH485" s="74" t="str">
        <x:v>1</x:v>
      </x:c>
      <x:c r="AI485" s="74" t="str">
        <x:v>0</x:v>
      </x:c>
      <x:c r="AJ485" s="74" t="str">
        <x:v>0</x:v>
      </x:c>
      <x:c r="AK485" s="74" t="str">
        <x:v>1</x:v>
      </x:c>
      <x:c r="AL485" s="74" t="str">
        <x:v>1</x:v>
      </x:c>
      <x:c r="AM485" s="74" t="str">
        <x:v>1</x:v>
      </x:c>
      <x:c r="AN485" s="74" t="str">
        <x:v>0</x:v>
      </x:c>
      <x:c r="AO485" s="60" t="str">
        <x:v>2025</x:v>
      </x:c>
      <x:c r="AP485" s="76" t="str">
        <x:v>Project/gallery proof found; no embedded homepage video found</x:v>
      </x:c>
      <x:c r="AQ485" s="76" t="str">
        <x:v>project/gallery proof; visible service offer; no embedded homepage video detected</x:v>
      </x:c>
      <x:c r="AR485" s="76" t="str">
        <x:v>I found project/gallery proof on Superior Plumbing Services's site that could be repackaged into short-form ad concepts.</x:v>
      </x:c>
      <x:c r="AS485" s="76" t="str">
        <x:v>small symptom to prevented-emergency ad</x:v>
      </x:c>
      <x:c r="AT485" s="76" t="str">
        <x:v>Superior Plumbing Services ad concept</x:v>
      </x:c>
      <x:c r="AU485" s="76" t="str">
        <x:v>Hi Superior Plumbing Services — I found project/gallery proof on Superior Plumbing Services's site that could be repackaged into short-form ad concepts. I mapped a private 15-second small symptom to prevented-emergency ad for Superior Plumbing Services using only public brand context—not for publishing, just to show the angle. We build three client-approved video ad concepts in seven days, then turn the winners into fresh variations. No filming day required. Worth sending the private sample?</x:v>
      </x:c>
      <x:c r="AV485" s="76" t="str">
        <x:v>Quick follow-up: the sample angle is a small symptom to prevented-emergency ad. If it misses the mark, no problem—I won't keep chasing. Should I send it?</x:v>
      </x:c>
      <x:c r="AW485" s="76" t="str">
        <x:v>Hi Superior Plumbing Services, Ryan here. I was looking at Superior Plumbing Services's public marketing and noticed: project/gallery proof found; no embedded homepage video found. I mapped one private small symptom to prevented-emergency ad as an example. Did I catch you with 30 seconds?</x:v>
      </x:c>
      <x:c r="AX485" s="60" t="str">
        <x:v>https://www.facebook.com/ads/library/?active_status=active&amp;ad_type=all&amp;country=US&amp;q=Superior%20Plumbing%20Services&amp;search_type=keyword_unordered</x:v>
      </x:c>
      <x:c r="AY485" s="60" t="str">
        <x:v>ok:200</x:v>
      </x:c>
      <x:c r="AZ485" s="60" t="n">
        <x:v>46232.722858796296</x:v>
      </x:c>
      <x:c r="BA485" s="60" t="str">
        <x:v>Google Maps home-services export</x:v>
      </x:c>
      <x:c r="BB485" s="60" t="str">
        <x:v>https://maps.google.com/?cid=16449019234003361895&amp;g_mp=Cidnb29nbGUubWFwcy5wbGFjZXMudjEuUGxhY2VzLlNlYXJjaFRleHQQAhgEIAA | https://superiorplumbingsc.net</x:v>
      </x:c>
      <x:c r="BC485" s="60" t="str"/>
    </x:row>
    <x:row r="486" ht="18" customHeight="1">
      <x:c r="A486" s="70" t="str">
        <x:v>485</x:v>
      </x:c>
      <x:c r="B486" s="70" t="str">
        <x:v>C - Verify</x:v>
      </x:c>
      <x:c r="C486" s="72" t="str">
        <x:v>50</x:v>
      </x:c>
      <x:c r="D486" s="60" t="str">
        <x:v>Guardian Roofing and Construction</x:v>
      </x:c>
      <x:c r="E486" s="60" t="str">
        <x:v>https://theroofguardian.ca</x:v>
      </x:c>
      <x:c r="F486" s="60" t="str">
        <x:v>https://www.theroofguardian.ca/</x:v>
      </x:c>
      <x:c r="G486" s="60" t="str">
        <x:v>West Columbia</x:v>
      </x:c>
      <x:c r="H486" s="60" t="str">
        <x:v>South Carolina</x:v>
      </x:c>
      <x:c r="I486" s="60" t="str">
        <x:v>Roofing</x:v>
      </x:c>
      <x:c r="J486" s="60" t="str">
        <x:v>Tiffany</x:v>
      </x:c>
      <x:c r="K486" s="60" t="str">
        <x:v>Ragsdale</x:v>
      </x:c>
      <x:c r="L486" s="60" t="str">
        <x:v>Business Owner</x:v>
      </x:c>
      <x:c r="M486" s="60" t="str"/>
      <x:c r="N486" s="60" t="str"/>
      <x:c r="O486" s="60" t="str">
        <x:v>+1 316 302 4100</x:v>
      </x:c>
      <x:c r="P486" s="60" t="str">
        <x:v>https://www.linkedin.com/in/tiffany-ragsdale-1611aa366</x:v>
      </x:c>
      <x:c r="Q486" s="60" t="str">
        <x:v>null+</x:v>
      </x:c>
      <x:c r="R486" s="60" t="str">
        <x:v>100000-499999</x:v>
      </x:c>
      <x:c r="S486" s="60" t="str"/>
      <x:c r="T486" s="74" t="str">
        <x:v>0</x:v>
      </x:c>
      <x:c r="U486" s="60" t="str"/>
      <x:c r="V486" s="74" t="str">
        <x:v>25</x:v>
      </x:c>
      <x:c r="W486" s="74" t="str">
        <x:v>3</x:v>
      </x:c>
      <x:c r="X486" s="74" t="str">
        <x:v>6</x:v>
      </x:c>
      <x:c r="Y486" s="74" t="str">
        <x:v>11</x:v>
      </x:c>
      <x:c r="Z486" s="74" t="str">
        <x:v>5</x:v>
      </x:c>
      <x:c r="AA486" s="74" t="str">
        <x:v>0</x:v>
      </x:c>
      <x:c r="AB486" s="74" t="str">
        <x:v>0</x:v>
      </x:c>
      <x:c r="AC486" s="74" t="str">
        <x:v>1</x:v>
      </x:c>
      <x:c r="AD486" s="74" t="str">
        <x:v>0</x:v>
      </x:c>
      <x:c r="AE486" s="74" t="str">
        <x:v>0</x:v>
      </x:c>
      <x:c r="AF486" s="74" t="str"/>
      <x:c r="AG486" s="74" t="str">
        <x:v>0</x:v>
      </x:c>
      <x:c r="AH486" s="74" t="str">
        <x:v>1</x:v>
      </x:c>
      <x:c r="AI486" s="74" t="str">
        <x:v>0</x:v>
      </x:c>
      <x:c r="AJ486" s="74" t="str">
        <x:v>1</x:v>
      </x:c>
      <x:c r="AK486" s="74" t="str">
        <x:v>1</x:v>
      </x:c>
      <x:c r="AL486" s="74" t="str">
        <x:v>1</x:v>
      </x:c>
      <x:c r="AM486" s="74" t="str">
        <x:v>1</x:v>
      </x:c>
      <x:c r="AN486" s="74" t="str">
        <x:v>0</x:v>
      </x:c>
      <x:c r="AO486" s="60" t="str">
        <x:v>0</x:v>
      </x:c>
      <x:c r="AP486" s="76" t="str">
        <x:v>Project/gallery proof found; no embedded homepage video found</x:v>
      </x:c>
      <x:c r="AQ486" s="76" t="str">
        <x:v>project/gallery proof; financing; visible service offer; no embedded homepage video detected</x:v>
      </x:c>
      <x:c r="AR486" s="76" t="str">
        <x:v>I found project/gallery proof on Guardian Roofing and Construction's site that could be repackaged into short-form ad concepts.</x:v>
      </x:c>
      <x:c r="AS486" s="76" t="str">
        <x:v>storm-to-inspection before/after ad</x:v>
      </x:c>
      <x:c r="AT486" s="76" t="str">
        <x:v>Guardian Roofing and Construction ad concept</x:v>
      </x:c>
      <x:c r="AU486" s="76" t="str">
        <x:v>Hi Tiffany — I found project/gallery proof on Guardian Roofing and Construction's site that could be repackaged into short-form ad concepts. I mapped a private 15-second storm-to-inspection before/after ad for Guardian Roofing and Construction using only public brand context—not for publishing, just to show the angle. We build three client-approved video ad concepts in seven days, then turn the winners into fresh variations. No filming day required. Worth sending the private sample?</x:v>
      </x:c>
      <x:c r="AV486" s="76" t="str">
        <x:v>Quick follow-up: the sample angle is a storm-to-inspection before/after ad. If it misses the mark, no problem—I won't keep chasing. Should I send it?</x:v>
      </x:c>
      <x:c r="AW486" s="76" t="str">
        <x:v>Hi Tiffany, Ryan here. I was looking at Guardian Roofing and Construction's public marketing and noticed: project/gallery proof found; no embedded homepage video found. I mapped one private storm-to-inspection before/after ad as an example. Did I catch you with 30 seconds?</x:v>
      </x:c>
      <x:c r="AX486" s="60" t="str">
        <x:v>https://www.facebook.com/ads/library/?active_status=active&amp;ad_type=all&amp;country=US&amp;q=Guardian%20Roofing%20and%20Construction&amp;search_type=keyword_unordered</x:v>
      </x:c>
      <x:c r="AY486" s="60" t="str">
        <x:v>ok:200</x:v>
      </x:c>
      <x:c r="AZ486" s="60" t="n">
        <x:v>46232.722858796296</x:v>
      </x:c>
      <x:c r="BA486" s="60" t="str">
        <x:v>AI Ark SC trades export</x:v>
      </x:c>
      <x:c r="BB486" s="60" t="str">
        <x:v>https://theroofguardian.ca | https://www.linkedin.com/company/guardian-roofing-and-construction</x:v>
      </x:c>
      <x:c r="BC486" s="60" t="str"/>
    </x:row>
    <x:row r="487" ht="18" customHeight="1">
      <x:c r="A487" s="70" t="str">
        <x:v>486</x:v>
      </x:c>
      <x:c r="B487" s="70" t="str">
        <x:v>C - Verify</x:v>
      </x:c>
      <x:c r="C487" s="72" t="str">
        <x:v>50</x:v>
      </x:c>
      <x:c r="D487" s="60" t="str">
        <x:v>Fence &amp; Deck Connection</x:v>
      </x:c>
      <x:c r="E487" s="60" t="str">
        <x:v>https://fenceanddeckconnection.com</x:v>
      </x:c>
      <x:c r="F487" s="60" t="str">
        <x:v>https://www.fenceanddeckconnection.com/</x:v>
      </x:c>
      <x:c r="G487" s="60" t="str">
        <x:v>North Charleston</x:v>
      </x:c>
      <x:c r="H487" s="60" t="str">
        <x:v>South Carolina</x:v>
      </x:c>
      <x:c r="I487" s="60" t="str">
        <x:v>Fence &amp; Deck</x:v>
      </x:c>
      <x:c r="J487" s="60" t="str">
        <x:v>Scott</x:v>
      </x:c>
      <x:c r="K487" s="60" t="str">
        <x:v>lane</x:v>
      </x:c>
      <x:c r="L487" s="60" t="str">
        <x:v>Company Owner</x:v>
      </x:c>
      <x:c r="M487" s="60" t="str"/>
      <x:c r="N487" s="60" t="str"/>
      <x:c r="O487" s="60" t="str">
        <x:v>+1 410 969 4444</x:v>
      </x:c>
      <x:c r="P487" s="60" t="str">
        <x:v>https://www.linkedin.com/in/scott-lane-367599148</x:v>
      </x:c>
      <x:c r="Q487" s="60" t="str">
        <x:v>201-500</x:v>
      </x:c>
      <x:c r="R487" s="60" t="str">
        <x:v>1000000-4999999</x:v>
      </x:c>
      <x:c r="S487" s="60" t="str"/>
      <x:c r="T487" s="74" t="str">
        <x:v>0</x:v>
      </x:c>
      <x:c r="U487" s="60" t="str"/>
      <x:c r="V487" s="74" t="str">
        <x:v>25</x:v>
      </x:c>
      <x:c r="W487" s="74" t="str">
        <x:v>3</x:v>
      </x:c>
      <x:c r="X487" s="74" t="str">
        <x:v>6</x:v>
      </x:c>
      <x:c r="Y487" s="74" t="str">
        <x:v>11</x:v>
      </x:c>
      <x:c r="Z487" s="74" t="str">
        <x:v>5</x:v>
      </x:c>
      <x:c r="AA487" s="74" t="str">
        <x:v>0</x:v>
      </x:c>
      <x:c r="AB487" s="74" t="str">
        <x:v>0</x:v>
      </x:c>
      <x:c r="AC487" s="74" t="str">
        <x:v>1</x:v>
      </x:c>
      <x:c r="AD487" s="74" t="str">
        <x:v>0</x:v>
      </x:c>
      <x:c r="AE487" s="74" t="str">
        <x:v>0</x:v>
      </x:c>
      <x:c r="AF487" s="74" t="str"/>
      <x:c r="AG487" s="74" t="str">
        <x:v>0</x:v>
      </x:c>
      <x:c r="AH487" s="74" t="str">
        <x:v>1</x:v>
      </x:c>
      <x:c r="AI487" s="74" t="str">
        <x:v>0</x:v>
      </x:c>
      <x:c r="AJ487" s="74" t="str">
        <x:v>1</x:v>
      </x:c>
      <x:c r="AK487" s="74" t="str">
        <x:v>1</x:v>
      </x:c>
      <x:c r="AL487" s="74" t="str">
        <x:v>1</x:v>
      </x:c>
      <x:c r="AM487" s="74" t="str">
        <x:v>1</x:v>
      </x:c>
      <x:c r="AN487" s="74" t="str">
        <x:v>1</x:v>
      </x:c>
      <x:c r="AO487" s="60" t="str">
        <x:v>2026</x:v>
      </x:c>
      <x:c r="AP487" s="76" t="str">
        <x:v>Project/gallery proof found; no embedded homepage video found</x:v>
      </x:c>
      <x:c r="AQ487" s="76" t="str">
        <x:v>project/gallery proof; financing; visible service offer; no embedded homepage video detected</x:v>
      </x:c>
      <x:c r="AR487" s="76" t="str">
        <x:v>I found project/gallery proof on Fence &amp; Deck Connection's site that could be repackaged into short-form ad concepts.</x:v>
      </x:c>
      <x:c r="AS487" s="76" t="str">
        <x:v>yard privacy transformation ad</x:v>
      </x:c>
      <x:c r="AT487" s="76" t="str">
        <x:v>Fence &amp; Deck Connection ad concept</x:v>
      </x:c>
      <x:c r="AU487" s="76" t="str">
        <x:v>Hi Scott — I found project/gallery proof on Fence &amp; Deck Connection's site that could be repackaged into short-form ad concepts. I mapped a private 15-second yard privacy transformation ad for Fence &amp; Deck Connection using only public brand context—not for publishing, just to show the angle. We build three client-approved video ad concepts in seven days, then turn the winners into fresh variations. No filming day required. Worth sending the private sample?</x:v>
      </x:c>
      <x:c r="AV487" s="76" t="str">
        <x:v>Quick follow-up: the sample angle is a yard privacy transformation ad. If it misses the mark, no problem—I won't keep chasing. Should I send it?</x:v>
      </x:c>
      <x:c r="AW487" s="76" t="str">
        <x:v>Hi Scott, Ryan here. I was looking at Fence &amp; Deck Connection's public marketing and noticed: project/gallery proof found; no embedded homepage video found. I mapped one private yard privacy transformation ad as an example. Did I catch you with 30 seconds?</x:v>
      </x:c>
      <x:c r="AX487" s="60" t="str">
        <x:v>https://www.facebook.com/ads/library/?active_status=active&amp;ad_type=all&amp;country=US&amp;q=Fence%20%26%20Deck%20Connection&amp;search_type=keyword_unordered</x:v>
      </x:c>
      <x:c r="AY487" s="60" t="str">
        <x:v>ok:200</x:v>
      </x:c>
      <x:c r="AZ487" s="60" t="n">
        <x:v>46232.722858796296</x:v>
      </x:c>
      <x:c r="BA487" s="60" t="str">
        <x:v>AI Ark SC trades export</x:v>
      </x:c>
      <x:c r="BB487" s="60" t="str">
        <x:v>https://fenceanddeckconnection.com | https://www.linkedin.com/company/fence-and-deck-connection</x:v>
      </x:c>
      <x:c r="BC487" s="60" t="str"/>
    </x:row>
    <x:row r="488" ht="18" customHeight="1">
      <x:c r="A488" s="70" t="str">
        <x:v>487</x:v>
      </x:c>
      <x:c r="B488" s="70" t="str">
        <x:v>C - Verify</x:v>
      </x:c>
      <x:c r="C488" s="72" t="str">
        <x:v>50</x:v>
      </x:c>
      <x:c r="D488" s="60" t="str">
        <x:v>Cornerstone Construction</x:v>
      </x:c>
      <x:c r="E488" s="60" t="str">
        <x:v>https://cornerstoneconstruction.org</x:v>
      </x:c>
      <x:c r="F488" s="60" t="str">
        <x:v>https://www.cornerstoneconstruction.org/</x:v>
      </x:c>
      <x:c r="G488" s="60" t="str">
        <x:v>Greenville</x:v>
      </x:c>
      <x:c r="H488" s="60" t="str">
        <x:v>South Carolina</x:v>
      </x:c>
      <x:c r="I488" s="60" t="str">
        <x:v>Roofing</x:v>
      </x:c>
      <x:c r="J488" s="60" t="str">
        <x:v>Cornerstone Construction</x:v>
      </x:c>
      <x:c r="K488" s="60" t="str"/>
      <x:c r="L488" s="60" t="str">
        <x:v>Owner / decision maker to verify</x:v>
      </x:c>
      <x:c r="M488" s="60" t="str"/>
      <x:c r="N488" s="60" t="str"/>
      <x:c r="O488" s="60" t="str">
        <x:v>(864) 734-7183</x:v>
      </x:c>
      <x:c r="P488" s="60" t="str"/>
      <x:c r="Q488" s="60" t="str"/>
      <x:c r="R488" s="60" t="str"/>
      <x:c r="S488" s="60" t="str">
        <x:v>4.9</x:v>
      </x:c>
      <x:c r="T488" s="74" t="str">
        <x:v>202</x:v>
      </x:c>
      <x:c r="U488" s="60" t="str">
        <x:v>slow_response</x:v>
      </x:c>
      <x:c r="V488" s="74" t="str">
        <x:v>29</x:v>
      </x:c>
      <x:c r="W488" s="74" t="str">
        <x:v>3</x:v>
      </x:c>
      <x:c r="X488" s="74" t="str">
        <x:v>2</x:v>
      </x:c>
      <x:c r="Y488" s="74" t="str">
        <x:v>11</x:v>
      </x:c>
      <x:c r="Z488" s="74" t="str">
        <x:v>5</x:v>
      </x:c>
      <x:c r="AA488" s="74" t="str">
        <x:v>0</x:v>
      </x:c>
      <x:c r="AB488" s="74" t="str">
        <x:v>0</x:v>
      </x:c>
      <x:c r="AC488" s="74" t="str">
        <x:v>1</x:v>
      </x:c>
      <x:c r="AD488" s="74" t="str">
        <x:v>0</x:v>
      </x:c>
      <x:c r="AE488" s="74" t="str">
        <x:v>0</x:v>
      </x:c>
      <x:c r="AF488" s="74" t="str"/>
      <x:c r="AG488" s="74" t="str">
        <x:v>1</x:v>
      </x:c>
      <x:c r="AH488" s="74" t="str">
        <x:v>1</x:v>
      </x:c>
      <x:c r="AI488" s="74" t="str">
        <x:v>0</x:v>
      </x:c>
      <x:c r="AJ488" s="74" t="str">
        <x:v>1</x:v>
      </x:c>
      <x:c r="AK488" s="74" t="str">
        <x:v>0</x:v>
      </x:c>
      <x:c r="AL488" s="74" t="str">
        <x:v>1</x:v>
      </x:c>
      <x:c r="AM488" s="74" t="str">
        <x:v>1</x:v>
      </x:c>
      <x:c r="AN488" s="74" t="str">
        <x:v>0</x:v>
      </x:c>
      <x:c r="AO488" s="60" t="str">
        <x:v>2026</x:v>
      </x:c>
      <x:c r="AP488" s="76" t="str">
        <x:v>ICP fit; paid-demand need requires manual verification</x:v>
      </x:c>
      <x:c r="AQ488" s="76" t="str">
        <x:v>project/gallery proof; financing</x:v>
      </x:c>
      <x:c r="AR488" s="76" t="str">
        <x:v>I was reviewing roofing companies in Greenville, South Carolina and Cornerstone Construction looked like a strong fit for a creative test.</x:v>
      </x:c>
      <x:c r="AS488" s="76" t="str">
        <x:v>storm-to-inspection before/after ad</x:v>
      </x:c>
      <x:c r="AT488" s="76" t="str">
        <x:v>Cornerstone Construction ad concept</x:v>
      </x:c>
      <x:c r="AU488" s="76" t="str">
        <x:v>Hi Cornerstone Construction — I was reviewing roofing companies in Greenville, South Carolina and Cornerstone Construction looked like a strong fit for a creative test. I mapped a private 15-second storm-to-inspection before/after ad for Cornerstone Construction using only public brand context—not for publishing, just to show the angle. We build three client-approved video ad concepts in seven days, then turn the winners into fresh variations. No filming day required. Worth sending the private sample?</x:v>
      </x:c>
      <x:c r="AV488" s="76" t="str">
        <x:v>Quick follow-up: the sample angle is a storm-to-inspection before/after ad. If it misses the mark, no problem—I won't keep chasing. Should I send it?</x:v>
      </x:c>
      <x:c r="AW488" s="76" t="str">
        <x:v>Hi Cornerstone Construction, Ryan here. I was looking at Cornerstone Construction's public marketing and noticed: icp fit; paid-demand need requires manual verification. I mapped one private storm-to-inspection before/after ad as an example. Did I catch you with 30 seconds?</x:v>
      </x:c>
      <x:c r="AX488" s="60" t="str">
        <x:v>https://www.facebook.com/ads/library/?active_status=active&amp;ad_type=all&amp;country=US&amp;q=Cornerstone%20Construction&amp;search_type=keyword_unordered</x:v>
      </x:c>
      <x:c r="AY488" s="60" t="str">
        <x:v>ok:200</x:v>
      </x:c>
      <x:c r="AZ488" s="60" t="n">
        <x:v>46232.722858796296</x:v>
      </x:c>
      <x:c r="BA488" s="60" t="str">
        <x:v>Google Maps home-services export</x:v>
      </x:c>
      <x:c r="BB488" s="60" t="str">
        <x:v>https://cornerstoneconstruction.org | https://maps.google.com/?cid=4577199932921560264&amp;g_mp=Cidnb29nbGUubWFwcy5wbGFjZXMudjEuUGxhY2VzLlNlYXJjaFRleHQQAhgEIAA</x:v>
      </x:c>
      <x:c r="BC488" s="60" t="str"/>
    </x:row>
    <x:row r="489" ht="18" customHeight="1">
      <x:c r="A489" s="70" t="str">
        <x:v>488</x:v>
      </x:c>
      <x:c r="B489" s="70" t="str">
        <x:v>C - Verify</x:v>
      </x:c>
      <x:c r="C489" s="72" t="str">
        <x:v>50</x:v>
      </x:c>
      <x:c r="D489" s="60" t="str">
        <x:v>Pipe Doctors</x:v>
      </x:c>
      <x:c r="E489" s="60" t="str">
        <x:v>https://pipedoctors-sc.com</x:v>
      </x:c>
      <x:c r="F489" s="60" t="str">
        <x:v>https://pipedoctors-sc.com</x:v>
      </x:c>
      <x:c r="G489" s="60" t="str">
        <x:v>Myrtle Beach</x:v>
      </x:c>
      <x:c r="H489" s="60" t="str">
        <x:v>South Carolina</x:v>
      </x:c>
      <x:c r="I489" s="60" t="str">
        <x:v>Plumbing</x:v>
      </x:c>
      <x:c r="J489" s="60" t="str">
        <x:v>Pipe Doctors</x:v>
      </x:c>
      <x:c r="K489" s="60" t="str"/>
      <x:c r="L489" s="60" t="str">
        <x:v>Owner / decision maker to verify</x:v>
      </x:c>
      <x:c r="M489" s="60" t="str"/>
      <x:c r="N489" s="60" t="str"/>
      <x:c r="O489" s="60" t="str">
        <x:v>(843) 424-0041</x:v>
      </x:c>
      <x:c r="P489" s="60" t="str"/>
      <x:c r="Q489" s="60" t="str"/>
      <x:c r="R489" s="60" t="str"/>
      <x:c r="S489" s="60" t="str">
        <x:v>4.7</x:v>
      </x:c>
      <x:c r="T489" s="74" t="str">
        <x:v>74</x:v>
      </x:c>
      <x:c r="U489" s="60" t="str"/>
      <x:c r="V489" s="74" t="str">
        <x:v>22</x:v>
      </x:c>
      <x:c r="W489" s="74" t="str">
        <x:v>3</x:v>
      </x:c>
      <x:c r="X489" s="74" t="str">
        <x:v>10</x:v>
      </x:c>
      <x:c r="Y489" s="74" t="str">
        <x:v>10</x:v>
      </x:c>
      <x:c r="Z489" s="74" t="str">
        <x:v>5</x:v>
      </x:c>
      <x:c r="AA489" s="74" t="str">
        <x:v>0</x:v>
      </x:c>
      <x:c r="AB489" s="74" t="str">
        <x:v>0</x:v>
      </x:c>
      <x:c r="AC489" s="74" t="str">
        <x:v>1</x:v>
      </x:c>
      <x:c r="AD489" s="74" t="str">
        <x:v>0</x:v>
      </x:c>
      <x:c r="AE489" s="74" t="str">
        <x:v>0</x:v>
      </x:c>
      <x:c r="AF489" s="74" t="str"/>
      <x:c r="AG489" s="74" t="str">
        <x:v>0</x:v>
      </x:c>
      <x:c r="AH489" s="74" t="str">
        <x:v>1</x:v>
      </x:c>
      <x:c r="AI489" s="74" t="str">
        <x:v>0</x:v>
      </x:c>
      <x:c r="AJ489" s="74" t="str">
        <x:v>0</x:v>
      </x:c>
      <x:c r="AK489" s="74" t="str">
        <x:v>1</x:v>
      </x:c>
      <x:c r="AL489" s="74" t="str">
        <x:v>0</x:v>
      </x:c>
      <x:c r="AM489" s="74" t="str">
        <x:v>1</x:v>
      </x:c>
      <x:c r="AN489" s="74" t="str">
        <x:v>0</x:v>
      </x:c>
      <x:c r="AO489" s="60" t="str">
        <x:v>2026</x:v>
      </x:c>
      <x:c r="AP489" s="76" t="str">
        <x:v>Project/gallery proof found; no embedded homepage video found</x:v>
      </x:c>
      <x:c r="AQ489" s="76" t="str">
        <x:v>project/gallery proof; visible service offer; no embedded homepage video detected</x:v>
      </x:c>
      <x:c r="AR489" s="76" t="str">
        <x:v>I found project/gallery proof on Pipe Doctors's site that could be repackaged into short-form ad concepts.</x:v>
      </x:c>
      <x:c r="AS489" s="76" t="str">
        <x:v>small symptom to prevented-emergency ad</x:v>
      </x:c>
      <x:c r="AT489" s="76" t="str">
        <x:v>Pipe Doctors ad concept</x:v>
      </x:c>
      <x:c r="AU489" s="76" t="str">
        <x:v>Hi Pipe Doctors — I found project/gallery proof on Pipe Doctors's site that could be repackaged into short-form ad concepts. I mapped a private 15-second small symptom to prevented-emergency ad for Pipe Doctors using only public brand context—not for publishing, just to show the angle. We build three client-approved video ad concepts in seven days, then turn the winners into fresh variations. No filming day required. Worth sending the private sample?</x:v>
      </x:c>
      <x:c r="AV489" s="76" t="str">
        <x:v>Quick follow-up: the sample angle is a small symptom to prevented-emergency ad. If it misses the mark, no problem—I won't keep chasing. Should I send it?</x:v>
      </x:c>
      <x:c r="AW489" s="76" t="str">
        <x:v>Hi Pipe Doctors, Ryan here. I was looking at Pipe Doctors's public marketing and noticed: project/gallery proof found; no embedded homepage video found. I mapped one private small symptom to prevented-emergency ad as an example. Did I catch you with 30 seconds?</x:v>
      </x:c>
      <x:c r="AX489" s="60" t="str">
        <x:v>https://www.facebook.com/ads/library/?active_status=active&amp;ad_type=all&amp;country=US&amp;q=Pipe%20Doctors&amp;search_type=keyword_unordered</x:v>
      </x:c>
      <x:c r="AY489" s="60" t="str">
        <x:v>ok:200</x:v>
      </x:c>
      <x:c r="AZ489" s="60" t="n">
        <x:v>46232.722858796296</x:v>
      </x:c>
      <x:c r="BA489" s="60" t="str">
        <x:v>Google Maps home-services export</x:v>
      </x:c>
      <x:c r="BB489" s="60" t="str">
        <x:v>https://maps.google.com/?cid=15545328010076817792&amp;g_mp=Cidnb29nbGUubWFwcy5wbGFjZXMudjEuUGxhY2VzLlNlYXJjaFRleHQQAhgEIAA | https://pipedoctors-sc.com</x:v>
      </x:c>
      <x:c r="BC489" s="60" t="str"/>
    </x:row>
    <x:row r="490" ht="18" customHeight="1">
      <x:c r="A490" s="70" t="str">
        <x:v>489</x:v>
      </x:c>
      <x:c r="B490" s="70" t="str">
        <x:v>C - Verify</x:v>
      </x:c>
      <x:c r="C490" s="72" t="str">
        <x:v>50</x:v>
      </x:c>
      <x:c r="D490" s="60" t="str">
        <x:v>Alpha Air Heating and Cooling</x:v>
      </x:c>
      <x:c r="E490" s="60" t="str">
        <x:v>https://alphaairheatingandcooling.com</x:v>
      </x:c>
      <x:c r="F490" s="60" t="str">
        <x:v>https://www.alphaairheatingandcooling.com/</x:v>
      </x:c>
      <x:c r="G490" s="60" t="str">
        <x:v>Rock Hill</x:v>
      </x:c>
      <x:c r="H490" s="60" t="str">
        <x:v>South Carolina</x:v>
      </x:c>
      <x:c r="I490" s="60" t="str">
        <x:v>HVAC</x:v>
      </x:c>
      <x:c r="J490" s="60" t="str">
        <x:v>Alpha Air Heating and Cooling</x:v>
      </x:c>
      <x:c r="K490" s="60" t="str"/>
      <x:c r="L490" s="60" t="str">
        <x:v>Owner / decision maker to verify</x:v>
      </x:c>
      <x:c r="M490" s="60" t="str"/>
      <x:c r="N490" s="60" t="str"/>
      <x:c r="O490" s="60" t="str">
        <x:v>(803) 322-8015</x:v>
      </x:c>
      <x:c r="P490" s="60" t="str"/>
      <x:c r="Q490" s="60" t="str"/>
      <x:c r="R490" s="60" t="str"/>
      <x:c r="S490" s="60" t="str">
        <x:v>4.4</x:v>
      </x:c>
      <x:c r="T490" s="74" t="str">
        <x:v>73</x:v>
      </x:c>
      <x:c r="U490" s="60" t="str">
        <x:v>scheduling, no_show, slow_response</x:v>
      </x:c>
      <x:c r="V490" s="74" t="str">
        <x:v>26</x:v>
      </x:c>
      <x:c r="W490" s="74" t="str">
        <x:v>3</x:v>
      </x:c>
      <x:c r="X490" s="74" t="str">
        <x:v>6</x:v>
      </x:c>
      <x:c r="Y490" s="74" t="str">
        <x:v>10</x:v>
      </x:c>
      <x:c r="Z490" s="74" t="str">
        <x:v>5</x:v>
      </x:c>
      <x:c r="AA490" s="74" t="str">
        <x:v>0</x:v>
      </x:c>
      <x:c r="AB490" s="74" t="str">
        <x:v>0</x:v>
      </x:c>
      <x:c r="AC490" s="74" t="str">
        <x:v>1</x:v>
      </x:c>
      <x:c r="AD490" s="74" t="str">
        <x:v>0</x:v>
      </x:c>
      <x:c r="AE490" s="74" t="str">
        <x:v>0</x:v>
      </x:c>
      <x:c r="AF490" s="74" t="str"/>
      <x:c r="AG490" s="74" t="str">
        <x:v>1</x:v>
      </x:c>
      <x:c r="AH490" s="74" t="str">
        <x:v>1</x:v>
      </x:c>
      <x:c r="AI490" s="74" t="str">
        <x:v>0</x:v>
      </x:c>
      <x:c r="AJ490" s="74" t="str">
        <x:v>0</x:v>
      </x:c>
      <x:c r="AK490" s="74" t="str">
        <x:v>1</x:v>
      </x:c>
      <x:c r="AL490" s="74" t="str">
        <x:v>0</x:v>
      </x:c>
      <x:c r="AM490" s="74" t="str">
        <x:v>1</x:v>
      </x:c>
      <x:c r="AN490" s="74" t="str">
        <x:v>0</x:v>
      </x:c>
      <x:c r="AO490" s="60" t="str">
        <x:v>2026</x:v>
      </x:c>
      <x:c r="AP490" s="76" t="str">
        <x:v>ICP fit; paid-demand need requires manual verification</x:v>
      </x:c>
      <x:c r="AQ490" s="76" t="str">
        <x:v>project/gallery proof; visible service offer</x:v>
      </x:c>
      <x:c r="AR490" s="76" t="str">
        <x:v>I was reviewing hvac companies in Rock Hill, South Carolina and Alpha Air Heating and Cooling looked like a strong fit for a creative test.</x:v>
      </x:c>
      <x:c r="AS490" s="76" t="str">
        <x:v>no-cool-call to same-day comfort ad</x:v>
      </x:c>
      <x:c r="AT490" s="76" t="str">
        <x:v>Alpha Air Heating and Cooling ad concept</x:v>
      </x:c>
      <x:c r="AU490" s="76" t="str">
        <x:v>Hi Alpha Air Heating and Cooling — I was reviewing hvac companies in Rock Hill, South Carolina and Alpha Air Heating and Cooling looked like a strong fit for a creative test. I mapped a private 15-second no-cool-call to same-day comfort ad for Alpha Air Heating and Cooling using only public brand context—not for publishing, just to show the angle. We build three client-approved video ad concepts in seven days, then turn the winners into fresh variations. No filming day required. Worth sending the private sample?</x:v>
      </x:c>
      <x:c r="AV490" s="76" t="str">
        <x:v>Quick follow-up: the sample angle is a no-cool-call to same-day comfort ad. If it misses the mark, no problem—I won't keep chasing. Should I send it?</x:v>
      </x:c>
      <x:c r="AW490" s="76" t="str">
        <x:v>Hi Alpha Air Heating and Cooling, Ryan here. I was looking at Alpha Air Heating and Cooling's public marketing and noticed: icp fit; paid-demand need requires manual verification. I mapped one private no-cool-call to same-day comfort ad as an example. Did I catch you with 30 seconds?</x:v>
      </x:c>
      <x:c r="AX490" s="60" t="str">
        <x:v>https://www.facebook.com/ads/library/?active_status=active&amp;ad_type=all&amp;country=US&amp;q=Alpha%20Air%20Heating%20and%20Cooling&amp;search_type=keyword_unordered</x:v>
      </x:c>
      <x:c r="AY490" s="60" t="str">
        <x:v>ok:200</x:v>
      </x:c>
      <x:c r="AZ490" s="60" t="n">
        <x:v>46232.722858796296</x:v>
      </x:c>
      <x:c r="BA490" s="60" t="str">
        <x:v>Google Maps home-services export</x:v>
      </x:c>
      <x:c r="BB490" s="60" t="str">
        <x:v>https://alphaairheatingandcooling.com | https://maps.google.com/?cid=2858979357133931364&amp;g_mp=Cidnb29nbGUubWFwcy5wbGFjZXMudjEuUGxhY2VzLlNlYXJjaFRleHQQAhgEIAA | https://maps.google.com/?cid=7486412111317055805&amp;g_mp=Cidnb29nbGUubWFwcy5wbGFjZXMudjEuUGxhY2VzLlNlYXJjaFRleHQQAhgEIAA</x:v>
      </x:c>
      <x:c r="BC490" s="60" t="str"/>
    </x:row>
    <x:row r="491" ht="18" customHeight="1">
      <x:c r="A491" s="70" t="str">
        <x:v>490</x:v>
      </x:c>
      <x:c r="B491" s="70" t="str">
        <x:v>C - Verify</x:v>
      </x:c>
      <x:c r="C491" s="72" t="str">
        <x:v>50</x:v>
      </x:c>
      <x:c r="D491" s="60" t="str">
        <x:v>Abrams Construction LLC</x:v>
      </x:c>
      <x:c r="E491" s="60" t="str">
        <x:v>https://abramsllc.com</x:v>
      </x:c>
      <x:c r="F491" s="60" t="str">
        <x:v>https://abramsllc.com</x:v>
      </x:c>
      <x:c r="G491" s="60" t="str">
        <x:v>Simpsonville</x:v>
      </x:c>
      <x:c r="H491" s="60" t="str">
        <x:v>South Carolina</x:v>
      </x:c>
      <x:c r="I491" s="60" t="str">
        <x:v>Remodeling</x:v>
      </x:c>
      <x:c r="J491" s="60" t="str">
        <x:v>Luke</x:v>
      </x:c>
      <x:c r="K491" s="60" t="str">
        <x:v>Abrams</x:v>
      </x:c>
      <x:c r="L491" s="60" t="str">
        <x:v>Owner - Licensed Builder</x:v>
      </x:c>
      <x:c r="M491" s="60" t="str">
        <x:v>luke@abramsllc.com</x:v>
      </x:c>
      <x:c r="N491" s="60" t="str">
        <x:v>Verified with BounceBan on 08 Jun 26 12:06</x:v>
      </x:c>
      <x:c r="O491" s="60" t="str">
        <x:v>+1 864 593 7793, +1 864 380 5159</x:v>
      </x:c>
      <x:c r="P491" s="60" t="str">
        <x:v>https://www.linkedin.com/in/luke-abrams-37140a137</x:v>
      </x:c>
      <x:c r="Q491" s="60" t="str">
        <x:v>0-1</x:v>
      </x:c>
      <x:c r="R491" s="60" t="str">
        <x:v>0-99999</x:v>
      </x:c>
      <x:c r="S491" s="60" t="str"/>
      <x:c r="T491" s="74" t="str">
        <x:v>0</x:v>
      </x:c>
      <x:c r="U491" s="60" t="str"/>
      <x:c r="V491" s="74" t="str">
        <x:v>22</x:v>
      </x:c>
      <x:c r="W491" s="74" t="str">
        <x:v>3</x:v>
      </x:c>
      <x:c r="X491" s="74" t="str">
        <x:v>6</x:v>
      </x:c>
      <x:c r="Y491" s="74" t="str">
        <x:v>9</x:v>
      </x:c>
      <x:c r="Z491" s="74" t="str">
        <x:v>10</x:v>
      </x:c>
      <x:c r="AA491" s="74" t="str">
        <x:v>0</x:v>
      </x:c>
      <x:c r="AB491" s="74" t="str">
        <x:v>0</x:v>
      </x:c>
      <x:c r="AC491" s="74" t="str">
        <x:v>1</x:v>
      </x:c>
      <x:c r="AD491" s="74" t="str">
        <x:v>0</x:v>
      </x:c>
      <x:c r="AE491" s="74" t="str">
        <x:v>0</x:v>
      </x:c>
      <x:c r="AF491" s="74" t="str"/>
      <x:c r="AG491" s="74" t="str">
        <x:v>0</x:v>
      </x:c>
      <x:c r="AH491" s="74" t="str">
        <x:v>1</x:v>
      </x:c>
      <x:c r="AI491" s="74" t="str">
        <x:v>1</x:v>
      </x:c>
      <x:c r="AJ491" s="74" t="str">
        <x:v>0</x:v>
      </x:c>
      <x:c r="AK491" s="74" t="str">
        <x:v>0</x:v>
      </x:c>
      <x:c r="AL491" s="74" t="str">
        <x:v>1</x:v>
      </x:c>
      <x:c r="AM491" s="74" t="str">
        <x:v>1</x:v>
      </x:c>
      <x:c r="AN491" s="74" t="str">
        <x:v>0</x:v>
      </x:c>
      <x:c r="AO491" s="60" t="str">
        <x:v>2026</x:v>
      </x:c>
      <x:c r="AP491" s="76" t="str">
        <x:v>Project/gallery proof found; no embedded homepage video found</x:v>
      </x:c>
      <x:c r="AQ491" s="76" t="str">
        <x:v>project/gallery proof; testimonials; no embedded homepage video detected</x:v>
      </x:c>
      <x:c r="AR491" s="76" t="str">
        <x:v>I found project/gallery proof on Abrams Construction LLC's site that could be repackaged into short-form ad concepts.</x:v>
      </x:c>
      <x:c r="AS491" s="76" t="str">
        <x:v>project reveal with budget-and-timeline proof</x:v>
      </x:c>
      <x:c r="AT491" s="76" t="str">
        <x:v>Abrams Construction LLC ad concept</x:v>
      </x:c>
      <x:c r="AU491" s="76" t="str">
        <x:v>Hi Luke — I found project/gallery proof on Abrams Construction LLC's site that could be repackaged into short-form ad concepts. I mapped a private 15-second project reveal with budget-and-timeline proof for Abrams Construction LLC using only public brand context—not for publishing, just to show the angle. We build three client-approved video ad concepts in seven days, then turn the winners into fresh variations. No filming day required. Worth sending the private sample?</x:v>
      </x:c>
      <x:c r="AV491" s="76" t="str">
        <x:v>Quick follow-up: the sample angle is a project reveal with budget-and-timeline proof. If it misses the mark, no problem—I won't keep chasing. Should I send it?</x:v>
      </x:c>
      <x:c r="AW491" s="76" t="str">
        <x:v>Hi Luke, Ryan here. I was looking at Abrams Construction LLC's public marketing and noticed: project/gallery proof found; no embedded homepage video found. I mapped one private project reveal with budget-and-timeline proof as an example. Did I catch you with 30 seconds?</x:v>
      </x:c>
      <x:c r="AX491" s="60" t="str">
        <x:v>https://www.facebook.com/ads/library/?active_status=active&amp;ad_type=all&amp;country=US&amp;q=Abrams%20Construction%20LLC&amp;search_type=keyword_unordered</x:v>
      </x:c>
      <x:c r="AY491" s="60" t="str">
        <x:v>ok:200</x:v>
      </x:c>
      <x:c r="AZ491" s="60" t="n">
        <x:v>46232.722858796296</x:v>
      </x:c>
      <x:c r="BA491" s="60" t="str">
        <x:v>AI Ark SC trades export</x:v>
      </x:c>
      <x:c r="BB491" s="60" t="str">
        <x:v>https://abramsllc.com | https://www.linkedin.com/company/abramsllc</x:v>
      </x:c>
      <x:c r="BC491" s="60" t="str"/>
    </x:row>
    <x:row r="492" ht="18" customHeight="1">
      <x:c r="A492" s="70" t="str">
        <x:v>491</x:v>
      </x:c>
      <x:c r="B492" s="70" t="str">
        <x:v>C - Verify</x:v>
      </x:c>
      <x:c r="C492" s="72" t="str">
        <x:v>50</x:v>
      </x:c>
      <x:c r="D492" s="60" t="str">
        <x:v>Terrace Heating &amp; Air</x:v>
      </x:c>
      <x:c r="E492" s="60" t="str">
        <x:v>https://terraceair.com</x:v>
      </x:c>
      <x:c r="F492" s="60" t="str">
        <x:v>https://www.terraceair.com/</x:v>
      </x:c>
      <x:c r="G492" s="60" t="str">
        <x:v>Charleston</x:v>
      </x:c>
      <x:c r="H492" s="60" t="str">
        <x:v>South Carolina</x:v>
      </x:c>
      <x:c r="I492" s="60" t="str">
        <x:v>HVAC</x:v>
      </x:c>
      <x:c r="J492" s="60" t="str">
        <x:v>Terrace Heating &amp; Air</x:v>
      </x:c>
      <x:c r="K492" s="60" t="str"/>
      <x:c r="L492" s="60" t="str">
        <x:v>Owner / decision maker to verify</x:v>
      </x:c>
      <x:c r="M492" s="60" t="str"/>
      <x:c r="N492" s="60" t="str"/>
      <x:c r="O492" s="60" t="str">
        <x:v>(843) 762-3639</x:v>
      </x:c>
      <x:c r="P492" s="60" t="str"/>
      <x:c r="Q492" s="60" t="str"/>
      <x:c r="R492" s="60" t="str"/>
      <x:c r="S492" s="60" t="str">
        <x:v>4.9</x:v>
      </x:c>
      <x:c r="T492" s="74" t="str">
        <x:v>261</x:v>
      </x:c>
      <x:c r="U492" s="60" t="str"/>
      <x:c r="V492" s="74" t="str">
        <x:v>29</x:v>
      </x:c>
      <x:c r="W492" s="74" t="str">
        <x:v>3</x:v>
      </x:c>
      <x:c r="X492" s="74" t="str">
        <x:v>4</x:v>
      </x:c>
      <x:c r="Y492" s="74" t="str">
        <x:v>9</x:v>
      </x:c>
      <x:c r="Z492" s="74" t="str">
        <x:v>5</x:v>
      </x:c>
      <x:c r="AA492" s="74" t="str">
        <x:v>0</x:v>
      </x:c>
      <x:c r="AB492" s="74" t="str">
        <x:v>0</x:v>
      </x:c>
      <x:c r="AC492" s="74" t="str">
        <x:v>0</x:v>
      </x:c>
      <x:c r="AD492" s="74" t="str">
        <x:v>0</x:v>
      </x:c>
      <x:c r="AE492" s="74" t="str">
        <x:v>0</x:v>
      </x:c>
      <x:c r="AF492" s="74" t="str">
        <x:v>housecallpro</x:v>
      </x:c>
      <x:c r="AG492" s="74" t="str">
        <x:v>1</x:v>
      </x:c>
      <x:c r="AH492" s="74" t="str">
        <x:v>0</x:v>
      </x:c>
      <x:c r="AI492" s="74" t="str">
        <x:v>0</x:v>
      </x:c>
      <x:c r="AJ492" s="74" t="str">
        <x:v>1</x:v>
      </x:c>
      <x:c r="AK492" s="74" t="str">
        <x:v>1</x:v>
      </x:c>
      <x:c r="AL492" s="74" t="str">
        <x:v>0</x:v>
      </x:c>
      <x:c r="AM492" s="74" t="str">
        <x:v>0</x:v>
      </x:c>
      <x:c r="AN492" s="74" t="str">
        <x:v>0</x:v>
      </x:c>
      <x:c r="AO492" s="60" t="str">
        <x:v>0</x:v>
      </x:c>
      <x:c r="AP492" s="76" t="str">
        <x:v>ICP fit; paid-demand need requires manual verification</x:v>
      </x:c>
      <x:c r="AQ492" s="76" t="str">
        <x:v>financing; visible service offer</x:v>
      </x:c>
      <x:c r="AR492" s="76" t="str">
        <x:v>I was reviewing hvac companies in Charleston, South Carolina and Terrace Heating &amp; Air looked like a strong fit for a creative test.</x:v>
      </x:c>
      <x:c r="AS492" s="76" t="str">
        <x:v>no-cool-call to same-day comfort ad</x:v>
      </x:c>
      <x:c r="AT492" s="76" t="str">
        <x:v>Terrace Heating &amp; Air ad concept</x:v>
      </x:c>
      <x:c r="AU492" s="76" t="str">
        <x:v>Hi Terrace Heating &amp; Air — I was reviewing hvac companies in Charleston, South Carolina and Terrace Heating &amp; Air looked like a strong fit for a creative test. I mapped a private 15-second no-cool-call to same-day comfort ad for Terrace Heating &amp; Air using only public brand context—not for publishing, just to show the angle. We build three client-approved video ad concepts in seven days, then turn the winners into fresh variations. No filming day required. Worth sending the private sample?</x:v>
      </x:c>
      <x:c r="AV492" s="76" t="str">
        <x:v>Quick follow-up: the sample angle is a no-cool-call to same-day comfort ad. If it misses the mark, no problem—I won't keep chasing. Should I send it?</x:v>
      </x:c>
      <x:c r="AW492" s="76" t="str">
        <x:v>Hi Terrace Heating &amp; Air, Ryan here. I was looking at Terrace Heating &amp; Air's public marketing and noticed: icp fit; paid-demand need requires manual verification. I mapped one private no-cool-call to same-day comfort ad as an example. Did I catch you with 30 seconds?</x:v>
      </x:c>
      <x:c r="AX492" s="60" t="str">
        <x:v>https://www.facebook.com/ads/library/?active_status=active&amp;ad_type=all&amp;country=US&amp;q=Terrace%20Heating%20%26%20Air&amp;search_type=keyword_unordered</x:v>
      </x:c>
      <x:c r="AY492" s="60" t="str">
        <x:v>ok:200</x:v>
      </x:c>
      <x:c r="AZ492" s="60" t="n">
        <x:v>46232.722858796296</x:v>
      </x:c>
      <x:c r="BA492" s="60" t="str">
        <x:v>Google Maps home-services export</x:v>
      </x:c>
      <x:c r="BB492" s="60" t="str">
        <x:v>https://maps.google.com/?cid=6955514308346930750&amp;g_mp=Cidnb29nbGUubWFwcy5wbGFjZXMudjEuUGxhY2VzLlNlYXJjaFRleHQQAhgEIAA | https://terraceair.com</x:v>
      </x:c>
      <x:c r="BC492" s="60" t="str"/>
    </x:row>
    <x:row r="493" ht="18" customHeight="1">
      <x:c r="A493" s="70" t="str">
        <x:v>492</x:v>
      </x:c>
      <x:c r="B493" s="70" t="str">
        <x:v>C - Verify</x:v>
      </x:c>
      <x:c r="C493" s="72" t="str">
        <x:v>50</x:v>
      </x:c>
      <x:c r="D493" s="60" t="str">
        <x:v>Jjl Construction</x:v>
      </x:c>
      <x:c r="E493" s="60" t="str">
        <x:v>https://jjlconstruction.co.uk</x:v>
      </x:c>
      <x:c r="F493" s="60" t="str">
        <x:v>https://www.jjlconstruction.co.uk/</x:v>
      </x:c>
      <x:c r="G493" s="60" t="str">
        <x:v>Charleston</x:v>
      </x:c>
      <x:c r="H493" s="60" t="str">
        <x:v>South Carolina Metropolitan Area</x:v>
      </x:c>
      <x:c r="I493" s="60" t="str">
        <x:v>General Contractor</x:v>
      </x:c>
      <x:c r="J493" s="60" t="str">
        <x:v>Miguel</x:v>
      </x:c>
      <x:c r="K493" s="60" t="str">
        <x:v>Boscana</x:v>
      </x:c>
      <x:c r="L493" s="60" t="str">
        <x:v>Owner</x:v>
      </x:c>
      <x:c r="M493" s="60" t="str"/>
      <x:c r="N493" s="60" t="str"/>
      <x:c r="O493" s="60" t="str">
        <x:v>+1 843 467 6826</x:v>
      </x:c>
      <x:c r="P493" s="60" t="str">
        <x:v>https://www.linkedin.com/in/miguel-boscana-759a15166</x:v>
      </x:c>
      <x:c r="Q493" s="60" t="str">
        <x:v>11-50</x:v>
      </x:c>
      <x:c r="R493" s="60" t="str">
        <x:v>100000-499999</x:v>
      </x:c>
      <x:c r="S493" s="60" t="str"/>
      <x:c r="T493" s="74" t="str">
        <x:v>0</x:v>
      </x:c>
      <x:c r="U493" s="60" t="str"/>
      <x:c r="V493" s="74" t="str">
        <x:v>23</x:v>
      </x:c>
      <x:c r="W493" s="74" t="str">
        <x:v>3</x:v>
      </x:c>
      <x:c r="X493" s="74" t="str">
        <x:v>10</x:v>
      </x:c>
      <x:c r="Y493" s="74" t="str">
        <x:v>9</x:v>
      </x:c>
      <x:c r="Z493" s="74" t="str">
        <x:v>5</x:v>
      </x:c>
      <x:c r="AA493" s="74" t="str">
        <x:v>0</x:v>
      </x:c>
      <x:c r="AB493" s="74" t="str">
        <x:v>0</x:v>
      </x:c>
      <x:c r="AC493" s="74" t="str">
        <x:v>1</x:v>
      </x:c>
      <x:c r="AD493" s="74" t="str">
        <x:v>0</x:v>
      </x:c>
      <x:c r="AE493" s="74" t="str">
        <x:v>0</x:v>
      </x:c>
      <x:c r="AF493" s="74" t="str"/>
      <x:c r="AG493" s="74" t="str">
        <x:v>0</x:v>
      </x:c>
      <x:c r="AH493" s="74" t="str">
        <x:v>1</x:v>
      </x:c>
      <x:c r="AI493" s="74" t="str">
        <x:v>1</x:v>
      </x:c>
      <x:c r="AJ493" s="74" t="str">
        <x:v>0</x:v>
      </x:c>
      <x:c r="AK493" s="74" t="str">
        <x:v>0</x:v>
      </x:c>
      <x:c r="AL493" s="74" t="str">
        <x:v>0</x:v>
      </x:c>
      <x:c r="AM493" s="74" t="str">
        <x:v>0</x:v>
      </x:c>
      <x:c r="AN493" s="74" t="str">
        <x:v>0</x:v>
      </x:c>
      <x:c r="AO493" s="60" t="str">
        <x:v>0</x:v>
      </x:c>
      <x:c r="AP493" s="76" t="str">
        <x:v>Project/gallery proof found; no embedded homepage video found</x:v>
      </x:c>
      <x:c r="AQ493" s="76" t="str">
        <x:v>project/gallery proof; testimonials; no embedded homepage video detected</x:v>
      </x:c>
      <x:c r="AR493" s="76" t="str">
        <x:v>I found project/gallery proof on Jjl Construction's site that could be repackaged into short-form ad concepts.</x:v>
      </x:c>
      <x:c r="AS493" s="76" t="str">
        <x:v>project walkthrough with proof milestones</x:v>
      </x:c>
      <x:c r="AT493" s="76" t="str">
        <x:v>Jjl Construction ad concept</x:v>
      </x:c>
      <x:c r="AU493" s="76" t="str">
        <x:v>Hi Miguel — I found project/gallery proof on Jjl Construction's site that could be repackaged into short-form ad concepts. I mapped a private 15-second project walkthrough with proof milestones for Jjl Construction using only public brand context—not for publishing, just to show the angle. We build three client-approved video ad concepts in seven days, then turn the winners into fresh variations. No filming day required. Worth sending the private sample?</x:v>
      </x:c>
      <x:c r="AV493" s="76" t="str">
        <x:v>Quick follow-up: the sample angle is a project walkthrough with proof milestones. If it misses the mark, no problem—I won't keep chasing. Should I send it?</x:v>
      </x:c>
      <x:c r="AW493" s="76" t="str">
        <x:v>Hi Miguel, Ryan here. I was looking at Jjl Construction's public marketing and noticed: project/gallery proof found; no embedded homepage video found. I mapped one private project walkthrough with proof milestones as an example. Did I catch you with 30 seconds?</x:v>
      </x:c>
      <x:c r="AX493" s="60" t="str">
        <x:v>https://www.facebook.com/ads/library/?active_status=active&amp;ad_type=all&amp;country=US&amp;q=Jjl%20Construction&amp;search_type=keyword_unordered</x:v>
      </x:c>
      <x:c r="AY493" s="60" t="str">
        <x:v>ok:200</x:v>
      </x:c>
      <x:c r="AZ493" s="60" t="n">
        <x:v>46232.722858796296</x:v>
      </x:c>
      <x:c r="BA493" s="60" t="str">
        <x:v>AI Ark SC trades export</x:v>
      </x:c>
      <x:c r="BB493" s="60" t="str">
        <x:v>https://jjlconstruction.co.uk | https://www.linkedin.com/company/jjl-construction</x:v>
      </x:c>
      <x:c r="BC493" s="60" t="str"/>
    </x:row>
    <x:row r="494" ht="18" customHeight="1">
      <x:c r="A494" s="70" t="str">
        <x:v>493</x:v>
      </x:c>
      <x:c r="B494" s="70" t="str">
        <x:v>C - Verify</x:v>
      </x:c>
      <x:c r="C494" s="72" t="str">
        <x:v>50</x:v>
      </x:c>
      <x:c r="D494" s="60" t="str">
        <x:v>Athena Surfaces LLC</x:v>
      </x:c>
      <x:c r="E494" s="60" t="str">
        <x:v>https://athenacorp.com</x:v>
      </x:c>
      <x:c r="F494" s="60" t="str">
        <x:v>https://athenacorp.com</x:v>
      </x:c>
      <x:c r="G494" s="60" t="str">
        <x:v>Hilton Head Island</x:v>
      </x:c>
      <x:c r="H494" s="60" t="str">
        <x:v>South Carolina Area</x:v>
      </x:c>
      <x:c r="I494" s="60" t="str">
        <x:v>Foundation &amp; Waterproofing</x:v>
      </x:c>
      <x:c r="J494" s="60" t="str">
        <x:v>Ryan</x:v>
      </x:c>
      <x:c r="K494" s="60" t="str">
        <x:v>DuBois</x:v>
      </x:c>
      <x:c r="L494" s="60" t="str">
        <x:v>Owner</x:v>
      </x:c>
      <x:c r="M494" s="60" t="str">
        <x:v>ryan@athenacorp.com</x:v>
      </x:c>
      <x:c r="N494" s="60" t="str">
        <x:v>Verified with BounceBan on 08 Jun 26 12:06</x:v>
      </x:c>
      <x:c r="O494" s="60" t="str">
        <x:v>+1 518 376 2480, +1 518 399 6505</x:v>
      </x:c>
      <x:c r="P494" s="60" t="str">
        <x:v>https://www.linkedin.com/in/duboisryan</x:v>
      </x:c>
      <x:c r="Q494" s="60" t="str">
        <x:v>11-50</x:v>
      </x:c>
      <x:c r="R494" s="60" t="str">
        <x:v>100000-499999</x:v>
      </x:c>
      <x:c r="S494" s="60" t="str"/>
      <x:c r="T494" s="74" t="str">
        <x:v>0</x:v>
      </x:c>
      <x:c r="U494" s="60" t="str"/>
      <x:c r="V494" s="74" t="str">
        <x:v>29</x:v>
      </x:c>
      <x:c r="W494" s="74" t="str">
        <x:v>3</x:v>
      </x:c>
      <x:c r="X494" s="74" t="str">
        <x:v>0</x:v>
      </x:c>
      <x:c r="Y494" s="74" t="str">
        <x:v>8</x:v>
      </x:c>
      <x:c r="Z494" s="74" t="str">
        <x:v>10</x:v>
      </x:c>
      <x:c r="AA494" s="74" t="str">
        <x:v>0</x:v>
      </x:c>
      <x:c r="AB494" s="74" t="str">
        <x:v>0</x:v>
      </x:c>
      <x:c r="AC494" s="74" t="str">
        <x:v>1</x:v>
      </x:c>
      <x:c r="AD494" s="74" t="str">
        <x:v>0</x:v>
      </x:c>
      <x:c r="AE494" s="74" t="str">
        <x:v>0</x:v>
      </x:c>
      <x:c r="AF494" s="74" t="str"/>
      <x:c r="AG494" s="74" t="str">
        <x:v>1</x:v>
      </x:c>
      <x:c r="AH494" s="74" t="str">
        <x:v>1</x:v>
      </x:c>
      <x:c r="AI494" s="74" t="str">
        <x:v>0</x:v>
      </x:c>
      <x:c r="AJ494" s="74" t="str">
        <x:v>0</x:v>
      </x:c>
      <x:c r="AK494" s="74" t="str">
        <x:v>1</x:v>
      </x:c>
      <x:c r="AL494" s="74" t="str">
        <x:v>1</x:v>
      </x:c>
      <x:c r="AM494" s="74" t="str">
        <x:v>1</x:v>
      </x:c>
      <x:c r="AN494" s="74" t="str">
        <x:v>0</x:v>
      </x:c>
      <x:c r="AO494" s="60" t="str">
        <x:v>2026</x:v>
      </x:c>
      <x:c r="AP494" s="76" t="str">
        <x:v>ICP fit; paid-demand need requires manual verification</x:v>
      </x:c>
      <x:c r="AQ494" s="76" t="str">
        <x:v>project/gallery proof; visible service offer</x:v>
      </x:c>
      <x:c r="AR494" s="76" t="str">
        <x:v>I was reviewing foundation &amp; waterproofing companies in Hilton Head Island, South Carolina Area and Athena Surfaces LLC looked like a strong fit for a creative test.</x:v>
      </x:c>
      <x:c r="AS494" s="76" t="str">
        <x:v>visible-warning-signs inspection ad</x:v>
      </x:c>
      <x:c r="AT494" s="76" t="str">
        <x:v>Athena Surfaces LLC ad concept</x:v>
      </x:c>
      <x:c r="AU494" s="76" t="str">
        <x:v>Hi Ryan — I was reviewing foundation &amp; waterproofing companies in Hilton Head Island, South Carolina Area and Athena Surfaces LLC looked like a strong fit for a creative test. I mapped a private 15-second visible-warning-signs inspection ad for Athena Surfaces LLC using only public brand context—not for publishing, just to show the angle. We build three client-approved video ad concepts in seven days, then turn the winners into fresh variations. No filming day required. Worth sending the private sample?</x:v>
      </x:c>
      <x:c r="AV494" s="76" t="str">
        <x:v>Quick follow-up: the sample angle is a visible-warning-signs inspection ad. If it misses the mark, no problem—I won't keep chasing. Should I send it?</x:v>
      </x:c>
      <x:c r="AW494" s="76" t="str">
        <x:v>Hi Ryan, Ryan here. I was looking at Athena Surfaces LLC's public marketing and noticed: icp fit; paid-demand need requires manual verification. I mapped one private visible-warning-signs inspection ad as an example. Did I catch you with 30 seconds?</x:v>
      </x:c>
      <x:c r="AX494" s="60" t="str">
        <x:v>https://www.facebook.com/ads/library/?active_status=active&amp;ad_type=all&amp;country=US&amp;q=Athena%20Surfaces%20LLC&amp;search_type=keyword_unordered</x:v>
      </x:c>
      <x:c r="AY494" s="60" t="str">
        <x:v>ok:200</x:v>
      </x:c>
      <x:c r="AZ494" s="60" t="n">
        <x:v>46232.722858796296</x:v>
      </x:c>
      <x:c r="BA494" s="60" t="str">
        <x:v>AI Ark SC trades export</x:v>
      </x:c>
      <x:c r="BB494" s="60" t="str">
        <x:v>https://athenacorp.com | https://www.linkedin.com/company/athena-surfaces</x:v>
      </x:c>
      <x:c r="BC494" s="60" t="str"/>
    </x:row>
    <x:row r="495" ht="18" customHeight="1">
      <x:c r="A495" s="70" t="str">
        <x:v>494</x:v>
      </x:c>
      <x:c r="B495" s="70" t="str">
        <x:v>C - Verify</x:v>
      </x:c>
      <x:c r="C495" s="72" t="str">
        <x:v>50</x:v>
      </x:c>
      <x:c r="D495" s="60" t="str">
        <x:v>Florence Roofing</x:v>
      </x:c>
      <x:c r="E495" s="60" t="str">
        <x:v>https://florenceroofingsc.com</x:v>
      </x:c>
      <x:c r="F495" s="60" t="str">
        <x:v>https://florenceroofingsc.com</x:v>
      </x:c>
      <x:c r="G495" s="60" t="str">
        <x:v>Florence</x:v>
      </x:c>
      <x:c r="H495" s="60" t="str">
        <x:v>South Carolina</x:v>
      </x:c>
      <x:c r="I495" s="60" t="str">
        <x:v>Roofing</x:v>
      </x:c>
      <x:c r="J495" s="60" t="str">
        <x:v>Florence Roofing</x:v>
      </x:c>
      <x:c r="K495" s="60" t="str"/>
      <x:c r="L495" s="60" t="str">
        <x:v>Owner / decision maker to verify</x:v>
      </x:c>
      <x:c r="M495" s="60" t="str"/>
      <x:c r="N495" s="60" t="str"/>
      <x:c r="O495" s="60" t="str">
        <x:v>(843) 942-9226</x:v>
      </x:c>
      <x:c r="P495" s="60" t="str"/>
      <x:c r="Q495" s="60" t="str"/>
      <x:c r="R495" s="60" t="str"/>
      <x:c r="S495" s="60" t="str">
        <x:v>5</x:v>
      </x:c>
      <x:c r="T495" s="74" t="str">
        <x:v>11</x:v>
      </x:c>
      <x:c r="U495" s="60" t="str"/>
      <x:c r="V495" s="74" t="str">
        <x:v>25</x:v>
      </x:c>
      <x:c r="W495" s="74" t="str">
        <x:v>3</x:v>
      </x:c>
      <x:c r="X495" s="74" t="str">
        <x:v>10</x:v>
      </x:c>
      <x:c r="Y495" s="74" t="str">
        <x:v>7</x:v>
      </x:c>
      <x:c r="Z495" s="74" t="str">
        <x:v>5</x:v>
      </x:c>
      <x:c r="AA495" s="74" t="str">
        <x:v>0</x:v>
      </x:c>
      <x:c r="AB495" s="74" t="str">
        <x:v>0</x:v>
      </x:c>
      <x:c r="AC495" s="74" t="str">
        <x:v>1</x:v>
      </x:c>
      <x:c r="AD495" s="74" t="str">
        <x:v>0</x:v>
      </x:c>
      <x:c r="AE495" s="74" t="str">
        <x:v>0</x:v>
      </x:c>
      <x:c r="AF495" s="74" t="str"/>
      <x:c r="AG495" s="74" t="str">
        <x:v>0</x:v>
      </x:c>
      <x:c r="AH495" s="74" t="str">
        <x:v>0</x:v>
      </x:c>
      <x:c r="AI495" s="74" t="str">
        <x:v>1</x:v>
      </x:c>
      <x:c r="AJ495" s="74" t="str">
        <x:v>0</x:v>
      </x:c>
      <x:c r="AK495" s="74" t="str">
        <x:v>1</x:v>
      </x:c>
      <x:c r="AL495" s="74" t="str">
        <x:v>0</x:v>
      </x:c>
      <x:c r="AM495" s="74" t="str">
        <x:v>0</x:v>
      </x:c>
      <x:c r="AN495" s="74" t="str">
        <x:v>0</x:v>
      </x:c>
      <x:c r="AO495" s="60" t="str">
        <x:v>2025</x:v>
      </x:c>
      <x:c r="AP495" s="76" t="str">
        <x:v>ICP fit; paid-demand need requires manual verification</x:v>
      </x:c>
      <x:c r="AQ495" s="76" t="str">
        <x:v>testimonials; visible service offer; no embedded homepage video detected</x:v>
      </x:c>
      <x:c r="AR495" s="76" t="str">
        <x:v>I was reviewing roofing companies in Florence, South Carolina and Florence Roofing looked like a strong fit for a creative test.</x:v>
      </x:c>
      <x:c r="AS495" s="76" t="str">
        <x:v>storm-to-inspection before/after ad</x:v>
      </x:c>
      <x:c r="AT495" s="76" t="str">
        <x:v>Florence Roofing ad concept</x:v>
      </x:c>
      <x:c r="AU495" s="76" t="str">
        <x:v>Hi Florence Roofing — I was reviewing roofing companies in Florence, South Carolina and Florence Roofing looked like a strong fit for a creative test. I mapped a private 15-second storm-to-inspection before/after ad for Florence Roofing using only public brand context—not for publishing, just to show the angle. We build three client-approved video ad concepts in seven days, then turn the winners into fresh variations. No filming day required. Worth sending the private sample?</x:v>
      </x:c>
      <x:c r="AV495" s="76" t="str">
        <x:v>Quick follow-up: the sample angle is a storm-to-inspection before/after ad. If it misses the mark, no problem—I won't keep chasing. Should I send it?</x:v>
      </x:c>
      <x:c r="AW495" s="76" t="str">
        <x:v>Hi Florence Roofing, Ryan here. I was looking at Florence Roofing's public marketing and noticed: icp fit; paid-demand need requires manual verification. I mapped one private storm-to-inspection before/after ad as an example. Did I catch you with 30 seconds?</x:v>
      </x:c>
      <x:c r="AX495" s="60" t="str">
        <x:v>https://www.facebook.com/ads/library/?active_status=active&amp;ad_type=all&amp;country=US&amp;q=Florence%20Roofing&amp;search_type=keyword_unordered</x:v>
      </x:c>
      <x:c r="AY495" s="60" t="str">
        <x:v>ok:200</x:v>
      </x:c>
      <x:c r="AZ495" s="60" t="n">
        <x:v>46232.722858796296</x:v>
      </x:c>
      <x:c r="BA495" s="60" t="str">
        <x:v>Google Maps home-services export</x:v>
      </x:c>
      <x:c r="BB495" s="60" t="str">
        <x:v>https://florenceroofingsc.com | https://maps.google.com/?cid=7852186300109667234&amp;g_mp=Cidnb29nbGUubWFwcy5wbGFjZXMudjEuUGxhY2VzLlNlYXJjaFRleHQQAhgEIAA</x:v>
      </x:c>
      <x:c r="BC495" s="60" t="str"/>
    </x:row>
    <x:row r="496" ht="18" customHeight="1">
      <x:c r="A496" s="70" t="str">
        <x:v>495</x:v>
      </x:c>
      <x:c r="B496" s="70" t="str">
        <x:v>C - Verify</x:v>
      </x:c>
      <x:c r="C496" s="72" t="str">
        <x:v>50</x:v>
      </x:c>
      <x:c r="D496" s="60" t="str">
        <x:v>CBS Home Improvement</x:v>
      </x:c>
      <x:c r="E496" s="60" t="str">
        <x:v>https://cbshomeimprovements.com</x:v>
      </x:c>
      <x:c r="F496" s="60" t="str">
        <x:v>https://www.cbshomeimprovements.com/</x:v>
      </x:c>
      <x:c r="G496" s="60" t="str">
        <x:v>Myrtle Beach</x:v>
      </x:c>
      <x:c r="H496" s="60" t="str">
        <x:v>South Carolina</x:v>
      </x:c>
      <x:c r="I496" s="60" t="str">
        <x:v>Remodeling</x:v>
      </x:c>
      <x:c r="J496" s="60" t="str">
        <x:v>Chris</x:v>
      </x:c>
      <x:c r="K496" s="60" t="str">
        <x:v>Lee</x:v>
      </x:c>
      <x:c r="L496" s="60" t="str">
        <x:v>Owner</x:v>
      </x:c>
      <x:c r="M496" s="60" t="str"/>
      <x:c r="N496" s="60" t="str"/>
      <x:c r="O496" s="60" t="str">
        <x:v>+1 843 229 8924</x:v>
      </x:c>
      <x:c r="P496" s="60" t="str">
        <x:v>https://www.linkedin.com/in/chris-lee-a92a0ba8</x:v>
      </x:c>
      <x:c r="Q496" s="60" t="str">
        <x:v>2-10</x:v>
      </x:c>
      <x:c r="R496" s="60" t="str">
        <x:v>100000-499999</x:v>
      </x:c>
      <x:c r="S496" s="60" t="str"/>
      <x:c r="T496" s="74" t="str">
        <x:v>0</x:v>
      </x:c>
      <x:c r="U496" s="60" t="str"/>
      <x:c r="V496" s="74" t="str">
        <x:v>25</x:v>
      </x:c>
      <x:c r="W496" s="74" t="str">
        <x:v>3</x:v>
      </x:c>
      <x:c r="X496" s="74" t="str">
        <x:v>10</x:v>
      </x:c>
      <x:c r="Y496" s="74" t="str">
        <x:v>7</x:v>
      </x:c>
      <x:c r="Z496" s="74" t="str">
        <x:v>5</x:v>
      </x:c>
      <x:c r="AA496" s="74" t="str">
        <x:v>0</x:v>
      </x:c>
      <x:c r="AB496" s="74" t="str">
        <x:v>0</x:v>
      </x:c>
      <x:c r="AC496" s="74" t="str">
        <x:v>1</x:v>
      </x:c>
      <x:c r="AD496" s="74" t="str">
        <x:v>0</x:v>
      </x:c>
      <x:c r="AE496" s="74" t="str">
        <x:v>0</x:v>
      </x:c>
      <x:c r="AF496" s="74" t="str"/>
      <x:c r="AG496" s="74" t="str">
        <x:v>0</x:v>
      </x:c>
      <x:c r="AH496" s="74" t="str">
        <x:v>0</x:v>
      </x:c>
      <x:c r="AI496" s="74" t="str">
        <x:v>1</x:v>
      </x:c>
      <x:c r="AJ496" s="74" t="str">
        <x:v>0</x:v>
      </x:c>
      <x:c r="AK496" s="74" t="str">
        <x:v>1</x:v>
      </x:c>
      <x:c r="AL496" s="74" t="str">
        <x:v>0</x:v>
      </x:c>
      <x:c r="AM496" s="74" t="str">
        <x:v>1</x:v>
      </x:c>
      <x:c r="AN496" s="74" t="str">
        <x:v>0</x:v>
      </x:c>
      <x:c r="AO496" s="60" t="str">
        <x:v>2026</x:v>
      </x:c>
      <x:c r="AP496" s="76" t="str">
        <x:v>ICP fit; paid-demand need requires manual verification</x:v>
      </x:c>
      <x:c r="AQ496" s="76" t="str">
        <x:v>testimonials; visible service offer; no embedded homepage video detected</x:v>
      </x:c>
      <x:c r="AR496" s="76" t="str">
        <x:v>I was reviewing remodeling companies in Myrtle Beach, South Carolina and CBS Home Improvement looked like a strong fit for a creative test.</x:v>
      </x:c>
      <x:c r="AS496" s="76" t="str">
        <x:v>project reveal with budget-and-timeline proof</x:v>
      </x:c>
      <x:c r="AT496" s="76" t="str">
        <x:v>CBS Home Improvement ad concept</x:v>
      </x:c>
      <x:c r="AU496" s="76" t="str">
        <x:v>Hi Chris — I was reviewing remodeling companies in Myrtle Beach, South Carolina and CBS Home Improvement looked like a strong fit for a creative test. I mapped a private 15-second project reveal with budget-and-timeline proof for CBS Home Improvement using only public brand context—not for publishing, just to show the angle. We build three client-approved video ad concepts in seven days, then turn the winners into fresh variations. No filming day required. Worth sending the private sample?</x:v>
      </x:c>
      <x:c r="AV496" s="76" t="str">
        <x:v>Quick follow-up: the sample angle is a project reveal with budget-and-timeline proof. If it misses the mark, no problem—I won't keep chasing. Should I send it?</x:v>
      </x:c>
      <x:c r="AW496" s="76" t="str">
        <x:v>Hi Chris, Ryan here. I was looking at CBS Home Improvement's public marketing and noticed: icp fit; paid-demand need requires manual verification. I mapped one private project reveal with budget-and-timeline proof as an example. Did I catch you with 30 seconds?</x:v>
      </x:c>
      <x:c r="AX496" s="60" t="str">
        <x:v>https://www.facebook.com/ads/library/?active_status=active&amp;ad_type=all&amp;country=US&amp;q=CBS%20Home%20Improvement&amp;search_type=keyword_unordered</x:v>
      </x:c>
      <x:c r="AY496" s="60" t="str">
        <x:v>ok:200</x:v>
      </x:c>
      <x:c r="AZ496" s="60" t="n">
        <x:v>46232.722858796296</x:v>
      </x:c>
      <x:c r="BA496" s="60" t="str">
        <x:v>AI Ark SC trades export</x:v>
      </x:c>
      <x:c r="BB496" s="60" t="str">
        <x:v>https://cbshomeimprovements.com | https://www.linkedin.com/company/cbs-home-improvement</x:v>
      </x:c>
      <x:c r="BC496" s="60" t="str"/>
    </x:row>
    <x:row r="497" ht="18" customHeight="1">
      <x:c r="A497" s="70" t="str">
        <x:v>496</x:v>
      </x:c>
      <x:c r="B497" s="70" t="str">
        <x:v>C - Verify</x:v>
      </x:c>
      <x:c r="C497" s="72" t="str">
        <x:v>50</x:v>
      </x:c>
      <x:c r="D497" s="60" t="str">
        <x:v>Weaver Remodeling</x:v>
      </x:c>
      <x:c r="E497" s="60" t="str">
        <x:v>https://weaversremodeling.com</x:v>
      </x:c>
      <x:c r="F497" s="60" t="str">
        <x:v>https://weaversremodeling.com</x:v>
      </x:c>
      <x:c r="G497" s="60" t="str">
        <x:v>North Charleston</x:v>
      </x:c>
      <x:c r="H497" s="60" t="str">
        <x:v>South Carolina</x:v>
      </x:c>
      <x:c r="I497" s="60" t="str">
        <x:v>Remodeling</x:v>
      </x:c>
      <x:c r="J497" s="60" t="str">
        <x:v>raymond</x:v>
      </x:c>
      <x:c r="K497" s="60" t="str">
        <x:v>weaver</x:v>
      </x:c>
      <x:c r="L497" s="60" t="str">
        <x:v>Small Business Owner</x:v>
      </x:c>
      <x:c r="M497" s="60" t="str"/>
      <x:c r="N497" s="60" t="str"/>
      <x:c r="O497" s="60" t="str"/>
      <x:c r="P497" s="60" t="str">
        <x:v>https://www.linkedin.com/in/raymond-weaver-518744b4</x:v>
      </x:c>
      <x:c r="Q497" s="60" t="str">
        <x:v>11-50</x:v>
      </x:c>
      <x:c r="R497" s="60" t="str">
        <x:v>100000-499999</x:v>
      </x:c>
      <x:c r="S497" s="60" t="str"/>
      <x:c r="T497" s="74" t="str">
        <x:v>0</x:v>
      </x:c>
      <x:c r="U497" s="60" t="str"/>
      <x:c r="V497" s="74" t="str">
        <x:v>28</x:v>
      </x:c>
      <x:c r="W497" s="74" t="str">
        <x:v>3</x:v>
      </x:c>
      <x:c r="X497" s="74" t="str">
        <x:v>10</x:v>
      </x:c>
      <x:c r="Y497" s="74" t="str">
        <x:v>7</x:v>
      </x:c>
      <x:c r="Z497" s="74" t="str">
        <x:v>2</x:v>
      </x:c>
      <x:c r="AA497" s="74" t="str">
        <x:v>0</x:v>
      </x:c>
      <x:c r="AB497" s="74" t="str">
        <x:v>0</x:v>
      </x:c>
      <x:c r="AC497" s="74" t="str">
        <x:v>1</x:v>
      </x:c>
      <x:c r="AD497" s="74" t="str">
        <x:v>0</x:v>
      </x:c>
      <x:c r="AE497" s="74" t="str">
        <x:v>0</x:v>
      </x:c>
      <x:c r="AF497" s="74" t="str"/>
      <x:c r="AG497" s="74" t="str">
        <x:v>0</x:v>
      </x:c>
      <x:c r="AH497" s="74" t="str">
        <x:v>0</x:v>
      </x:c>
      <x:c r="AI497" s="74" t="str">
        <x:v>1</x:v>
      </x:c>
      <x:c r="AJ497" s="74" t="str">
        <x:v>0</x:v>
      </x:c>
      <x:c r="AK497" s="74" t="str">
        <x:v>1</x:v>
      </x:c>
      <x:c r="AL497" s="74" t="str">
        <x:v>0</x:v>
      </x:c>
      <x:c r="AM497" s="74" t="str">
        <x:v>1</x:v>
      </x:c>
      <x:c r="AN497" s="74" t="str">
        <x:v>0</x:v>
      </x:c>
      <x:c r="AO497" s="60" t="str">
        <x:v>0</x:v>
      </x:c>
      <x:c r="AP497" s="76" t="str">
        <x:v>ICP fit; paid-demand need requires manual verification</x:v>
      </x:c>
      <x:c r="AQ497" s="76" t="str">
        <x:v>testimonials; visible service offer; no embedded homepage video detected</x:v>
      </x:c>
      <x:c r="AR497" s="76" t="str">
        <x:v>I was reviewing remodeling companies in North Charleston, South Carolina and Weaver Remodeling looked like a strong fit for a creative test.</x:v>
      </x:c>
      <x:c r="AS497" s="76" t="str">
        <x:v>project reveal with budget-and-timeline proof</x:v>
      </x:c>
      <x:c r="AT497" s="76" t="str">
        <x:v>Weaver Remodeling ad concept</x:v>
      </x:c>
      <x:c r="AU497" s="76" t="str">
        <x:v>Hi raymond — I was reviewing remodeling companies in North Charleston, South Carolina and Weaver Remodeling looked like a strong fit for a creative test. I mapped a private 15-second project reveal with budget-and-timeline proof for Weaver Remodeling using only public brand context—not for publishing, just to show the angle. We build three client-approved video ad concepts in seven days, then turn the winners into fresh variations. No filming day required. Worth sending the private sample?</x:v>
      </x:c>
      <x:c r="AV497" s="76" t="str">
        <x:v>Quick follow-up: the sample angle is a project reveal with budget-and-timeline proof. If it misses the mark, no problem—I won't keep chasing. Should I send it?</x:v>
      </x:c>
      <x:c r="AW497" s="76" t="str">
        <x:v>Hi raymond, Ryan here. I was looking at Weaver Remodeling's public marketing and noticed: icp fit; paid-demand need requires manual verification. I mapped one private project reveal with budget-and-timeline proof as an example. Did I catch you with 30 seconds?</x:v>
      </x:c>
      <x:c r="AX497" s="60" t="str">
        <x:v>https://www.facebook.com/ads/library/?active_status=active&amp;ad_type=all&amp;country=US&amp;q=Weaver%20Remodeling&amp;search_type=keyword_unordered</x:v>
      </x:c>
      <x:c r="AY497" s="60" t="str">
        <x:v>ok:200</x:v>
      </x:c>
      <x:c r="AZ497" s="60" t="n">
        <x:v>46232.722858796296</x:v>
      </x:c>
      <x:c r="BA497" s="60" t="str">
        <x:v>AI Ark SC trades export</x:v>
      </x:c>
      <x:c r="BB497" s="60" t="str">
        <x:v>https://weaversremodeling.com | https://www.linkedin.com/company/weaver-remodeling</x:v>
      </x:c>
      <x:c r="BC497" s="60" t="str"/>
    </x:row>
    <x:row r="498" ht="18" customHeight="1">
      <x:c r="A498" s="70" t="str">
        <x:v>497</x:v>
      </x:c>
      <x:c r="B498" s="70" t="str">
        <x:v>C - Verify</x:v>
      </x:c>
      <x:c r="C498" s="72" t="str">
        <x:v>50</x:v>
      </x:c>
      <x:c r="D498" s="60" t="str">
        <x:v>Paramount Builders, Inc.</x:v>
      </x:c>
      <x:c r="E498" s="60" t="str">
        <x:v>https://paramountbuilders.com</x:v>
      </x:c>
      <x:c r="F498" s="60" t="str">
        <x:v>https://www.paramountbuilders.com/</x:v>
      </x:c>
      <x:c r="G498" s="60" t="str">
        <x:v>Summerville</x:v>
      </x:c>
      <x:c r="H498" s="60" t="str">
        <x:v>South Carolina</x:v>
      </x:c>
      <x:c r="I498" s="60" t="str">
        <x:v>Roofing</x:v>
      </x:c>
      <x:c r="J498" s="60" t="str">
        <x:v>Joseph</x:v>
      </x:c>
      <x:c r="K498" s="60" t="str">
        <x:v>Levani</x:v>
      </x:c>
      <x:c r="L498" s="60" t="str">
        <x:v>Owner</x:v>
      </x:c>
      <x:c r="M498" s="60" t="str"/>
      <x:c r="N498" s="60" t="str"/>
      <x:c r="O498" s="60" t="str">
        <x:v>+1 843 276 9730</x:v>
      </x:c>
      <x:c r="P498" s="60" t="str">
        <x:v>https://www.linkedin.com/in/joseph-levani-91194758</x:v>
      </x:c>
      <x:c r="Q498" s="60" t="str">
        <x:v>201-500</x:v>
      </x:c>
      <x:c r="R498" s="60" t="str">
        <x:v>10000000-24999999</x:v>
      </x:c>
      <x:c r="S498" s="60" t="str"/>
      <x:c r="T498" s="74" t="str">
        <x:v>0</x:v>
      </x:c>
      <x:c r="U498" s="60" t="str"/>
      <x:c r="V498" s="74" t="str">
        <x:v>30</x:v>
      </x:c>
      <x:c r="W498" s="74" t="str">
        <x:v>3</x:v>
      </x:c>
      <x:c r="X498" s="74" t="str">
        <x:v>6</x:v>
      </x:c>
      <x:c r="Y498" s="74" t="str">
        <x:v>6</x:v>
      </x:c>
      <x:c r="Z498" s="74" t="str">
        <x:v>5</x:v>
      </x:c>
      <x:c r="AA498" s="74" t="str">
        <x:v>0</x:v>
      </x:c>
      <x:c r="AB498" s="74" t="str">
        <x:v>0</x:v>
      </x:c>
      <x:c r="AC498" s="74" t="str">
        <x:v>1</x:v>
      </x:c>
      <x:c r="AD498" s="74" t="str">
        <x:v>0</x:v>
      </x:c>
      <x:c r="AE498" s="74" t="str">
        <x:v>0</x:v>
      </x:c>
      <x:c r="AF498" s="74" t="str"/>
      <x:c r="AG498" s="74" t="str">
        <x:v>0</x:v>
      </x:c>
      <x:c r="AH498" s="74" t="str">
        <x:v>0</x:v>
      </x:c>
      <x:c r="AI498" s="74" t="str">
        <x:v>0</x:v>
      </x:c>
      <x:c r="AJ498" s="74" t="str">
        <x:v>1</x:v>
      </x:c>
      <x:c r="AK498" s="74" t="str">
        <x:v>1</x:v>
      </x:c>
      <x:c r="AL498" s="74" t="str">
        <x:v>1</x:v>
      </x:c>
      <x:c r="AM498" s="74" t="str">
        <x:v>1</x:v>
      </x:c>
      <x:c r="AN498" s="74" t="str">
        <x:v>1</x:v>
      </x:c>
      <x:c r="AO498" s="60" t="str">
        <x:v>2026</x:v>
      </x:c>
      <x:c r="AP498" s="76" t="str">
        <x:v>Financing language found; no embedded homepage video found</x:v>
      </x:c>
      <x:c r="AQ498" s="76" t="str">
        <x:v>financing; visible service offer; no embedded homepage video detected</x:v>
      </x:c>
      <x:c r="AR498" s="76" t="str">
        <x:v>I found financing language on Paramount Builders, Inc.'s site that could make a strong short-form offer angle.</x:v>
      </x:c>
      <x:c r="AS498" s="76" t="str">
        <x:v>storm-to-inspection before/after ad</x:v>
      </x:c>
      <x:c r="AT498" s="76" t="str">
        <x:v>Paramount Builders, Inc. ad concept</x:v>
      </x:c>
      <x:c r="AU498" s="76" t="str">
        <x:v>Hi Joseph — I found financing language on Paramount Builders, Inc.'s site that could make a strong short-form offer angle. I mapped a private 15-second storm-to-inspection before/after ad for Paramount Builders, Inc. using only public brand context—not for publishing, just to show the angle. We build three client-approved video ad concepts in seven days, then turn the winners into fresh variations. No filming day required. Worth sending the private sample?</x:v>
      </x:c>
      <x:c r="AV498" s="76" t="str">
        <x:v>Quick follow-up: the sample angle is a storm-to-inspection before/after ad. If it misses the mark, no problem—I won't keep chasing. Should I send it?</x:v>
      </x:c>
      <x:c r="AW498" s="76" t="str">
        <x:v>Hi Joseph, Ryan here. I was looking at Paramount Builders, Inc.'s public marketing and noticed: financing language found; no embedded homepage video found. I mapped one private storm-to-inspection before/after ad as an example. Did I catch you with 30 seconds?</x:v>
      </x:c>
      <x:c r="AX498" s="60" t="str">
        <x:v>https://www.facebook.com/ads/library/?active_status=active&amp;ad_type=all&amp;country=US&amp;q=Paramount%20Builders%2C%20Inc.&amp;search_type=keyword_unordered</x:v>
      </x:c>
      <x:c r="AY498" s="60" t="str">
        <x:v>ok:200</x:v>
      </x:c>
      <x:c r="AZ498" s="60" t="n">
        <x:v>46232.722858796296</x:v>
      </x:c>
      <x:c r="BA498" s="60" t="str">
        <x:v>AI Ark SC trades export</x:v>
      </x:c>
      <x:c r="BB498" s="60" t="str">
        <x:v>https://paramountbuilders.com | https://www.linkedin.com/company/paramount-builders</x:v>
      </x:c>
      <x:c r="BC498" s="60" t="str"/>
    </x:row>
    <x:row r="499" ht="18" customHeight="1">
      <x:c r="A499" s="70" t="str">
        <x:v>498</x:v>
      </x:c>
      <x:c r="B499" s="70" t="str">
        <x:v>C - Verify</x:v>
      </x:c>
      <x:c r="C499" s="72" t="str">
        <x:v>50</x:v>
      </x:c>
      <x:c r="D499" s="60" t="str">
        <x:v>Safety Compliance Solutions LLC</x:v>
      </x:c>
      <x:c r="E499" s="60" t="str">
        <x:v>https://scsafetycompliance.com</x:v>
      </x:c>
      <x:c r="F499" s="60" t="str">
        <x:v>https://www.scsafetycompliance.com/</x:v>
      </x:c>
      <x:c r="G499" s="60" t="str">
        <x:v>Charleston County</x:v>
      </x:c>
      <x:c r="H499" s="60" t="str">
        <x:v>South Carolina</x:v>
      </x:c>
      <x:c r="I499" s="60" t="str">
        <x:v>General Contractor</x:v>
      </x:c>
      <x:c r="J499" s="60" t="str">
        <x:v>John</x:v>
      </x:c>
      <x:c r="K499" s="60" t="str">
        <x:v>Atkins</x:v>
      </x:c>
      <x:c r="L499" s="60" t="str">
        <x:v>Small Business Owner</x:v>
      </x:c>
      <x:c r="M499" s="60" t="str">
        <x:v>john@scsafetycompliance.com</x:v>
      </x:c>
      <x:c r="N499" s="60" t="str">
        <x:v>Verified with BounceBan on 08 Jun 26 12:06</x:v>
      </x:c>
      <x:c r="O499" s="60" t="str"/>
      <x:c r="P499" s="60" t="str">
        <x:v>https://www.linkedin.com/in/john-atkins-7404b457</x:v>
      </x:c>
      <x:c r="Q499" s="60" t="str">
        <x:v>11-50</x:v>
      </x:c>
      <x:c r="R499" s="60" t="str">
        <x:v>500000-999999</x:v>
      </x:c>
      <x:c r="S499" s="60" t="str"/>
      <x:c r="T499" s="74" t="str">
        <x:v>0</x:v>
      </x:c>
      <x:c r="U499" s="60" t="str"/>
      <x:c r="V499" s="74" t="str">
        <x:v>25</x:v>
      </x:c>
      <x:c r="W499" s="74" t="str">
        <x:v>3</x:v>
      </x:c>
      <x:c r="X499" s="74" t="str">
        <x:v>10</x:v>
      </x:c>
      <x:c r="Y499" s="74" t="str">
        <x:v>5</x:v>
      </x:c>
      <x:c r="Z499" s="74" t="str">
        <x:v>7</x:v>
      </x:c>
      <x:c r="AA499" s="74" t="str">
        <x:v>0</x:v>
      </x:c>
      <x:c r="AB499" s="74" t="str">
        <x:v>0</x:v>
      </x:c>
      <x:c r="AC499" s="74" t="str">
        <x:v>1</x:v>
      </x:c>
      <x:c r="AD499" s="74" t="str">
        <x:v>0</x:v>
      </x:c>
      <x:c r="AE499" s="74" t="str">
        <x:v>0</x:v>
      </x:c>
      <x:c r="AF499" s="74" t="str"/>
      <x:c r="AG499" s="74" t="str">
        <x:v>0</x:v>
      </x:c>
      <x:c r="AH499" s="74" t="str">
        <x:v>1</x:v>
      </x:c>
      <x:c r="AI499" s="74" t="str">
        <x:v>0</x:v>
      </x:c>
      <x:c r="AJ499" s="74" t="str">
        <x:v>0</x:v>
      </x:c>
      <x:c r="AK499" s="74" t="str">
        <x:v>0</x:v>
      </x:c>
      <x:c r="AL499" s="74" t="str">
        <x:v>0</x:v>
      </x:c>
      <x:c r="AM499" s="74" t="str">
        <x:v>1</x:v>
      </x:c>
      <x:c r="AN499" s="74" t="str">
        <x:v>0</x:v>
      </x:c>
      <x:c r="AO499" s="60" t="str">
        <x:v>0</x:v>
      </x:c>
      <x:c r="AP499" s="76" t="str">
        <x:v>Project/gallery proof found; no embedded homepage video found</x:v>
      </x:c>
      <x:c r="AQ499" s="76" t="str">
        <x:v>project/gallery proof; no embedded homepage video detected</x:v>
      </x:c>
      <x:c r="AR499" s="76" t="str">
        <x:v>I found project/gallery proof on Safety Compliance Solutions LLC's site that could be repackaged into short-form ad concepts.</x:v>
      </x:c>
      <x:c r="AS499" s="76" t="str">
        <x:v>project walkthrough with proof milestones</x:v>
      </x:c>
      <x:c r="AT499" s="76" t="str">
        <x:v>Safety Compliance Solutions LLC ad concept</x:v>
      </x:c>
      <x:c r="AU499" s="76" t="str">
        <x:v>Hi John — I found project/gallery proof on Safety Compliance Solutions LLC's site that could be repackaged into short-form ad concepts. I mapped a private 15-second project walkthrough with proof milestones for Safety Compliance Solutions LLC using only public brand context—not for publishing, just to show the angle. We build three client-approved video ad concepts in seven days, then turn the winners into fresh variations. No filming day required. Worth sending the private sample?</x:v>
      </x:c>
      <x:c r="AV499" s="76" t="str">
        <x:v>Quick follow-up: the sample angle is a project walkthrough with proof milestones. If it misses the mark, no problem—I won't keep chasing. Should I send it?</x:v>
      </x:c>
      <x:c r="AW499" s="76" t="str">
        <x:v>Hi John, Ryan here. I was looking at Safety Compliance Solutions LLC's public marketing and noticed: project/gallery proof found; no embedded homepage video found. I mapped one private project walkthrough with proof milestones as an example. Did I catch you with 30 seconds?</x:v>
      </x:c>
      <x:c r="AX499" s="60" t="str">
        <x:v>https://www.facebook.com/ads/library/?active_status=active&amp;ad_type=all&amp;country=US&amp;q=Safety%20Compliance%20Solutions%20LLC&amp;search_type=keyword_unordered</x:v>
      </x:c>
      <x:c r="AY499" s="60" t="str">
        <x:v>ok:200</x:v>
      </x:c>
      <x:c r="AZ499" s="60" t="n">
        <x:v>46232.722858796296</x:v>
      </x:c>
      <x:c r="BA499" s="60" t="str">
        <x:v>AI Ark SC trades export</x:v>
      </x:c>
      <x:c r="BB499" s="60" t="str">
        <x:v>https://scsafetycompliance.com | https://www.linkedin.com/company/safety-compliance-solutions-llc</x:v>
      </x:c>
      <x:c r="BC499" s="60" t="str"/>
    </x:row>
    <x:row r="500" ht="18" customHeight="1">
      <x:c r="A500" s="70" t="str">
        <x:v>499</x:v>
      </x:c>
      <x:c r="B500" s="70" t="str">
        <x:v>C - Verify</x:v>
      </x:c>
      <x:c r="C500" s="72" t="str">
        <x:v>50</x:v>
      </x:c>
      <x:c r="D500" s="60" t="str">
        <x:v>Ryerson Brothers Construction, LLC</x:v>
      </x:c>
      <x:c r="E500" s="60" t="str">
        <x:v>https://ryersonbrothers.com</x:v>
      </x:c>
      <x:c r="F500" s="60" t="str">
        <x:v>https://www.ryersonbrothers.com/</x:v>
      </x:c>
      <x:c r="G500" s="60" t="str">
        <x:v>Rock Hill</x:v>
      </x:c>
      <x:c r="H500" s="60" t="str">
        <x:v>South Carolina</x:v>
      </x:c>
      <x:c r="I500" s="60" t="str">
        <x:v>Foundation &amp; Waterproofing</x:v>
      </x:c>
      <x:c r="J500" s="60" t="str">
        <x:v>Jim</x:v>
      </x:c>
      <x:c r="K500" s="60" t="str">
        <x:v>Ryerson</x:v>
      </x:c>
      <x:c r="L500" s="60" t="str">
        <x:v>Founder and Owner</x:v>
      </x:c>
      <x:c r="M500" s="60" t="str">
        <x:v>jim@ryersonbrothers.com</x:v>
      </x:c>
      <x:c r="N500" s="60" t="str">
        <x:v>Verified with BounceBan on 08 Jun 26 12:06</x:v>
      </x:c>
      <x:c r="O500" s="60" t="str"/>
      <x:c r="P500" s="60" t="str">
        <x:v>https://www.linkedin.com/in/jim-ryerson-762047338</x:v>
      </x:c>
      <x:c r="Q500" s="60" t="str">
        <x:v>11-50</x:v>
      </x:c>
      <x:c r="R500" s="60" t="str">
        <x:v>100000-499999</x:v>
      </x:c>
      <x:c r="S500" s="60" t="str"/>
      <x:c r="T500" s="74" t="str">
        <x:v>0</x:v>
      </x:c>
      <x:c r="U500" s="60" t="str"/>
      <x:c r="V500" s="74" t="str">
        <x:v>29</x:v>
      </x:c>
      <x:c r="W500" s="74" t="str">
        <x:v>3</x:v>
      </x:c>
      <x:c r="X500" s="74" t="str">
        <x:v>6</x:v>
      </x:c>
      <x:c r="Y500" s="74" t="str">
        <x:v>5</x:v>
      </x:c>
      <x:c r="Z500" s="74" t="str">
        <x:v>7</x:v>
      </x:c>
      <x:c r="AA500" s="74" t="str">
        <x:v>0</x:v>
      </x:c>
      <x:c r="AB500" s="74" t="str">
        <x:v>0</x:v>
      </x:c>
      <x:c r="AC500" s="74" t="str">
        <x:v>1</x:v>
      </x:c>
      <x:c r="AD500" s="74" t="str">
        <x:v>0</x:v>
      </x:c>
      <x:c r="AE500" s="74" t="str">
        <x:v>0</x:v>
      </x:c>
      <x:c r="AF500" s="74" t="str"/>
      <x:c r="AG500" s="74" t="str">
        <x:v>0</x:v>
      </x:c>
      <x:c r="AH500" s="74" t="str">
        <x:v>1</x:v>
      </x:c>
      <x:c r="AI500" s="74" t="str">
        <x:v>0</x:v>
      </x:c>
      <x:c r="AJ500" s="74" t="str">
        <x:v>0</x:v>
      </x:c>
      <x:c r="AK500" s="74" t="str">
        <x:v>0</x:v>
      </x:c>
      <x:c r="AL500" s="74" t="str">
        <x:v>1</x:v>
      </x:c>
      <x:c r="AM500" s="74" t="str">
        <x:v>1</x:v>
      </x:c>
      <x:c r="AN500" s="74" t="str">
        <x:v>0</x:v>
      </x:c>
      <x:c r="AO500" s="60" t="str">
        <x:v>0</x:v>
      </x:c>
      <x:c r="AP500" s="76" t="str">
        <x:v>Project/gallery proof found; no embedded homepage video found</x:v>
      </x:c>
      <x:c r="AQ500" s="76" t="str">
        <x:v>project/gallery proof; no embedded homepage video detected</x:v>
      </x:c>
      <x:c r="AR500" s="76" t="str">
        <x:v>I found project/gallery proof on Ryerson Brothers Construction, LLC's site that could be repackaged into short-form ad concepts.</x:v>
      </x:c>
      <x:c r="AS500" s="76" t="str">
        <x:v>visible-warning-signs inspection ad</x:v>
      </x:c>
      <x:c r="AT500" s="76" t="str">
        <x:v>Ryerson Brothers Construction, LLC ad concept</x:v>
      </x:c>
      <x:c r="AU500" s="76" t="str">
        <x:v>Hi Jim — I found project/gallery proof on Ryerson Brothers Construction, LLC's site that could be repackaged into short-form ad concepts. I mapped a private 15-second visible-warning-signs inspection ad for Ryerson Brothers Construction, LLC using only public brand context—not for publishing, just to show the angle. We build three client-approved video ad concepts in seven days, then turn the winners into fresh variations. No filming day required. Worth sending the private sample?</x:v>
      </x:c>
      <x:c r="AV500" s="76" t="str">
        <x:v>Quick follow-up: the sample angle is a visible-warning-signs inspection ad. If it misses the mark, no problem—I won't keep chasing. Should I send it?</x:v>
      </x:c>
      <x:c r="AW500" s="76" t="str">
        <x:v>Hi Jim, Ryan here. I was looking at Ryerson Brothers Construction, LLC's public marketing and noticed: project/gallery proof found; no embedded homepage video found. I mapped one private visible-warning-signs inspection ad as an example. Did I catch you with 30 seconds?</x:v>
      </x:c>
      <x:c r="AX500" s="60" t="str">
        <x:v>https://www.facebook.com/ads/library/?active_status=active&amp;ad_type=all&amp;country=US&amp;q=Ryerson%20Brothers%20Construction%2C%20LLC&amp;search_type=keyword_unordered</x:v>
      </x:c>
      <x:c r="AY500" s="60" t="str">
        <x:v>ok:200</x:v>
      </x:c>
      <x:c r="AZ500" s="60" t="n">
        <x:v>46232.722858796296</x:v>
      </x:c>
      <x:c r="BA500" s="60" t="str">
        <x:v>AI Ark SC trades export</x:v>
      </x:c>
      <x:c r="BB500" s="60" t="str">
        <x:v>https://ryersonbrothers.com | https://www.linkedin.com/company/ryerson-brothers-construction-llc</x:v>
      </x:c>
      <x:c r="BC500" s="60" t="str"/>
    </x:row>
    <x:row r="501" ht="18" customHeight="1">
      <x:c r="A501" s="70" t="str">
        <x:v>500</x:v>
      </x:c>
      <x:c r="B501" s="70" t="str">
        <x:v>C - Verify</x:v>
      </x:c>
      <x:c r="C501" s="72" t="str">
        <x:v>50</x:v>
      </x:c>
      <x:c r="D501" s="60" t="str">
        <x:v>Carolina Greenscape Management</x:v>
      </x:c>
      <x:c r="E501" s="60" t="str">
        <x:v>https://carolinagreenscape.com</x:v>
      </x:c>
      <x:c r="F501" s="60" t="str">
        <x:v>http://carolinagreenscape.com</x:v>
      </x:c>
      <x:c r="G501" s="60" t="str">
        <x:v>Greenville</x:v>
      </x:c>
      <x:c r="H501" s="60" t="str">
        <x:v>South Carolina</x:v>
      </x:c>
      <x:c r="I501" s="60" t="str">
        <x:v>Landscaping &amp; Tree</x:v>
      </x:c>
      <x:c r="J501" s="60" t="str">
        <x:v>Michael</x:v>
      </x:c>
      <x:c r="K501" s="60" t="str">
        <x:v>Queen</x:v>
      </x:c>
      <x:c r="L501" s="60" t="str">
        <x:v>Business Owner</x:v>
      </x:c>
      <x:c r="M501" s="60" t="str">
        <x:v>mqueen@carolinagreenscape.com</x:v>
      </x:c>
      <x:c r="N501" s="60" t="str">
        <x:v>Verified with BounceBan on 08 Jun 26 12:06</x:v>
      </x:c>
      <x:c r="O501" s="60" t="str"/>
      <x:c r="P501" s="60" t="str">
        <x:v>https://www.linkedin.com/in/michael-queen-aa9529306</x:v>
      </x:c>
      <x:c r="Q501" s="60" t="str">
        <x:v>11-50</x:v>
      </x:c>
      <x:c r="R501" s="60" t="str">
        <x:v>100000-499999</x:v>
      </x:c>
      <x:c r="S501" s="60" t="str"/>
      <x:c r="T501" s="74" t="str">
        <x:v>0</x:v>
      </x:c>
      <x:c r="U501" s="60" t="str"/>
      <x:c r="V501" s="74" t="str">
        <x:v>25</x:v>
      </x:c>
      <x:c r="W501" s="74" t="str">
        <x:v>3</x:v>
      </x:c>
      <x:c r="X501" s="74" t="str">
        <x:v>10</x:v>
      </x:c>
      <x:c r="Y501" s="74" t="str">
        <x:v>5</x:v>
      </x:c>
      <x:c r="Z501" s="74" t="str">
        <x:v>7</x:v>
      </x:c>
      <x:c r="AA501" s="74" t="str">
        <x:v>0</x:v>
      </x:c>
      <x:c r="AB501" s="74" t="str">
        <x:v>0</x:v>
      </x:c>
      <x:c r="AC501" s="74" t="str">
        <x:v>1</x:v>
      </x:c>
      <x:c r="AD501" s="74" t="str">
        <x:v>0</x:v>
      </x:c>
      <x:c r="AE501" s="74" t="str">
        <x:v>0</x:v>
      </x:c>
      <x:c r="AF501" s="74" t="str"/>
      <x:c r="AG501" s="74" t="str">
        <x:v>0</x:v>
      </x:c>
      <x:c r="AH501" s="74" t="str">
        <x:v>1</x:v>
      </x:c>
      <x:c r="AI501" s="74" t="str">
        <x:v>0</x:v>
      </x:c>
      <x:c r="AJ501" s="74" t="str">
        <x:v>0</x:v>
      </x:c>
      <x:c r="AK501" s="74" t="str">
        <x:v>0</x:v>
      </x:c>
      <x:c r="AL501" s="74" t="str">
        <x:v>0</x:v>
      </x:c>
      <x:c r="AM501" s="74" t="str">
        <x:v>0</x:v>
      </x:c>
      <x:c r="AN501" s="74" t="str">
        <x:v>0</x:v>
      </x:c>
      <x:c r="AO501" s="60" t="str">
        <x:v>0</x:v>
      </x:c>
      <x:c r="AP501" s="76" t="str">
        <x:v>Project/gallery proof found; no embedded homepage video found</x:v>
      </x:c>
      <x:c r="AQ501" s="76" t="str">
        <x:v>project/gallery proof; no embedded homepage video detected</x:v>
      </x:c>
      <x:c r="AR501" s="76" t="str">
        <x:v>I found project/gallery proof on Carolina Greenscape Management's site that could be repackaged into short-form ad concepts.</x:v>
      </x:c>
      <x:c r="AS501" s="76" t="str">
        <x:v>property transformation ad</x:v>
      </x:c>
      <x:c r="AT501" s="76" t="str">
        <x:v>Carolina Greenscape Management ad concept</x:v>
      </x:c>
      <x:c r="AU501" s="76" t="str">
        <x:v>Hi Michael — I found project/gallery proof on Carolina Greenscape Management's site that could be repackaged into short-form ad concepts. I mapped a private 15-second property transformation ad for Carolina Greenscape Management using only public brand context—not for publishing, just to show the angle. We build three client-approved video ad concepts in seven days, then turn the winners into fresh variations. No filming day required. Worth sending the private sample?</x:v>
      </x:c>
      <x:c r="AV501" s="76" t="str">
        <x:v>Quick follow-up: the sample angle is a property transformation ad. If it misses the mark, no problem—I won't keep chasing. Should I send it?</x:v>
      </x:c>
      <x:c r="AW501" s="76" t="str">
        <x:v>Hi Michael, Ryan here. I was looking at Carolina Greenscape Management's public marketing and noticed: project/gallery proof found; no embedded homepage video found. I mapped one private property transformation ad as an example. Did I catch you with 30 seconds?</x:v>
      </x:c>
      <x:c r="AX501" s="60" t="str">
        <x:v>https://www.facebook.com/ads/library/?active_status=active&amp;ad_type=all&amp;country=US&amp;q=Carolina%20Greenscape%20Management&amp;search_type=keyword_unordered</x:v>
      </x:c>
      <x:c r="AY501" s="60" t="str">
        <x:v>ok:200</x:v>
      </x:c>
      <x:c r="AZ501" s="60" t="n">
        <x:v>46232.722858796296</x:v>
      </x:c>
      <x:c r="BA501" s="60" t="str">
        <x:v>AI Ark SC trades export</x:v>
      </x:c>
      <x:c r="BB501" s="60" t="str">
        <x:v>https://carolinagreenscape.com | https://www.linkedin.com/company/carolina-greenscape-management</x:v>
      </x:c>
      <x:c r="BC501" s="60" t="str"/>
    </x:row>
    <x:row r="502" ht="18" customHeight="1">
      <x:c r="A502" s="70" t="str">
        <x:v>501</x:v>
      </x:c>
      <x:c r="B502" s="70" t="str">
        <x:v>C - Verify</x:v>
      </x:c>
      <x:c r="C502" s="72" t="str">
        <x:v>50</x:v>
      </x:c>
      <x:c r="D502" s="60" t="str">
        <x:v>Watts &amp; Associates Roofing and Waterproofing</x:v>
      </x:c>
      <x:c r="E502" s="60" t="str">
        <x:v>https://wattsroofing.com</x:v>
      </x:c>
      <x:c r="F502" s="60" t="str">
        <x:v>https://www.wattsroofing.com/</x:v>
      </x:c>
      <x:c r="G502" s="60" t="str">
        <x:v>Columbia</x:v>
      </x:c>
      <x:c r="H502" s="60" t="str">
        <x:v>South Carolina</x:v>
      </x:c>
      <x:c r="I502" s="60" t="str">
        <x:v>Roofing</x:v>
      </x:c>
      <x:c r="J502" s="60" t="str">
        <x:v>Watts &amp; Associates Roofing and Waterproofing</x:v>
      </x:c>
      <x:c r="K502" s="60" t="str"/>
      <x:c r="L502" s="60" t="str">
        <x:v>Owner / decision maker to verify</x:v>
      </x:c>
      <x:c r="M502" s="60" t="str"/>
      <x:c r="N502" s="60" t="str"/>
      <x:c r="O502" s="60" t="str">
        <x:v>(803) 786-4610</x:v>
      </x:c>
      <x:c r="P502" s="60" t="str"/>
      <x:c r="Q502" s="60" t="str"/>
      <x:c r="R502" s="60" t="str"/>
      <x:c r="S502" s="60" t="str">
        <x:v>4.7</x:v>
      </x:c>
      <x:c r="T502" s="74" t="str">
        <x:v>97</x:v>
      </x:c>
      <x:c r="U502" s="60" t="str"/>
      <x:c r="V502" s="74" t="str">
        <x:v>27</x:v>
      </x:c>
      <x:c r="W502" s="74" t="str">
        <x:v>3</x:v>
      </x:c>
      <x:c r="X502" s="74" t="str">
        <x:v>10</x:v>
      </x:c>
      <x:c r="Y502" s="74" t="str">
        <x:v>5</x:v>
      </x:c>
      <x:c r="Z502" s="74" t="str">
        <x:v>5</x:v>
      </x:c>
      <x:c r="AA502" s="74" t="str">
        <x:v>0</x:v>
      </x:c>
      <x:c r="AB502" s="74" t="str">
        <x:v>0</x:v>
      </x:c>
      <x:c r="AC502" s="74" t="str">
        <x:v>1</x:v>
      </x:c>
      <x:c r="AD502" s="74" t="str">
        <x:v>0</x:v>
      </x:c>
      <x:c r="AE502" s="74" t="str">
        <x:v>0</x:v>
      </x:c>
      <x:c r="AF502" s="74" t="str"/>
      <x:c r="AG502" s="74" t="str">
        <x:v>0</x:v>
      </x:c>
      <x:c r="AH502" s="74" t="str">
        <x:v>0</x:v>
      </x:c>
      <x:c r="AI502" s="74" t="str">
        <x:v>0</x:v>
      </x:c>
      <x:c r="AJ502" s="74" t="str">
        <x:v>0</x:v>
      </x:c>
      <x:c r="AK502" s="74" t="str">
        <x:v>1</x:v>
      </x:c>
      <x:c r="AL502" s="74" t="str">
        <x:v>0</x:v>
      </x:c>
      <x:c r="AM502" s="74" t="str">
        <x:v>1</x:v>
      </x:c>
      <x:c r="AN502" s="74" t="str">
        <x:v>0</x:v>
      </x:c>
      <x:c r="AO502" s="60" t="str">
        <x:v>0</x:v>
      </x:c>
      <x:c r="AP502" s="76" t="str">
        <x:v>ICP fit; paid-demand need requires manual verification</x:v>
      </x:c>
      <x:c r="AQ502" s="76" t="str">
        <x:v>visible service offer; no embedded homepage video detected</x:v>
      </x:c>
      <x:c r="AR502" s="76" t="str">
        <x:v>I was reviewing roofing companies in Columbia, South Carolina and Watts &amp; Associates Roofing and Waterproofing looked like a strong fit for a creative test.</x:v>
      </x:c>
      <x:c r="AS502" s="76" t="str">
        <x:v>storm-to-inspection before/after ad</x:v>
      </x:c>
      <x:c r="AT502" s="76" t="str">
        <x:v>Watts &amp; Associates Roofing and Waterproofing ad concept</x:v>
      </x:c>
      <x:c r="AU502" s="76" t="str">
        <x:v>Hi Watts &amp; Associates Roofing and Waterproofing — I was reviewing roofing companies in Columbia, South Carolina and Watts &amp; Associates Roofing and Waterproofing looked like a strong fit for a creative test. I mapped a private 15-second storm-to-inspection before/after ad for Watts &amp; Associates Roofing and Waterproofing using only public brand context—not for publishing, just to show the angle. We build three client-approved video ad concepts in seven days, then turn the winners into fresh variations. No filming day required. Worth sending the private sample?</x:v>
      </x:c>
      <x:c r="AV502" s="76" t="str">
        <x:v>Quick follow-up: the sample angle is a storm-to-inspection before/after ad. If it misses the mark, no problem—I won't keep chasing. Should I send it?</x:v>
      </x:c>
      <x:c r="AW502" s="76" t="str">
        <x:v>Hi Watts &amp; Associates Roofing and Waterproofing, Ryan here. I was looking at Watts &amp; Associates Roofing and Waterproofing's public marketing and noticed: icp fit; paid-demand need requires manual verification. I mapped one private storm-to-inspection before/after ad as an example. Did I catch you with 30 seconds?</x:v>
      </x:c>
      <x:c r="AX502" s="60" t="str">
        <x:v>https://www.facebook.com/ads/library/?active_status=active&amp;ad_type=all&amp;country=US&amp;q=Watts%20%26%20Associates%20Roofing%20and%20Waterproofing&amp;search_type=keyword_unordered</x:v>
      </x:c>
      <x:c r="AY502" s="60" t="str">
        <x:v>ok:200</x:v>
      </x:c>
      <x:c r="AZ502" s="60" t="n">
        <x:v>46232.722858796296</x:v>
      </x:c>
      <x:c r="BA502" s="60" t="str">
        <x:v>Google Maps home-services export</x:v>
      </x:c>
      <x:c r="BB502" s="60" t="str">
        <x:v>https://maps.google.com/?cid=2918087827657447528&amp;g_mp=Cidnb29nbGUubWFwcy5wbGFjZXMudjEuUGxhY2VzLlNlYXJjaFRleHQQAhgEIAA | https://wattsroofing.com</x:v>
      </x:c>
      <x:c r="BC502" s="60" t="str"/>
    </x:row>
    <x:row r="503" ht="18" customHeight="1">
      <x:c r="A503" s="70" t="str">
        <x:v>502</x:v>
      </x:c>
      <x:c r="B503" s="70" t="str">
        <x:v>C - Verify</x:v>
      </x:c>
      <x:c r="C503" s="72" t="str">
        <x:v>50</x:v>
      </x:c>
      <x:c r="D503" s="60" t="str">
        <x:v>Streamline Construction</x:v>
      </x:c>
      <x:c r="E503" s="60" t="str">
        <x:v>https://streamlineconstruction.net</x:v>
      </x:c>
      <x:c r="F503" s="60" t="str">
        <x:v>https://streamlineconstruction.net</x:v>
      </x:c>
      <x:c r="G503" s="60" t="str">
        <x:v>Greenville-spartanburg-anderson</x:v>
      </x:c>
      <x:c r="H503" s="60" t="str">
        <x:v>South Carolina Area</x:v>
      </x:c>
      <x:c r="I503" s="60" t="str">
        <x:v>General Contractor</x:v>
      </x:c>
      <x:c r="J503" s="60" t="str">
        <x:v>Timothy</x:v>
      </x:c>
      <x:c r="K503" s="60" t="str">
        <x:v>Ritch</x:v>
      </x:c>
      <x:c r="L503" s="60" t="str">
        <x:v>Company Owner</x:v>
      </x:c>
      <x:c r="M503" s="60" t="str"/>
      <x:c r="N503" s="60" t="str"/>
      <x:c r="O503" s="60" t="str">
        <x:v>+1 530 272 6806</x:v>
      </x:c>
      <x:c r="P503" s="60" t="str">
        <x:v>https://www.linkedin.com/in/timothy-ritch-67767b172</x:v>
      </x:c>
      <x:c r="Q503" s="60" t="str">
        <x:v>11-50</x:v>
      </x:c>
      <x:c r="R503" s="60" t="str">
        <x:v>1000000-4999999</x:v>
      </x:c>
      <x:c r="S503" s="60" t="str"/>
      <x:c r="T503" s="74" t="str">
        <x:v>0</x:v>
      </x:c>
      <x:c r="U503" s="60" t="str"/>
      <x:c r="V503" s="74" t="str">
        <x:v>27</x:v>
      </x:c>
      <x:c r="W503" s="74" t="str">
        <x:v>3</x:v>
      </x:c>
      <x:c r="X503" s="74" t="str">
        <x:v>10</x:v>
      </x:c>
      <x:c r="Y503" s="74" t="str">
        <x:v>5</x:v>
      </x:c>
      <x:c r="Z503" s="74" t="str">
        <x:v>5</x:v>
      </x:c>
      <x:c r="AA503" s="74" t="str">
        <x:v>0</x:v>
      </x:c>
      <x:c r="AB503" s="74" t="str">
        <x:v>0</x:v>
      </x:c>
      <x:c r="AC503" s="74" t="str">
        <x:v>1</x:v>
      </x:c>
      <x:c r="AD503" s="74" t="str">
        <x:v>0</x:v>
      </x:c>
      <x:c r="AE503" s="74" t="str">
        <x:v>0</x:v>
      </x:c>
      <x:c r="AF503" s="74" t="str"/>
      <x:c r="AG503" s="74" t="str">
        <x:v>0</x:v>
      </x:c>
      <x:c r="AH503" s="74" t="str">
        <x:v>1</x:v>
      </x:c>
      <x:c r="AI503" s="74" t="str">
        <x:v>0</x:v>
      </x:c>
      <x:c r="AJ503" s="74" t="str">
        <x:v>0</x:v>
      </x:c>
      <x:c r="AK503" s="74" t="str">
        <x:v>0</x:v>
      </x:c>
      <x:c r="AL503" s="74" t="str">
        <x:v>0</x:v>
      </x:c>
      <x:c r="AM503" s="74" t="str">
        <x:v>0</x:v>
      </x:c>
      <x:c r="AN503" s="74" t="str">
        <x:v>0</x:v>
      </x:c>
      <x:c r="AO503" s="60" t="str">
        <x:v>2026</x:v>
      </x:c>
      <x:c r="AP503" s="76" t="str">
        <x:v>Project/gallery proof found; no embedded homepage video found</x:v>
      </x:c>
      <x:c r="AQ503" s="76" t="str">
        <x:v>project/gallery proof; no embedded homepage video detected</x:v>
      </x:c>
      <x:c r="AR503" s="76" t="str">
        <x:v>I found project/gallery proof on Streamline Construction's site that could be repackaged into short-form ad concepts.</x:v>
      </x:c>
      <x:c r="AS503" s="76" t="str">
        <x:v>project walkthrough with proof milestones</x:v>
      </x:c>
      <x:c r="AT503" s="76" t="str">
        <x:v>Streamline Construction ad concept</x:v>
      </x:c>
      <x:c r="AU503" s="76" t="str">
        <x:v>Hi Timothy — I found project/gallery proof on Streamline Construction's site that could be repackaged into short-form ad concepts. I mapped a private 15-second project walkthrough with proof milestones for Streamline Construction using only public brand context—not for publishing, just to show the angle. We build three client-approved video ad concepts in seven days, then turn the winners into fresh variations. No filming day required. Worth sending the private sample?</x:v>
      </x:c>
      <x:c r="AV503" s="76" t="str">
        <x:v>Quick follow-up: the sample angle is a project walkthrough with proof milestones. If it misses the mark, no problem—I won't keep chasing. Should I send it?</x:v>
      </x:c>
      <x:c r="AW503" s="76" t="str">
        <x:v>Hi Timothy, Ryan here. I was looking at Streamline Construction's public marketing and noticed: project/gallery proof found; no embedded homepage video found. I mapped one private project walkthrough with proof milestones as an example. Did I catch you with 30 seconds?</x:v>
      </x:c>
      <x:c r="AX503" s="60" t="str">
        <x:v>https://www.facebook.com/ads/library/?active_status=active&amp;ad_type=all&amp;country=US&amp;q=Streamline%20Construction&amp;search_type=keyword_unordered</x:v>
      </x:c>
      <x:c r="AY503" s="60" t="str">
        <x:v>ok:200</x:v>
      </x:c>
      <x:c r="AZ503" s="60" t="n">
        <x:v>46232.722858796296</x:v>
      </x:c>
      <x:c r="BA503" s="60" t="str">
        <x:v>AI Ark SC trades export</x:v>
      </x:c>
      <x:c r="BB503" s="60" t="str">
        <x:v>https://streamlineconstruction.net | https://www.linkedin.com/company/streamline-construction</x:v>
      </x:c>
      <x:c r="BC503" s="60" t="str"/>
    </x:row>
    <x:row r="504" ht="18" customHeight="1">
      <x:c r="A504" s="70" t="str">
        <x:v>503</x:v>
      </x:c>
      <x:c r="B504" s="70" t="str">
        <x:v>C - Verify</x:v>
      </x:c>
      <x:c r="C504" s="72" t="str">
        <x:v>50</x:v>
      </x:c>
      <x:c r="D504" s="60" t="str">
        <x:v>H. J. Russell &amp; Company</x:v>
      </x:c>
      <x:c r="E504" s="60" t="str">
        <x:v>https://hjrussell.com</x:v>
      </x:c>
      <x:c r="F504" s="60" t="str">
        <x:v>https://www.hjrussell.com/</x:v>
      </x:c>
      <x:c r="G504" s="60" t="str">
        <x:v>Spartanburg</x:v>
      </x:c>
      <x:c r="H504" s="60" t="str">
        <x:v>South Carolina</x:v>
      </x:c>
      <x:c r="I504" s="60" t="str">
        <x:v>General Contractor</x:v>
      </x:c>
      <x:c r="J504" s="60" t="str">
        <x:v>Gayle</x:v>
      </x:c>
      <x:c r="K504" s="60" t="str">
        <x:v>Russell</x:v>
      </x:c>
      <x:c r="L504" s="60" t="str">
        <x:v>OWNER</x:v>
      </x:c>
      <x:c r="M504" s="60" t="str"/>
      <x:c r="N504" s="60" t="str"/>
      <x:c r="O504" s="60" t="str">
        <x:v>+1 864 809 5106</x:v>
      </x:c>
      <x:c r="P504" s="60" t="str">
        <x:v>https://www.linkedin.com/in/gayle-russell-12641526</x:v>
      </x:c>
      <x:c r="Q504" s="60" t="str">
        <x:v>51-200</x:v>
      </x:c>
      <x:c r="R504" s="60" t="str">
        <x:v>10000000-24999999</x:v>
      </x:c>
      <x:c r="S504" s="60" t="str"/>
      <x:c r="T504" s="74" t="str">
        <x:v>0</x:v>
      </x:c>
      <x:c r="U504" s="60" t="str"/>
      <x:c r="V504" s="74" t="str">
        <x:v>27</x:v>
      </x:c>
      <x:c r="W504" s="74" t="str">
        <x:v>3</x:v>
      </x:c>
      <x:c r="X504" s="74" t="str">
        <x:v>10</x:v>
      </x:c>
      <x:c r="Y504" s="74" t="str">
        <x:v>5</x:v>
      </x:c>
      <x:c r="Z504" s="74" t="str">
        <x:v>5</x:v>
      </x:c>
      <x:c r="AA504" s="74" t="str">
        <x:v>0</x:v>
      </x:c>
      <x:c r="AB504" s="74" t="str">
        <x:v>0</x:v>
      </x:c>
      <x:c r="AC504" s="74" t="str">
        <x:v>1</x:v>
      </x:c>
      <x:c r="AD504" s="74" t="str">
        <x:v>0</x:v>
      </x:c>
      <x:c r="AE504" s="74" t="str">
        <x:v>0</x:v>
      </x:c>
      <x:c r="AF504" s="74" t="str"/>
      <x:c r="AG504" s="74" t="str">
        <x:v>0</x:v>
      </x:c>
      <x:c r="AH504" s="74" t="str">
        <x:v>1</x:v>
      </x:c>
      <x:c r="AI504" s="74" t="str">
        <x:v>0</x:v>
      </x:c>
      <x:c r="AJ504" s="74" t="str">
        <x:v>0</x:v>
      </x:c>
      <x:c r="AK504" s="74" t="str">
        <x:v>0</x:v>
      </x:c>
      <x:c r="AL504" s="74" t="str">
        <x:v>0</x:v>
      </x:c>
      <x:c r="AM504" s="74" t="str">
        <x:v>0</x:v>
      </x:c>
      <x:c r="AN504" s="74" t="str">
        <x:v>0</x:v>
      </x:c>
      <x:c r="AO504" s="60" t="str">
        <x:v>0</x:v>
      </x:c>
      <x:c r="AP504" s="76" t="str">
        <x:v>Project/gallery proof found; no embedded homepage video found</x:v>
      </x:c>
      <x:c r="AQ504" s="76" t="str">
        <x:v>project/gallery proof; no embedded homepage video detected</x:v>
      </x:c>
      <x:c r="AR504" s="76" t="str">
        <x:v>I found project/gallery proof on H. J. Russell &amp; Company's site that could be repackaged into short-form ad concepts.</x:v>
      </x:c>
      <x:c r="AS504" s="76" t="str">
        <x:v>project walkthrough with proof milestones</x:v>
      </x:c>
      <x:c r="AT504" s="76" t="str">
        <x:v>H. J. Russell &amp; Company ad concept</x:v>
      </x:c>
      <x:c r="AU504" s="76" t="str">
        <x:v>Hi Gayle — I found project/gallery proof on H. J. Russell &amp; Company's site that could be repackaged into short-form ad concepts. I mapped a private 15-second project walkthrough with proof milestones for H. J. Russell &amp; Company using only public brand context—not for publishing, just to show the angle. We build three client-approved video ad concepts in seven days, then turn the winners into fresh variations. No filming day required. Worth sending the private sample?</x:v>
      </x:c>
      <x:c r="AV504" s="76" t="str">
        <x:v>Quick follow-up: the sample angle is a project walkthrough with proof milestones. If it misses the mark, no problem—I won't keep chasing. Should I send it?</x:v>
      </x:c>
      <x:c r="AW504" s="76" t="str">
        <x:v>Hi Gayle, Ryan here. I was looking at H. J. Russell &amp; Company's public marketing and noticed: project/gallery proof found; no embedded homepage video found. I mapped one private project walkthrough with proof milestones as an example. Did I catch you with 30 seconds?</x:v>
      </x:c>
      <x:c r="AX504" s="60" t="str">
        <x:v>https://www.facebook.com/ads/library/?active_status=active&amp;ad_type=all&amp;country=US&amp;q=H.%20J.%20Russell%20%26%20Company&amp;search_type=keyword_unordered</x:v>
      </x:c>
      <x:c r="AY504" s="60" t="str">
        <x:v>ok:200</x:v>
      </x:c>
      <x:c r="AZ504" s="60" t="n">
        <x:v>46232.722858796296</x:v>
      </x:c>
      <x:c r="BA504" s="60" t="str">
        <x:v>AI Ark SC trades export</x:v>
      </x:c>
      <x:c r="BB504" s="60" t="str">
        <x:v>https://hjrussell.com | https://www.linkedin.com/company/h-j-russell-company</x:v>
      </x:c>
      <x:c r="BC504" s="60" t="str"/>
    </x:row>
    <x:row r="505" ht="18" customHeight="1">
      <x:c r="A505" s="70" t="str">
        <x:v>504</x:v>
      </x:c>
      <x:c r="B505" s="70" t="str">
        <x:v>C - Verify</x:v>
      </x:c>
      <x:c r="C505" s="72" t="str">
        <x:v>50</x:v>
      </x:c>
      <x:c r="D505" s="60" t="str">
        <x:v>Metrocon</x:v>
      </x:c>
      <x:c r="E505" s="60" t="str">
        <x:v>https://metroconinc.net</x:v>
      </x:c>
      <x:c r="F505" s="60" t="str">
        <x:v>https://metroconinc.net</x:v>
      </x:c>
      <x:c r="G505" s="60" t="str">
        <x:v>Six Mile</x:v>
      </x:c>
      <x:c r="H505" s="60" t="str">
        <x:v>South Carolina</x:v>
      </x:c>
      <x:c r="I505" s="60" t="str">
        <x:v>General Contractor</x:v>
      </x:c>
      <x:c r="J505" s="60" t="str">
        <x:v>Dan</x:v>
      </x:c>
      <x:c r="K505" s="60" t="str">
        <x:v>Crosby</x:v>
      </x:c>
      <x:c r="L505" s="60" t="str">
        <x:v>Owner</x:v>
      </x:c>
      <x:c r="M505" s="60" t="str">
        <x:v>dcrosby@metroconinc.net</x:v>
      </x:c>
      <x:c r="N505" s="60" t="str">
        <x:v>Verified with BounceBan on 08 Jun 26 12:06</x:v>
      </x:c>
      <x:c r="O505" s="60" t="str">
        <x:v>+1 864 784 6290, +1 520 331 2092</x:v>
      </x:c>
      <x:c r="P505" s="60" t="str">
        <x:v>https://www.linkedin.com/in/dan-crosby-a1523619</x:v>
      </x:c>
      <x:c r="Q505" s="60" t="str">
        <x:v>11-50</x:v>
      </x:c>
      <x:c r="R505" s="60" t="str">
        <x:v>1000000-4999999</x:v>
      </x:c>
      <x:c r="S505" s="60" t="str"/>
      <x:c r="T505" s="74" t="str">
        <x:v>0</x:v>
      </x:c>
      <x:c r="U505" s="60" t="str"/>
      <x:c r="V505" s="74" t="str">
        <x:v>27</x:v>
      </x:c>
      <x:c r="W505" s="74" t="str">
        <x:v>3</x:v>
      </x:c>
      <x:c r="X505" s="74" t="str">
        <x:v>6</x:v>
      </x:c>
      <x:c r="Y505" s="74" t="str">
        <x:v>4</x:v>
      </x:c>
      <x:c r="Z505" s="74" t="str">
        <x:v>10</x:v>
      </x:c>
      <x:c r="AA505" s="74" t="str">
        <x:v>0</x:v>
      </x:c>
      <x:c r="AB505" s="74" t="str">
        <x:v>0</x:v>
      </x:c>
      <x:c r="AC505" s="74" t="str">
        <x:v>1</x:v>
      </x:c>
      <x:c r="AD505" s="74" t="str">
        <x:v>0</x:v>
      </x:c>
      <x:c r="AE505" s="74" t="str">
        <x:v>0</x:v>
      </x:c>
      <x:c r="AF505" s="74" t="str"/>
      <x:c r="AG505" s="74" t="str">
        <x:v>0</x:v>
      </x:c>
      <x:c r="AH505" s="74" t="str">
        <x:v>0</x:v>
      </x:c>
      <x:c r="AI505" s="74" t="str">
        <x:v>1</x:v>
      </x:c>
      <x:c r="AJ505" s="74" t="str">
        <x:v>0</x:v>
      </x:c>
      <x:c r="AK505" s="74" t="str">
        <x:v>0</x:v>
      </x:c>
      <x:c r="AL505" s="74" t="str">
        <x:v>1</x:v>
      </x:c>
      <x:c r="AM505" s="74" t="str">
        <x:v>1</x:v>
      </x:c>
      <x:c r="AN505" s="74" t="str">
        <x:v>0</x:v>
      </x:c>
      <x:c r="AO505" s="60" t="str">
        <x:v>2026</x:v>
      </x:c>
      <x:c r="AP505" s="76" t="str">
        <x:v>ICP fit; paid-demand need requires manual verification</x:v>
      </x:c>
      <x:c r="AQ505" s="76" t="str">
        <x:v>testimonials; no embedded homepage video detected</x:v>
      </x:c>
      <x:c r="AR505" s="76" t="str">
        <x:v>I was reviewing general contractor companies in Six Mile, South Carolina and Metrocon looked like a strong fit for a creative test.</x:v>
      </x:c>
      <x:c r="AS505" s="76" t="str">
        <x:v>project walkthrough with proof milestones</x:v>
      </x:c>
      <x:c r="AT505" s="76" t="str">
        <x:v>Metrocon ad concept</x:v>
      </x:c>
      <x:c r="AU505" s="76" t="str">
        <x:v>Hi Dan — I was reviewing general contractor companies in Six Mile, South Carolina and Metrocon looked like a strong fit for a creative test. I mapped a private 15-second project walkthrough with proof milestones for Metrocon using only public brand context—not for publishing, just to show the angle. We build three client-approved video ad concepts in seven days, then turn the winners into fresh variations. No filming day required. Worth sending the private sample?</x:v>
      </x:c>
      <x:c r="AV505" s="76" t="str">
        <x:v>Quick follow-up: the sample angle is a project walkthrough with proof milestones. If it misses the mark, no problem—I won't keep chasing. Should I send it?</x:v>
      </x:c>
      <x:c r="AW505" s="76" t="str">
        <x:v>Hi Dan, Ryan here. I was looking at Metrocon's public marketing and noticed: icp fit; paid-demand need requires manual verification. I mapped one private project walkthrough with proof milestones as an example. Did I catch you with 30 seconds?</x:v>
      </x:c>
      <x:c r="AX505" s="60" t="str">
        <x:v>https://www.facebook.com/ads/library/?active_status=active&amp;ad_type=all&amp;country=US&amp;q=Metrocon&amp;search_type=keyword_unordered</x:v>
      </x:c>
      <x:c r="AY505" s="60" t="str">
        <x:v>ok:200</x:v>
      </x:c>
      <x:c r="AZ505" s="60" t="n">
        <x:v>46232.722858796296</x:v>
      </x:c>
      <x:c r="BA505" s="60" t="str">
        <x:v>AI Ark SC trades export</x:v>
      </x:c>
      <x:c r="BB505" s="60" t="str">
        <x:v>https://metroconinc.net | https://www.linkedin.com/company/metrocon</x:v>
      </x:c>
      <x:c r="BC505" s="60" t="str"/>
    </x:row>
    <x:row r="506" ht="18" customHeight="1">
      <x:c r="A506" s="70" t="str">
        <x:v>505</x:v>
      </x:c>
      <x:c r="B506" s="70" t="str">
        <x:v>C - Verify</x:v>
      </x:c>
      <x:c r="C506" s="72" t="str">
        <x:v>50</x:v>
      </x:c>
      <x:c r="D506" s="60" t="str">
        <x:v>Heritage Pools, LLC</x:v>
      </x:c>
      <x:c r="E506" s="60" t="str">
        <x:v>https://swimhere.com</x:v>
      </x:c>
      <x:c r="F506" s="60" t="str">
        <x:v>https://swimhere.com</x:v>
      </x:c>
      <x:c r="G506" s="60" t="str">
        <x:v>Charleston</x:v>
      </x:c>
      <x:c r="H506" s="60" t="str">
        <x:v>South Carolina</x:v>
      </x:c>
      <x:c r="I506" s="60" t="str">
        <x:v>Remodeling</x:v>
      </x:c>
      <x:c r="J506" s="60" t="str">
        <x:v>Michael</x:v>
      </x:c>
      <x:c r="K506" s="60" t="str">
        <x:v>G.</x:v>
      </x:c>
      <x:c r="L506" s="60" t="str">
        <x:v>Owner</x:v>
      </x:c>
      <x:c r="M506" s="60" t="str">
        <x:v>michael@swimhere.com</x:v>
      </x:c>
      <x:c r="N506" s="60" t="str">
        <x:v>Verified with BounceBan on 08 Jun 26 12:06</x:v>
      </x:c>
      <x:c r="O506" s="60" t="str"/>
      <x:c r="P506" s="60" t="str">
        <x:v>https://www.linkedin.com/in/michael-g-629a4916</x:v>
      </x:c>
      <x:c r="Q506" s="60" t="str">
        <x:v>11-50</x:v>
      </x:c>
      <x:c r="R506" s="60" t="str">
        <x:v>500000-999999</x:v>
      </x:c>
      <x:c r="S506" s="60" t="str"/>
      <x:c r="T506" s="74" t="str">
        <x:v>0</x:v>
      </x:c>
      <x:c r="U506" s="60" t="str"/>
      <x:c r="V506" s="74" t="str">
        <x:v>30</x:v>
      </x:c>
      <x:c r="W506" s="74" t="str">
        <x:v>3</x:v>
      </x:c>
      <x:c r="X506" s="74" t="str">
        <x:v>6</x:v>
      </x:c>
      <x:c r="Y506" s="74" t="str">
        <x:v>4</x:v>
      </x:c>
      <x:c r="Z506" s="74" t="str">
        <x:v>7</x:v>
      </x:c>
      <x:c r="AA506" s="74" t="str">
        <x:v>0</x:v>
      </x:c>
      <x:c r="AB506" s="74" t="str">
        <x:v>0</x:v>
      </x:c>
      <x:c r="AC506" s="74" t="str">
        <x:v>1</x:v>
      </x:c>
      <x:c r="AD506" s="74" t="str">
        <x:v>0</x:v>
      </x:c>
      <x:c r="AE506" s="74" t="str">
        <x:v>0</x:v>
      </x:c>
      <x:c r="AF506" s="74" t="str"/>
      <x:c r="AG506" s="74" t="str">
        <x:v>0</x:v>
      </x:c>
      <x:c r="AH506" s="74" t="str">
        <x:v>0</x:v>
      </x:c>
      <x:c r="AI506" s="74" t="str">
        <x:v>1</x:v>
      </x:c>
      <x:c r="AJ506" s="74" t="str">
        <x:v>0</x:v>
      </x:c>
      <x:c r="AK506" s="74" t="str">
        <x:v>0</x:v>
      </x:c>
      <x:c r="AL506" s="74" t="str">
        <x:v>1</x:v>
      </x:c>
      <x:c r="AM506" s="74" t="str">
        <x:v>1</x:v>
      </x:c>
      <x:c r="AN506" s="74" t="str">
        <x:v>1</x:v>
      </x:c>
      <x:c r="AO506" s="60" t="str">
        <x:v>2026</x:v>
      </x:c>
      <x:c r="AP506" s="76" t="str">
        <x:v>ICP fit; paid-demand need requires manual verification</x:v>
      </x:c>
      <x:c r="AQ506" s="76" t="str">
        <x:v>testimonials; no embedded homepage video detected</x:v>
      </x:c>
      <x:c r="AR506" s="76" t="str">
        <x:v>I was reviewing remodeling companies in Charleston, South Carolina and Heritage Pools, LLC looked like a strong fit for a creative test.</x:v>
      </x:c>
      <x:c r="AS506" s="76" t="str">
        <x:v>project reveal with budget-and-timeline proof</x:v>
      </x:c>
      <x:c r="AT506" s="76" t="str">
        <x:v>Heritage Pools, LLC ad concept</x:v>
      </x:c>
      <x:c r="AU506" s="76" t="str">
        <x:v>Hi Michael — I was reviewing remodeling companies in Charleston, South Carolina and Heritage Pools, LLC looked like a strong fit for a creative test. I mapped a private 15-second project reveal with budget-and-timeline proof for Heritage Pools, LLC using only public brand context—not for publishing, just to show the angle. We build three client-approved video ad concepts in seven days, then turn the winners into fresh variations. No filming day required. Worth sending the private sample?</x:v>
      </x:c>
      <x:c r="AV506" s="76" t="str">
        <x:v>Quick follow-up: the sample angle is a project reveal with budget-and-timeline proof. If it misses the mark, no problem—I won't keep chasing. Should I send it?</x:v>
      </x:c>
      <x:c r="AW506" s="76" t="str">
        <x:v>Hi Michael, Ryan here. I was looking at Heritage Pools, LLC's public marketing and noticed: icp fit; paid-demand need requires manual verification. I mapped one private project reveal with budget-and-timeline proof as an example. Did I catch you with 30 seconds?</x:v>
      </x:c>
      <x:c r="AX506" s="60" t="str">
        <x:v>https://www.facebook.com/ads/library/?active_status=active&amp;ad_type=all&amp;country=US&amp;q=Heritage%20Pools%2C%20LLC&amp;search_type=keyword_unordered</x:v>
      </x:c>
      <x:c r="AY506" s="60" t="str">
        <x:v>ok:200</x:v>
      </x:c>
      <x:c r="AZ506" s="60" t="n">
        <x:v>46232.722858796296</x:v>
      </x:c>
      <x:c r="BA506" s="60" t="str">
        <x:v>AI Ark SC trades export</x:v>
      </x:c>
      <x:c r="BB506" s="60" t="str">
        <x:v>https://swimhere.com | https://www.linkedin.com/company/heritage-pools-llc</x:v>
      </x:c>
      <x:c r="BC506" s="60" t="str"/>
    </x:row>
    <x:row r="507" ht="18" customHeight="1">
      <x:c r="A507" s="70" t="str">
        <x:v>506</x:v>
      </x:c>
      <x:c r="B507" s="70" t="str">
        <x:v>C - Verify</x:v>
      </x:c>
      <x:c r="C507" s="72" t="str">
        <x:v>50</x:v>
      </x:c>
      <x:c r="D507" s="60" t="str">
        <x:v>Transform Charleston Roofing, Siding &amp; Gutters</x:v>
      </x:c>
      <x:c r="E507" s="60" t="str">
        <x:v>https://transformcharleston.com</x:v>
      </x:c>
      <x:c r="F507" s="60" t="str">
        <x:v>https://www.transformcharleston.com/</x:v>
      </x:c>
      <x:c r="G507" s="60" t="str">
        <x:v>Charleston</x:v>
      </x:c>
      <x:c r="H507" s="60" t="str">
        <x:v>South Carolina</x:v>
      </x:c>
      <x:c r="I507" s="60" t="str">
        <x:v>Roofing</x:v>
      </x:c>
      <x:c r="J507" s="60" t="str">
        <x:v>Transform Charleston Roofing, Siding &amp; Gutters</x:v>
      </x:c>
      <x:c r="K507" s="60" t="str"/>
      <x:c r="L507" s="60" t="str">
        <x:v>Owner / decision maker to verify</x:v>
      </x:c>
      <x:c r="M507" s="60" t="str"/>
      <x:c r="N507" s="60" t="str"/>
      <x:c r="O507" s="60" t="str">
        <x:v>(843) 353-3102</x:v>
      </x:c>
      <x:c r="P507" s="60" t="str"/>
      <x:c r="Q507" s="60" t="str"/>
      <x:c r="R507" s="60" t="str"/>
      <x:c r="S507" s="60" t="str">
        <x:v>5</x:v>
      </x:c>
      <x:c r="T507" s="74" t="str">
        <x:v>144</x:v>
      </x:c>
      <x:c r="U507" s="60" t="str"/>
      <x:c r="V507" s="74" t="str">
        <x:v>29</x:v>
      </x:c>
      <x:c r="W507" s="74" t="str">
        <x:v>3</x:v>
      </x:c>
      <x:c r="X507" s="74" t="str">
        <x:v>10</x:v>
      </x:c>
      <x:c r="Y507" s="74" t="str">
        <x:v>3</x:v>
      </x:c>
      <x:c r="Z507" s="74" t="str">
        <x:v>5</x:v>
      </x:c>
      <x:c r="AA507" s="74" t="str">
        <x:v>0</x:v>
      </x:c>
      <x:c r="AB507" s="74" t="str">
        <x:v>0</x:v>
      </x:c>
      <x:c r="AC507" s="74" t="str">
        <x:v>1</x:v>
      </x:c>
      <x:c r="AD507" s="74" t="str">
        <x:v>0</x:v>
      </x:c>
      <x:c r="AE507" s="74" t="str">
        <x:v>0</x:v>
      </x:c>
      <x:c r="AF507" s="74" t="str"/>
      <x:c r="AG507" s="74" t="str">
        <x:v>0</x:v>
      </x:c>
      <x:c r="AH507" s="74" t="str">
        <x:v>0</x:v>
      </x:c>
      <x:c r="AI507" s="74" t="str">
        <x:v>0</x:v>
      </x:c>
      <x:c r="AJ507" s="74" t="str">
        <x:v>0</x:v>
      </x:c>
      <x:c r="AK507" s="74" t="str">
        <x:v>0</x:v>
      </x:c>
      <x:c r="AL507" s="74" t="str">
        <x:v>0</x:v>
      </x:c>
      <x:c r="AM507" s="74" t="str">
        <x:v>0</x:v>
      </x:c>
      <x:c r="AN507" s="74" t="str">
        <x:v>0</x:v>
      </x:c>
      <x:c r="AO507" s="60" t="str">
        <x:v>0</x:v>
      </x:c>
      <x:c r="AP507" s="76" t="str">
        <x:v>144 Google reviews; no embedded homepage video found</x:v>
      </x:c>
      <x:c r="AQ507" s="76" t="str">
        <x:v>no embedded homepage video detected</x:v>
      </x:c>
      <x:c r="AR507" s="76" t="str">
        <x:v>Transform Charleston Roofing, Siding &amp; Gutters has 144 Google reviews—strong proof that could be turned into short-form ad concepts.</x:v>
      </x:c>
      <x:c r="AS507" s="76" t="str">
        <x:v>storm-to-inspection before/after ad</x:v>
      </x:c>
      <x:c r="AT507" s="76" t="str">
        <x:v>Transform Charleston Roofing, Siding &amp; Gutters ad concept</x:v>
      </x:c>
      <x:c r="AU507" s="76" t="str">
        <x:v>Hi Transform Charleston Roofing, Siding &amp; Gutters — Transform Charleston Roofing, Siding &amp; Gutters has 144 Google reviews—strong proof that could be turned into short-form ad concepts. I mapped a private 15-second storm-to-inspection before/after ad for Transform Charleston Roofing, Siding &amp; Gutters using only public brand context—not for publishing, just to show the angle. We build three client-approved video ad concepts in seven days, then turn the winners into fresh variations. No filming day required. Worth sending the private sample?</x:v>
      </x:c>
      <x:c r="AV507" s="76" t="str">
        <x:v>Quick follow-up: the sample angle is a storm-to-inspection before/after ad. If it misses the mark, no problem—I won't keep chasing. Should I send it?</x:v>
      </x:c>
      <x:c r="AW507" s="76" t="str">
        <x:v>Hi Transform Charleston Roofing, Siding &amp; Gutters, Ryan here. I was looking at Transform Charleston Roofing, Siding &amp; Gutters's public marketing and noticed: 144 google reviews; no embedded homepage video found. I mapped one private storm-to-inspection before/after ad as an example. Did I catch you with 30 seconds?</x:v>
      </x:c>
      <x:c r="AX507" s="60" t="str">
        <x:v>https://www.facebook.com/ads/library/?active_status=active&amp;ad_type=all&amp;country=US&amp;q=Transform%20Charleston%20Roofing%2C%20Siding%20%26%20Gutters&amp;search_type=keyword_unordered</x:v>
      </x:c>
      <x:c r="AY507" s="60" t="str">
        <x:v>ok:200</x:v>
      </x:c>
      <x:c r="AZ507" s="60" t="n">
        <x:v>46232.722858796296</x:v>
      </x:c>
      <x:c r="BA507" s="60" t="str">
        <x:v>Google Maps home-services export</x:v>
      </x:c>
      <x:c r="BB507" s="60" t="str">
        <x:v>https://maps.google.com/?cid=7452980731809563004&amp;g_mp=Cidnb29nbGUubWFwcy5wbGFjZXMudjEuUGxhY2VzLlNlYXJjaFRleHQQAhgEIAA | https://transformcharleston.com</x:v>
      </x:c>
      <x:c r="BC507" s="60" t="str"/>
    </x:row>
    <x:row r="508" ht="18" customHeight="1">
      <x:c r="A508" s="70" t="str">
        <x:v>507</x:v>
      </x:c>
      <x:c r="B508" s="70" t="str">
        <x:v>C - Verify</x:v>
      </x:c>
      <x:c r="C508" s="72" t="str">
        <x:v>50</x:v>
      </x:c>
      <x:c r="D508" s="60" t="str">
        <x:v>Twin Power Electric LLC</x:v>
      </x:c>
      <x:c r="E508" s="60" t="str">
        <x:v>https://twinpowerelectric.com</x:v>
      </x:c>
      <x:c r="F508" s="60" t="str">
        <x:v>https://www.twinpowerelectric.com/</x:v>
      </x:c>
      <x:c r="G508" s="60" t="str">
        <x:v>Myrtle Beach</x:v>
      </x:c>
      <x:c r="H508" s="60" t="str">
        <x:v>South Carolina</x:v>
      </x:c>
      <x:c r="I508" s="60" t="str">
        <x:v>Electrical</x:v>
      </x:c>
      <x:c r="J508" s="60" t="str">
        <x:v>Twin Power Electric LLC</x:v>
      </x:c>
      <x:c r="K508" s="60" t="str"/>
      <x:c r="L508" s="60" t="str">
        <x:v>Owner / decision maker to verify</x:v>
      </x:c>
      <x:c r="M508" s="60" t="str"/>
      <x:c r="N508" s="60" t="str"/>
      <x:c r="O508" s="60" t="str">
        <x:v>(843) 543-8096</x:v>
      </x:c>
      <x:c r="P508" s="60" t="str"/>
      <x:c r="Q508" s="60" t="str"/>
      <x:c r="R508" s="60" t="str"/>
      <x:c r="S508" s="60" t="str">
        <x:v>5</x:v>
      </x:c>
      <x:c r="T508" s="74" t="str">
        <x:v>139</x:v>
      </x:c>
      <x:c r="U508" s="60" t="str"/>
      <x:c r="V508" s="74" t="str">
        <x:v>23</x:v>
      </x:c>
      <x:c r="W508" s="74" t="str">
        <x:v>0</x:v>
      </x:c>
      <x:c r="X508" s="74" t="str">
        <x:v>10</x:v>
      </x:c>
      <x:c r="Y508" s="74" t="str">
        <x:v>12</x:v>
      </x:c>
      <x:c r="Z508" s="74" t="str">
        <x:v>5</x:v>
      </x:c>
      <x:c r="AA508" s="74" t="str">
        <x:v>0</x:v>
      </x:c>
      <x:c r="AB508" s="74" t="str">
        <x:v>0</x:v>
      </x:c>
      <x:c r="AC508" s="74" t="str">
        <x:v>0</x:v>
      </x:c>
      <x:c r="AD508" s="74" t="str">
        <x:v>0</x:v>
      </x:c>
      <x:c r="AE508" s="74" t="str">
        <x:v>0</x:v>
      </x:c>
      <x:c r="AF508" s="74" t="str"/>
      <x:c r="AG508" s="74" t="str">
        <x:v>0</x:v>
      </x:c>
      <x:c r="AH508" s="74" t="str">
        <x:v>1</x:v>
      </x:c>
      <x:c r="AI508" s="74" t="str">
        <x:v>1</x:v>
      </x:c>
      <x:c r="AJ508" s="74" t="str">
        <x:v>0</x:v>
      </x:c>
      <x:c r="AK508" s="74" t="str">
        <x:v>0</x:v>
      </x:c>
      <x:c r="AL508" s="74" t="str">
        <x:v>0</x:v>
      </x:c>
      <x:c r="AM508" s="74" t="str">
        <x:v>0</x:v>
      </x:c>
      <x:c r="AN508" s="74" t="str">
        <x:v>0</x:v>
      </x:c>
      <x:c r="AO508" s="60" t="str">
        <x:v>0</x:v>
      </x:c>
      <x:c r="AP508" s="76" t="str">
        <x:v>Project/gallery proof found; no embedded homepage video found</x:v>
      </x:c>
      <x:c r="AQ508" s="76" t="str">
        <x:v>project/gallery proof; testimonials; no embedded homepage video detected</x:v>
      </x:c>
      <x:c r="AR508" s="76" t="str">
        <x:v>I found project/gallery proof on Twin Power Electric LLC's site that could be repackaged into short-form ad concepts.</x:v>
      </x:c>
      <x:c r="AS508" s="76" t="str">
        <x:v>safety inspection problem/solution ad</x:v>
      </x:c>
      <x:c r="AT508" s="76" t="str">
        <x:v>Twin Power Electric LLC ad concept</x:v>
      </x:c>
      <x:c r="AU508" s="76" t="str">
        <x:v>Hi Twin Power Electric LLC — I found project/gallery proof on Twin Power Electric LLC's site that could be repackaged into short-form ad concepts. I mapped a private 15-second safety inspection problem/solution ad for Twin Power Electric LLC using only public brand context—not for publishing, just to show the angle. We build three client-approved video ad concepts in seven days, then turn the winners into fresh variations. No filming day required. Worth sending the private sample?</x:v>
      </x:c>
      <x:c r="AV508" s="76" t="str">
        <x:v>Quick follow-up: the sample angle is a safety inspection problem/solution ad. If it misses the mark, no problem—I won't keep chasing. Should I send it?</x:v>
      </x:c>
      <x:c r="AW508" s="76" t="str">
        <x:v>Hi Twin Power Electric LLC, Ryan here. I was looking at Twin Power Electric LLC's public marketing and noticed: project/gallery proof found; no embedded homepage video found. I mapped one private safety inspection problem/solution ad as an example. Did I catch you with 30 seconds?</x:v>
      </x:c>
      <x:c r="AX508" s="60" t="str">
        <x:v>https://www.facebook.com/ads/library/?active_status=active&amp;ad_type=all&amp;country=US&amp;q=Twin%20Power%20Electric%20LLC&amp;search_type=keyword_unordered</x:v>
      </x:c>
      <x:c r="AY508" s="60" t="str">
        <x:v>ok:200</x:v>
      </x:c>
      <x:c r="AZ508" s="60" t="n">
        <x:v>46232.722858796296</x:v>
      </x:c>
      <x:c r="BA508" s="60" t="str">
        <x:v>Google Maps home-services export</x:v>
      </x:c>
      <x:c r="BB508" s="60" t="str">
        <x:v>https://maps.google.com/?cid=123536974326208206&amp;g_mp=Cidnb29nbGUubWFwcy5wbGFjZXMudjEuUGxhY2VzLlNlYXJjaFRleHQQAhgEIAA | https://twinpowerelectric.com</x:v>
      </x:c>
      <x:c r="BC508" s="60" t="str"/>
    </x:row>
    <x:row r="509" ht="18" customHeight="1">
      <x:c r="A509" s="70" t="str">
        <x:v>508</x:v>
      </x:c>
      <x:c r="B509" s="70" t="str">
        <x:v>C - Verify</x:v>
      </x:c>
      <x:c r="C509" s="72" t="str">
        <x:v>50</x:v>
      </x:c>
      <x:c r="D509" s="60" t="str">
        <x:v>Spartanburg Overhead Anytime Garage Door Repair</x:v>
      </x:c>
      <x:c r="E509" s="60" t="str">
        <x:v>https://anytime-gdr.com</x:v>
      </x:c>
      <x:c r="F509" s="60" t="str">
        <x:v>https://anytime-gdr.com</x:v>
      </x:c>
      <x:c r="G509" s="60" t="str">
        <x:v>Spartanburg</x:v>
      </x:c>
      <x:c r="H509" s="60" t="str">
        <x:v>South Carolina</x:v>
      </x:c>
      <x:c r="I509" s="60" t="str">
        <x:v>Garage Doors</x:v>
      </x:c>
      <x:c r="J509" s="60" t="str">
        <x:v>Spartanburg Overhead Anytime Garage Door Repair</x:v>
      </x:c>
      <x:c r="K509" s="60" t="str"/>
      <x:c r="L509" s="60" t="str">
        <x:v>Owner / decision maker to verify</x:v>
      </x:c>
      <x:c r="M509" s="60" t="str"/>
      <x:c r="N509" s="60" t="str"/>
      <x:c r="O509" s="60" t="str">
        <x:v>(864) 863-7288</x:v>
      </x:c>
      <x:c r="P509" s="60" t="str"/>
      <x:c r="Q509" s="60" t="str"/>
      <x:c r="R509" s="60" t="str"/>
      <x:c r="S509" s="60" t="str">
        <x:v>5</x:v>
      </x:c>
      <x:c r="T509" s="74" t="str">
        <x:v>84</x:v>
      </x:c>
      <x:c r="U509" s="60" t="str"/>
      <x:c r="V509" s="74" t="str">
        <x:v>22</x:v>
      </x:c>
      <x:c r="W509" s="74" t="str">
        <x:v>0</x:v>
      </x:c>
      <x:c r="X509" s="74" t="str">
        <x:v>13</x:v>
      </x:c>
      <x:c r="Y509" s="74" t="str">
        <x:v>10</x:v>
      </x:c>
      <x:c r="Z509" s="74" t="str">
        <x:v>5</x:v>
      </x:c>
      <x:c r="AA509" s="74" t="str">
        <x:v>0</x:v>
      </x:c>
      <x:c r="AB509" s="74" t="str">
        <x:v>0</x:v>
      </x:c>
      <x:c r="AC509" s="74" t="str">
        <x:v>0</x:v>
      </x:c>
      <x:c r="AD509" s="74" t="str">
        <x:v>0</x:v>
      </x:c>
      <x:c r="AE509" s="74" t="str">
        <x:v>0</x:v>
      </x:c>
      <x:c r="AF509" s="74" t="str"/>
      <x:c r="AG509" s="74" t="str">
        <x:v>0</x:v>
      </x:c>
      <x:c r="AH509" s="74" t="str">
        <x:v>1</x:v>
      </x:c>
      <x:c r="AI509" s="74" t="str">
        <x:v>0</x:v>
      </x:c>
      <x:c r="AJ509" s="74" t="str">
        <x:v>0</x:v>
      </x:c>
      <x:c r="AK509" s="74" t="str">
        <x:v>1</x:v>
      </x:c>
      <x:c r="AL509" s="74" t="str">
        <x:v>0</x:v>
      </x:c>
      <x:c r="AM509" s="74" t="str">
        <x:v>1</x:v>
      </x:c>
      <x:c r="AN509" s="74" t="str">
        <x:v>0</x:v>
      </x:c>
      <x:c r="AO509" s="60" t="str">
        <x:v>2024</x:v>
      </x:c>
      <x:c r="AP509" s="76" t="str">
        <x:v>Project/gallery proof found; no embedded homepage video found</x:v>
      </x:c>
      <x:c r="AQ509" s="76" t="str">
        <x:v>project/gallery proof; visible service offer; no embedded homepage video detected</x:v>
      </x:c>
      <x:c r="AR509" s="76" t="str">
        <x:v>I found project/gallery proof on Spartanburg Overhead Anytime Garage Door Repair's site that could be repackaged into short-form ad concepts.</x:v>
      </x:c>
      <x:c r="AS509" s="76" t="str">
        <x:v>curb-appeal transformation ad</x:v>
      </x:c>
      <x:c r="AT509" s="76" t="str">
        <x:v>Spartanburg Overhead Anytime Garage Door Repair ad concept</x:v>
      </x:c>
      <x:c r="AU509" s="76" t="str">
        <x:v>Hi Spartanburg Overhead Anytime Garage Door Repair — I found project/gallery proof on Spartanburg Overhead Anytime Garage Door Repair's site that could be repackaged into short-form ad concepts. I mapped a private 15-second curb-appeal transformation ad for Spartanburg Overhead Anytime Garage Door Repair using only public brand context—not for publishing, just to show the angle. We build three client-approved video ad concepts in seven days, then turn the winners into fresh variations. No filming day required. Worth sending the private sample?</x:v>
      </x:c>
      <x:c r="AV509" s="76" t="str">
        <x:v>Quick follow-up: the sample angle is a curb-appeal transformation ad. If it misses the mark, no problem—I won't keep chasing. Should I send it?</x:v>
      </x:c>
      <x:c r="AW509" s="76" t="str">
        <x:v>Hi Spartanburg Overhead Anytime Garage Door Repair, Ryan here. I was looking at Spartanburg Overhead Anytime Garage Door Repair's public marketing and noticed: project/gallery proof found; no embedded homepage video found. I mapped one private curb-appeal transformation ad as an example. Did I catch you with 30 seconds?</x:v>
      </x:c>
      <x:c r="AX509" s="60" t="str">
        <x:v>https://www.facebook.com/ads/library/?active_status=active&amp;ad_type=all&amp;country=US&amp;q=Spartanburg%20Overhead%20Anytime%20Garage%20Door%20Repair&amp;search_type=keyword_unordered</x:v>
      </x:c>
      <x:c r="AY509" s="60" t="str">
        <x:v>ok:200</x:v>
      </x:c>
      <x:c r="AZ509" s="60" t="n">
        <x:v>46232.722858796296</x:v>
      </x:c>
      <x:c r="BA509" s="60" t="str">
        <x:v>Google Maps home-services export</x:v>
      </x:c>
      <x:c r="BB509" s="60" t="str">
        <x:v>https://anytime-gdr.com | https://maps.google.com/?cid=14735944611739370973&amp;g_mp=Cidnb29nbGUubWFwcy5wbGFjZXMudjEuUGxhY2VzLlNlYXJjaFRleHQQAhgEIAA | https://maps.google.com/?cid=17775665706916215932&amp;g_mp=Cidnb29nbGUubWFwcy5wbGFjZXMudjEuUGxhY2VzLlNlYXJjaFRleHQQAhgEIAA</x:v>
      </x:c>
      <x:c r="BC509" s="60" t="str"/>
    </x:row>
    <x:row r="510" ht="18" customHeight="1">
      <x:c r="A510" s="70" t="str">
        <x:v>509</x:v>
      </x:c>
      <x:c r="B510" s="70" t="str">
        <x:v>C - Verify</x:v>
      </x:c>
      <x:c r="C510" s="72" t="str">
        <x:v>50</x:v>
      </x:c>
      <x:c r="D510" s="60" t="str">
        <x:v>Ohana Services Remodeling</x:v>
      </x:c>
      <x:c r="E510" s="60" t="str">
        <x:v>https://ohanaservicesremodeling.com</x:v>
      </x:c>
      <x:c r="F510" s="60" t="str">
        <x:v>https://ohanaservicesremodeling.com</x:v>
      </x:c>
      <x:c r="G510" s="60" t="str">
        <x:v>Fort Mill</x:v>
      </x:c>
      <x:c r="H510" s="60" t="str">
        <x:v>South Carolina</x:v>
      </x:c>
      <x:c r="I510" s="60" t="str">
        <x:v>Remodeling</x:v>
      </x:c>
      <x:c r="J510" s="60" t="str">
        <x:v>Haley</x:v>
      </x:c>
      <x:c r="K510" s="60" t="str">
        <x:v>Macanas</x:v>
      </x:c>
      <x:c r="L510" s="60" t="str">
        <x:v>Owner</x:v>
      </x:c>
      <x:c r="M510" s="60" t="str">
        <x:v>haley@ohanaservicesremodeling.com</x:v>
      </x:c>
      <x:c r="N510" s="60" t="str">
        <x:v>Verified with BounceBan on 08 Jun 26 12:06</x:v>
      </x:c>
      <x:c r="O510" s="60" t="str"/>
      <x:c r="P510" s="60" t="str">
        <x:v>https://www.linkedin.com/in/haley-macanas-38b069135</x:v>
      </x:c>
      <x:c r="Q510" s="60" t="str">
        <x:v>11-50</x:v>
      </x:c>
      <x:c r="R510" s="60" t="str">
        <x:v>100000-499999</x:v>
      </x:c>
      <x:c r="S510" s="60" t="str"/>
      <x:c r="T510" s="74" t="str">
        <x:v>0</x:v>
      </x:c>
      <x:c r="U510" s="60" t="str"/>
      <x:c r="V510" s="74" t="str">
        <x:v>28</x:v>
      </x:c>
      <x:c r="W510" s="74" t="str">
        <x:v>0</x:v>
      </x:c>
      <x:c r="X510" s="74" t="str">
        <x:v>6</x:v>
      </x:c>
      <x:c r="Y510" s="74" t="str">
        <x:v>9</x:v>
      </x:c>
      <x:c r="Z510" s="74" t="str">
        <x:v>7</x:v>
      </x:c>
      <x:c r="AA510" s="74" t="str">
        <x:v>0</x:v>
      </x:c>
      <x:c r="AB510" s="74" t="str">
        <x:v>0</x:v>
      </x:c>
      <x:c r="AC510" s="74" t="str">
        <x:v>0</x:v>
      </x:c>
      <x:c r="AD510" s="74" t="str">
        <x:v>0</x:v>
      </x:c>
      <x:c r="AE510" s="74" t="str">
        <x:v>0</x:v>
      </x:c>
      <x:c r="AF510" s="74" t="str"/>
      <x:c r="AG510" s="74" t="str">
        <x:v>0</x:v>
      </x:c>
      <x:c r="AH510" s="74" t="str">
        <x:v>1</x:v>
      </x:c>
      <x:c r="AI510" s="74" t="str">
        <x:v>1</x:v>
      </x:c>
      <x:c r="AJ510" s="74" t="str">
        <x:v>0</x:v>
      </x:c>
      <x:c r="AK510" s="74" t="str">
        <x:v>0</x:v>
      </x:c>
      <x:c r="AL510" s="74" t="str">
        <x:v>1</x:v>
      </x:c>
      <x:c r="AM510" s="74" t="str">
        <x:v>1</x:v>
      </x:c>
      <x:c r="AN510" s="74" t="str">
        <x:v>0</x:v>
      </x:c>
      <x:c r="AO510" s="60" t="str">
        <x:v>2026</x:v>
      </x:c>
      <x:c r="AP510" s="76" t="str">
        <x:v>Project/gallery proof found; no embedded homepage video found</x:v>
      </x:c>
      <x:c r="AQ510" s="76" t="str">
        <x:v>project/gallery proof; testimonials; no embedded homepage video detected</x:v>
      </x:c>
      <x:c r="AR510" s="76" t="str">
        <x:v>I found project/gallery proof on Ohana Services Remodeling's site that could be repackaged into short-form ad concepts.</x:v>
      </x:c>
      <x:c r="AS510" s="76" t="str">
        <x:v>project reveal with budget-and-timeline proof</x:v>
      </x:c>
      <x:c r="AT510" s="76" t="str">
        <x:v>Ohana Services Remodeling ad concept</x:v>
      </x:c>
      <x:c r="AU510" s="76" t="str">
        <x:v>Hi Haley — I found project/gallery proof on Ohana Services Remodeling's site that could be repackaged into short-form ad concepts. I mapped a private 15-second project reveal with budget-and-timeline proof for Ohana Services Remodeling using only public brand context—not for publishing, just to show the angle. We build three client-approved video ad concepts in seven days, then turn the winners into fresh variations. No filming day required. Worth sending the private sample?</x:v>
      </x:c>
      <x:c r="AV510" s="76" t="str">
        <x:v>Quick follow-up: the sample angle is a project reveal with budget-and-timeline proof. If it misses the mark, no problem—I won't keep chasing. Should I send it?</x:v>
      </x:c>
      <x:c r="AW510" s="76" t="str">
        <x:v>Hi Haley, Ryan here. I was looking at Ohana Services Remodeling's public marketing and noticed: project/gallery proof found; no embedded homepage video found. I mapped one private project reveal with budget-and-timeline proof as an example. Did I catch you with 30 seconds?</x:v>
      </x:c>
      <x:c r="AX510" s="60" t="str">
        <x:v>https://www.facebook.com/ads/library/?active_status=active&amp;ad_type=all&amp;country=US&amp;q=Ohana%20Services%20Remodeling&amp;search_type=keyword_unordered</x:v>
      </x:c>
      <x:c r="AY510" s="60" t="str">
        <x:v>ok:200</x:v>
      </x:c>
      <x:c r="AZ510" s="60" t="n">
        <x:v>46232.722858796296</x:v>
      </x:c>
      <x:c r="BA510" s="60" t="str">
        <x:v>AI Ark SC trades export</x:v>
      </x:c>
      <x:c r="BB510" s="60" t="str">
        <x:v>https://ohanaservicesremodeling.com | https://www.linkedin.com/company/ohana-services-remodeling</x:v>
      </x:c>
      <x:c r="BC510" s="60" t="str"/>
    </x:row>
    <x:row r="511" ht="18" customHeight="1">
      <x:c r="A511" s="70" t="str">
        <x:v>510</x:v>
      </x:c>
      <x:c r="B511" s="70" t="str">
        <x:v>C - Verify</x:v>
      </x:c>
      <x:c r="C511" s="72" t="str">
        <x:v>50</x:v>
      </x:c>
      <x:c r="D511" s="60" t="str">
        <x:v>TearItUpFloorRemoval</x:v>
      </x:c>
      <x:c r="E511" s="60" t="str">
        <x:v>https://tearitupfloors.com</x:v>
      </x:c>
      <x:c r="F511" s="60" t="str">
        <x:v>https://www.tearitupfloors.com/</x:v>
      </x:c>
      <x:c r="G511" s="60" t="str">
        <x:v>Chapin</x:v>
      </x:c>
      <x:c r="H511" s="60" t="str">
        <x:v>South Carolina</x:v>
      </x:c>
      <x:c r="I511" s="60" t="str">
        <x:v>Flooring</x:v>
      </x:c>
      <x:c r="J511" s="60" t="str">
        <x:v>Robin</x:v>
      </x:c>
      <x:c r="K511" s="60" t="str">
        <x:v>Roberts</x:v>
      </x:c>
      <x:c r="L511" s="60" t="str">
        <x:v>Company Owner</x:v>
      </x:c>
      <x:c r="M511" s="60" t="str"/>
      <x:c r="N511" s="60" t="str"/>
      <x:c r="O511" s="60" t="str">
        <x:v>+1 904 287 4848</x:v>
      </x:c>
      <x:c r="P511" s="60" t="str">
        <x:v>https://www.linkedin.com/in/robin-roberts-b46401a9</x:v>
      </x:c>
      <x:c r="Q511" s="60" t="str">
        <x:v>2-10</x:v>
      </x:c>
      <x:c r="R511" s="60" t="str">
        <x:v>0-99999</x:v>
      </x:c>
      <x:c r="S511" s="60" t="str"/>
      <x:c r="T511" s="74" t="str">
        <x:v>0</x:v>
      </x:c>
      <x:c r="U511" s="60" t="str"/>
      <x:c r="V511" s="74" t="str">
        <x:v>23</x:v>
      </x:c>
      <x:c r="W511" s="74" t="str">
        <x:v>0</x:v>
      </x:c>
      <x:c r="X511" s="74" t="str">
        <x:v>13</x:v>
      </x:c>
      <x:c r="Y511" s="74" t="str">
        <x:v>9</x:v>
      </x:c>
      <x:c r="Z511" s="74" t="str">
        <x:v>5</x:v>
      </x:c>
      <x:c r="AA511" s="74" t="str">
        <x:v>0</x:v>
      </x:c>
      <x:c r="AB511" s="74" t="str">
        <x:v>0</x:v>
      </x:c>
      <x:c r="AC511" s="74" t="str">
        <x:v>0</x:v>
      </x:c>
      <x:c r="AD511" s="74" t="str">
        <x:v>0</x:v>
      </x:c>
      <x:c r="AE511" s="74" t="str">
        <x:v>0</x:v>
      </x:c>
      <x:c r="AF511" s="74" t="str"/>
      <x:c r="AG511" s="74" t="str">
        <x:v>0</x:v>
      </x:c>
      <x:c r="AH511" s="74" t="str">
        <x:v>1</x:v>
      </x:c>
      <x:c r="AI511" s="74" t="str">
        <x:v>1</x:v>
      </x:c>
      <x:c r="AJ511" s="74" t="str">
        <x:v>0</x:v>
      </x:c>
      <x:c r="AK511" s="74" t="str">
        <x:v>0</x:v>
      </x:c>
      <x:c r="AL511" s="74" t="str">
        <x:v>0</x:v>
      </x:c>
      <x:c r="AM511" s="74" t="str">
        <x:v>1</x:v>
      </x:c>
      <x:c r="AN511" s="74" t="str">
        <x:v>0</x:v>
      </x:c>
      <x:c r="AO511" s="60" t="str">
        <x:v>2020</x:v>
      </x:c>
      <x:c r="AP511" s="76" t="str">
        <x:v>Project/gallery proof found; no embedded homepage video found</x:v>
      </x:c>
      <x:c r="AQ511" s="76" t="str">
        <x:v>project/gallery proof; testimonials; no embedded homepage video detected</x:v>
      </x:c>
      <x:c r="AR511" s="76" t="str">
        <x:v>I found project/gallery proof on TearItUpFloorRemoval's site that could be repackaged into short-form ad concepts.</x:v>
      </x:c>
      <x:c r="AS511" s="76" t="str">
        <x:v>room transformation before/after ad</x:v>
      </x:c>
      <x:c r="AT511" s="76" t="str">
        <x:v>TearItUpFloorRemoval ad concept</x:v>
      </x:c>
      <x:c r="AU511" s="76" t="str">
        <x:v>Hi Robin — I found project/gallery proof on TearItUpFloorRemoval's site that could be repackaged into short-form ad concepts. I mapped a private 15-second room transformation before/after ad for TearItUpFloorRemoval using only public brand context—not for publishing, just to show the angle. We build three client-approved video ad concepts in seven days, then turn the winners into fresh variations. No filming day required. Worth sending the private sample?</x:v>
      </x:c>
      <x:c r="AV511" s="76" t="str">
        <x:v>Quick follow-up: the sample angle is a room transformation before/after ad. If it misses the mark, no problem—I won't keep chasing. Should I send it?</x:v>
      </x:c>
      <x:c r="AW511" s="76" t="str">
        <x:v>Hi Robin, Ryan here. I was looking at TearItUpFloorRemoval's public marketing and noticed: project/gallery proof found; no embedded homepage video found. I mapped one private room transformation before/after ad as an example. Did I catch you with 30 seconds?</x:v>
      </x:c>
      <x:c r="AX511" s="60" t="str">
        <x:v>https://www.facebook.com/ads/library/?active_status=active&amp;ad_type=all&amp;country=US&amp;q=TearItUpFloorRemoval&amp;search_type=keyword_unordered</x:v>
      </x:c>
      <x:c r="AY511" s="60" t="str">
        <x:v>ok:200</x:v>
      </x:c>
      <x:c r="AZ511" s="60" t="n">
        <x:v>46232.722858796296</x:v>
      </x:c>
      <x:c r="BA511" s="60" t="str">
        <x:v>AI Ark SC trades export</x:v>
      </x:c>
      <x:c r="BB511" s="60" t="str">
        <x:v>https://tearitupfloors.com | https://www.linkedin.com/company/tearitupfloorremoval</x:v>
      </x:c>
      <x:c r="BC511" s="60" t="str"/>
    </x:row>
    <x:row r="512" ht="18" customHeight="1">
      <x:c r="A512" s="70" t="str">
        <x:v>511</x:v>
      </x:c>
      <x:c r="B512" s="70" t="str">
        <x:v>C - Verify</x:v>
      </x:c>
      <x:c r="C512" s="72" t="str">
        <x:v>50</x:v>
      </x:c>
      <x:c r="D512" s="60" t="str">
        <x:v>R &amp; M Construction Co.</x:v>
      </x:c>
      <x:c r="E512" s="60" t="str">
        <x:v>https://rmconstructionco.com</x:v>
      </x:c>
      <x:c r="F512" s="60" t="str">
        <x:v>https://rmconstructionco.com</x:v>
      </x:c>
      <x:c r="G512" s="60" t="str">
        <x:v>Ladson</x:v>
      </x:c>
      <x:c r="H512" s="60" t="str">
        <x:v>South Carolina</x:v>
      </x:c>
      <x:c r="I512" s="60" t="str">
        <x:v>Windows &amp; Doors</x:v>
      </x:c>
      <x:c r="J512" s="60" t="str">
        <x:v>Robert</x:v>
      </x:c>
      <x:c r="K512" s="60" t="str">
        <x:v>McNeely</x:v>
      </x:c>
      <x:c r="L512" s="60" t="str">
        <x:v>Co owner</x:v>
      </x:c>
      <x:c r="M512" s="60" t="str"/>
      <x:c r="N512" s="60" t="str"/>
      <x:c r="O512" s="60" t="str">
        <x:v>+1 610 666 0287</x:v>
      </x:c>
      <x:c r="P512" s="60" t="str">
        <x:v>https://www.linkedin.com/in/robert-mcneely-225b84b2</x:v>
      </x:c>
      <x:c r="Q512" s="60" t="str">
        <x:v>2-10</x:v>
      </x:c>
      <x:c r="R512" s="60" t="str">
        <x:v>1000000-4999999</x:v>
      </x:c>
      <x:c r="S512" s="60" t="str"/>
      <x:c r="T512" s="74" t="str">
        <x:v>0</x:v>
      </x:c>
      <x:c r="U512" s="60" t="str"/>
      <x:c r="V512" s="74" t="str">
        <x:v>30</x:v>
      </x:c>
      <x:c r="W512" s="74" t="str">
        <x:v>0</x:v>
      </x:c>
      <x:c r="X512" s="74" t="str">
        <x:v>6</x:v>
      </x:c>
      <x:c r="Y512" s="74" t="str">
        <x:v>9</x:v>
      </x:c>
      <x:c r="Z512" s="74" t="str">
        <x:v>5</x:v>
      </x:c>
      <x:c r="AA512" s="74" t="str">
        <x:v>0</x:v>
      </x:c>
      <x:c r="AB512" s="74" t="str">
        <x:v>0</x:v>
      </x:c>
      <x:c r="AC512" s="74" t="str">
        <x:v>0</x:v>
      </x:c>
      <x:c r="AD512" s="74" t="str">
        <x:v>0</x:v>
      </x:c>
      <x:c r="AE512" s="74" t="str">
        <x:v>0</x:v>
      </x:c>
      <x:c r="AF512" s="74" t="str"/>
      <x:c r="AG512" s="74" t="str">
        <x:v>0</x:v>
      </x:c>
      <x:c r="AH512" s="74" t="str">
        <x:v>1</x:v>
      </x:c>
      <x:c r="AI512" s="74" t="str">
        <x:v>1</x:v>
      </x:c>
      <x:c r="AJ512" s="74" t="str">
        <x:v>0</x:v>
      </x:c>
      <x:c r="AK512" s="74" t="str">
        <x:v>0</x:v>
      </x:c>
      <x:c r="AL512" s="74" t="str">
        <x:v>1</x:v>
      </x:c>
      <x:c r="AM512" s="74" t="str">
        <x:v>1</x:v>
      </x:c>
      <x:c r="AN512" s="74" t="str">
        <x:v>0</x:v>
      </x:c>
      <x:c r="AO512" s="60" t="str">
        <x:v>2026</x:v>
      </x:c>
      <x:c r="AP512" s="76" t="str">
        <x:v>Project/gallery proof found; no embedded homepage video found</x:v>
      </x:c>
      <x:c r="AQ512" s="76" t="str">
        <x:v>project/gallery proof; testimonials; no embedded homepage video detected</x:v>
      </x:c>
      <x:c r="AR512" s="76" t="str">
        <x:v>I found project/gallery proof on R &amp; M Construction Co.'s site that could be repackaged into short-form ad concepts.</x:v>
      </x:c>
      <x:c r="AS512" s="76" t="str">
        <x:v>energy-loss to installed-window transformation ad</x:v>
      </x:c>
      <x:c r="AT512" s="76" t="str">
        <x:v>R &amp; M Construction Co. ad concept</x:v>
      </x:c>
      <x:c r="AU512" s="76" t="str">
        <x:v>Hi Robert — I found project/gallery proof on R &amp; M Construction Co.'s site that could be repackaged into short-form ad concepts. I mapped a private 15-second energy-loss to installed-window transformation ad for R &amp; M Construction Co. using only public brand context—not for publishing, just to show the angle. We build three client-approved video ad concepts in seven days, then turn the winners into fresh variations. No filming day required. Worth sending the private sample?</x:v>
      </x:c>
      <x:c r="AV512" s="76" t="str">
        <x:v>Quick follow-up: the sample angle is a energy-loss to installed-window transformation ad. If it misses the mark, no problem—I won't keep chasing. Should I send it?</x:v>
      </x:c>
      <x:c r="AW512" s="76" t="str">
        <x:v>Hi Robert, Ryan here. I was looking at R &amp; M Construction Co.'s public marketing and noticed: project/gallery proof found; no embedded homepage video found. I mapped one private energy-loss to installed-window transformation ad as an example. Did I catch you with 30 seconds?</x:v>
      </x:c>
      <x:c r="AX512" s="60" t="str">
        <x:v>https://www.facebook.com/ads/library/?active_status=active&amp;ad_type=all&amp;country=US&amp;q=R%20%26%20M%20Construction%20Co.&amp;search_type=keyword_unordered</x:v>
      </x:c>
      <x:c r="AY512" s="60" t="str">
        <x:v>ok:200</x:v>
      </x:c>
      <x:c r="AZ512" s="60" t="n">
        <x:v>46232.722858796296</x:v>
      </x:c>
      <x:c r="BA512" s="60" t="str">
        <x:v>AI Ark SC trades export</x:v>
      </x:c>
      <x:c r="BB512" s="60" t="str">
        <x:v>https://rmconstructionco.com | https://www.linkedin.com/company/r-&amp;-m-construction-co.</x:v>
      </x:c>
      <x:c r="BC512" s="60" t="str"/>
    </x:row>
    <x:row r="513" ht="18" customHeight="1">
      <x:c r="A513" s="70" t="str">
        <x:v>512</x:v>
      </x:c>
      <x:c r="B513" s="70" t="str">
        <x:v>C - Verify</x:v>
      </x:c>
      <x:c r="C513" s="72" t="str">
        <x:v>50</x:v>
      </x:c>
      <x:c r="D513" s="60" t="str">
        <x:v>Palmetto Painting</x:v>
      </x:c>
      <x:c r="E513" s="60" t="str">
        <x:v>https://palmettopaintingsc.com</x:v>
      </x:c>
      <x:c r="F513" s="60" t="str">
        <x:v>https://www.palmettopaintingsc.com/</x:v>
      </x:c>
      <x:c r="G513" s="60" t="str">
        <x:v>Rock Hill</x:v>
      </x:c>
      <x:c r="H513" s="60" t="str">
        <x:v>South Carolina</x:v>
      </x:c>
      <x:c r="I513" s="60" t="str">
        <x:v>Remodeling</x:v>
      </x:c>
      <x:c r="J513" s="60" t="str">
        <x:v>Chris</x:v>
      </x:c>
      <x:c r="K513" s="60" t="str">
        <x:v>Harvell</x:v>
      </x:c>
      <x:c r="L513" s="60" t="str">
        <x:v>Owner</x:v>
      </x:c>
      <x:c r="M513" s="60" t="str"/>
      <x:c r="N513" s="60" t="str"/>
      <x:c r="O513" s="60" t="str">
        <x:v>+1 803 260 0160, +1 561 866 8479</x:v>
      </x:c>
      <x:c r="P513" s="60" t="str">
        <x:v>https://www.linkedin.com/in/chris-harvell-2396a2b5</x:v>
      </x:c>
      <x:c r="Q513" s="60" t="str">
        <x:v>2-10</x:v>
      </x:c>
      <x:c r="R513" s="60" t="str">
        <x:v>500000-999999</x:v>
      </x:c>
      <x:c r="S513" s="60" t="str"/>
      <x:c r="T513" s="74" t="str">
        <x:v>0</x:v>
      </x:c>
      <x:c r="U513" s="60" t="str"/>
      <x:c r="V513" s="74" t="str">
        <x:v>27</x:v>
      </x:c>
      <x:c r="W513" s="74" t="str">
        <x:v>0</x:v>
      </x:c>
      <x:c r="X513" s="74" t="str">
        <x:v>10</x:v>
      </x:c>
      <x:c r="Y513" s="74" t="str">
        <x:v>8</x:v>
      </x:c>
      <x:c r="Z513" s="74" t="str">
        <x:v>5</x:v>
      </x:c>
      <x:c r="AA513" s="74" t="str">
        <x:v>0</x:v>
      </x:c>
      <x:c r="AB513" s="74" t="str">
        <x:v>0</x:v>
      </x:c>
      <x:c r="AC513" s="74" t="str">
        <x:v>0</x:v>
      </x:c>
      <x:c r="AD513" s="74" t="str">
        <x:v>0</x:v>
      </x:c>
      <x:c r="AE513" s="74" t="str">
        <x:v>0</x:v>
      </x:c>
      <x:c r="AF513" s="74" t="str"/>
      <x:c r="AG513" s="74" t="str">
        <x:v>0</x:v>
      </x:c>
      <x:c r="AH513" s="74" t="str">
        <x:v>1</x:v>
      </x:c>
      <x:c r="AI513" s="74" t="str">
        <x:v>0</x:v>
      </x:c>
      <x:c r="AJ513" s="74" t="str">
        <x:v>0</x:v>
      </x:c>
      <x:c r="AK513" s="74" t="str">
        <x:v>1</x:v>
      </x:c>
      <x:c r="AL513" s="74" t="str">
        <x:v>0</x:v>
      </x:c>
      <x:c r="AM513" s="74" t="str">
        <x:v>1</x:v>
      </x:c>
      <x:c r="AN513" s="74" t="str">
        <x:v>0</x:v>
      </x:c>
      <x:c r="AO513" s="60" t="str">
        <x:v>0</x:v>
      </x:c>
      <x:c r="AP513" s="76" t="str">
        <x:v>Project/gallery proof found; no embedded homepage video found</x:v>
      </x:c>
      <x:c r="AQ513" s="76" t="str">
        <x:v>project/gallery proof; visible service offer; no embedded homepage video detected</x:v>
      </x:c>
      <x:c r="AR513" s="76" t="str">
        <x:v>I found project/gallery proof on Palmetto Painting's site that could be repackaged into short-form ad concepts.</x:v>
      </x:c>
      <x:c r="AS513" s="76" t="str">
        <x:v>project reveal with budget-and-timeline proof</x:v>
      </x:c>
      <x:c r="AT513" s="76" t="str">
        <x:v>Palmetto Painting ad concept</x:v>
      </x:c>
      <x:c r="AU513" s="76" t="str">
        <x:v>Hi Chris — I found project/gallery proof on Palmetto Painting's site that could be repackaged into short-form ad concepts. I mapped a private 15-second project reveal with budget-and-timeline proof for Palmetto Painting using only public brand context—not for publishing, just to show the angle. We build three client-approved video ad concepts in seven days, then turn the winners into fresh variations. No filming day required. Worth sending the private sample?</x:v>
      </x:c>
      <x:c r="AV513" s="76" t="str">
        <x:v>Quick follow-up: the sample angle is a project reveal with budget-and-timeline proof. If it misses the mark, no problem—I won't keep chasing. Should I send it?</x:v>
      </x:c>
      <x:c r="AW513" s="76" t="str">
        <x:v>Hi Chris, Ryan here. I was looking at Palmetto Painting's public marketing and noticed: project/gallery proof found; no embedded homepage video found. I mapped one private project reveal with budget-and-timeline proof as an example. Did I catch you with 30 seconds?</x:v>
      </x:c>
      <x:c r="AX513" s="60" t="str">
        <x:v>https://www.facebook.com/ads/library/?active_status=active&amp;ad_type=all&amp;country=US&amp;q=Palmetto%20Painting&amp;search_type=keyword_unordered</x:v>
      </x:c>
      <x:c r="AY513" s="60" t="str">
        <x:v>ok:200</x:v>
      </x:c>
      <x:c r="AZ513" s="60" t="n">
        <x:v>46232.722858796296</x:v>
      </x:c>
      <x:c r="BA513" s="60" t="str">
        <x:v>AI Ark SC trades export</x:v>
      </x:c>
      <x:c r="BB513" s="60" t="str">
        <x:v>https://palmettopaintingsc.com | https://www.linkedin.com/company/palmetto-painting</x:v>
      </x:c>
      <x:c r="BC513" s="60" t="str"/>
    </x:row>
    <x:row r="514" ht="18" customHeight="1">
      <x:c r="A514" s="70" t="str">
        <x:v>513</x:v>
      </x:c>
      <x:c r="B514" s="70" t="str">
        <x:v>C - Verify</x:v>
      </x:c>
      <x:c r="C514" s="72" t="str">
        <x:v>50</x:v>
      </x:c>
      <x:c r="D514" s="60" t="str">
        <x:v>Lexington Earthworks, Inc.</x:v>
      </x:c>
      <x:c r="E514" s="60" t="str">
        <x:v>https://lexingtonearthworks.com</x:v>
      </x:c>
      <x:c r="F514" s="60" t="str">
        <x:v>https://lexingtonearthworks.com</x:v>
      </x:c>
      <x:c r="G514" s="60" t="str">
        <x:v>Gaston</x:v>
      </x:c>
      <x:c r="H514" s="60" t="str">
        <x:v>South Carolina</x:v>
      </x:c>
      <x:c r="I514" s="60" t="str">
        <x:v>Plumbing</x:v>
      </x:c>
      <x:c r="J514" s="60" t="str">
        <x:v>Larry</x:v>
      </x:c>
      <x:c r="K514" s="60" t="str">
        <x:v>Sebok, II</x:v>
      </x:c>
      <x:c r="L514" s="60" t="str">
        <x:v>Company Owner</x:v>
      </x:c>
      <x:c r="M514" s="60" t="str">
        <x:v>larry.sebok@lexingtonearthworks.com</x:v>
      </x:c>
      <x:c r="N514" s="60" t="str">
        <x:v>Verified with BounceBan on 08 Jun 26 12:07</x:v>
      </x:c>
      <x:c r="O514" s="60" t="str"/>
      <x:c r="P514" s="60" t="str">
        <x:v>https://www.linkedin.com/in/larry-sebok-ii-602865291</x:v>
      </x:c>
      <x:c r="Q514" s="60" t="str">
        <x:v>11-50</x:v>
      </x:c>
      <x:c r="R514" s="60" t="str">
        <x:v>100000-499999</x:v>
      </x:c>
      <x:c r="S514" s="60" t="str"/>
      <x:c r="T514" s="74" t="str">
        <x:v>0</x:v>
      </x:c>
      <x:c r="U514" s="60" t="str"/>
      <x:c r="V514" s="74" t="str">
        <x:v>26</x:v>
      </x:c>
      <x:c r="W514" s="74" t="str">
        <x:v>0</x:v>
      </x:c>
      <x:c r="X514" s="74" t="str">
        <x:v>10</x:v>
      </x:c>
      <x:c r="Y514" s="74" t="str">
        <x:v>7</x:v>
      </x:c>
      <x:c r="Z514" s="74" t="str">
        <x:v>7</x:v>
      </x:c>
      <x:c r="AA514" s="74" t="str">
        <x:v>0</x:v>
      </x:c>
      <x:c r="AB514" s="74" t="str">
        <x:v>0</x:v>
      </x:c>
      <x:c r="AC514" s="74" t="str">
        <x:v>0</x:v>
      </x:c>
      <x:c r="AD514" s="74" t="str">
        <x:v>0</x:v>
      </x:c>
      <x:c r="AE514" s="74" t="str">
        <x:v>0</x:v>
      </x:c>
      <x:c r="AF514" s="74" t="str"/>
      <x:c r="AG514" s="74" t="str">
        <x:v>0</x:v>
      </x:c>
      <x:c r="AH514" s="74" t="str">
        <x:v>0</x:v>
      </x:c>
      <x:c r="AI514" s="74" t="str">
        <x:v>1</x:v>
      </x:c>
      <x:c r="AJ514" s="74" t="str">
        <x:v>0</x:v>
      </x:c>
      <x:c r="AK514" s="74" t="str">
        <x:v>1</x:v>
      </x:c>
      <x:c r="AL514" s="74" t="str">
        <x:v>0</x:v>
      </x:c>
      <x:c r="AM514" s="74" t="str">
        <x:v>0</x:v>
      </x:c>
      <x:c r="AN514" s="74" t="str">
        <x:v>0</x:v>
      </x:c>
      <x:c r="AO514" s="60" t="str">
        <x:v>0</x:v>
      </x:c>
      <x:c r="AP514" s="76" t="str">
        <x:v>ICP fit; paid-demand need requires manual verification</x:v>
      </x:c>
      <x:c r="AQ514" s="76" t="str">
        <x:v>testimonials; visible service offer; no embedded homepage video detected</x:v>
      </x:c>
      <x:c r="AR514" s="76" t="str">
        <x:v>I was reviewing plumbing companies in Gaston, South Carolina and Lexington Earthworks, Inc. looked like a strong fit for a creative test.</x:v>
      </x:c>
      <x:c r="AS514" s="76" t="str">
        <x:v>small symptom to prevented-emergency ad</x:v>
      </x:c>
      <x:c r="AT514" s="76" t="str">
        <x:v>Lexington Earthworks, Inc. ad concept</x:v>
      </x:c>
      <x:c r="AU514" s="76" t="str">
        <x:v>Hi Larry — I was reviewing plumbing companies in Gaston, South Carolina and Lexington Earthworks, Inc. looked like a strong fit for a creative test. I mapped a private 15-second small symptom to prevented-emergency ad for Lexington Earthworks, Inc. using only public brand context—not for publishing, just to show the angle. We build three client-approved video ad concepts in seven days, then turn the winners into fresh variations. No filming day required. Worth sending the private sample?</x:v>
      </x:c>
      <x:c r="AV514" s="76" t="str">
        <x:v>Quick follow-up: the sample angle is a small symptom to prevented-emergency ad. If it misses the mark, no problem—I won't keep chasing. Should I send it?</x:v>
      </x:c>
      <x:c r="AW514" s="76" t="str">
        <x:v>Hi Larry, Ryan here. I was looking at Lexington Earthworks, Inc.'s public marketing and noticed: icp fit; paid-demand need requires manual verification. I mapped one private small symptom to prevented-emergency ad as an example. Did I catch you with 30 seconds?</x:v>
      </x:c>
      <x:c r="AX514" s="60" t="str">
        <x:v>https://www.facebook.com/ads/library/?active_status=active&amp;ad_type=all&amp;country=US&amp;q=Lexington%20Earthworks%2C%20Inc.&amp;search_type=keyword_unordered</x:v>
      </x:c>
      <x:c r="AY514" s="60" t="str">
        <x:v>ok:200</x:v>
      </x:c>
      <x:c r="AZ514" s="60" t="n">
        <x:v>46232.722858796296</x:v>
      </x:c>
      <x:c r="BA514" s="60" t="str">
        <x:v>AI Ark SC trades export</x:v>
      </x:c>
      <x:c r="BB514" s="60" t="str">
        <x:v>https://lexingtonearthworks.com | https://www.linkedin.com/company/lexington-earthworks-inc</x:v>
      </x:c>
      <x:c r="BC514" s="60" t="str"/>
    </x:row>
    <x:row r="515" ht="18" customHeight="1">
      <x:c r="A515" s="70" t="str">
        <x:v>514</x:v>
      </x:c>
      <x:c r="B515" s="70" t="str">
        <x:v>C - Verify</x:v>
      </x:c>
      <x:c r="C515" s="72" t="str">
        <x:v>50</x:v>
      </x:c>
      <x:c r="D515" s="60" t="str">
        <x:v>Alexander Heating &amp; Cooling</x:v>
      </x:c>
      <x:c r="E515" s="60" t="str">
        <x:v>https://alexander-hvac.com</x:v>
      </x:c>
      <x:c r="F515" s="60" t="str">
        <x:v>https://www.alexander-hvac.com/</x:v>
      </x:c>
      <x:c r="G515" s="60" t="str">
        <x:v>Charleston</x:v>
      </x:c>
      <x:c r="H515" s="60" t="str">
        <x:v>South Carolina</x:v>
      </x:c>
      <x:c r="I515" s="60" t="str">
        <x:v>HVAC</x:v>
      </x:c>
      <x:c r="J515" s="60" t="str">
        <x:v>Alexander Heating &amp; Cooling</x:v>
      </x:c>
      <x:c r="K515" s="60" t="str"/>
      <x:c r="L515" s="60" t="str">
        <x:v>Owner / decision maker to verify</x:v>
      </x:c>
      <x:c r="M515" s="60" t="str"/>
      <x:c r="N515" s="60" t="str"/>
      <x:c r="O515" s="60" t="str">
        <x:v>(843) 608-1689</x:v>
      </x:c>
      <x:c r="P515" s="60" t="str"/>
      <x:c r="Q515" s="60" t="str"/>
      <x:c r="R515" s="60" t="str"/>
      <x:c r="S515" s="60" t="str">
        <x:v>5</x:v>
      </x:c>
      <x:c r="T515" s="74" t="str">
        <x:v>427</x:v>
      </x:c>
      <x:c r="U515" s="60" t="str"/>
      <x:c r="V515" s="74" t="str">
        <x:v>29</x:v>
      </x:c>
      <x:c r="W515" s="74" t="str">
        <x:v>0</x:v>
      </x:c>
      <x:c r="X515" s="74" t="str">
        <x:v>10</x:v>
      </x:c>
      <x:c r="Y515" s="74" t="str">
        <x:v>6</x:v>
      </x:c>
      <x:c r="Z515" s="74" t="str">
        <x:v>5</x:v>
      </x:c>
      <x:c r="AA515" s="74" t="str">
        <x:v>0</x:v>
      </x:c>
      <x:c r="AB515" s="74" t="str">
        <x:v>0</x:v>
      </x:c>
      <x:c r="AC515" s="74" t="str">
        <x:v>0</x:v>
      </x:c>
      <x:c r="AD515" s="74" t="str">
        <x:v>0</x:v>
      </x:c>
      <x:c r="AE515" s="74" t="str">
        <x:v>0</x:v>
      </x:c>
      <x:c r="AF515" s="74" t="str"/>
      <x:c r="AG515" s="74" t="str">
        <x:v>0</x:v>
      </x:c>
      <x:c r="AH515" s="74" t="str">
        <x:v>0</x:v>
      </x:c>
      <x:c r="AI515" s="74" t="str">
        <x:v>0</x:v>
      </x:c>
      <x:c r="AJ515" s="74" t="str">
        <x:v>0</x:v>
      </x:c>
      <x:c r="AK515" s="74" t="str">
        <x:v>1</x:v>
      </x:c>
      <x:c r="AL515" s="74" t="str">
        <x:v>0</x:v>
      </x:c>
      <x:c r="AM515" s="74" t="str">
        <x:v>1</x:v>
      </x:c>
      <x:c r="AN515" s="74" t="str">
        <x:v>0</x:v>
      </x:c>
      <x:c r="AO515" s="60" t="str">
        <x:v>0</x:v>
      </x:c>
      <x:c r="AP515" s="76" t="str">
        <x:v>427 Google reviews; no embedded homepage video found</x:v>
      </x:c>
      <x:c r="AQ515" s="76" t="str">
        <x:v>visible service offer; no embedded homepage video detected</x:v>
      </x:c>
      <x:c r="AR515" s="76" t="str">
        <x:v>Alexander Heating &amp; Cooling has 427 Google reviews—strong proof that could be turned into short-form ad concepts.</x:v>
      </x:c>
      <x:c r="AS515" s="76" t="str">
        <x:v>no-cool-call to same-day comfort ad</x:v>
      </x:c>
      <x:c r="AT515" s="76" t="str">
        <x:v>Alexander Heating &amp; Cooling ad concept</x:v>
      </x:c>
      <x:c r="AU515" s="76" t="str">
        <x:v>Hi Alexander Heating &amp; Cooling — Alexander Heating &amp; Cooling has 427 Google reviews—strong proof that could be turned into short-form ad concepts. I mapped a private 15-second no-cool-call to same-day comfort ad for Alexander Heating &amp; Cooling using only public brand context—not for publishing, just to show the angle. We build three client-approved video ad concepts in seven days, then turn the winners into fresh variations. No filming day required. Worth sending the private sample?</x:v>
      </x:c>
      <x:c r="AV515" s="76" t="str">
        <x:v>Quick follow-up: the sample angle is a no-cool-call to same-day comfort ad. If it misses the mark, no problem—I won't keep chasing. Should I send it?</x:v>
      </x:c>
      <x:c r="AW515" s="76" t="str">
        <x:v>Hi Alexander Heating &amp; Cooling, Ryan here. I was looking at Alexander Heating &amp; Cooling's public marketing and noticed: 427 google reviews; no embedded homepage video found. I mapped one private no-cool-call to same-day comfort ad as an example. Did I catch you with 30 seconds?</x:v>
      </x:c>
      <x:c r="AX515" s="60" t="str">
        <x:v>https://www.facebook.com/ads/library/?active_status=active&amp;ad_type=all&amp;country=US&amp;q=Alexander%20Heating%20%26%20Cooling&amp;search_type=keyword_unordered</x:v>
      </x:c>
      <x:c r="AY515" s="60" t="str">
        <x:v>ok:200</x:v>
      </x:c>
      <x:c r="AZ515" s="60" t="n">
        <x:v>46232.722858796296</x:v>
      </x:c>
      <x:c r="BA515" s="60" t="str">
        <x:v>Google Maps home-services export</x:v>
      </x:c>
      <x:c r="BB515" s="60" t="str">
        <x:v>https://alexander-hvac.com | https://maps.google.com/?cid=11869051881122557017&amp;g_mp=Cidnb29nbGUubWFwcy5wbGFjZXMudjEuUGxhY2VzLlNlYXJjaFRleHQQAhgEIAA</x:v>
      </x:c>
      <x:c r="BC515" s="60" t="str"/>
    </x:row>
    <x:row r="516" ht="18" customHeight="1">
      <x:c r="A516" s="70" t="str">
        <x:v>515</x:v>
      </x:c>
      <x:c r="B516" s="70" t="str">
        <x:v>C - Verify</x:v>
      </x:c>
      <x:c r="C516" s="72" t="str">
        <x:v>50</x:v>
      </x:c>
      <x:c r="D516" s="60" t="str">
        <x:v>Air Professionals of SC, Inc.</x:v>
      </x:c>
      <x:c r="E516" s="60" t="str">
        <x:v>https://airpromb.com</x:v>
      </x:c>
      <x:c r="F516" s="60" t="str">
        <x:v>https://www.airpromb.com/</x:v>
      </x:c>
      <x:c r="G516" s="60" t="str">
        <x:v>Myrtle Beach</x:v>
      </x:c>
      <x:c r="H516" s="60" t="str">
        <x:v>South Carolina</x:v>
      </x:c>
      <x:c r="I516" s="60" t="str">
        <x:v>HVAC</x:v>
      </x:c>
      <x:c r="J516" s="60" t="str">
        <x:v>Air Professionals of SC, Inc.</x:v>
      </x:c>
      <x:c r="K516" s="60" t="str"/>
      <x:c r="L516" s="60" t="str">
        <x:v>Owner / decision maker to verify</x:v>
      </x:c>
      <x:c r="M516" s="60" t="str"/>
      <x:c r="N516" s="60" t="str"/>
      <x:c r="O516" s="60" t="str">
        <x:v>(843) 293-8534</x:v>
      </x:c>
      <x:c r="P516" s="60" t="str"/>
      <x:c r="Q516" s="60" t="str"/>
      <x:c r="R516" s="60" t="str"/>
      <x:c r="S516" s="60" t="str">
        <x:v>4.9</x:v>
      </x:c>
      <x:c r="T516" s="74" t="str">
        <x:v>329</x:v>
      </x:c>
      <x:c r="U516" s="60" t="str"/>
      <x:c r="V516" s="74" t="str">
        <x:v>29</x:v>
      </x:c>
      <x:c r="W516" s="74" t="str">
        <x:v>0</x:v>
      </x:c>
      <x:c r="X516" s="74" t="str">
        <x:v>10</x:v>
      </x:c>
      <x:c r="Y516" s="74" t="str">
        <x:v>6</x:v>
      </x:c>
      <x:c r="Z516" s="74" t="str">
        <x:v>5</x:v>
      </x:c>
      <x:c r="AA516" s="74" t="str">
        <x:v>0</x:v>
      </x:c>
      <x:c r="AB516" s="74" t="str">
        <x:v>0</x:v>
      </x:c>
      <x:c r="AC516" s="74" t="str">
        <x:v>0</x:v>
      </x:c>
      <x:c r="AD516" s="74" t="str">
        <x:v>0</x:v>
      </x:c>
      <x:c r="AE516" s="74" t="str">
        <x:v>0</x:v>
      </x:c>
      <x:c r="AF516" s="74" t="str"/>
      <x:c r="AG516" s="74" t="str">
        <x:v>0</x:v>
      </x:c>
      <x:c r="AH516" s="74" t="str">
        <x:v>0</x:v>
      </x:c>
      <x:c r="AI516" s="74" t="str">
        <x:v>0</x:v>
      </x:c>
      <x:c r="AJ516" s="74" t="str">
        <x:v>0</x:v>
      </x:c>
      <x:c r="AK516" s="74" t="str">
        <x:v>1</x:v>
      </x:c>
      <x:c r="AL516" s="74" t="str">
        <x:v>0</x:v>
      </x:c>
      <x:c r="AM516" s="74" t="str">
        <x:v>0</x:v>
      </x:c>
      <x:c r="AN516" s="74" t="str">
        <x:v>0</x:v>
      </x:c>
      <x:c r="AO516" s="60" t="str">
        <x:v>0</x:v>
      </x:c>
      <x:c r="AP516" s="76" t="str">
        <x:v>329 Google reviews; no embedded homepage video found</x:v>
      </x:c>
      <x:c r="AQ516" s="76" t="str">
        <x:v>visible service offer; no embedded homepage video detected</x:v>
      </x:c>
      <x:c r="AR516" s="76" t="str">
        <x:v>Air Professionals of SC, Inc. has 329 Google reviews—strong proof that could be turned into short-form ad concepts.</x:v>
      </x:c>
      <x:c r="AS516" s="76" t="str">
        <x:v>no-cool-call to same-day comfort ad</x:v>
      </x:c>
      <x:c r="AT516" s="76" t="str">
        <x:v>Air Professionals of SC, Inc. ad concept</x:v>
      </x:c>
      <x:c r="AU516" s="76" t="str">
        <x:v>Hi Air Professionals of SC, Inc. — Air Professionals of SC, Inc. has 329 Google reviews—strong proof that could be turned into short-form ad concepts. I mapped a private 15-second no-cool-call to same-day comfort ad for Air Professionals of SC, Inc. using only public brand context—not for publishing, just to show the angle. We build three client-approved video ad concepts in seven days, then turn the winners into fresh variations. No filming day required. Worth sending the private sample?</x:v>
      </x:c>
      <x:c r="AV516" s="76" t="str">
        <x:v>Quick follow-up: the sample angle is a no-cool-call to same-day comfort ad. If it misses the mark, no problem—I won't keep chasing. Should I send it?</x:v>
      </x:c>
      <x:c r="AW516" s="76" t="str">
        <x:v>Hi Air Professionals of SC, Inc., Ryan here. I was looking at Air Professionals of SC, Inc.'s public marketing and noticed: 329 google reviews; no embedded homepage video found. I mapped one private no-cool-call to same-day comfort ad as an example. Did I catch you with 30 seconds?</x:v>
      </x:c>
      <x:c r="AX516" s="60" t="str">
        <x:v>https://www.facebook.com/ads/library/?active_status=active&amp;ad_type=all&amp;country=US&amp;q=Air%20Professionals%20of%20SC%2C%20Inc.&amp;search_type=keyword_unordered</x:v>
      </x:c>
      <x:c r="AY516" s="60" t="str">
        <x:v>ok:200</x:v>
      </x:c>
      <x:c r="AZ516" s="60" t="n">
        <x:v>46232.722858796296</x:v>
      </x:c>
      <x:c r="BA516" s="60" t="str">
        <x:v>Google Maps home-services export</x:v>
      </x:c>
      <x:c r="BB516" s="60" t="str">
        <x:v>https://airpromb.com | https://maps.google.com/?cid=7882490349806825162&amp;g_mp=Cidnb29nbGUubWFwcy5wbGFjZXMudjEuUGxhY2VzLlNlYXJjaFRleHQQAhgEIAA</x:v>
      </x:c>
      <x:c r="BC516" s="60" t="str"/>
    </x:row>
    <x:row r="517" ht="18" customHeight="1">
      <x:c r="A517" s="70" t="str">
        <x:v>516</x:v>
      </x:c>
      <x:c r="B517" s="70" t="str">
        <x:v>C - Verify</x:v>
      </x:c>
      <x:c r="C517" s="72" t="str">
        <x:v>50</x:v>
      </x:c>
      <x:c r="D517" s="60" t="str">
        <x:v>Wigwam Construction Company</x:v>
      </x:c>
      <x:c r="E517" s="60" t="str">
        <x:v>https://wigwamconstruction.com</x:v>
      </x:c>
      <x:c r="F517" s="60" t="str">
        <x:v>https://www.wigwamconstruction.com/</x:v>
      </x:c>
      <x:c r="G517" s="60" t="str">
        <x:v>Charleston</x:v>
      </x:c>
      <x:c r="H517" s="60" t="str">
        <x:v>South Carolina Metropolitan Area</x:v>
      </x:c>
      <x:c r="I517" s="60" t="str">
        <x:v>Remodeling</x:v>
      </x:c>
      <x:c r="J517" s="60" t="str">
        <x:v>Ted</x:v>
      </x:c>
      <x:c r="K517" s="60" t="str">
        <x:v>Beckenhauer</x:v>
      </x:c>
      <x:c r="L517" s="60" t="str">
        <x:v>Owner</x:v>
      </x:c>
      <x:c r="M517" s="60" t="str">
        <x:v>ted@wigwamconstruction.com</x:v>
      </x:c>
      <x:c r="N517" s="60" t="str">
        <x:v>Verified with BounceBan on 08 Jun 26 12:06</x:v>
      </x:c>
      <x:c r="O517" s="60" t="str">
        <x:v>+1 843 224 1419</x:v>
      </x:c>
      <x:c r="P517" s="60" t="str">
        <x:v>https://www.linkedin.com/in/ted-beckenhauer-6445448</x:v>
      </x:c>
      <x:c r="Q517" s="60" t="str">
        <x:v>2-10</x:v>
      </x:c>
      <x:c r="R517" s="60" t="str">
        <x:v>0-99999</x:v>
      </x:c>
      <x:c r="S517" s="60" t="str"/>
      <x:c r="T517" s="74" t="str">
        <x:v>0</x:v>
      </x:c>
      <x:c r="U517" s="60" t="str"/>
      <x:c r="V517" s="74" t="str">
        <x:v>25</x:v>
      </x:c>
      <x:c r="W517" s="74" t="str">
        <x:v>0</x:v>
      </x:c>
      <x:c r="X517" s="74" t="str">
        <x:v>10</x:v>
      </x:c>
      <x:c r="Y517" s="74" t="str">
        <x:v>5</x:v>
      </x:c>
      <x:c r="Z517" s="74" t="str">
        <x:v>10</x:v>
      </x:c>
      <x:c r="AA517" s="74" t="str">
        <x:v>0</x:v>
      </x:c>
      <x:c r="AB517" s="74" t="str">
        <x:v>0</x:v>
      </x:c>
      <x:c r="AC517" s="74" t="str">
        <x:v>0</x:v>
      </x:c>
      <x:c r="AD517" s="74" t="str">
        <x:v>0</x:v>
      </x:c>
      <x:c r="AE517" s="74" t="str">
        <x:v>0</x:v>
      </x:c>
      <x:c r="AF517" s="74" t="str"/>
      <x:c r="AG517" s="74" t="str">
        <x:v>0</x:v>
      </x:c>
      <x:c r="AH517" s="74" t="str">
        <x:v>1</x:v>
      </x:c>
      <x:c r="AI517" s="74" t="str">
        <x:v>0</x:v>
      </x:c>
      <x:c r="AJ517" s="74" t="str">
        <x:v>0</x:v>
      </x:c>
      <x:c r="AK517" s="74" t="str">
        <x:v>0</x:v>
      </x:c>
      <x:c r="AL517" s="74" t="str">
        <x:v>0</x:v>
      </x:c>
      <x:c r="AM517" s="74" t="str">
        <x:v>0</x:v>
      </x:c>
      <x:c r="AN517" s="74" t="str">
        <x:v>0</x:v>
      </x:c>
      <x:c r="AO517" s="60" t="str">
        <x:v>0</x:v>
      </x:c>
      <x:c r="AP517" s="76" t="str">
        <x:v>Project/gallery proof found; no embedded homepage video found</x:v>
      </x:c>
      <x:c r="AQ517" s="76" t="str">
        <x:v>project/gallery proof; no embedded homepage video detected</x:v>
      </x:c>
      <x:c r="AR517" s="76" t="str">
        <x:v>I found project/gallery proof on Wigwam Construction Company's site that could be repackaged into short-form ad concepts.</x:v>
      </x:c>
      <x:c r="AS517" s="76" t="str">
        <x:v>project reveal with budget-and-timeline proof</x:v>
      </x:c>
      <x:c r="AT517" s="76" t="str">
        <x:v>Wigwam Construction Company ad concept</x:v>
      </x:c>
      <x:c r="AU517" s="76" t="str">
        <x:v>Hi Ted — I found project/gallery proof on Wigwam Construction Company's site that could be repackaged into short-form ad concepts. I mapped a private 15-second project reveal with budget-and-timeline proof for Wigwam Construction Company using only public brand context—not for publishing, just to show the angle. We build three client-approved video ad concepts in seven days, then turn the winners into fresh variations. No filming day required. Worth sending the private sample?</x:v>
      </x:c>
      <x:c r="AV517" s="76" t="str">
        <x:v>Quick follow-up: the sample angle is a project reveal with budget-and-timeline proof. If it misses the mark, no problem—I won't keep chasing. Should I send it?</x:v>
      </x:c>
      <x:c r="AW517" s="76" t="str">
        <x:v>Hi Ted, Ryan here. I was looking at Wigwam Construction Company's public marketing and noticed: project/gallery proof found; no embedded homepage video found. I mapped one private project reveal with budget-and-timeline proof as an example. Did I catch you with 30 seconds?</x:v>
      </x:c>
      <x:c r="AX517" s="60" t="str">
        <x:v>https://www.facebook.com/ads/library/?active_status=active&amp;ad_type=all&amp;country=US&amp;q=Wigwam%20Construction%20Company&amp;search_type=keyword_unordered</x:v>
      </x:c>
      <x:c r="AY517" s="60" t="str">
        <x:v>ok:200</x:v>
      </x:c>
      <x:c r="AZ517" s="60" t="n">
        <x:v>46232.722858796296</x:v>
      </x:c>
      <x:c r="BA517" s="60" t="str">
        <x:v>AI Ark SC trades export</x:v>
      </x:c>
      <x:c r="BB517" s="60" t="str">
        <x:v>https://wigwamconstruction.com | https://www.linkedin.com/company/wigwam-construction-company</x:v>
      </x:c>
      <x:c r="BC517" s="60" t="str"/>
    </x:row>
    <x:row r="518" ht="18" customHeight="1">
      <x:c r="A518" s="70" t="str">
        <x:v>517</x:v>
      </x:c>
      <x:c r="B518" s="70" t="str">
        <x:v>C - Verify</x:v>
      </x:c>
      <x:c r="C518" s="72" t="str">
        <x:v>50</x:v>
      </x:c>
      <x:c r="D518" s="60" t="str">
        <x:v>Your Hilton Head Roofers</x:v>
      </x:c>
      <x:c r="E518" s="60" t="str">
        <x:v>https://yourhiltonheadroofers.click</x:v>
      </x:c>
      <x:c r="F518" s="60" t="str">
        <x:v>https://www.yourhiltonheadroofers.click/</x:v>
      </x:c>
      <x:c r="G518" s="60" t="str">
        <x:v>Hilton Head</x:v>
      </x:c>
      <x:c r="H518" s="60" t="str">
        <x:v>South Carolina</x:v>
      </x:c>
      <x:c r="I518" s="60" t="str">
        <x:v>Roofing</x:v>
      </x:c>
      <x:c r="J518" s="60" t="str">
        <x:v>Your Hilton Head Roofers</x:v>
      </x:c>
      <x:c r="K518" s="60" t="str"/>
      <x:c r="L518" s="60" t="str">
        <x:v>Owner / decision maker to verify</x:v>
      </x:c>
      <x:c r="M518" s="60" t="str"/>
      <x:c r="N518" s="60" t="str"/>
      <x:c r="O518" s="60" t="str">
        <x:v>(843) 258-8234</x:v>
      </x:c>
      <x:c r="P518" s="60" t="str"/>
      <x:c r="Q518" s="60" t="str"/>
      <x:c r="R518" s="60" t="str"/>
      <x:c r="S518" s="60" t="str">
        <x:v>5</x:v>
      </x:c>
      <x:c r="T518" s="74" t="str">
        <x:v>34</x:v>
      </x:c>
      <x:c r="U518" s="60" t="str"/>
      <x:c r="V518" s="74" t="str">
        <x:v>27</x:v>
      </x:c>
      <x:c r="W518" s="74" t="str">
        <x:v>0</x:v>
      </x:c>
      <x:c r="X518" s="74" t="str">
        <x:v>13</x:v>
      </x:c>
      <x:c r="Y518" s="74" t="str">
        <x:v>5</x:v>
      </x:c>
      <x:c r="Z518" s="74" t="str">
        <x:v>5</x:v>
      </x:c>
      <x:c r="AA518" s="74" t="str">
        <x:v>0</x:v>
      </x:c>
      <x:c r="AB518" s="74" t="str">
        <x:v>0</x:v>
      </x:c>
      <x:c r="AC518" s="74" t="str">
        <x:v>0</x:v>
      </x:c>
      <x:c r="AD518" s="74" t="str">
        <x:v>0</x:v>
      </x:c>
      <x:c r="AE518" s="74" t="str">
        <x:v>0</x:v>
      </x:c>
      <x:c r="AF518" s="74" t="str"/>
      <x:c r="AG518" s="74" t="str">
        <x:v>0</x:v>
      </x:c>
      <x:c r="AH518" s="74" t="str">
        <x:v>0</x:v>
      </x:c>
      <x:c r="AI518" s="74" t="str">
        <x:v>0</x:v>
      </x:c>
      <x:c r="AJ518" s="74" t="str">
        <x:v>0</x:v>
      </x:c>
      <x:c r="AK518" s="74" t="str">
        <x:v>1</x:v>
      </x:c>
      <x:c r="AL518" s="74" t="str">
        <x:v>0</x:v>
      </x:c>
      <x:c r="AM518" s="74" t="str">
        <x:v>0</x:v>
      </x:c>
      <x:c r="AN518" s="74" t="str">
        <x:v>0</x:v>
      </x:c>
      <x:c r="AO518" s="60" t="str">
        <x:v>2024</x:v>
      </x:c>
      <x:c r="AP518" s="76" t="str">
        <x:v>ICP fit; paid-demand need requires manual verification</x:v>
      </x:c>
      <x:c r="AQ518" s="76" t="str">
        <x:v>visible service offer; no embedded homepage video detected</x:v>
      </x:c>
      <x:c r="AR518" s="76" t="str">
        <x:v>I was reviewing roofing companies in Hilton Head, South Carolina and Your Hilton Head Roofers looked like a strong fit for a creative test.</x:v>
      </x:c>
      <x:c r="AS518" s="76" t="str">
        <x:v>storm-to-inspection before/after ad</x:v>
      </x:c>
      <x:c r="AT518" s="76" t="str">
        <x:v>Your Hilton Head Roofers ad concept</x:v>
      </x:c>
      <x:c r="AU518" s="76" t="str">
        <x:v>Hi Your Hilton Head Roofers — I was reviewing roofing companies in Hilton Head, South Carolina and Your Hilton Head Roofers looked like a strong fit for a creative test. I mapped a private 15-second storm-to-inspection before/after ad for Your Hilton Head Roofers using only public brand context—not for publishing, just to show the angle. We build three client-approved video ad concepts in seven days, then turn the winners into fresh variations. No filming day required. Worth sending the private sample?</x:v>
      </x:c>
      <x:c r="AV518" s="76" t="str">
        <x:v>Quick follow-up: the sample angle is a storm-to-inspection before/after ad. If it misses the mark, no problem—I won't keep chasing. Should I send it?</x:v>
      </x:c>
      <x:c r="AW518" s="76" t="str">
        <x:v>Hi Your Hilton Head Roofers, Ryan here. I was looking at Your Hilton Head Roofers's public marketing and noticed: icp fit; paid-demand need requires manual verification. I mapped one private storm-to-inspection before/after ad as an example. Did I catch you with 30 seconds?</x:v>
      </x:c>
      <x:c r="AX518" s="60" t="str">
        <x:v>https://www.facebook.com/ads/library/?active_status=active&amp;ad_type=all&amp;country=US&amp;q=Your%20Hilton%20Head%20Roofers&amp;search_type=keyword_unordered</x:v>
      </x:c>
      <x:c r="AY518" s="60" t="str">
        <x:v>ok:200</x:v>
      </x:c>
      <x:c r="AZ518" s="60" t="n">
        <x:v>46232.722858796296</x:v>
      </x:c>
      <x:c r="BA518" s="60" t="str">
        <x:v>Google Maps home-services export</x:v>
      </x:c>
      <x:c r="BB518" s="60" t="str">
        <x:v>https://maps.google.com/?cid=10025366114439208794&amp;g_mp=Cidnb29nbGUubWFwcy5wbGFjZXMudjEuUGxhY2VzLlNlYXJjaFRleHQQAhgEIAA | https://yourhiltonheadroofers.click</x:v>
      </x:c>
      <x:c r="BC518" s="60" t="str"/>
    </x:row>
    <x:row r="519" ht="18" customHeight="1">
      <x:c r="A519" s="70" t="str">
        <x:v>518</x:v>
      </x:c>
      <x:c r="B519" s="70" t="str">
        <x:v>C - Verify</x:v>
      </x:c>
      <x:c r="C519" s="72" t="str">
        <x:v>50</x:v>
      </x:c>
      <x:c r="D519" s="60" t="str">
        <x:v>Triumph Construction, LLC</x:v>
      </x:c>
      <x:c r="E519" s="60" t="str">
        <x:v>https://triumphstl.com</x:v>
      </x:c>
      <x:c r="F519" s="60" t="str">
        <x:v>https://triumphstl.com</x:v>
      </x:c>
      <x:c r="G519" s="60" t="str">
        <x:v>Greenville-spartanburg-anderson</x:v>
      </x:c>
      <x:c r="H519" s="60" t="str">
        <x:v>South Carolina Area</x:v>
      </x:c>
      <x:c r="I519" s="60" t="str">
        <x:v>Remodeling</x:v>
      </x:c>
      <x:c r="J519" s="60" t="str">
        <x:v>Devang</x:v>
      </x:c>
      <x:c r="K519" s="60" t="str">
        <x:v>Patel</x:v>
      </x:c>
      <x:c r="L519" s="60" t="str">
        <x:v>Principal Owner</x:v>
      </x:c>
      <x:c r="M519" s="60" t="str"/>
      <x:c r="N519" s="60" t="str"/>
      <x:c r="O519" s="60" t="str">
        <x:v>+1 314 920 0769</x:v>
      </x:c>
      <x:c r="P519" s="60" t="str">
        <x:v>https://www.linkedin.com/in/devang-patel-8b683b1a0</x:v>
      </x:c>
      <x:c r="Q519" s="60" t="str">
        <x:v>11-50</x:v>
      </x:c>
      <x:c r="R519" s="60" t="str">
        <x:v>500000-999999</x:v>
      </x:c>
      <x:c r="S519" s="60" t="str"/>
      <x:c r="T519" s="74" t="str">
        <x:v>0</x:v>
      </x:c>
      <x:c r="U519" s="60" t="str"/>
      <x:c r="V519" s="74" t="str">
        <x:v>30</x:v>
      </x:c>
      <x:c r="W519" s="74" t="str">
        <x:v>0</x:v>
      </x:c>
      <x:c r="X519" s="74" t="str">
        <x:v>10</x:v>
      </x:c>
      <x:c r="Y519" s="74" t="str">
        <x:v>5</x:v>
      </x:c>
      <x:c r="Z519" s="74" t="str">
        <x:v>5</x:v>
      </x:c>
      <x:c r="AA519" s="74" t="str">
        <x:v>0</x:v>
      </x:c>
      <x:c r="AB519" s="74" t="str">
        <x:v>0</x:v>
      </x:c>
      <x:c r="AC519" s="74" t="str">
        <x:v>0</x:v>
      </x:c>
      <x:c r="AD519" s="74" t="str">
        <x:v>0</x:v>
      </x:c>
      <x:c r="AE519" s="74" t="str">
        <x:v>0</x:v>
      </x:c>
      <x:c r="AF519" s="74" t="str"/>
      <x:c r="AG519" s="74" t="str">
        <x:v>0</x:v>
      </x:c>
      <x:c r="AH519" s="74" t="str">
        <x:v>1</x:v>
      </x:c>
      <x:c r="AI519" s="74" t="str">
        <x:v>0</x:v>
      </x:c>
      <x:c r="AJ519" s="74" t="str">
        <x:v>0</x:v>
      </x:c>
      <x:c r="AK519" s="74" t="str">
        <x:v>0</x:v>
      </x:c>
      <x:c r="AL519" s="74" t="str">
        <x:v>0</x:v>
      </x:c>
      <x:c r="AM519" s="74" t="str">
        <x:v>1</x:v>
      </x:c>
      <x:c r="AN519" s="74" t="str">
        <x:v>0</x:v>
      </x:c>
      <x:c r="AO519" s="60" t="str">
        <x:v>2026</x:v>
      </x:c>
      <x:c r="AP519" s="76" t="str">
        <x:v>Project/gallery proof found; no embedded homepage video found</x:v>
      </x:c>
      <x:c r="AQ519" s="76" t="str">
        <x:v>project/gallery proof; no embedded homepage video detected</x:v>
      </x:c>
      <x:c r="AR519" s="76" t="str">
        <x:v>I found project/gallery proof on Triumph Construction, LLC's site that could be repackaged into short-form ad concepts.</x:v>
      </x:c>
      <x:c r="AS519" s="76" t="str">
        <x:v>project reveal with budget-and-timeline proof</x:v>
      </x:c>
      <x:c r="AT519" s="76" t="str">
        <x:v>Triumph Construction, LLC ad concept</x:v>
      </x:c>
      <x:c r="AU519" s="76" t="str">
        <x:v>Hi Devang — I found project/gallery proof on Triumph Construction, LLC's site that could be repackaged into short-form ad concepts. I mapped a private 15-second project reveal with budget-and-timeline proof for Triumph Construction, LLC using only public brand context—not for publishing, just to show the angle. We build three client-approved video ad concepts in seven days, then turn the winners into fresh variations. No filming day required. Worth sending the private sample?</x:v>
      </x:c>
      <x:c r="AV519" s="76" t="str">
        <x:v>Quick follow-up: the sample angle is a project reveal with budget-and-timeline proof. If it misses the mark, no problem—I won't keep chasing. Should I send it?</x:v>
      </x:c>
      <x:c r="AW519" s="76" t="str">
        <x:v>Hi Devang, Ryan here. I was looking at Triumph Construction, LLC's public marketing and noticed: project/gallery proof found; no embedded homepage video found. I mapped one private project reveal with budget-and-timeline proof as an example. Did I catch you with 30 seconds?</x:v>
      </x:c>
      <x:c r="AX519" s="60" t="str">
        <x:v>https://www.facebook.com/ads/library/?active_status=active&amp;ad_type=all&amp;country=US&amp;q=Triumph%20Construction%2C%20LLC&amp;search_type=keyword_unordered</x:v>
      </x:c>
      <x:c r="AY519" s="60" t="str">
        <x:v>ok:200</x:v>
      </x:c>
      <x:c r="AZ519" s="60" t="n">
        <x:v>46232.722858796296</x:v>
      </x:c>
      <x:c r="BA519" s="60" t="str">
        <x:v>AI Ark SC trades export</x:v>
      </x:c>
      <x:c r="BB519" s="60" t="str">
        <x:v>https://triumphstl.com | https://www.linkedin.com/company/triumph-construction-llc</x:v>
      </x:c>
      <x:c r="BC519" s="60" t="str"/>
    </x:row>
    <x:row r="520" ht="18" customHeight="1">
      <x:c r="A520" s="70" t="str">
        <x:v>519</x:v>
      </x:c>
      <x:c r="B520" s="70" t="str">
        <x:v>C - Verify</x:v>
      </x:c>
      <x:c r="C520" s="72" t="str">
        <x:v>49</x:v>
      </x:c>
      <x:c r="D520" s="60" t="str">
        <x:v>RooterMan Plumbing</x:v>
      </x:c>
      <x:c r="E520" s="60" t="str">
        <x:v>https://rootermanupstate.com</x:v>
      </x:c>
      <x:c r="F520" s="60" t="str">
        <x:v>https://rootermanupstate.com</x:v>
      </x:c>
      <x:c r="G520" s="60" t="str">
        <x:v>Spartanburg</x:v>
      </x:c>
      <x:c r="H520" s="60" t="str">
        <x:v>South Carolina</x:v>
      </x:c>
      <x:c r="I520" s="60" t="str">
        <x:v>Plumbing</x:v>
      </x:c>
      <x:c r="J520" s="60" t="str">
        <x:v>RooterMan Plumbing</x:v>
      </x:c>
      <x:c r="K520" s="60" t="str"/>
      <x:c r="L520" s="60" t="str">
        <x:v>Owner / decision maker to verify</x:v>
      </x:c>
      <x:c r="M520" s="60" t="str"/>
      <x:c r="N520" s="60" t="str"/>
      <x:c r="O520" s="60" t="str">
        <x:v>(864) 585-0093</x:v>
      </x:c>
      <x:c r="P520" s="60" t="str"/>
      <x:c r="Q520" s="60" t="str"/>
      <x:c r="R520" s="60" t="str"/>
      <x:c r="S520" s="60" t="str">
        <x:v>4.5</x:v>
      </x:c>
      <x:c r="T520" s="74" t="str">
        <x:v>71</x:v>
      </x:c>
      <x:c r="U520" s="60" t="str"/>
      <x:c r="V520" s="74" t="str">
        <x:v>22</x:v>
      </x:c>
      <x:c r="W520" s="74" t="str">
        <x:v>13</x:v>
      </x:c>
      <x:c r="X520" s="74" t="str">
        <x:v>4</x:v>
      </x:c>
      <x:c r="Y520" s="74" t="str">
        <x:v>5</x:v>
      </x:c>
      <x:c r="Z520" s="74" t="str">
        <x:v>5</x:v>
      </x:c>
      <x:c r="AA520" s="74" t="str">
        <x:v>0</x:v>
      </x:c>
      <x:c r="AB520" s="74" t="str">
        <x:v>1</x:v>
      </x:c>
      <x:c r="AC520" s="74" t="str">
        <x:v>1</x:v>
      </x:c>
      <x:c r="AD520" s="74" t="str">
        <x:v>0</x:v>
      </x:c>
      <x:c r="AE520" s="74" t="str">
        <x:v>0</x:v>
      </x:c>
      <x:c r="AF520" s="74" t="str"/>
      <x:c r="AG520" s="74" t="str">
        <x:v>1</x:v>
      </x:c>
      <x:c r="AH520" s="74" t="str">
        <x:v>0</x:v>
      </x:c>
      <x:c r="AI520" s="74" t="str">
        <x:v>0</x:v>
      </x:c>
      <x:c r="AJ520" s="74" t="str">
        <x:v>0</x:v>
      </x:c>
      <x:c r="AK520" s="74" t="str">
        <x:v>1</x:v>
      </x:c>
      <x:c r="AL520" s="74" t="str">
        <x:v>0</x:v>
      </x:c>
      <x:c r="AM520" s="74" t="str">
        <x:v>1</x:v>
      </x:c>
      <x:c r="AN520" s="74" t="str">
        <x:v>0</x:v>
      </x:c>
      <x:c r="AO520" s="60" t="str">
        <x:v>0</x:v>
      </x:c>
      <x:c r="AP520" s="76" t="str">
        <x:v>Paid-demand technology detected; creative refresh hypothesis</x:v>
      </x:c>
      <x:c r="AQ520" s="76" t="str">
        <x:v>Google Ads tag; visible service offer</x:v>
      </x:c>
      <x:c r="AR520" s="76" t="str">
        <x:v>I was reviewing plumbing companies in Spartanburg, South Carolina and RooterMan Plumbing looked like a strong fit for a creative test.</x:v>
      </x:c>
      <x:c r="AS520" s="76" t="str">
        <x:v>small symptom to prevented-emergency ad</x:v>
      </x:c>
      <x:c r="AT520" s="76" t="str">
        <x:v>RooterMan Plumbing ad concept</x:v>
      </x:c>
      <x:c r="AU520" s="76" t="str">
        <x:v>Hi RooterMan Plumbing — I was reviewing plumbing companies in Spartanburg, South Carolina and RooterMan Plumbing looked like a strong fit for a creative test. I mapped a private 15-second small symptom to prevented-emergency ad for RooterMan Plumbing using only public brand context—not for publishing, just to show the angle. We build three client-approved video ad concepts in seven days, then turn the winners into fresh variations. No filming day required. Worth sending the private sample?</x:v>
      </x:c>
      <x:c r="AV520" s="76" t="str">
        <x:v>Quick follow-up: the sample angle is a small symptom to prevented-emergency ad. If it misses the mark, no problem—I won't keep chasing. Should I send it?</x:v>
      </x:c>
      <x:c r="AW520" s="76" t="str">
        <x:v>Hi RooterMan Plumbing, Ryan here. I was looking at RooterMan Plumbing's public marketing and noticed: paid-demand technology detected; creative refresh hypothesis. I mapped one private small symptom to prevented-emergency ad as an example. Did I catch you with 30 seconds?</x:v>
      </x:c>
      <x:c r="AX520" s="60" t="str">
        <x:v>https://www.facebook.com/ads/library/?active_status=active&amp;ad_type=all&amp;country=US&amp;q=RooterMan%20Plumbing&amp;search_type=keyword_unordered</x:v>
      </x:c>
      <x:c r="AY520" s="60" t="str">
        <x:v>ok:200</x:v>
      </x:c>
      <x:c r="AZ520" s="60" t="n">
        <x:v>46232.722858796296</x:v>
      </x:c>
      <x:c r="BA520" s="60" t="str">
        <x:v>Google Maps home-services export</x:v>
      </x:c>
      <x:c r="BB520" s="60" t="str">
        <x:v>https://maps.google.com/?cid=9507215572805218277&amp;g_mp=Cidnb29nbGUubWFwcy5wbGFjZXMudjEuUGxhY2VzLlNlYXJjaFRleHQQAhgEIAA | https://rootermanupstate.com</x:v>
      </x:c>
      <x:c r="BC520" s="60" t="str"/>
    </x:row>
    <x:row r="521" ht="18" customHeight="1">
      <x:c r="A521" s="70" t="str">
        <x:v>520</x:v>
      </x:c>
      <x:c r="B521" s="70" t="str">
        <x:v>C - Verify</x:v>
      </x:c>
      <x:c r="C521" s="72" t="str">
        <x:v>49</x:v>
      </x:c>
      <x:c r="D521" s="60" t="str">
        <x:v>JW Roofing</x:v>
      </x:c>
      <x:c r="E521" s="60" t="str">
        <x:v>https://roofsbyjw.com</x:v>
      </x:c>
      <x:c r="F521" s="60" t="str">
        <x:v>https://www.roofsbyjw.com/</x:v>
      </x:c>
      <x:c r="G521" s="60" t="str">
        <x:v>Charleston</x:v>
      </x:c>
      <x:c r="H521" s="60" t="str">
        <x:v>South Carolina</x:v>
      </x:c>
      <x:c r="I521" s="60" t="str">
        <x:v>Roofing</x:v>
      </x:c>
      <x:c r="J521" s="60" t="str">
        <x:v>JW Roofing</x:v>
      </x:c>
      <x:c r="K521" s="60" t="str"/>
      <x:c r="L521" s="60" t="str">
        <x:v>Owner / decision maker to verify</x:v>
      </x:c>
      <x:c r="M521" s="60" t="str"/>
      <x:c r="N521" s="60" t="str"/>
      <x:c r="O521" s="60" t="str">
        <x:v>(854) 683-0827</x:v>
      </x:c>
      <x:c r="P521" s="60" t="str"/>
      <x:c r="Q521" s="60" t="str"/>
      <x:c r="R521" s="60" t="str"/>
      <x:c r="S521" s="60" t="str">
        <x:v>5</x:v>
      </x:c>
      <x:c r="T521" s="74" t="str">
        <x:v>25</x:v>
      </x:c>
      <x:c r="U521" s="60" t="str"/>
      <x:c r="V521" s="74" t="str">
        <x:v>25</x:v>
      </x:c>
      <x:c r="W521" s="74" t="str">
        <x:v>11</x:v>
      </x:c>
      <x:c r="X521" s="74" t="str">
        <x:v>0</x:v>
      </x:c>
      <x:c r="Y521" s="74" t="str">
        <x:v>8</x:v>
      </x:c>
      <x:c r="Z521" s="74" t="str">
        <x:v>5</x:v>
      </x:c>
      <x:c r="AA521" s="74" t="str">
        <x:v>0</x:v>
      </x:c>
      <x:c r="AB521" s="74" t="str">
        <x:v>0</x:v>
      </x:c>
      <x:c r="AC521" s="74" t="str">
        <x:v>1</x:v>
      </x:c>
      <x:c r="AD521" s="74" t="str">
        <x:v>0</x:v>
      </x:c>
      <x:c r="AE521" s="74" t="str">
        <x:v>1</x:v>
      </x:c>
      <x:c r="AF521" s="74" t="str"/>
      <x:c r="AG521" s="74" t="str">
        <x:v>1</x:v>
      </x:c>
      <x:c r="AH521" s="74" t="str">
        <x:v>1</x:v>
      </x:c>
      <x:c r="AI521" s="74" t="str">
        <x:v>0</x:v>
      </x:c>
      <x:c r="AJ521" s="74" t="str">
        <x:v>0</x:v>
      </x:c>
      <x:c r="AK521" s="74" t="str">
        <x:v>1</x:v>
      </x:c>
      <x:c r="AL521" s="74" t="str">
        <x:v>1</x:v>
      </x:c>
      <x:c r="AM521" s="74" t="str">
        <x:v>1</x:v>
      </x:c>
      <x:c r="AN521" s="74" t="str">
        <x:v>1</x:v>
      </x:c>
      <x:c r="AO521" s="60" t="str">
        <x:v>0</x:v>
      </x:c>
      <x:c r="AP521" s="76" t="str">
        <x:v>Paid-demand technology detected; creative refresh hypothesis</x:v>
      </x:c>
      <x:c r="AQ521" s="76" t="str">
        <x:v>call tracking; project/gallery proof; visible service offer</x:v>
      </x:c>
      <x:c r="AR521" s="76" t="str">
        <x:v>I was reviewing roofing companies in Charleston, South Carolina and JW Roofing looked like a strong fit for a creative test.</x:v>
      </x:c>
      <x:c r="AS521" s="76" t="str">
        <x:v>storm-to-inspection before/after ad</x:v>
      </x:c>
      <x:c r="AT521" s="76" t="str">
        <x:v>JW Roofing ad concept</x:v>
      </x:c>
      <x:c r="AU521" s="76" t="str">
        <x:v>Hi JW Roofing — I was reviewing roofing companies in Charleston, South Carolina and JW Roofing looked like a strong fit for a creative test. I mapped a private 15-second storm-to-inspection before/after ad for JW Roofing using only public brand context—not for publishing, just to show the angle. We build three client-approved video ad concepts in seven days, then turn the winners into fresh variations. No filming day required. Worth sending the private sample?</x:v>
      </x:c>
      <x:c r="AV521" s="76" t="str">
        <x:v>Quick follow-up: the sample angle is a storm-to-inspection before/after ad. If it misses the mark, no problem—I won't keep chasing. Should I send it?</x:v>
      </x:c>
      <x:c r="AW521" s="76" t="str">
        <x:v>Hi JW Roofing, Ryan here. I was looking at JW Roofing's public marketing and noticed: paid-demand technology detected; creative refresh hypothesis. I mapped one private storm-to-inspection before/after ad as an example. Did I catch you with 30 seconds?</x:v>
      </x:c>
      <x:c r="AX521" s="60" t="str">
        <x:v>https://www.facebook.com/ads/library/?active_status=active&amp;ad_type=all&amp;country=US&amp;q=JW%20Roofing&amp;search_type=keyword_unordered</x:v>
      </x:c>
      <x:c r="AY521" s="60" t="str">
        <x:v>ok:200</x:v>
      </x:c>
      <x:c r="AZ521" s="60" t="n">
        <x:v>46232.722858796296</x:v>
      </x:c>
      <x:c r="BA521" s="60" t="str">
        <x:v>Google Maps home-services export</x:v>
      </x:c>
      <x:c r="BB521" s="60" t="str">
        <x:v>https://maps.google.com/?cid=8494361614986261577&amp;g_mp=Cidnb29nbGUubWFwcy5wbGFjZXMudjEuUGxhY2VzLlNlYXJjaFRleHQQAhgEIAA | https://roofsbyjw.com</x:v>
      </x:c>
      <x:c r="BC521" s="60" t="str"/>
    </x:row>
    <x:row r="522" ht="18" customHeight="1">
      <x:c r="A522" s="70" t="str">
        <x:v>521</x:v>
      </x:c>
      <x:c r="B522" s="70" t="str">
        <x:v>C - Verify</x:v>
      </x:c>
      <x:c r="C522" s="72" t="str">
        <x:v>49</x:v>
      </x:c>
      <x:c r="D522" s="60" t="str">
        <x:v>Catapult Construction</x:v>
      </x:c>
      <x:c r="E522" s="60" t="str">
        <x:v>https://catapult.construction</x:v>
      </x:c>
      <x:c r="F522" s="60" t="str">
        <x:v>https://www.catapult.construction/</x:v>
      </x:c>
      <x:c r="G522" s="60" t="str">
        <x:v>Anderson</x:v>
      </x:c>
      <x:c r="H522" s="60" t="str">
        <x:v>South Carolina</x:v>
      </x:c>
      <x:c r="I522" s="60" t="str">
        <x:v>General Contractor</x:v>
      </x:c>
      <x:c r="J522" s="60" t="str">
        <x:v>Matt</x:v>
      </x:c>
      <x:c r="K522" s="60" t="str">
        <x:v>Duncan, MBA</x:v>
      </x:c>
      <x:c r="L522" s="60" t="str">
        <x:v>Owner</x:v>
      </x:c>
      <x:c r="M522" s="60" t="str"/>
      <x:c r="N522" s="60" t="str"/>
      <x:c r="O522" s="60" t="str"/>
      <x:c r="P522" s="60" t="str">
        <x:v>https://www.linkedin.com/in/mebcm</x:v>
      </x:c>
      <x:c r="Q522" s="60" t="str">
        <x:v>2-10</x:v>
      </x:c>
      <x:c r="R522" s="60" t="str">
        <x:v>0-99999</x:v>
      </x:c>
      <x:c r="S522" s="60" t="str"/>
      <x:c r="T522" s="74" t="str">
        <x:v>0</x:v>
      </x:c>
      <x:c r="U522" s="60" t="str"/>
      <x:c r="V522" s="74" t="str">
        <x:v>20</x:v>
      </x:c>
      <x:c r="W522" s="74" t="str">
        <x:v>8</x:v>
      </x:c>
      <x:c r="X522" s="74" t="str">
        <x:v>16</x:v>
      </x:c>
      <x:c r="Y522" s="74" t="str">
        <x:v>3</x:v>
      </x:c>
      <x:c r="Z522" s="74" t="str">
        <x:v>2</x:v>
      </x:c>
      <x:c r="AA522" s="74" t="str">
        <x:v>0</x:v>
      </x:c>
      <x:c r="AB522" s="74" t="str">
        <x:v>0</x:v>
      </x:c>
      <x:c r="AC522" s="74" t="str">
        <x:v>0</x:v>
      </x:c>
      <x:c r="AD522" s="74" t="str">
        <x:v>0</x:v>
      </x:c>
      <x:c r="AE522" s="74" t="str">
        <x:v>1</x:v>
      </x:c>
      <x:c r="AF522" s="74" t="str"/>
      <x:c r="AG522" s="74" t="str">
        <x:v>0</x:v>
      </x:c>
      <x:c r="AH522" s="74" t="str">
        <x:v>0</x:v>
      </x:c>
      <x:c r="AI522" s="74" t="str">
        <x:v>0</x:v>
      </x:c>
      <x:c r="AJ522" s="74" t="str">
        <x:v>1</x:v>
      </x:c>
      <x:c r="AK522" s="74" t="str">
        <x:v>0</x:v>
      </x:c>
      <x:c r="AL522" s="74" t="str">
        <x:v>0</x:v>
      </x:c>
      <x:c r="AM522" s="74" t="str">
        <x:v>1</x:v>
      </x:c>
      <x:c r="AN522" s="74" t="str">
        <x:v>0</x:v>
      </x:c>
      <x:c r="AO522" s="60" t="str">
        <x:v>2026</x:v>
      </x:c>
      <x:c r="AP522" s="76" t="str">
        <x:v>Call-tracking stack detected; no embedded homepage video found</x:v>
      </x:c>
      <x:c r="AQ522" s="76" t="str">
        <x:v>call tracking; financing; no embedded homepage video detected</x:v>
      </x:c>
      <x:c r="AR522" s="76" t="str">
        <x:v>I noticed Catapult Construction has call tracking in place, but I couldn't find an embedded video on the homepage.</x:v>
      </x:c>
      <x:c r="AS522" s="76" t="str">
        <x:v>project walkthrough with proof milestones</x:v>
      </x:c>
      <x:c r="AT522" s="76" t="str">
        <x:v>Catapult Construction ad concept</x:v>
      </x:c>
      <x:c r="AU522" s="76" t="str">
        <x:v>Hi Matt — I noticed Catapult Construction has call tracking in place, but I couldn't find an embedded video on the homepage. I mapped a private 15-second project walkthrough with proof milestones for Catapult Construction using only public brand context—not for publishing, just to show the angle. We build three client-approved video ad concepts in seven days, then turn the winners into fresh variations. No filming day required. Worth sending the private sample?</x:v>
      </x:c>
      <x:c r="AV522" s="76" t="str">
        <x:v>Quick follow-up: the sample angle is a project walkthrough with proof milestones. If it misses the mark, no problem—I won't keep chasing. Should I send it?</x:v>
      </x:c>
      <x:c r="AW522" s="76" t="str">
        <x:v>Hi Matt, Ryan here. I was looking at Catapult Construction's public marketing and noticed: call-tracking stack detected; no embedded homepage video found. I mapped one private project walkthrough with proof milestones as an example. Did I catch you with 30 seconds?</x:v>
      </x:c>
      <x:c r="AX522" s="60" t="str">
        <x:v>https://www.facebook.com/ads/library/?active_status=active&amp;ad_type=all&amp;country=US&amp;q=Catapult%20Construction&amp;search_type=keyword_unordered</x:v>
      </x:c>
      <x:c r="AY522" s="60" t="str">
        <x:v>ok:200</x:v>
      </x:c>
      <x:c r="AZ522" s="60" t="n">
        <x:v>46232.722858796296</x:v>
      </x:c>
      <x:c r="BA522" s="60" t="str">
        <x:v>AI Ark SC trades export</x:v>
      </x:c>
      <x:c r="BB522" s="60" t="str">
        <x:v>https://catapult.construction | https://www.linkedin.com/company/catapult-construction</x:v>
      </x:c>
      <x:c r="BC522" s="60" t="str"/>
    </x:row>
    <x:row r="523" ht="18" customHeight="1">
      <x:c r="A523" s="70" t="str">
        <x:v>522</x:v>
      </x:c>
      <x:c r="B523" s="70" t="str">
        <x:v>C - Verify</x:v>
      </x:c>
      <x:c r="C523" s="72" t="str">
        <x:v>49</x:v>
      </x:c>
      <x:c r="D523" s="60" t="str">
        <x:v>Mia's Master Plumbing</x:v>
      </x:c>
      <x:c r="E523" s="60" t="str">
        <x:v>https://masterplumbingsc.com</x:v>
      </x:c>
      <x:c r="F523" s="60" t="str">
        <x:v>https://www.masterplumbingsc.com/</x:v>
      </x:c>
      <x:c r="G523" s="60" t="str">
        <x:v>Myrtle Beach</x:v>
      </x:c>
      <x:c r="H523" s="60" t="str">
        <x:v>South Carolina</x:v>
      </x:c>
      <x:c r="I523" s="60" t="str">
        <x:v>Plumbing</x:v>
      </x:c>
      <x:c r="J523" s="60" t="str">
        <x:v>Mia's Master Plumbing</x:v>
      </x:c>
      <x:c r="K523" s="60" t="str"/>
      <x:c r="L523" s="60" t="str">
        <x:v>Owner / decision maker to verify</x:v>
      </x:c>
      <x:c r="M523" s="60" t="str"/>
      <x:c r="N523" s="60" t="str"/>
      <x:c r="O523" s="60" t="str">
        <x:v>(843) 274-9707</x:v>
      </x:c>
      <x:c r="P523" s="60" t="str"/>
      <x:c r="Q523" s="60" t="str"/>
      <x:c r="R523" s="60" t="str"/>
      <x:c r="S523" s="60" t="str">
        <x:v>4.9</x:v>
      </x:c>
      <x:c r="T523" s="74" t="str">
        <x:v>74</x:v>
      </x:c>
      <x:c r="U523" s="60" t="str">
        <x:v>slow_response, communication</x:v>
      </x:c>
      <x:c r="V523" s="74" t="str">
        <x:v>22</x:v>
      </x:c>
      <x:c r="W523" s="74" t="str">
        <x:v>6</x:v>
      </x:c>
      <x:c r="X523" s="74" t="str">
        <x:v>2</x:v>
      </x:c>
      <x:c r="Y523" s="74" t="str">
        <x:v>14</x:v>
      </x:c>
      <x:c r="Z523" s="74" t="str">
        <x:v>5</x:v>
      </x:c>
      <x:c r="AA523" s="74" t="str">
        <x:v>0</x:v>
      </x:c>
      <x:c r="AB523" s="74" t="str">
        <x:v>0</x:v>
      </x:c>
      <x:c r="AC523" s="74" t="str">
        <x:v>1</x:v>
      </x:c>
      <x:c r="AD523" s="74" t="str">
        <x:v>0</x:v>
      </x:c>
      <x:c r="AE523" s="74" t="str">
        <x:v>0</x:v>
      </x:c>
      <x:c r="AF523" s="74" t="str">
        <x:v>housecallpro</x:v>
      </x:c>
      <x:c r="AG523" s="74" t="str">
        <x:v>1</x:v>
      </x:c>
      <x:c r="AH523" s="74" t="str">
        <x:v>1</x:v>
      </x:c>
      <x:c r="AI523" s="74" t="str">
        <x:v>1</x:v>
      </x:c>
      <x:c r="AJ523" s="74" t="str">
        <x:v>0</x:v>
      </x:c>
      <x:c r="AK523" s="74" t="str">
        <x:v>1</x:v>
      </x:c>
      <x:c r="AL523" s="74" t="str">
        <x:v>0</x:v>
      </x:c>
      <x:c r="AM523" s="74" t="str">
        <x:v>1</x:v>
      </x:c>
      <x:c r="AN523" s="74" t="str">
        <x:v>1</x:v>
      </x:c>
      <x:c r="AO523" s="60" t="str">
        <x:v>2025</x:v>
      </x:c>
      <x:c r="AP523" s="76" t="str">
        <x:v>ICP fit; paid-demand need requires manual verification</x:v>
      </x:c>
      <x:c r="AQ523" s="76" t="str">
        <x:v>project/gallery proof; testimonials; visible service offer</x:v>
      </x:c>
      <x:c r="AR523" s="76" t="str">
        <x:v>I was reviewing plumbing companies in Myrtle Beach, South Carolina and Mia's Master Plumbing looked like a strong fit for a creative test.</x:v>
      </x:c>
      <x:c r="AS523" s="76" t="str">
        <x:v>small symptom to prevented-emergency ad</x:v>
      </x:c>
      <x:c r="AT523" s="76" t="str">
        <x:v>Mia's Master Plumbing ad concept</x:v>
      </x:c>
      <x:c r="AU523" s="76" t="str">
        <x:v>Hi Mia's Master Plumbing — I was reviewing plumbing companies in Myrtle Beach, South Carolina and Mia's Master Plumbing looked like a strong fit for a creative test. I mapped a private 15-second small symptom to prevented-emergency ad for Mia's Master Plumbing using only public brand context—not for publishing, just to show the angle. We build three client-approved video ad concepts in seven days, then turn the winners into fresh variations. No filming day required. Worth sending the private sample?</x:v>
      </x:c>
      <x:c r="AV523" s="76" t="str">
        <x:v>Quick follow-up: the sample angle is a small symptom to prevented-emergency ad. If it misses the mark, no problem—I won't keep chasing. Should I send it?</x:v>
      </x:c>
      <x:c r="AW523" s="76" t="str">
        <x:v>Hi Mia's Master Plumbing, Ryan here. I was looking at Mia's Master Plumbing's public marketing and noticed: icp fit; paid-demand need requires manual verification. I mapped one private small symptom to prevented-emergency ad as an example. Did I catch you with 30 seconds?</x:v>
      </x:c>
      <x:c r="AX523" s="60" t="str">
        <x:v>https://www.facebook.com/ads/library/?active_status=active&amp;ad_type=all&amp;country=US&amp;q=Mia%27s%20Master%20Plumbing&amp;search_type=keyword_unordered</x:v>
      </x:c>
      <x:c r="AY523" s="60" t="str">
        <x:v>ok:200</x:v>
      </x:c>
      <x:c r="AZ523" s="60" t="n">
        <x:v>46232.722858796296</x:v>
      </x:c>
      <x:c r="BA523" s="60" t="str">
        <x:v>Google Maps home-services export</x:v>
      </x:c>
      <x:c r="BB523" s="60" t="str">
        <x:v>https://maps.google.com/?cid=8595276911211209995&amp;g_mp=Cidnb29nbGUubWFwcy5wbGFjZXMudjEuUGxhY2VzLlNlYXJjaFRleHQQAhgEIAA | https://masterplumbingsc.com</x:v>
      </x:c>
      <x:c r="BC523" s="60" t="str"/>
    </x:row>
    <x:row r="524" ht="18" customHeight="1">
      <x:c r="A524" s="70" t="str">
        <x:v>523</x:v>
      </x:c>
      <x:c r="B524" s="70" t="str">
        <x:v>C - Verify</x:v>
      </x:c>
      <x:c r="C524" s="72" t="str">
        <x:v>49</x:v>
      </x:c>
      <x:c r="D524" s="60" t="str">
        <x:v>Brighter Side Roofing Company</x:v>
      </x:c>
      <x:c r="E524" s="60" t="str">
        <x:v>https://brightersideroofing.com</x:v>
      </x:c>
      <x:c r="F524" s="60" t="str">
        <x:v>https://www.brightersideroofing.com/</x:v>
      </x:c>
      <x:c r="G524" s="60" t="str">
        <x:v>Aiken</x:v>
      </x:c>
      <x:c r="H524" s="60" t="str">
        <x:v>South Carolina</x:v>
      </x:c>
      <x:c r="I524" s="60" t="str">
        <x:v>Roofing</x:v>
      </x:c>
      <x:c r="J524" s="60" t="str">
        <x:v>Brighter Side Roofing Company</x:v>
      </x:c>
      <x:c r="K524" s="60" t="str"/>
      <x:c r="L524" s="60" t="str">
        <x:v>Owner / decision maker to verify</x:v>
      </x:c>
      <x:c r="M524" s="60" t="str"/>
      <x:c r="N524" s="60" t="str"/>
      <x:c r="O524" s="60" t="str">
        <x:v>(803) 426-1716</x:v>
      </x:c>
      <x:c r="P524" s="60" t="str"/>
      <x:c r="Q524" s="60" t="str"/>
      <x:c r="R524" s="60" t="str"/>
      <x:c r="S524" s="60" t="str">
        <x:v>4.8</x:v>
      </x:c>
      <x:c r="T524" s="74" t="str">
        <x:v>261</x:v>
      </x:c>
      <x:c r="U524" s="60" t="str"/>
      <x:c r="V524" s="74" t="str">
        <x:v>30</x:v>
      </x:c>
      <x:c r="W524" s="74" t="str">
        <x:v>6</x:v>
      </x:c>
      <x:c r="X524" s="74" t="str">
        <x:v>0</x:v>
      </x:c>
      <x:c r="Y524" s="74" t="str">
        <x:v>8</x:v>
      </x:c>
      <x:c r="Z524" s="74" t="str">
        <x:v>5</x:v>
      </x:c>
      <x:c r="AA524" s="74" t="str">
        <x:v>0</x:v>
      </x:c>
      <x:c r="AB524" s="74" t="str">
        <x:v>0</x:v>
      </x:c>
      <x:c r="AC524" s="74" t="str">
        <x:v>1</x:v>
      </x:c>
      <x:c r="AD524" s="74" t="str">
        <x:v>0</x:v>
      </x:c>
      <x:c r="AE524" s="74" t="str">
        <x:v>0</x:v>
      </x:c>
      <x:c r="AF524" s="74" t="str">
        <x:v>podium</x:v>
      </x:c>
      <x:c r="AG524" s="74" t="str">
        <x:v>1</x:v>
      </x:c>
      <x:c r="AH524" s="74" t="str">
        <x:v>1</x:v>
      </x:c>
      <x:c r="AI524" s="74" t="str">
        <x:v>0</x:v>
      </x:c>
      <x:c r="AJ524" s="74" t="str">
        <x:v>0</x:v>
      </x:c>
      <x:c r="AK524" s="74" t="str">
        <x:v>0</x:v>
      </x:c>
      <x:c r="AL524" s="74" t="str">
        <x:v>1</x:v>
      </x:c>
      <x:c r="AM524" s="74" t="str">
        <x:v>1</x:v>
      </x:c>
      <x:c r="AN524" s="74" t="str">
        <x:v>1</x:v>
      </x:c>
      <x:c r="AO524" s="60" t="str">
        <x:v>0</x:v>
      </x:c>
      <x:c r="AP524" s="76" t="str">
        <x:v>ICP fit; paid-demand need requires manual verification</x:v>
      </x:c>
      <x:c r="AQ524" s="76" t="str">
        <x:v>project/gallery proof</x:v>
      </x:c>
      <x:c r="AR524" s="76" t="str">
        <x:v>I was reviewing roofing companies in Aiken, South Carolina and Brighter Side Roofing Company looked like a strong fit for a creative test.</x:v>
      </x:c>
      <x:c r="AS524" s="76" t="str">
        <x:v>storm-to-inspection before/after ad</x:v>
      </x:c>
      <x:c r="AT524" s="76" t="str">
        <x:v>Brighter Side Roofing Company ad concept</x:v>
      </x:c>
      <x:c r="AU524" s="76" t="str">
        <x:v>Hi Brighter Side Roofing Company — I was reviewing roofing companies in Aiken, South Carolina and Brighter Side Roofing Company looked like a strong fit for a creative test. I mapped a private 15-second storm-to-inspection before/after ad for Brighter Side Roofing Company using only public brand context—not for publishing, just to show the angle. We build three client-approved video ad concepts in seven days, then turn the winners into fresh variations. No filming day required. Worth sending the private sample?</x:v>
      </x:c>
      <x:c r="AV524" s="76" t="str">
        <x:v>Quick follow-up: the sample angle is a storm-to-inspection before/after ad. If it misses the mark, no problem—I won't keep chasing. Should I send it?</x:v>
      </x:c>
      <x:c r="AW524" s="76" t="str">
        <x:v>Hi Brighter Side Roofing Company, Ryan here. I was looking at Brighter Side Roofing Company's public marketing and noticed: icp fit; paid-demand need requires manual verification. I mapped one private storm-to-inspection before/after ad as an example. Did I catch you with 30 seconds?</x:v>
      </x:c>
      <x:c r="AX524" s="60" t="str">
        <x:v>https://www.facebook.com/ads/library/?active_status=active&amp;ad_type=all&amp;country=US&amp;q=Brighter%20Side%20Roofing%20Company&amp;search_type=keyword_unordered</x:v>
      </x:c>
      <x:c r="AY524" s="60" t="str">
        <x:v>ok:200</x:v>
      </x:c>
      <x:c r="AZ524" s="60" t="n">
        <x:v>46232.722858796296</x:v>
      </x:c>
      <x:c r="BA524" s="60" t="str">
        <x:v>Google Maps home-services export</x:v>
      </x:c>
      <x:c r="BB524" s="60" t="str">
        <x:v>https://brightersideroofing.com | https://maps.google.com/?cid=16253821212349122917&amp;g_mp=Cidnb29nbGUubWFwcy5wbGFjZXMudjEuUGxhY2VzLlNlYXJjaFRleHQQAhgEIAA</x:v>
      </x:c>
      <x:c r="BC524" s="60" t="str"/>
    </x:row>
    <x:row r="525" ht="18" customHeight="1">
      <x:c r="A525" s="70" t="str">
        <x:v>524</x:v>
      </x:c>
      <x:c r="B525" s="70" t="str">
        <x:v>C - Verify</x:v>
      </x:c>
      <x:c r="C525" s="72" t="str">
        <x:v>49</x:v>
      </x:c>
      <x:c r="D525" s="60" t="str">
        <x:v>Charleston Painting Contractors</x:v>
      </x:c>
      <x:c r="E525" s="60" t="str">
        <x:v>https://charlestonpaintcontractors.com</x:v>
      </x:c>
      <x:c r="F525" s="60" t="str">
        <x:v>https://charlestonpaintcontractors.com</x:v>
      </x:c>
      <x:c r="G525" s="60" t="str">
        <x:v>Charleston County</x:v>
      </x:c>
      <x:c r="H525" s="60" t="str">
        <x:v>South Carolina</x:v>
      </x:c>
      <x:c r="I525" s="60" t="str">
        <x:v>Painting</x:v>
      </x:c>
      <x:c r="J525" s="60" t="str">
        <x:v>Chuck</x:v>
      </x:c>
      <x:c r="K525" s="60" t="str">
        <x:v>Cwirka</x:v>
      </x:c>
      <x:c r="L525" s="60" t="str">
        <x:v>Principal Owner</x:v>
      </x:c>
      <x:c r="M525" s="60" t="str">
        <x:v>chuck@charlestonpaintcontractors.com</x:v>
      </x:c>
      <x:c r="N525" s="60" t="str">
        <x:v>Verified with BounceBan on 08 Jun 26 12:06</x:v>
      </x:c>
      <x:c r="O525" s="60" t="str">
        <x:v>+1 617 797 8574</x:v>
      </x:c>
      <x:c r="P525" s="60" t="str">
        <x:v>https://www.linkedin.com/in/chuck-cwirka</x:v>
      </x:c>
      <x:c r="Q525" s="60" t="str">
        <x:v>11-50</x:v>
      </x:c>
      <x:c r="R525" s="60" t="str">
        <x:v>0-99999</x:v>
      </x:c>
      <x:c r="S525" s="60" t="str"/>
      <x:c r="T525" s="74" t="str">
        <x:v>0</x:v>
      </x:c>
      <x:c r="U525" s="60" t="str"/>
      <x:c r="V525" s="74" t="str">
        <x:v>24</x:v>
      </x:c>
      <x:c r="W525" s="74" t="str">
        <x:v>3</x:v>
      </x:c>
      <x:c r="X525" s="74" t="str">
        <x:v>0</x:v>
      </x:c>
      <x:c r="Y525" s="74" t="str">
        <x:v>12</x:v>
      </x:c>
      <x:c r="Z525" s="74" t="str">
        <x:v>10</x:v>
      </x:c>
      <x:c r="AA525" s="74" t="str">
        <x:v>0</x:v>
      </x:c>
      <x:c r="AB525" s="74" t="str">
        <x:v>0</x:v>
      </x:c>
      <x:c r="AC525" s="74" t="str">
        <x:v>1</x:v>
      </x:c>
      <x:c r="AD525" s="74" t="str">
        <x:v>0</x:v>
      </x:c>
      <x:c r="AE525" s="74" t="str">
        <x:v>0</x:v>
      </x:c>
      <x:c r="AF525" s="74" t="str"/>
      <x:c r="AG525" s="74" t="str">
        <x:v>1</x:v>
      </x:c>
      <x:c r="AH525" s="74" t="str">
        <x:v>1</x:v>
      </x:c>
      <x:c r="AI525" s="74" t="str">
        <x:v>1</x:v>
      </x:c>
      <x:c r="AJ525" s="74" t="str">
        <x:v>0</x:v>
      </x:c>
      <x:c r="AK525" s="74" t="str">
        <x:v>1</x:v>
      </x:c>
      <x:c r="AL525" s="74" t="str">
        <x:v>1</x:v>
      </x:c>
      <x:c r="AM525" s="74" t="str">
        <x:v>1</x:v>
      </x:c>
      <x:c r="AN525" s="74" t="str">
        <x:v>0</x:v>
      </x:c>
      <x:c r="AO525" s="60" t="str">
        <x:v>0</x:v>
      </x:c>
      <x:c r="AP525" s="76" t="str">
        <x:v>ICP fit; paid-demand need requires manual verification</x:v>
      </x:c>
      <x:c r="AQ525" s="76" t="str">
        <x:v>project/gallery proof; testimonials; visible service offer</x:v>
      </x:c>
      <x:c r="AR525" s="76" t="str">
        <x:v>I was reviewing painting companies in Charleston County, South Carolina and Charleston Painting Contractors looked like a strong fit for a creative test.</x:v>
      </x:c>
      <x:c r="AS525" s="76" t="str">
        <x:v>one-room transformation ad</x:v>
      </x:c>
      <x:c r="AT525" s="76" t="str">
        <x:v>Charleston Painting Contractors ad concept</x:v>
      </x:c>
      <x:c r="AU525" s="76" t="str">
        <x:v>Hi Chuck — I was reviewing painting companies in Charleston County, South Carolina and Charleston Painting Contractors looked like a strong fit for a creative test. I mapped a private 15-second one-room transformation ad for Charleston Painting Contractors using only public brand context—not for publishing, just to show the angle. We build three client-approved video ad concepts in seven days, then turn the winners into fresh variations. No filming day required. Worth sending the private sample?</x:v>
      </x:c>
      <x:c r="AV525" s="76" t="str">
        <x:v>Quick follow-up: the sample angle is a one-room transformation ad. If it misses the mark, no problem—I won't keep chasing. Should I send it?</x:v>
      </x:c>
      <x:c r="AW525" s="76" t="str">
        <x:v>Hi Chuck, Ryan here. I was looking at Charleston Painting Contractors's public marketing and noticed: icp fit; paid-demand need requires manual verification. I mapped one private one-room transformation ad as an example. Did I catch you with 30 seconds?</x:v>
      </x:c>
      <x:c r="AX525" s="60" t="str">
        <x:v>https://www.facebook.com/ads/library/?active_status=active&amp;ad_type=all&amp;country=US&amp;q=Charleston%20Painting%20Contractors&amp;search_type=keyword_unordered</x:v>
      </x:c>
      <x:c r="AY525" s="60" t="str">
        <x:v>ok:200</x:v>
      </x:c>
      <x:c r="AZ525" s="60" t="n">
        <x:v>46232.722858796296</x:v>
      </x:c>
      <x:c r="BA525" s="60" t="str">
        <x:v>AI Ark SC trades export</x:v>
      </x:c>
      <x:c r="BB525" s="60" t="str">
        <x:v>https://charlestonpaintcontractors.com | https://www.linkedin.com/company/charleston-painting-contractors</x:v>
      </x:c>
      <x:c r="BC525" s="60" t="str"/>
    </x:row>
    <x:row r="526" ht="18" customHeight="1">
      <x:c r="A526" s="70" t="str">
        <x:v>525</x:v>
      </x:c>
      <x:c r="B526" s="70" t="str">
        <x:v>C - Verify</x:v>
      </x:c>
      <x:c r="C526" s="72" t="str">
        <x:v>49</x:v>
      </x:c>
      <x:c r="D526" s="60" t="str">
        <x:v>Rytec Electric</x:v>
      </x:c>
      <x:c r="E526" s="60" t="str">
        <x:v>https://rytecelectric.com</x:v>
      </x:c>
      <x:c r="F526" s="60" t="str">
        <x:v>https://rytecelectric.com</x:v>
      </x:c>
      <x:c r="G526" s="60" t="str">
        <x:v>Columbia</x:v>
      </x:c>
      <x:c r="H526" s="60" t="str">
        <x:v>South Carolina</x:v>
      </x:c>
      <x:c r="I526" s="60" t="str">
        <x:v>Electrical</x:v>
      </x:c>
      <x:c r="J526" s="60" t="str">
        <x:v>Rytec Electric</x:v>
      </x:c>
      <x:c r="K526" s="60" t="str"/>
      <x:c r="L526" s="60" t="str">
        <x:v>Owner / decision maker to verify</x:v>
      </x:c>
      <x:c r="M526" s="60" t="str"/>
      <x:c r="N526" s="60" t="str"/>
      <x:c r="O526" s="60" t="str">
        <x:v>(803) 399-8879</x:v>
      </x:c>
      <x:c r="P526" s="60" t="str"/>
      <x:c r="Q526" s="60" t="str"/>
      <x:c r="R526" s="60" t="str"/>
      <x:c r="S526" s="60" t="str">
        <x:v>4.9</x:v>
      </x:c>
      <x:c r="T526" s="74" t="str">
        <x:v>423</x:v>
      </x:c>
      <x:c r="U526" s="60" t="str"/>
      <x:c r="V526" s="74" t="str">
        <x:v>24</x:v>
      </x:c>
      <x:c r="W526" s="74" t="str">
        <x:v>3</x:v>
      </x:c>
      <x:c r="X526" s="74" t="str">
        <x:v>6</x:v>
      </x:c>
      <x:c r="Y526" s="74" t="str">
        <x:v>11</x:v>
      </x:c>
      <x:c r="Z526" s="74" t="str">
        <x:v>5</x:v>
      </x:c>
      <x:c r="AA526" s="74" t="str">
        <x:v>0</x:v>
      </x:c>
      <x:c r="AB526" s="74" t="str">
        <x:v>0</x:v>
      </x:c>
      <x:c r="AC526" s="74" t="str">
        <x:v>1</x:v>
      </x:c>
      <x:c r="AD526" s="74" t="str">
        <x:v>0</x:v>
      </x:c>
      <x:c r="AE526" s="74" t="str">
        <x:v>0</x:v>
      </x:c>
      <x:c r="AF526" s="74" t="str"/>
      <x:c r="AG526" s="74" t="str">
        <x:v>0</x:v>
      </x:c>
      <x:c r="AH526" s="74" t="str">
        <x:v>1</x:v>
      </x:c>
      <x:c r="AI526" s="74" t="str">
        <x:v>0</x:v>
      </x:c>
      <x:c r="AJ526" s="74" t="str">
        <x:v>0</x:v>
      </x:c>
      <x:c r="AK526" s="74" t="str">
        <x:v>1</x:v>
      </x:c>
      <x:c r="AL526" s="74" t="str">
        <x:v>0</x:v>
      </x:c>
      <x:c r="AM526" s="74" t="str">
        <x:v>1</x:v>
      </x:c>
      <x:c r="AN526" s="74" t="str">
        <x:v>1</x:v>
      </x:c>
      <x:c r="AO526" s="60" t="str">
        <x:v>2026</x:v>
      </x:c>
      <x:c r="AP526" s="76" t="str">
        <x:v>Project/gallery proof found; no embedded homepage video found</x:v>
      </x:c>
      <x:c r="AQ526" s="76" t="str">
        <x:v>project/gallery proof; visible service offer; no embedded homepage video detected</x:v>
      </x:c>
      <x:c r="AR526" s="76" t="str">
        <x:v>I found project/gallery proof on Rytec Electric's site that could be repackaged into short-form ad concepts.</x:v>
      </x:c>
      <x:c r="AS526" s="76" t="str">
        <x:v>safety inspection problem/solution ad</x:v>
      </x:c>
      <x:c r="AT526" s="76" t="str">
        <x:v>Rytec Electric ad concept</x:v>
      </x:c>
      <x:c r="AU526" s="76" t="str">
        <x:v>Hi Rytec Electric — I found project/gallery proof on Rytec Electric's site that could be repackaged into short-form ad concepts. I mapped a private 15-second safety inspection problem/solution ad for Rytec Electric using only public brand context—not for publishing, just to show the angle. We build three client-approved video ad concepts in seven days, then turn the winners into fresh variations. No filming day required. Worth sending the private sample?</x:v>
      </x:c>
      <x:c r="AV526" s="76" t="str">
        <x:v>Quick follow-up: the sample angle is a safety inspection problem/solution ad. If it misses the mark, no problem—I won't keep chasing. Should I send it?</x:v>
      </x:c>
      <x:c r="AW526" s="76" t="str">
        <x:v>Hi Rytec Electric, Ryan here. I was looking at Rytec Electric's public marketing and noticed: project/gallery proof found; no embedded homepage video found. I mapped one private safety inspection problem/solution ad as an example. Did I catch you with 30 seconds?</x:v>
      </x:c>
      <x:c r="AX526" s="60" t="str">
        <x:v>https://www.facebook.com/ads/library/?active_status=active&amp;ad_type=all&amp;country=US&amp;q=Rytec%20Electric&amp;search_type=keyword_unordered</x:v>
      </x:c>
      <x:c r="AY526" s="60" t="str">
        <x:v>ok:200</x:v>
      </x:c>
      <x:c r="AZ526" s="60" t="n">
        <x:v>46232.722858796296</x:v>
      </x:c>
      <x:c r="BA526" s="60" t="str">
        <x:v>Google Maps home-services export</x:v>
      </x:c>
      <x:c r="BB526" s="60" t="str">
        <x:v>https://maps.google.com/?cid=663451480414995901&amp;g_mp=Cidnb29nbGUubWFwcy5wbGFjZXMudjEuUGxhY2VzLlNlYXJjaFRleHQQAhgEIAA | https://rytecelectric.com</x:v>
      </x:c>
      <x:c r="BC526" s="60" t="str"/>
    </x:row>
    <x:row r="527" ht="18" customHeight="1">
      <x:c r="A527" s="70" t="str">
        <x:v>526</x:v>
      </x:c>
      <x:c r="B527" s="70" t="str">
        <x:v>C - Verify</x:v>
      </x:c>
      <x:c r="C527" s="72" t="str">
        <x:v>49</x:v>
      </x:c>
      <x:c r="D527" s="60" t="str">
        <x:v>Penn Roofing, Inc</x:v>
      </x:c>
      <x:c r="E527" s="60" t="str">
        <x:v>https://pennroof.com</x:v>
      </x:c>
      <x:c r="F527" s="60" t="str">
        <x:v>https://pennroof.com</x:v>
      </x:c>
      <x:c r="G527" s="60" t="str">
        <x:v>Aiken</x:v>
      </x:c>
      <x:c r="H527" s="60" t="str">
        <x:v>South Carolina</x:v>
      </x:c>
      <x:c r="I527" s="60" t="str">
        <x:v>Roofing</x:v>
      </x:c>
      <x:c r="J527" s="60" t="str">
        <x:v>Penn Roofing, Inc</x:v>
      </x:c>
      <x:c r="K527" s="60" t="str"/>
      <x:c r="L527" s="60" t="str">
        <x:v>Owner / decision maker to verify</x:v>
      </x:c>
      <x:c r="M527" s="60" t="str"/>
      <x:c r="N527" s="60" t="str"/>
      <x:c r="O527" s="60" t="str">
        <x:v>(706) 421-0226</x:v>
      </x:c>
      <x:c r="P527" s="60" t="str"/>
      <x:c r="Q527" s="60" t="str"/>
      <x:c r="R527" s="60" t="str"/>
      <x:c r="S527" s="60" t="str">
        <x:v>4.9</x:v>
      </x:c>
      <x:c r="T527" s="74" t="str">
        <x:v>295</x:v>
      </x:c>
      <x:c r="U527" s="60" t="str"/>
      <x:c r="V527" s="74" t="str">
        <x:v>30</x:v>
      </x:c>
      <x:c r="W527" s="74" t="str">
        <x:v>3</x:v>
      </x:c>
      <x:c r="X527" s="74" t="str">
        <x:v>0</x:v>
      </x:c>
      <x:c r="Y527" s="74" t="str">
        <x:v>11</x:v>
      </x:c>
      <x:c r="Z527" s="74" t="str">
        <x:v>5</x:v>
      </x:c>
      <x:c r="AA527" s="74" t="str">
        <x:v>0</x:v>
      </x:c>
      <x:c r="AB527" s="74" t="str">
        <x:v>0</x:v>
      </x:c>
      <x:c r="AC527" s="74" t="str">
        <x:v>1</x:v>
      </x:c>
      <x:c r="AD527" s="74" t="str">
        <x:v>0</x:v>
      </x:c>
      <x:c r="AE527" s="74" t="str">
        <x:v>0</x:v>
      </x:c>
      <x:c r="AF527" s="74" t="str"/>
      <x:c r="AG527" s="74" t="str">
        <x:v>1</x:v>
      </x:c>
      <x:c r="AH527" s="74" t="str">
        <x:v>1</x:v>
      </x:c>
      <x:c r="AI527" s="74" t="str">
        <x:v>0</x:v>
      </x:c>
      <x:c r="AJ527" s="74" t="str">
        <x:v>0</x:v>
      </x:c>
      <x:c r="AK527" s="74" t="str">
        <x:v>1</x:v>
      </x:c>
      <x:c r="AL527" s="74" t="str">
        <x:v>1</x:v>
      </x:c>
      <x:c r="AM527" s="74" t="str">
        <x:v>1</x:v>
      </x:c>
      <x:c r="AN527" s="74" t="str">
        <x:v>0</x:v>
      </x:c>
      <x:c r="AO527" s="60" t="str">
        <x:v>2026</x:v>
      </x:c>
      <x:c r="AP527" s="76" t="str">
        <x:v>ICP fit; paid-demand need requires manual verification</x:v>
      </x:c>
      <x:c r="AQ527" s="76" t="str">
        <x:v>project/gallery proof; visible service offer</x:v>
      </x:c>
      <x:c r="AR527" s="76" t="str">
        <x:v>I was reviewing roofing companies in Aiken, South Carolina and Penn Roofing, Inc looked like a strong fit for a creative test.</x:v>
      </x:c>
      <x:c r="AS527" s="76" t="str">
        <x:v>storm-to-inspection before/after ad</x:v>
      </x:c>
      <x:c r="AT527" s="76" t="str">
        <x:v>Penn Roofing, Inc ad concept</x:v>
      </x:c>
      <x:c r="AU527" s="76" t="str">
        <x:v>Hi Penn Roofing, Inc — I was reviewing roofing companies in Aiken, South Carolina and Penn Roofing, Inc looked like a strong fit for a creative test. I mapped a private 15-second storm-to-inspection before/after ad for Penn Roofing, Inc using only public brand context—not for publishing, just to show the angle. We build three client-approved video ad concepts in seven days, then turn the winners into fresh variations. No filming day required. Worth sending the private sample?</x:v>
      </x:c>
      <x:c r="AV527" s="76" t="str">
        <x:v>Quick follow-up: the sample angle is a storm-to-inspection before/after ad. If it misses the mark, no problem—I won't keep chasing. Should I send it?</x:v>
      </x:c>
      <x:c r="AW527" s="76" t="str">
        <x:v>Hi Penn Roofing, Inc, Ryan here. I was looking at Penn Roofing, Inc's public marketing and noticed: icp fit; paid-demand need requires manual verification. I mapped one private storm-to-inspection before/after ad as an example. Did I catch you with 30 seconds?</x:v>
      </x:c>
      <x:c r="AX527" s="60" t="str">
        <x:v>https://www.facebook.com/ads/library/?active_status=active&amp;ad_type=all&amp;country=US&amp;q=Penn%20Roofing%2C%20Inc&amp;search_type=keyword_unordered</x:v>
      </x:c>
      <x:c r="AY527" s="60" t="str">
        <x:v>ok:200</x:v>
      </x:c>
      <x:c r="AZ527" s="60" t="n">
        <x:v>46232.722858796296</x:v>
      </x:c>
      <x:c r="BA527" s="60" t="str">
        <x:v>Google Maps home-services export</x:v>
      </x:c>
      <x:c r="BB527" s="60" t="str">
        <x:v>https://maps.google.com/?cid=11711994971676395441&amp;g_mp=Cidnb29nbGUubWFwcy5wbGFjZXMudjEuUGxhY2VzLlNlYXJjaFRleHQQAhgEIAA | https://pennroof.com</x:v>
      </x:c>
      <x:c r="BC527" s="60" t="str"/>
    </x:row>
    <x:row r="528" ht="18" customHeight="1">
      <x:c r="A528" s="70" t="str">
        <x:v>527</x:v>
      </x:c>
      <x:c r="B528" s="70" t="str">
        <x:v>C - Verify</x:v>
      </x:c>
      <x:c r="C528" s="72" t="str">
        <x:v>49</x:v>
      </x:c>
      <x:c r="D528" s="60" t="str">
        <x:v>New Beginnings Construction, Inc</x:v>
      </x:c>
      <x:c r="E528" s="60" t="str">
        <x:v>https://nbc-sc.com</x:v>
      </x:c>
      <x:c r="F528" s="60" t="str">
        <x:v>https://nbc-sc.com</x:v>
      </x:c>
      <x:c r="G528" s="60" t="str">
        <x:v>Charleston</x:v>
      </x:c>
      <x:c r="H528" s="60" t="str">
        <x:v>South Carolina</x:v>
      </x:c>
      <x:c r="I528" s="60" t="str">
        <x:v>Roofing</x:v>
      </x:c>
      <x:c r="J528" s="60" t="str">
        <x:v>New Beginnings Construction, Inc</x:v>
      </x:c>
      <x:c r="K528" s="60" t="str"/>
      <x:c r="L528" s="60" t="str">
        <x:v>Owner / decision maker to verify</x:v>
      </x:c>
      <x:c r="M528" s="60" t="str"/>
      <x:c r="N528" s="60" t="str"/>
      <x:c r="O528" s="60" t="str">
        <x:v>(843) 789-4604</x:v>
      </x:c>
      <x:c r="P528" s="60" t="str"/>
      <x:c r="Q528" s="60" t="str"/>
      <x:c r="R528" s="60" t="str"/>
      <x:c r="S528" s="60" t="str">
        <x:v>4.9</x:v>
      </x:c>
      <x:c r="T528" s="74" t="str">
        <x:v>524</x:v>
      </x:c>
      <x:c r="U528" s="60" t="str"/>
      <x:c r="V528" s="74" t="str">
        <x:v>30</x:v>
      </x:c>
      <x:c r="W528" s="74" t="str">
        <x:v>3</x:v>
      </x:c>
      <x:c r="X528" s="74" t="str">
        <x:v>0</x:v>
      </x:c>
      <x:c r="Y528" s="74" t="str">
        <x:v>11</x:v>
      </x:c>
      <x:c r="Z528" s="74" t="str">
        <x:v>5</x:v>
      </x:c>
      <x:c r="AA528" s="74" t="str">
        <x:v>0</x:v>
      </x:c>
      <x:c r="AB528" s="74" t="str">
        <x:v>0</x:v>
      </x:c>
      <x:c r="AC528" s="74" t="str">
        <x:v>1</x:v>
      </x:c>
      <x:c r="AD528" s="74" t="str">
        <x:v>0</x:v>
      </x:c>
      <x:c r="AE528" s="74" t="str">
        <x:v>0</x:v>
      </x:c>
      <x:c r="AF528" s="74" t="str"/>
      <x:c r="AG528" s="74" t="str">
        <x:v>1</x:v>
      </x:c>
      <x:c r="AH528" s="74" t="str">
        <x:v>1</x:v>
      </x:c>
      <x:c r="AI528" s="74" t="str">
        <x:v>0</x:v>
      </x:c>
      <x:c r="AJ528" s="74" t="str">
        <x:v>0</x:v>
      </x:c>
      <x:c r="AK528" s="74" t="str">
        <x:v>1</x:v>
      </x:c>
      <x:c r="AL528" s="74" t="str">
        <x:v>1</x:v>
      </x:c>
      <x:c r="AM528" s="74" t="str">
        <x:v>1</x:v>
      </x:c>
      <x:c r="AN528" s="74" t="str">
        <x:v>1</x:v>
      </x:c>
      <x:c r="AO528" s="60" t="str">
        <x:v>0</x:v>
      </x:c>
      <x:c r="AP528" s="76" t="str">
        <x:v>ICP fit; paid-demand need requires manual verification</x:v>
      </x:c>
      <x:c r="AQ528" s="76" t="str">
        <x:v>project/gallery proof; visible service offer</x:v>
      </x:c>
      <x:c r="AR528" s="76" t="str">
        <x:v>I was reviewing roofing companies in Charleston, South Carolina and New Beginnings Construction, Inc looked like a strong fit for a creative test.</x:v>
      </x:c>
      <x:c r="AS528" s="76" t="str">
        <x:v>storm-to-inspection before/after ad</x:v>
      </x:c>
      <x:c r="AT528" s="76" t="str">
        <x:v>New Beginnings Construction, Inc ad concept</x:v>
      </x:c>
      <x:c r="AU528" s="76" t="str">
        <x:v>Hi New Beginnings Construction, Inc — I was reviewing roofing companies in Charleston, South Carolina and New Beginnings Construction, Inc looked like a strong fit for a creative test. I mapped a private 15-second storm-to-inspection before/after ad for New Beginnings Construction, Inc using only public brand context—not for publishing, just to show the angle. We build three client-approved video ad concepts in seven days, then turn the winners into fresh variations. No filming day required. Worth sending the private sample?</x:v>
      </x:c>
      <x:c r="AV528" s="76" t="str">
        <x:v>Quick follow-up: the sample angle is a storm-to-inspection before/after ad. If it misses the mark, no problem—I won't keep chasing. Should I send it?</x:v>
      </x:c>
      <x:c r="AW528" s="76" t="str">
        <x:v>Hi New Beginnings Construction, Inc, Ryan here. I was looking at New Beginnings Construction, Inc's public marketing and noticed: icp fit; paid-demand need requires manual verification. I mapped one private storm-to-inspection before/after ad as an example. Did I catch you with 30 seconds?</x:v>
      </x:c>
      <x:c r="AX528" s="60" t="str">
        <x:v>https://www.facebook.com/ads/library/?active_status=active&amp;ad_type=all&amp;country=US&amp;q=New%20Beginnings%20Construction%2C%20Inc&amp;search_type=keyword_unordered</x:v>
      </x:c>
      <x:c r="AY528" s="60" t="str">
        <x:v>ok:200</x:v>
      </x:c>
      <x:c r="AZ528" s="60" t="n">
        <x:v>46232.722858796296</x:v>
      </x:c>
      <x:c r="BA528" s="60" t="str">
        <x:v>Google Maps home-services export</x:v>
      </x:c>
      <x:c r="BB528" s="60" t="str">
        <x:v>https://maps.google.com/?cid=11035890095916174827&amp;g_mp=Cidnb29nbGUubWFwcy5wbGFjZXMudjEuUGxhY2VzLlNlYXJjaFRleHQQAhgEIAA | https://nbc-sc.com</x:v>
      </x:c>
      <x:c r="BC528" s="60" t="str"/>
    </x:row>
    <x:row r="529" ht="18" customHeight="1">
      <x:c r="A529" s="70" t="str">
        <x:v>528</x:v>
      </x:c>
      <x:c r="B529" s="70" t="str">
        <x:v>C - Verify</x:v>
      </x:c>
      <x:c r="C529" s="72" t="str">
        <x:v>49</x:v>
      </x:c>
      <x:c r="D529" s="60" t="str">
        <x:v>5 Stars Roofing</x:v>
      </x:c>
      <x:c r="E529" s="60" t="str">
        <x:v>https://5starsroofing.com</x:v>
      </x:c>
      <x:c r="F529" s="60" t="str">
        <x:v>https://www.5starsroofing.com/</x:v>
      </x:c>
      <x:c r="G529" s="60" t="str">
        <x:v>Charleston</x:v>
      </x:c>
      <x:c r="H529" s="60" t="str">
        <x:v>South Carolina</x:v>
      </x:c>
      <x:c r="I529" s="60" t="str">
        <x:v>Roofing</x:v>
      </x:c>
      <x:c r="J529" s="60" t="str">
        <x:v>5 Stars Roofing</x:v>
      </x:c>
      <x:c r="K529" s="60" t="str"/>
      <x:c r="L529" s="60" t="str">
        <x:v>Owner / decision maker to verify</x:v>
      </x:c>
      <x:c r="M529" s="60" t="str"/>
      <x:c r="N529" s="60" t="str"/>
      <x:c r="O529" s="60" t="str">
        <x:v>(843) 300-8400</x:v>
      </x:c>
      <x:c r="P529" s="60" t="str"/>
      <x:c r="Q529" s="60" t="str"/>
      <x:c r="R529" s="60" t="str"/>
      <x:c r="S529" s="60" t="str">
        <x:v>4.8</x:v>
      </x:c>
      <x:c r="T529" s="74" t="str">
        <x:v>261</x:v>
      </x:c>
      <x:c r="U529" s="60" t="str"/>
      <x:c r="V529" s="74" t="str">
        <x:v>30</x:v>
      </x:c>
      <x:c r="W529" s="74" t="str">
        <x:v>3</x:v>
      </x:c>
      <x:c r="X529" s="74" t="str">
        <x:v>0</x:v>
      </x:c>
      <x:c r="Y529" s="74" t="str">
        <x:v>11</x:v>
      </x:c>
      <x:c r="Z529" s="74" t="str">
        <x:v>5</x:v>
      </x:c>
      <x:c r="AA529" s="74" t="str">
        <x:v>0</x:v>
      </x:c>
      <x:c r="AB529" s="74" t="str">
        <x:v>0</x:v>
      </x:c>
      <x:c r="AC529" s="74" t="str">
        <x:v>1</x:v>
      </x:c>
      <x:c r="AD529" s="74" t="str">
        <x:v>0</x:v>
      </x:c>
      <x:c r="AE529" s="74" t="str">
        <x:v>0</x:v>
      </x:c>
      <x:c r="AF529" s="74" t="str"/>
      <x:c r="AG529" s="74" t="str">
        <x:v>1</x:v>
      </x:c>
      <x:c r="AH529" s="74" t="str">
        <x:v>1</x:v>
      </x:c>
      <x:c r="AI529" s="74" t="str">
        <x:v>0</x:v>
      </x:c>
      <x:c r="AJ529" s="74" t="str">
        <x:v>0</x:v>
      </x:c>
      <x:c r="AK529" s="74" t="str">
        <x:v>1</x:v>
      </x:c>
      <x:c r="AL529" s="74" t="str">
        <x:v>1</x:v>
      </x:c>
      <x:c r="AM529" s="74" t="str">
        <x:v>1</x:v>
      </x:c>
      <x:c r="AN529" s="74" t="str">
        <x:v>0</x:v>
      </x:c>
      <x:c r="AO529" s="60" t="str">
        <x:v>2026</x:v>
      </x:c>
      <x:c r="AP529" s="76" t="str">
        <x:v>ICP fit; paid-demand need requires manual verification</x:v>
      </x:c>
      <x:c r="AQ529" s="76" t="str">
        <x:v>project/gallery proof; visible service offer</x:v>
      </x:c>
      <x:c r="AR529" s="76" t="str">
        <x:v>I was reviewing roofing companies in Charleston, South Carolina and 5 Stars Roofing looked like a strong fit for a creative test.</x:v>
      </x:c>
      <x:c r="AS529" s="76" t="str">
        <x:v>storm-to-inspection before/after ad</x:v>
      </x:c>
      <x:c r="AT529" s="76" t="str">
        <x:v>5 Stars Roofing ad concept</x:v>
      </x:c>
      <x:c r="AU529" s="76" t="str">
        <x:v>Hi 5 Stars Roofing — I was reviewing roofing companies in Charleston, South Carolina and 5 Stars Roofing looked like a strong fit for a creative test. I mapped a private 15-second storm-to-inspection before/after ad for 5 Stars Roofing using only public brand context—not for publishing, just to show the angle. We build three client-approved video ad concepts in seven days, then turn the winners into fresh variations. No filming day required. Worth sending the private sample?</x:v>
      </x:c>
      <x:c r="AV529" s="76" t="str">
        <x:v>Quick follow-up: the sample angle is a storm-to-inspection before/after ad. If it misses the mark, no problem—I won't keep chasing. Should I send it?</x:v>
      </x:c>
      <x:c r="AW529" s="76" t="str">
        <x:v>Hi 5 Stars Roofing, Ryan here. I was looking at 5 Stars Roofing's public marketing and noticed: icp fit; paid-demand need requires manual verification. I mapped one private storm-to-inspection before/after ad as an example. Did I catch you with 30 seconds?</x:v>
      </x:c>
      <x:c r="AX529" s="60" t="str">
        <x:v>https://www.facebook.com/ads/library/?active_status=active&amp;ad_type=all&amp;country=US&amp;q=5%20Stars%20Roofing&amp;search_type=keyword_unordered</x:v>
      </x:c>
      <x:c r="AY529" s="60" t="str">
        <x:v>ok:200</x:v>
      </x:c>
      <x:c r="AZ529" s="60" t="n">
        <x:v>46232.722858796296</x:v>
      </x:c>
      <x:c r="BA529" s="60" t="str">
        <x:v>Google Maps home-services export</x:v>
      </x:c>
      <x:c r="BB529" s="60" t="str">
        <x:v>https://5starsroofing.com | https://maps.google.com/?cid=7474918555736417082&amp;g_mp=Cidnb29nbGUubWFwcy5wbGFjZXMudjEuUGxhY2VzLlNlYXJjaFRleHQQAhgEIAA</x:v>
      </x:c>
      <x:c r="BC529" s="60" t="str"/>
    </x:row>
    <x:row r="530" ht="18" customHeight="1">
      <x:c r="A530" s="70" t="str">
        <x:v>529</x:v>
      </x:c>
      <x:c r="B530" s="70" t="str">
        <x:v>C - Verify</x:v>
      </x:c>
      <x:c r="C530" s="72" t="str">
        <x:v>49</x:v>
      </x:c>
      <x:c r="D530" s="60" t="str">
        <x:v>Sunny Day Roofing - Charleston</x:v>
      </x:c>
      <x:c r="E530" s="60" t="str">
        <x:v>https://sunnydayroofing.com</x:v>
      </x:c>
      <x:c r="F530" s="60" t="str">
        <x:v>https://sunnydayroofing.com</x:v>
      </x:c>
      <x:c r="G530" s="60" t="str">
        <x:v>Charleston</x:v>
      </x:c>
      <x:c r="H530" s="60" t="str">
        <x:v>South Carolina</x:v>
      </x:c>
      <x:c r="I530" s="60" t="str">
        <x:v>Roofing</x:v>
      </x:c>
      <x:c r="J530" s="60" t="str">
        <x:v>Sunny Day Roofing - Charleston</x:v>
      </x:c>
      <x:c r="K530" s="60" t="str"/>
      <x:c r="L530" s="60" t="str">
        <x:v>Owner / decision maker to verify</x:v>
      </x:c>
      <x:c r="M530" s="60" t="str"/>
      <x:c r="N530" s="60" t="str"/>
      <x:c r="O530" s="60" t="str">
        <x:v>(843) 212-7663</x:v>
      </x:c>
      <x:c r="P530" s="60" t="str"/>
      <x:c r="Q530" s="60" t="str"/>
      <x:c r="R530" s="60" t="str"/>
      <x:c r="S530" s="60" t="str">
        <x:v>5</x:v>
      </x:c>
      <x:c r="T530" s="74" t="str">
        <x:v>87</x:v>
      </x:c>
      <x:c r="U530" s="60" t="str"/>
      <x:c r="V530" s="74" t="str">
        <x:v>27</x:v>
      </x:c>
      <x:c r="W530" s="74" t="str">
        <x:v>3</x:v>
      </x:c>
      <x:c r="X530" s="74" t="str">
        <x:v>4</x:v>
      </x:c>
      <x:c r="Y530" s="74" t="str">
        <x:v>10</x:v>
      </x:c>
      <x:c r="Z530" s="74" t="str">
        <x:v>5</x:v>
      </x:c>
      <x:c r="AA530" s="74" t="str">
        <x:v>0</x:v>
      </x:c>
      <x:c r="AB530" s="74" t="str">
        <x:v>0</x:v>
      </x:c>
      <x:c r="AC530" s="74" t="str">
        <x:v>1</x:v>
      </x:c>
      <x:c r="AD530" s="74" t="str">
        <x:v>0</x:v>
      </x:c>
      <x:c r="AE530" s="74" t="str">
        <x:v>0</x:v>
      </x:c>
      <x:c r="AF530" s="74" t="str"/>
      <x:c r="AG530" s="74" t="str">
        <x:v>1</x:v>
      </x:c>
      <x:c r="AH530" s="74" t="str">
        <x:v>1</x:v>
      </x:c>
      <x:c r="AI530" s="74" t="str">
        <x:v>0</x:v>
      </x:c>
      <x:c r="AJ530" s="74" t="str">
        <x:v>0</x:v>
      </x:c>
      <x:c r="AK530" s="74" t="str">
        <x:v>1</x:v>
      </x:c>
      <x:c r="AL530" s="74" t="str">
        <x:v>0</x:v>
      </x:c>
      <x:c r="AM530" s="74" t="str">
        <x:v>1</x:v>
      </x:c>
      <x:c r="AN530" s="74" t="str">
        <x:v>0</x:v>
      </x:c>
      <x:c r="AO530" s="60" t="str">
        <x:v>2025</x:v>
      </x:c>
      <x:c r="AP530" s="76" t="str">
        <x:v>ICP fit; paid-demand need requires manual verification</x:v>
      </x:c>
      <x:c r="AQ530" s="76" t="str">
        <x:v>project/gallery proof; visible service offer</x:v>
      </x:c>
      <x:c r="AR530" s="76" t="str">
        <x:v>I was reviewing roofing companies in Charleston, South Carolina and Sunny Day Roofing - Charleston looked like a strong fit for a creative test.</x:v>
      </x:c>
      <x:c r="AS530" s="76" t="str">
        <x:v>storm-to-inspection before/after ad</x:v>
      </x:c>
      <x:c r="AT530" s="76" t="str">
        <x:v>Sunny Day Roofing - Charleston ad concept</x:v>
      </x:c>
      <x:c r="AU530" s="76" t="str">
        <x:v>Hi Sunny Day Roofing - Charleston — I was reviewing roofing companies in Charleston, South Carolina and Sunny Day Roofing - Charleston looked like a strong fit for a creative test. I mapped a private 15-second storm-to-inspection before/after ad for Sunny Day Roofing - Charleston using only public brand context—not for publishing, just to show the angle. We build three client-approved video ad concepts in seven days, then turn the winners into fresh variations. No filming day required. Worth sending the private sample?</x:v>
      </x:c>
      <x:c r="AV530" s="76" t="str">
        <x:v>Quick follow-up: the sample angle is a storm-to-inspection before/after ad. If it misses the mark, no problem—I won't keep chasing. Should I send it?</x:v>
      </x:c>
      <x:c r="AW530" s="76" t="str">
        <x:v>Hi Sunny Day Roofing - Charleston, Ryan here. I was looking at Sunny Day Roofing - Charleston's public marketing and noticed: icp fit; paid-demand need requires manual verification. I mapped one private storm-to-inspection before/after ad as an example. Did I catch you with 30 seconds?</x:v>
      </x:c>
      <x:c r="AX530" s="60" t="str">
        <x:v>https://www.facebook.com/ads/library/?active_status=active&amp;ad_type=all&amp;country=US&amp;q=Sunny%20Day%20Roofing%20-%20Charleston&amp;search_type=keyword_unordered</x:v>
      </x:c>
      <x:c r="AY530" s="60" t="str">
        <x:v>ok:200</x:v>
      </x:c>
      <x:c r="AZ530" s="60" t="n">
        <x:v>46232.722858796296</x:v>
      </x:c>
      <x:c r="BA530" s="60" t="str">
        <x:v>Google Maps home-services export</x:v>
      </x:c>
      <x:c r="BB530" s="60" t="str">
        <x:v>https://maps.google.com/?cid=3303800215876165917&amp;g_mp=Cidnb29nbGUubWFwcy5wbGFjZXMudjEuUGxhY2VzLlNlYXJjaFRleHQQAhgEIAA | https://sunnydayroofing.com</x:v>
      </x:c>
      <x:c r="BC530" s="60" t="str"/>
    </x:row>
    <x:row r="531" ht="18" customHeight="1">
      <x:c r="A531" s="70" t="str">
        <x:v>530</x:v>
      </x:c>
      <x:c r="B531" s="70" t="str">
        <x:v>C - Verify</x:v>
      </x:c>
      <x:c r="C531" s="72" t="str">
        <x:v>49</x:v>
      </x:c>
      <x:c r="D531" s="60" t="str">
        <x:v>Living Water Drain &amp; Plumbing</x:v>
      </x:c>
      <x:c r="E531" s="60" t="str">
        <x:v>https://lwdplumbing.com</x:v>
      </x:c>
      <x:c r="F531" s="60" t="str">
        <x:v>https://lwdplumbing.com</x:v>
      </x:c>
      <x:c r="G531" s="60" t="str">
        <x:v>Columbia</x:v>
      </x:c>
      <x:c r="H531" s="60" t="str">
        <x:v>South Carolina</x:v>
      </x:c>
      <x:c r="I531" s="60" t="str">
        <x:v>Plumbing</x:v>
      </x:c>
      <x:c r="J531" s="60" t="str">
        <x:v>Living Water Drain &amp; Plumbing</x:v>
      </x:c>
      <x:c r="K531" s="60" t="str"/>
      <x:c r="L531" s="60" t="str">
        <x:v>Owner / decision maker to verify</x:v>
      </x:c>
      <x:c r="M531" s="60" t="str"/>
      <x:c r="N531" s="60" t="str"/>
      <x:c r="O531" s="60" t="str">
        <x:v>(803) 757-5612</x:v>
      </x:c>
      <x:c r="P531" s="60" t="str"/>
      <x:c r="Q531" s="60" t="str"/>
      <x:c r="R531" s="60" t="str"/>
      <x:c r="S531" s="60" t="str">
        <x:v>4.9</x:v>
      </x:c>
      <x:c r="T531" s="74" t="str">
        <x:v>84</x:v>
      </x:c>
      <x:c r="U531" s="60" t="str"/>
      <x:c r="V531" s="74" t="str">
        <x:v>22</x:v>
      </x:c>
      <x:c r="W531" s="74" t="str">
        <x:v>3</x:v>
      </x:c>
      <x:c r="X531" s="74" t="str">
        <x:v>10</x:v>
      </x:c>
      <x:c r="Y531" s="74" t="str">
        <x:v>9</x:v>
      </x:c>
      <x:c r="Z531" s="74" t="str">
        <x:v>5</x:v>
      </x:c>
      <x:c r="AA531" s="74" t="str">
        <x:v>0</x:v>
      </x:c>
      <x:c r="AB531" s="74" t="str">
        <x:v>0</x:v>
      </x:c>
      <x:c r="AC531" s="74" t="str">
        <x:v>1</x:v>
      </x:c>
      <x:c r="AD531" s="74" t="str">
        <x:v>0</x:v>
      </x:c>
      <x:c r="AE531" s="74" t="str">
        <x:v>0</x:v>
      </x:c>
      <x:c r="AF531" s="74" t="str"/>
      <x:c r="AG531" s="74" t="str">
        <x:v>0</x:v>
      </x:c>
      <x:c r="AH531" s="74" t="str">
        <x:v>0</x:v>
      </x:c>
      <x:c r="AI531" s="74" t="str">
        <x:v>1</x:v>
      </x:c>
      <x:c r="AJ531" s="74" t="str">
        <x:v>0</x:v>
      </x:c>
      <x:c r="AK531" s="74" t="str">
        <x:v>1</x:v>
      </x:c>
      <x:c r="AL531" s="74" t="str">
        <x:v>0</x:v>
      </x:c>
      <x:c r="AM531" s="74" t="str">
        <x:v>0</x:v>
      </x:c>
      <x:c r="AN531" s="74" t="str">
        <x:v>0</x:v>
      </x:c>
      <x:c r="AO531" s="60" t="str">
        <x:v>2026</x:v>
      </x:c>
      <x:c r="AP531" s="76" t="str">
        <x:v>ICP fit; paid-demand need requires manual verification</x:v>
      </x:c>
      <x:c r="AQ531" s="76" t="str">
        <x:v>testimonials; visible service offer; no embedded homepage video detected</x:v>
      </x:c>
      <x:c r="AR531" s="76" t="str">
        <x:v>I was reviewing plumbing companies in Columbia, South Carolina and Living Water Drain &amp; Plumbing looked like a strong fit for a creative test.</x:v>
      </x:c>
      <x:c r="AS531" s="76" t="str">
        <x:v>small symptom to prevented-emergency ad</x:v>
      </x:c>
      <x:c r="AT531" s="76" t="str">
        <x:v>Living Water Drain &amp; Plumbing ad concept</x:v>
      </x:c>
      <x:c r="AU531" s="76" t="str">
        <x:v>Hi Living Water Drain &amp; Plumbing — I was reviewing plumbing companies in Columbia, South Carolina and Living Water Drain &amp; Plumbing looked like a strong fit for a creative test. I mapped a private 15-second small symptom to prevented-emergency ad for Living Water Drain &amp; Plumbing using only public brand context—not for publishing, just to show the angle. We build three client-approved video ad concepts in seven days, then turn the winners into fresh variations. No filming day required. Worth sending the private sample?</x:v>
      </x:c>
      <x:c r="AV531" s="76" t="str">
        <x:v>Quick follow-up: the sample angle is a small symptom to prevented-emergency ad. If it misses the mark, no problem—I won't keep chasing. Should I send it?</x:v>
      </x:c>
      <x:c r="AW531" s="76" t="str">
        <x:v>Hi Living Water Drain &amp; Plumbing, Ryan here. I was looking at Living Water Drain &amp; Plumbing's public marketing and noticed: icp fit; paid-demand need requires manual verification. I mapped one private small symptom to prevented-emergency ad as an example. Did I catch you with 30 seconds?</x:v>
      </x:c>
      <x:c r="AX531" s="60" t="str">
        <x:v>https://www.facebook.com/ads/library/?active_status=active&amp;ad_type=all&amp;country=US&amp;q=Living%20Water%20Drain%20%26%20Plumbing&amp;search_type=keyword_unordered</x:v>
      </x:c>
      <x:c r="AY531" s="60" t="str">
        <x:v>ok:200</x:v>
      </x:c>
      <x:c r="AZ531" s="60" t="n">
        <x:v>46232.722858796296</x:v>
      </x:c>
      <x:c r="BA531" s="60" t="str">
        <x:v>Google Maps home-services export</x:v>
      </x:c>
      <x:c r="BB531" s="60" t="str">
        <x:v>https://lwdplumbing.com | https://maps.google.com/?cid=6179100923608937178&amp;g_mp=Cidnb29nbGUubWFwcy5wbGFjZXMudjEuUGxhY2VzLlNlYXJjaFRleHQQAhgEIAA</x:v>
      </x:c>
      <x:c r="BC531" s="60" t="str"/>
    </x:row>
    <x:row r="532" ht="18" customHeight="1">
      <x:c r="A532" s="70" t="str">
        <x:v>531</x:v>
      </x:c>
      <x:c r="B532" s="70" t="str">
        <x:v>C - Verify</x:v>
      </x:c>
      <x:c r="C532" s="72" t="str">
        <x:v>49</x:v>
      </x:c>
      <x:c r="D532" s="60" t="str">
        <x:v>Bill Kirkland Heating and Air Conditioning, Inc.</x:v>
      </x:c>
      <x:c r="E532" s="60" t="str">
        <x:v>https://billkirklandhvac.com</x:v>
      </x:c>
      <x:c r="F532" s="60" t="str">
        <x:v>https://www.billkirklandhvac.com/</x:v>
      </x:c>
      <x:c r="G532" s="60" t="str">
        <x:v>Spartanburg</x:v>
      </x:c>
      <x:c r="H532" s="60" t="str">
        <x:v>South Carolina</x:v>
      </x:c>
      <x:c r="I532" s="60" t="str">
        <x:v>HVAC</x:v>
      </x:c>
      <x:c r="J532" s="60" t="str">
        <x:v>Bill Kirkland Heating and Air Conditioning, Inc.</x:v>
      </x:c>
      <x:c r="K532" s="60" t="str"/>
      <x:c r="L532" s="60" t="str">
        <x:v>Owner / decision maker to verify</x:v>
      </x:c>
      <x:c r="M532" s="60" t="str"/>
      <x:c r="N532" s="60" t="str"/>
      <x:c r="O532" s="60" t="str">
        <x:v>(864) 573-9426</x:v>
      </x:c>
      <x:c r="P532" s="60" t="str"/>
      <x:c r="Q532" s="60" t="str"/>
      <x:c r="R532" s="60" t="str"/>
      <x:c r="S532" s="60" t="str">
        <x:v>4.4</x:v>
      </x:c>
      <x:c r="T532" s="74" t="str">
        <x:v>47</x:v>
      </x:c>
      <x:c r="U532" s="60" t="str">
        <x:v>missed_calls, slow_response</x:v>
      </x:c>
      <x:c r="V532" s="74" t="str">
        <x:v>26</x:v>
      </x:c>
      <x:c r="W532" s="74" t="str">
        <x:v>3</x:v>
      </x:c>
      <x:c r="X532" s="74" t="str">
        <x:v>6</x:v>
      </x:c>
      <x:c r="Y532" s="74" t="str">
        <x:v>9</x:v>
      </x:c>
      <x:c r="Z532" s="74" t="str">
        <x:v>5</x:v>
      </x:c>
      <x:c r="AA532" s="74" t="str">
        <x:v>0</x:v>
      </x:c>
      <x:c r="AB532" s="74" t="str">
        <x:v>0</x:v>
      </x:c>
      <x:c r="AC532" s="74" t="str">
        <x:v>1</x:v>
      </x:c>
      <x:c r="AD532" s="74" t="str">
        <x:v>0</x:v>
      </x:c>
      <x:c r="AE532" s="74" t="str">
        <x:v>0</x:v>
      </x:c>
      <x:c r="AF532" s="74" t="str"/>
      <x:c r="AG532" s="74" t="str">
        <x:v>1</x:v>
      </x:c>
      <x:c r="AH532" s="74" t="str">
        <x:v>0</x:v>
      </x:c>
      <x:c r="AI532" s="74" t="str">
        <x:v>1</x:v>
      </x:c>
      <x:c r="AJ532" s="74" t="str">
        <x:v>0</x:v>
      </x:c>
      <x:c r="AK532" s="74" t="str">
        <x:v>1</x:v>
      </x:c>
      <x:c r="AL532" s="74" t="str">
        <x:v>0</x:v>
      </x:c>
      <x:c r="AM532" s="74" t="str">
        <x:v>1</x:v>
      </x:c>
      <x:c r="AN532" s="74" t="str">
        <x:v>0</x:v>
      </x:c>
      <x:c r="AO532" s="60" t="str">
        <x:v>0</x:v>
      </x:c>
      <x:c r="AP532" s="76" t="str">
        <x:v>ICP fit; paid-demand need requires manual verification</x:v>
      </x:c>
      <x:c r="AQ532" s="76" t="str">
        <x:v>testimonials; visible service offer</x:v>
      </x:c>
      <x:c r="AR532" s="76" t="str">
        <x:v>I was reviewing hvac companies in Spartanburg, South Carolina and Bill Kirkland Heating and Air Conditioning, Inc. looked like a strong fit for a creative test.</x:v>
      </x:c>
      <x:c r="AS532" s="76" t="str">
        <x:v>no-cool-call to same-day comfort ad</x:v>
      </x:c>
      <x:c r="AT532" s="76" t="str">
        <x:v>Bill Kirkland Heating and Air Conditioning, Inc. ad concept</x:v>
      </x:c>
      <x:c r="AU532" s="76" t="str">
        <x:v>Hi Bill Kirkland Heating and Air Conditioning, Inc. — I was reviewing hvac companies in Spartanburg, South Carolina and Bill Kirkland Heating and Air Conditioning, Inc. looked like a strong fit for a creative test. I mapped a private 15-second no-cool-call to same-day comfort ad for Bill Kirkland Heating and Air Conditioning, Inc. using only public brand context—not for publishing, just to show the angle. We build three client-approved video ad concepts in seven days, then turn the winners into fresh variations. No filming day required. Worth sending the private sample?</x:v>
      </x:c>
      <x:c r="AV532" s="76" t="str">
        <x:v>Quick follow-up: the sample angle is a no-cool-call to same-day comfort ad. If it misses the mark, no problem—I won't keep chasing. Should I send it?</x:v>
      </x:c>
      <x:c r="AW532" s="76" t="str">
        <x:v>Hi Bill Kirkland Heating and Air Conditioning, Inc., Ryan here. I was looking at Bill Kirkland Heating and Air Conditioning, Inc.'s public marketing and noticed: icp fit; paid-demand need requires manual verification. I mapped one private no-cool-call to same-day comfort ad as an example. Did I catch you with 30 seconds?</x:v>
      </x:c>
      <x:c r="AX532" s="60" t="str">
        <x:v>https://www.facebook.com/ads/library/?active_status=active&amp;ad_type=all&amp;country=US&amp;q=Bill%20Kirkland%20Heating%20and%20Air%20Conditioning%2C%20Inc.&amp;search_type=keyword_unordered</x:v>
      </x:c>
      <x:c r="AY532" s="60" t="str">
        <x:v>ok:200</x:v>
      </x:c>
      <x:c r="AZ532" s="60" t="n">
        <x:v>46232.722858796296</x:v>
      </x:c>
      <x:c r="BA532" s="60" t="str">
        <x:v>Google Maps home-services export</x:v>
      </x:c>
      <x:c r="BB532" s="60" t="str">
        <x:v>https://billkirklandhvac.com | https://maps.google.com/?cid=2235026941500629837&amp;g_mp=Cidnb29nbGUubWFwcy5wbGFjZXMudjEuUGxhY2VzLlNlYXJjaFRleHQQAhgEIAA</x:v>
      </x:c>
      <x:c r="BC532" s="60" t="str"/>
    </x:row>
    <x:row r="533" ht="18" customHeight="1">
      <x:c r="A533" s="70" t="str">
        <x:v>532</x:v>
      </x:c>
      <x:c r="B533" s="70" t="str">
        <x:v>C - Verify</x:v>
      </x:c>
      <x:c r="C533" s="72" t="str">
        <x:v>49</x:v>
      </x:c>
      <x:c r="D533" s="60" t="str">
        <x:v>Punch List Pros</x:v>
      </x:c>
      <x:c r="E533" s="60" t="str">
        <x:v>https://punchlistpros.com</x:v>
      </x:c>
      <x:c r="F533" s="60" t="str">
        <x:v>https://punchlistpros.com</x:v>
      </x:c>
      <x:c r="G533" s="60" t="str">
        <x:v>Columbia</x:v>
      </x:c>
      <x:c r="H533" s="60" t="str">
        <x:v>South Carolina Metropolitan Area</x:v>
      </x:c>
      <x:c r="I533" s="60" t="str">
        <x:v>General Contractor</x:v>
      </x:c>
      <x:c r="J533" s="60" t="str">
        <x:v>Joseph</x:v>
      </x:c>
      <x:c r="K533" s="60" t="str">
        <x:v>Bates MIOP, MBA, SCM</x:v>
      </x:c>
      <x:c r="L533" s="60" t="str">
        <x:v>Business Owner</x:v>
      </x:c>
      <x:c r="M533" s="60" t="str">
        <x:v>jbates@punchlistpros.com</x:v>
      </x:c>
      <x:c r="N533" s="60" t="str">
        <x:v>Verified with BounceBan on 08 Jun 26 12:06</x:v>
      </x:c>
      <x:c r="O533" s="60" t="str">
        <x:v>+1 352 598 6011</x:v>
      </x:c>
      <x:c r="P533" s="60" t="str">
        <x:v>https://www.linkedin.com/in/joseph-bates-mba</x:v>
      </x:c>
      <x:c r="Q533" s="60" t="str">
        <x:v>2-10</x:v>
      </x:c>
      <x:c r="R533" s="60" t="str">
        <x:v>500000-999999</x:v>
      </x:c>
      <x:c r="S533" s="60" t="str"/>
      <x:c r="T533" s="74" t="str">
        <x:v>0</x:v>
      </x:c>
      <x:c r="U533" s="60" t="str"/>
      <x:c r="V533" s="74" t="str">
        <x:v>22</x:v>
      </x:c>
      <x:c r="W533" s="74" t="str">
        <x:v>3</x:v>
      </x:c>
      <x:c r="X533" s="74" t="str">
        <x:v>6</x:v>
      </x:c>
      <x:c r="Y533" s="74" t="str">
        <x:v>8</x:v>
      </x:c>
      <x:c r="Z533" s="74" t="str">
        <x:v>10</x:v>
      </x:c>
      <x:c r="AA533" s="74" t="str">
        <x:v>0</x:v>
      </x:c>
      <x:c r="AB533" s="74" t="str">
        <x:v>0</x:v>
      </x:c>
      <x:c r="AC533" s="74" t="str">
        <x:v>1</x:v>
      </x:c>
      <x:c r="AD533" s="74" t="str">
        <x:v>0</x:v>
      </x:c>
      <x:c r="AE533" s="74" t="str">
        <x:v>0</x:v>
      </x:c>
      <x:c r="AF533" s="74" t="str"/>
      <x:c r="AG533" s="74" t="str">
        <x:v>0</x:v>
      </x:c>
      <x:c r="AH533" s="74" t="str">
        <x:v>1</x:v>
      </x:c>
      <x:c r="AI533" s="74" t="str">
        <x:v>0</x:v>
      </x:c>
      <x:c r="AJ533" s="74" t="str">
        <x:v>0</x:v>
      </x:c>
      <x:c r="AK533" s="74" t="str">
        <x:v>1</x:v>
      </x:c>
      <x:c r="AL533" s="74" t="str">
        <x:v>1</x:v>
      </x:c>
      <x:c r="AM533" s="74" t="str">
        <x:v>1</x:v>
      </x:c>
      <x:c r="AN533" s="74" t="str">
        <x:v>1</x:v>
      </x:c>
      <x:c r="AO533" s="60" t="str">
        <x:v>2026</x:v>
      </x:c>
      <x:c r="AP533" s="76" t="str">
        <x:v>Project/gallery proof found; no embedded homepage video found</x:v>
      </x:c>
      <x:c r="AQ533" s="76" t="str">
        <x:v>project/gallery proof; visible service offer; no embedded homepage video detected</x:v>
      </x:c>
      <x:c r="AR533" s="76" t="str">
        <x:v>I found project/gallery proof on Punch List Pros's site that could be repackaged into short-form ad concepts.</x:v>
      </x:c>
      <x:c r="AS533" s="76" t="str">
        <x:v>project walkthrough with proof milestones</x:v>
      </x:c>
      <x:c r="AT533" s="76" t="str">
        <x:v>Punch List Pros ad concept</x:v>
      </x:c>
      <x:c r="AU533" s="76" t="str">
        <x:v>Hi Joseph — I found project/gallery proof on Punch List Pros's site that could be repackaged into short-form ad concepts. I mapped a private 15-second project walkthrough with proof milestones for Punch List Pros using only public brand context—not for publishing, just to show the angle. We build three client-approved video ad concepts in seven days, then turn the winners into fresh variations. No filming day required. Worth sending the private sample?</x:v>
      </x:c>
      <x:c r="AV533" s="76" t="str">
        <x:v>Quick follow-up: the sample angle is a project walkthrough with proof milestones. If it misses the mark, no problem—I won't keep chasing. Should I send it?</x:v>
      </x:c>
      <x:c r="AW533" s="76" t="str">
        <x:v>Hi Joseph, Ryan here. I was looking at Punch List Pros's public marketing and noticed: project/gallery proof found; no embedded homepage video found. I mapped one private project walkthrough with proof milestones as an example. Did I catch you with 30 seconds?</x:v>
      </x:c>
      <x:c r="AX533" s="60" t="str">
        <x:v>https://www.facebook.com/ads/library/?active_status=active&amp;ad_type=all&amp;country=US&amp;q=Punch%20List%20Pros&amp;search_type=keyword_unordered</x:v>
      </x:c>
      <x:c r="AY533" s="60" t="str">
        <x:v>ok:200</x:v>
      </x:c>
      <x:c r="AZ533" s="60" t="n">
        <x:v>46232.722858796296</x:v>
      </x:c>
      <x:c r="BA533" s="60" t="str">
        <x:v>AI Ark SC trades export</x:v>
      </x:c>
      <x:c r="BB533" s="60" t="str">
        <x:v>https://punchlistpros.com | https://www.linkedin.com/company/punch-list-pros</x:v>
      </x:c>
      <x:c r="BC533" s="60" t="str"/>
    </x:row>
    <x:row r="534" ht="18" customHeight="1">
      <x:c r="A534" s="70" t="str">
        <x:v>533</x:v>
      </x:c>
      <x:c r="B534" s="70" t="str">
        <x:v>C - Verify</x:v>
      </x:c>
      <x:c r="C534" s="72" t="str">
        <x:v>49</x:v>
      </x:c>
      <x:c r="D534" s="60" t="str">
        <x:v>LIME Painting Franchise</x:v>
      </x:c>
      <x:c r="E534" s="60" t="str">
        <x:v>https://limepaintingfranchise.com</x:v>
      </x:c>
      <x:c r="F534" s="60" t="str">
        <x:v>https://limepaintingfranchise.com</x:v>
      </x:c>
      <x:c r="G534" s="60" t="str">
        <x:v>Mount Pleasant</x:v>
      </x:c>
      <x:c r="H534" s="60" t="str">
        <x:v>South Carolina</x:v>
      </x:c>
      <x:c r="I534" s="60" t="str">
        <x:v>Remodeling</x:v>
      </x:c>
      <x:c r="J534" s="60" t="str">
        <x:v>Cory</x:v>
      </x:c>
      <x:c r="K534" s="60" t="str">
        <x:v>Griggs</x:v>
      </x:c>
      <x:c r="L534" s="60" t="str">
        <x:v>Business Owner. Entrepreneur</x:v>
      </x:c>
      <x:c r="M534" s="60" t="str">
        <x:v>cgriggs@limepainting.com</x:v>
      </x:c>
      <x:c r="N534" s="60" t="str">
        <x:v>Verified with BounceBan on 08 Jun 26 12:06</x:v>
      </x:c>
      <x:c r="O534" s="60" t="str">
        <x:v>+1 720 316 6623</x:v>
      </x:c>
      <x:c r="P534" s="60" t="str">
        <x:v>https://www.linkedin.com/in/cory-griggs</x:v>
      </x:c>
      <x:c r="Q534" s="60" t="str">
        <x:v>11-50</x:v>
      </x:c>
      <x:c r="R534" s="60" t="str">
        <x:v>100000-499999</x:v>
      </x:c>
      <x:c r="S534" s="60" t="str"/>
      <x:c r="T534" s="74" t="str">
        <x:v>0</x:v>
      </x:c>
      <x:c r="U534" s="60" t="str"/>
      <x:c r="V534" s="74" t="str">
        <x:v>28</x:v>
      </x:c>
      <x:c r="W534" s="74" t="str">
        <x:v>3</x:v>
      </x:c>
      <x:c r="X534" s="74" t="str">
        <x:v>0</x:v>
      </x:c>
      <x:c r="Y534" s="74" t="str">
        <x:v>8</x:v>
      </x:c>
      <x:c r="Z534" s="74" t="str">
        <x:v>10</x:v>
      </x:c>
      <x:c r="AA534" s="74" t="str">
        <x:v>0</x:v>
      </x:c>
      <x:c r="AB534" s="74" t="str">
        <x:v>0</x:v>
      </x:c>
      <x:c r="AC534" s="74" t="str">
        <x:v>1</x:v>
      </x:c>
      <x:c r="AD534" s="74" t="str">
        <x:v>0</x:v>
      </x:c>
      <x:c r="AE534" s="74" t="str">
        <x:v>0</x:v>
      </x:c>
      <x:c r="AF534" s="74" t="str"/>
      <x:c r="AG534" s="74" t="str">
        <x:v>1</x:v>
      </x:c>
      <x:c r="AH534" s="74" t="str">
        <x:v>1</x:v>
      </x:c>
      <x:c r="AI534" s="74" t="str">
        <x:v>0</x:v>
      </x:c>
      <x:c r="AJ534" s="74" t="str">
        <x:v>0</x:v>
      </x:c>
      <x:c r="AK534" s="74" t="str">
        <x:v>1</x:v>
      </x:c>
      <x:c r="AL534" s="74" t="str">
        <x:v>1</x:v>
      </x:c>
      <x:c r="AM534" s="74" t="str">
        <x:v>1</x:v>
      </x:c>
      <x:c r="AN534" s="74" t="str">
        <x:v>1</x:v>
      </x:c>
      <x:c r="AO534" s="60" t="str">
        <x:v>0</x:v>
      </x:c>
      <x:c r="AP534" s="76" t="str">
        <x:v>ICP fit; paid-demand need requires manual verification</x:v>
      </x:c>
      <x:c r="AQ534" s="76" t="str">
        <x:v>project/gallery proof; visible service offer</x:v>
      </x:c>
      <x:c r="AR534" s="76" t="str">
        <x:v>I was reviewing remodeling companies in Mount Pleasant, South Carolina and LIME Painting Franchise looked like a strong fit for a creative test.</x:v>
      </x:c>
      <x:c r="AS534" s="76" t="str">
        <x:v>project reveal with budget-and-timeline proof</x:v>
      </x:c>
      <x:c r="AT534" s="76" t="str">
        <x:v>LIME Painting Franchise ad concept</x:v>
      </x:c>
      <x:c r="AU534" s="76" t="str">
        <x:v>Hi Cory — I was reviewing remodeling companies in Mount Pleasant, South Carolina and LIME Painting Franchise looked like a strong fit for a creative test. I mapped a private 15-second project reveal with budget-and-timeline proof for LIME Painting Franchise using only public brand context—not for publishing, just to show the angle. We build three client-approved video ad concepts in seven days, then turn the winners into fresh variations. No filming day required. Worth sending the private sample?</x:v>
      </x:c>
      <x:c r="AV534" s="76" t="str">
        <x:v>Quick follow-up: the sample angle is a project reveal with budget-and-timeline proof. If it misses the mark, no problem—I won't keep chasing. Should I send it?</x:v>
      </x:c>
      <x:c r="AW534" s="76" t="str">
        <x:v>Hi Cory, Ryan here. I was looking at LIME Painting Franchise's public marketing and noticed: icp fit; paid-demand need requires manual verification. I mapped one private project reveal with budget-and-timeline proof as an example. Did I catch you with 30 seconds?</x:v>
      </x:c>
      <x:c r="AX534" s="60" t="str">
        <x:v>https://www.facebook.com/ads/library/?active_status=active&amp;ad_type=all&amp;country=US&amp;q=LIME%20Painting%20Franchise&amp;search_type=keyword_unordered</x:v>
      </x:c>
      <x:c r="AY534" s="60" t="str">
        <x:v>ok:200</x:v>
      </x:c>
      <x:c r="AZ534" s="60" t="n">
        <x:v>46232.722858796296</x:v>
      </x:c>
      <x:c r="BA534" s="60" t="str">
        <x:v>AI Ark SC trades export</x:v>
      </x:c>
      <x:c r="BB534" s="60" t="str">
        <x:v>https://limepaintingfranchise.com | https://www.linkedin.com/company/lime-painting-franchise</x:v>
      </x:c>
      <x:c r="BC534" s="60" t="str"/>
    </x:row>
    <x:row r="535" ht="18" customHeight="1">
      <x:c r="A535" s="70" t="str">
        <x:v>534</x:v>
      </x:c>
      <x:c r="B535" s="70" t="str">
        <x:v>C - Verify</x:v>
      </x:c>
      <x:c r="C535" s="72" t="str">
        <x:v>49</x:v>
      </x:c>
      <x:c r="D535" s="60" t="str">
        <x:v>Garage Force of Greenville (Gillen Enterprises, LLC)</x:v>
      </x:c>
      <x:c r="E535" s="60" t="str">
        <x:v>https://garageforce.com</x:v>
      </x:c>
      <x:c r="F535" s="60" t="str">
        <x:v>https://garageforce.com</x:v>
      </x:c>
      <x:c r="G535" s="60" t="str">
        <x:v>Greenville</x:v>
      </x:c>
      <x:c r="H535" s="60" t="str">
        <x:v>South Carolina</x:v>
      </x:c>
      <x:c r="I535" s="60" t="str">
        <x:v>Restoration</x:v>
      </x:c>
      <x:c r="J535" s="60" t="str">
        <x:v>Kevin</x:v>
      </x:c>
      <x:c r="K535" s="60" t="str">
        <x:v>Gillen, PMP</x:v>
      </x:c>
      <x:c r="L535" s="60" t="str">
        <x:v>Owner</x:v>
      </x:c>
      <x:c r="M535" s="60" t="str">
        <x:v>kgillen@garageforce.com</x:v>
      </x:c>
      <x:c r="N535" s="60" t="str">
        <x:v>Verified with BounceBan on 08 Jun 26 12:06</x:v>
      </x:c>
      <x:c r="O535" s="60" t="str">
        <x:v>+1 402 430 0831</x:v>
      </x:c>
      <x:c r="P535" s="60" t="str">
        <x:v>https://www.linkedin.com/in/kevingillen</x:v>
      </x:c>
      <x:c r="Q535" s="60" t="str">
        <x:v>2-10</x:v>
      </x:c>
      <x:c r="R535" s="60" t="str">
        <x:v>100000-499999</x:v>
      </x:c>
      <x:c r="S535" s="60" t="str"/>
      <x:c r="T535" s="74" t="str">
        <x:v>0</x:v>
      </x:c>
      <x:c r="U535" s="60" t="str"/>
      <x:c r="V535" s="74" t="str">
        <x:v>28</x:v>
      </x:c>
      <x:c r="W535" s="74" t="str">
        <x:v>3</x:v>
      </x:c>
      <x:c r="X535" s="74" t="str">
        <x:v>0</x:v>
      </x:c>
      <x:c r="Y535" s="74" t="str">
        <x:v>8</x:v>
      </x:c>
      <x:c r="Z535" s="74" t="str">
        <x:v>10</x:v>
      </x:c>
      <x:c r="AA535" s="74" t="str">
        <x:v>0</x:v>
      </x:c>
      <x:c r="AB535" s="74" t="str">
        <x:v>0</x:v>
      </x:c>
      <x:c r="AC535" s="74" t="str">
        <x:v>1</x:v>
      </x:c>
      <x:c r="AD535" s="74" t="str">
        <x:v>0</x:v>
      </x:c>
      <x:c r="AE535" s="74" t="str">
        <x:v>0</x:v>
      </x:c>
      <x:c r="AF535" s="74" t="str"/>
      <x:c r="AG535" s="74" t="str">
        <x:v>1</x:v>
      </x:c>
      <x:c r="AH535" s="74" t="str">
        <x:v>1</x:v>
      </x:c>
      <x:c r="AI535" s="74" t="str">
        <x:v>0</x:v>
      </x:c>
      <x:c r="AJ535" s="74" t="str">
        <x:v>0</x:v>
      </x:c>
      <x:c r="AK535" s="74" t="str">
        <x:v>1</x:v>
      </x:c>
      <x:c r="AL535" s="74" t="str">
        <x:v>1</x:v>
      </x:c>
      <x:c r="AM535" s="74" t="str">
        <x:v>1</x:v>
      </x:c>
      <x:c r="AN535" s="74" t="str">
        <x:v>0</x:v>
      </x:c>
      <x:c r="AO535" s="60" t="str">
        <x:v>2026</x:v>
      </x:c>
      <x:c r="AP535" s="76" t="str">
        <x:v>ICP fit; paid-demand need requires manual verification</x:v>
      </x:c>
      <x:c r="AQ535" s="76" t="str">
        <x:v>project/gallery proof; visible service offer</x:v>
      </x:c>
      <x:c r="AR535" s="76" t="str">
        <x:v>I was reviewing restoration companies in Greenville, South Carolina and Garage Force of Greenville (Gillen Enterprises, LLC) looked like a strong fit for a creative test.</x:v>
      </x:c>
      <x:c r="AS535" s="76" t="str">
        <x:v>first-24-hours emergency-response ad</x:v>
      </x:c>
      <x:c r="AT535" s="76" t="str">
        <x:v>Garage Force of Greenville (Gillen Enterprises, LLC) ad concept</x:v>
      </x:c>
      <x:c r="AU535" s="76" t="str">
        <x:v>Hi Kevin — I was reviewing restoration companies in Greenville, South Carolina and Garage Force of Greenville (Gillen Enterprises, LLC) looked like a strong fit for a creative test. I mapped a private 15-second first-24-hours emergency-response ad for Garage Force of Greenville (Gillen Enterprises, LLC) using only public brand context—not for publishing, just to show the angle. We build three client-approved video ad concepts in seven days, then turn the winners into fresh variations. No filming day required. Worth sending the private sample?</x:v>
      </x:c>
      <x:c r="AV535" s="76" t="str">
        <x:v>Quick follow-up: the sample angle is a first-24-hours emergency-response ad. If it misses the mark, no problem—I won't keep chasing. Should I send it?</x:v>
      </x:c>
      <x:c r="AW535" s="76" t="str">
        <x:v>Hi Kevin, Ryan here. I was looking at Garage Force of Greenville (Gillen Enterprises, LLC)'s public marketing and noticed: icp fit; paid-demand need requires manual verification. I mapped one private first-24-hours emergency-response ad as an example. Did I catch you with 30 seconds?</x:v>
      </x:c>
      <x:c r="AX535" s="60" t="str">
        <x:v>https://www.facebook.com/ads/library/?active_status=active&amp;ad_type=all&amp;country=US&amp;q=Garage%20Force%20of%20Greenville%20%28Gillen%20Enterprises%2C%20LLC%29&amp;search_type=keyword_unordered</x:v>
      </x:c>
      <x:c r="AY535" s="60" t="str">
        <x:v>ok:200</x:v>
      </x:c>
      <x:c r="AZ535" s="60" t="n">
        <x:v>46232.722858796296</x:v>
      </x:c>
      <x:c r="BA535" s="60" t="str">
        <x:v>AI Ark SC trades export</x:v>
      </x:c>
      <x:c r="BB535" s="60" t="str">
        <x:v>https://garageforce.com | https://www.linkedin.com/company/garageforcegreenvill</x:v>
      </x:c>
      <x:c r="BC535" s="60" t="str"/>
    </x:row>
    <x:row r="536" ht="18" customHeight="1">
      <x:c r="A536" s="70" t="str">
        <x:v>535</x:v>
      </x:c>
      <x:c r="B536" s="70" t="str">
        <x:v>C - Verify</x:v>
      </x:c>
      <x:c r="C536" s="72" t="str">
        <x:v>49</x:v>
      </x:c>
      <x:c r="D536" s="60" t="str">
        <x:v>Rite Price Roofing</x:v>
      </x:c>
      <x:c r="E536" s="60" t="str">
        <x:v>https://riteroofs.com</x:v>
      </x:c>
      <x:c r="F536" s="60" t="str">
        <x:v>https://www.riteroofs.com/</x:v>
      </x:c>
      <x:c r="G536" s="60" t="str">
        <x:v>Aiken</x:v>
      </x:c>
      <x:c r="H536" s="60" t="str">
        <x:v>South Carolina</x:v>
      </x:c>
      <x:c r="I536" s="60" t="str">
        <x:v>Roofing</x:v>
      </x:c>
      <x:c r="J536" s="60" t="str">
        <x:v>Rite Price Roofing</x:v>
      </x:c>
      <x:c r="K536" s="60" t="str"/>
      <x:c r="L536" s="60" t="str">
        <x:v>Owner / decision maker to verify</x:v>
      </x:c>
      <x:c r="M536" s="60" t="str"/>
      <x:c r="N536" s="60" t="str"/>
      <x:c r="O536" s="60" t="str">
        <x:v>(803) 514-0053</x:v>
      </x:c>
      <x:c r="P536" s="60" t="str"/>
      <x:c r="Q536" s="60" t="str"/>
      <x:c r="R536" s="60" t="str"/>
      <x:c r="S536" s="60" t="str">
        <x:v>4.8</x:v>
      </x:c>
      <x:c r="T536" s="74" t="str">
        <x:v>53</x:v>
      </x:c>
      <x:c r="U536" s="60" t="str"/>
      <x:c r="V536" s="74" t="str">
        <x:v>27</x:v>
      </x:c>
      <x:c r="W536" s="74" t="str">
        <x:v>3</x:v>
      </x:c>
      <x:c r="X536" s="74" t="str">
        <x:v>6</x:v>
      </x:c>
      <x:c r="Y536" s="74" t="str">
        <x:v>8</x:v>
      </x:c>
      <x:c r="Z536" s="74" t="str">
        <x:v>5</x:v>
      </x:c>
      <x:c r="AA536" s="74" t="str">
        <x:v>0</x:v>
      </x:c>
      <x:c r="AB536" s="74" t="str">
        <x:v>0</x:v>
      </x:c>
      <x:c r="AC536" s="74" t="str">
        <x:v>1</x:v>
      </x:c>
      <x:c r="AD536" s="74" t="str">
        <x:v>0</x:v>
      </x:c>
      <x:c r="AE536" s="74" t="str">
        <x:v>0</x:v>
      </x:c>
      <x:c r="AF536" s="74" t="str"/>
      <x:c r="AG536" s="74" t="str">
        <x:v>0</x:v>
      </x:c>
      <x:c r="AH536" s="74" t="str">
        <x:v>0</x:v>
      </x:c>
      <x:c r="AI536" s="74" t="str">
        <x:v>0</x:v>
      </x:c>
      <x:c r="AJ536" s="74" t="str">
        <x:v>1</x:v>
      </x:c>
      <x:c r="AK536" s="74" t="str">
        <x:v>1</x:v>
      </x:c>
      <x:c r="AL536" s="74" t="str">
        <x:v>1</x:v>
      </x:c>
      <x:c r="AM536" s="74" t="str">
        <x:v>1</x:v>
      </x:c>
      <x:c r="AN536" s="74" t="str">
        <x:v>1</x:v>
      </x:c>
      <x:c r="AO536" s="60" t="str">
        <x:v>0</x:v>
      </x:c>
      <x:c r="AP536" s="76" t="str">
        <x:v>Financing language found; no embedded homepage video found</x:v>
      </x:c>
      <x:c r="AQ536" s="76" t="str">
        <x:v>financing; visible service offer; no embedded homepage video detected</x:v>
      </x:c>
      <x:c r="AR536" s="76" t="str">
        <x:v>I found financing language on Rite Price Roofing's site that could make a strong short-form offer angle.</x:v>
      </x:c>
      <x:c r="AS536" s="76" t="str">
        <x:v>storm-to-inspection before/after ad</x:v>
      </x:c>
      <x:c r="AT536" s="76" t="str">
        <x:v>Rite Price Roofing ad concept</x:v>
      </x:c>
      <x:c r="AU536" s="76" t="str">
        <x:v>Hi Rite Price Roofing — I found financing language on Rite Price Roofing's site that could make a strong short-form offer angle. I mapped a private 15-second storm-to-inspection before/after ad for Rite Price Roofing using only public brand context—not for publishing, just to show the angle. We build three client-approved video ad concepts in seven days, then turn the winners into fresh variations. No filming day required. Worth sending the private sample?</x:v>
      </x:c>
      <x:c r="AV536" s="76" t="str">
        <x:v>Quick follow-up: the sample angle is a storm-to-inspection before/after ad. If it misses the mark, no problem—I won't keep chasing. Should I send it?</x:v>
      </x:c>
      <x:c r="AW536" s="76" t="str">
        <x:v>Hi Rite Price Roofing, Ryan here. I was looking at Rite Price Roofing's public marketing and noticed: financing language found; no embedded homepage video found. I mapped one private storm-to-inspection before/after ad as an example. Did I catch you with 30 seconds?</x:v>
      </x:c>
      <x:c r="AX536" s="60" t="str">
        <x:v>https://www.facebook.com/ads/library/?active_status=active&amp;ad_type=all&amp;country=US&amp;q=Rite%20Price%20Roofing&amp;search_type=keyword_unordered</x:v>
      </x:c>
      <x:c r="AY536" s="60" t="str">
        <x:v>ok:200</x:v>
      </x:c>
      <x:c r="AZ536" s="60" t="n">
        <x:v>46232.722858796296</x:v>
      </x:c>
      <x:c r="BA536" s="60" t="str">
        <x:v>Google Maps home-services export</x:v>
      </x:c>
      <x:c r="BB536" s="60" t="str">
        <x:v>https://maps.google.com/?cid=14204795074654869012&amp;g_mp=Cidnb29nbGUubWFwcy5wbGFjZXMudjEuUGxhY2VzLlNlYXJjaFRleHQQAhgEIAA | https://riteroofs.com</x:v>
      </x:c>
      <x:c r="BC536" s="60" t="str"/>
    </x:row>
    <x:row r="537" ht="18" customHeight="1">
      <x:c r="A537" s="70" t="str">
        <x:v>536</x:v>
      </x:c>
      <x:c r="B537" s="70" t="str">
        <x:v>C - Verify</x:v>
      </x:c>
      <x:c r="C537" s="72" t="str">
        <x:v>49</x:v>
      </x:c>
      <x:c r="D537" s="60" t="str">
        <x:v>Detailed Electrical</x:v>
      </x:c>
      <x:c r="E537" s="60" t="str">
        <x:v>https://detailedelectrical.com</x:v>
      </x:c>
      <x:c r="F537" s="60" t="str">
        <x:v>https://detailedelectrical.com</x:v>
      </x:c>
      <x:c r="G537" s="60" t="str">
        <x:v>Myrtle Beach</x:v>
      </x:c>
      <x:c r="H537" s="60" t="str">
        <x:v>South Carolina</x:v>
      </x:c>
      <x:c r="I537" s="60" t="str">
        <x:v>Electrical</x:v>
      </x:c>
      <x:c r="J537" s="60" t="str">
        <x:v>Detailed Electrical</x:v>
      </x:c>
      <x:c r="K537" s="60" t="str"/>
      <x:c r="L537" s="60" t="str">
        <x:v>Owner / decision maker to verify</x:v>
      </x:c>
      <x:c r="M537" s="60" t="str"/>
      <x:c r="N537" s="60" t="str"/>
      <x:c r="O537" s="60" t="str">
        <x:v>(843) 995-3231</x:v>
      </x:c>
      <x:c r="P537" s="60" t="str"/>
      <x:c r="Q537" s="60" t="str"/>
      <x:c r="R537" s="60" t="str"/>
      <x:c r="S537" s="60" t="str">
        <x:v>5</x:v>
      </x:c>
      <x:c r="T537" s="74" t="str">
        <x:v>128</x:v>
      </x:c>
      <x:c r="U537" s="60" t="str"/>
      <x:c r="V537" s="74" t="str">
        <x:v>23</x:v>
      </x:c>
      <x:c r="W537" s="74" t="str">
        <x:v>3</x:v>
      </x:c>
      <x:c r="X537" s="74" t="str">
        <x:v>10</x:v>
      </x:c>
      <x:c r="Y537" s="74" t="str">
        <x:v>8</x:v>
      </x:c>
      <x:c r="Z537" s="74" t="str">
        <x:v>5</x:v>
      </x:c>
      <x:c r="AA537" s="74" t="str">
        <x:v>0</x:v>
      </x:c>
      <x:c r="AB537" s="74" t="str">
        <x:v>0</x:v>
      </x:c>
      <x:c r="AC537" s="74" t="str">
        <x:v>1</x:v>
      </x:c>
      <x:c r="AD537" s="74" t="str">
        <x:v>0</x:v>
      </x:c>
      <x:c r="AE537" s="74" t="str">
        <x:v>0</x:v>
      </x:c>
      <x:c r="AF537" s="74" t="str"/>
      <x:c r="AG537" s="74" t="str">
        <x:v>0</x:v>
      </x:c>
      <x:c r="AH537" s="74" t="str">
        <x:v>1</x:v>
      </x:c>
      <x:c r="AI537" s="74" t="str">
        <x:v>0</x:v>
      </x:c>
      <x:c r="AJ537" s="74" t="str">
        <x:v>0</x:v>
      </x:c>
      <x:c r="AK537" s="74" t="str">
        <x:v>0</x:v>
      </x:c>
      <x:c r="AL537" s="74" t="str">
        <x:v>0</x:v>
      </x:c>
      <x:c r="AM537" s="74" t="str">
        <x:v>1</x:v>
      </x:c>
      <x:c r="AN537" s="74" t="str">
        <x:v>0</x:v>
      </x:c>
      <x:c r="AO537" s="60" t="str">
        <x:v>0</x:v>
      </x:c>
      <x:c r="AP537" s="76" t="str">
        <x:v>Project/gallery proof found; no embedded homepage video found</x:v>
      </x:c>
      <x:c r="AQ537" s="76" t="str">
        <x:v>project/gallery proof; no embedded homepage video detected</x:v>
      </x:c>
      <x:c r="AR537" s="76" t="str">
        <x:v>I found project/gallery proof on Detailed Electrical's site that could be repackaged into short-form ad concepts.</x:v>
      </x:c>
      <x:c r="AS537" s="76" t="str">
        <x:v>safety inspection problem/solution ad</x:v>
      </x:c>
      <x:c r="AT537" s="76" t="str">
        <x:v>Detailed Electrical ad concept</x:v>
      </x:c>
      <x:c r="AU537" s="76" t="str">
        <x:v>Hi Detailed Electrical — I found project/gallery proof on Detailed Electrical's site that could be repackaged into short-form ad concepts. I mapped a private 15-second safety inspection problem/solution ad for Detailed Electrical using only public brand context—not for publishing, just to show the angle. We build three client-approved video ad concepts in seven days, then turn the winners into fresh variations. No filming day required. Worth sending the private sample?</x:v>
      </x:c>
      <x:c r="AV537" s="76" t="str">
        <x:v>Quick follow-up: the sample angle is a safety inspection problem/solution ad. If it misses the mark, no problem—I won't keep chasing. Should I send it?</x:v>
      </x:c>
      <x:c r="AW537" s="76" t="str">
        <x:v>Hi Detailed Electrical, Ryan here. I was looking at Detailed Electrical's public marketing and noticed: project/gallery proof found; no embedded homepage video found. I mapped one private safety inspection problem/solution ad as an example. Did I catch you with 30 seconds?</x:v>
      </x:c>
      <x:c r="AX537" s="60" t="str">
        <x:v>https://www.facebook.com/ads/library/?active_status=active&amp;ad_type=all&amp;country=US&amp;q=Detailed%20Electrical&amp;search_type=keyword_unordered</x:v>
      </x:c>
      <x:c r="AY537" s="60" t="str">
        <x:v>ok:200</x:v>
      </x:c>
      <x:c r="AZ537" s="60" t="n">
        <x:v>46232.722858796296</x:v>
      </x:c>
      <x:c r="BA537" s="60" t="str">
        <x:v>Google Maps home-services export</x:v>
      </x:c>
      <x:c r="BB537" s="60" t="str">
        <x:v>https://detailedelectrical.com | https://maps.google.com/?cid=16398839860417874120&amp;g_mp=Cidnb29nbGUubWFwcy5wbGFjZXMudjEuUGxhY2VzLlNlYXJjaFRleHQQAhgEIAA</x:v>
      </x:c>
      <x:c r="BC537" s="60" t="str"/>
    </x:row>
    <x:row r="538" ht="18" customHeight="1">
      <x:c r="A538" s="70" t="str">
        <x:v>537</x:v>
      </x:c>
      <x:c r="B538" s="70" t="str">
        <x:v>C - Verify</x:v>
      </x:c>
      <x:c r="C538" s="72" t="str">
        <x:v>49</x:v>
      </x:c>
      <x:c r="D538" s="60" t="str">
        <x:v>Richard's Painting</x:v>
      </x:c>
      <x:c r="E538" s="60" t="str">
        <x:v>https://richardspainting.net</x:v>
      </x:c>
      <x:c r="F538" s="60" t="str">
        <x:v>https://www.richardspainting.net/</x:v>
      </x:c>
      <x:c r="G538" s="60" t="str">
        <x:v>Summerville</x:v>
      </x:c>
      <x:c r="H538" s="60" t="str">
        <x:v>South Carolina</x:v>
      </x:c>
      <x:c r="I538" s="60" t="str">
        <x:v>Remodeling</x:v>
      </x:c>
      <x:c r="J538" s="60" t="str">
        <x:v>Josh</x:v>
      </x:c>
      <x:c r="K538" s="60" t="str">
        <x:v>West</x:v>
      </x:c>
      <x:c r="L538" s="60" t="str">
        <x:v>Owner at Richard's Painting Summerville</x:v>
      </x:c>
      <x:c r="M538" s="60" t="str"/>
      <x:c r="N538" s="60" t="str"/>
      <x:c r="O538" s="60" t="str"/>
      <x:c r="P538" s="60" t="str">
        <x:v>https://www.linkedin.com/in/richardspaintingsummerville</x:v>
      </x:c>
      <x:c r="Q538" s="60" t="str">
        <x:v>11-50</x:v>
      </x:c>
      <x:c r="R538" s="60" t="str">
        <x:v>1000000-4999999</x:v>
      </x:c>
      <x:c r="S538" s="60" t="str"/>
      <x:c r="T538" s="74" t="str">
        <x:v>0</x:v>
      </x:c>
      <x:c r="U538" s="60" t="str"/>
      <x:c r="V538" s="74" t="str">
        <x:v>30</x:v>
      </x:c>
      <x:c r="W538" s="74" t="str">
        <x:v>3</x:v>
      </x:c>
      <x:c r="X538" s="74" t="str">
        <x:v>6</x:v>
      </x:c>
      <x:c r="Y538" s="74" t="str">
        <x:v>8</x:v>
      </x:c>
      <x:c r="Z538" s="74" t="str">
        <x:v>2</x:v>
      </x:c>
      <x:c r="AA538" s="74" t="str">
        <x:v>0</x:v>
      </x:c>
      <x:c r="AB538" s="74" t="str">
        <x:v>0</x:v>
      </x:c>
      <x:c r="AC538" s="74" t="str">
        <x:v>1</x:v>
      </x:c>
      <x:c r="AD538" s="74" t="str">
        <x:v>0</x:v>
      </x:c>
      <x:c r="AE538" s="74" t="str">
        <x:v>0</x:v>
      </x:c>
      <x:c r="AF538" s="74" t="str"/>
      <x:c r="AG538" s="74" t="str">
        <x:v>0</x:v>
      </x:c>
      <x:c r="AH538" s="74" t="str">
        <x:v>1</x:v>
      </x:c>
      <x:c r="AI538" s="74" t="str">
        <x:v>0</x:v>
      </x:c>
      <x:c r="AJ538" s="74" t="str">
        <x:v>0</x:v>
      </x:c>
      <x:c r="AK538" s="74" t="str">
        <x:v>1</x:v>
      </x:c>
      <x:c r="AL538" s="74" t="str">
        <x:v>1</x:v>
      </x:c>
      <x:c r="AM538" s="74" t="str">
        <x:v>1</x:v>
      </x:c>
      <x:c r="AN538" s="74" t="str">
        <x:v>1</x:v>
      </x:c>
      <x:c r="AO538" s="60" t="str">
        <x:v>0</x:v>
      </x:c>
      <x:c r="AP538" s="76" t="str">
        <x:v>Project/gallery proof found; no embedded homepage video found</x:v>
      </x:c>
      <x:c r="AQ538" s="76" t="str">
        <x:v>project/gallery proof; visible service offer; no embedded homepage video detected</x:v>
      </x:c>
      <x:c r="AR538" s="76" t="str">
        <x:v>I found project/gallery proof on Richard's Painting's site that could be repackaged into short-form ad concepts.</x:v>
      </x:c>
      <x:c r="AS538" s="76" t="str">
        <x:v>project reveal with budget-and-timeline proof</x:v>
      </x:c>
      <x:c r="AT538" s="76" t="str">
        <x:v>Richard's Painting ad concept</x:v>
      </x:c>
      <x:c r="AU538" s="76" t="str">
        <x:v>Hi Josh — I found project/gallery proof on Richard's Painting's site that could be repackaged into short-form ad concepts. I mapped a private 15-second project reveal with budget-and-timeline proof for Richard's Painting using only public brand context—not for publishing, just to show the angle. We build three client-approved video ad concepts in seven days, then turn the winners into fresh variations. No filming day required. Worth sending the private sample?</x:v>
      </x:c>
      <x:c r="AV538" s="76" t="str">
        <x:v>Quick follow-up: the sample angle is a project reveal with budget-and-timeline proof. If it misses the mark, no problem—I won't keep chasing. Should I send it?</x:v>
      </x:c>
      <x:c r="AW538" s="76" t="str">
        <x:v>Hi Josh, Ryan here. I was looking at Richard's Painting's public marketing and noticed: project/gallery proof found; no embedded homepage video found. I mapped one private project reveal with budget-and-timeline proof as an example. Did I catch you with 30 seconds?</x:v>
      </x:c>
      <x:c r="AX538" s="60" t="str">
        <x:v>https://www.facebook.com/ads/library/?active_status=active&amp;ad_type=all&amp;country=US&amp;q=Richard%27s%20Painting&amp;search_type=keyword_unordered</x:v>
      </x:c>
      <x:c r="AY538" s="60" t="str">
        <x:v>ok:200</x:v>
      </x:c>
      <x:c r="AZ538" s="60" t="n">
        <x:v>46232.722858796296</x:v>
      </x:c>
      <x:c r="BA538" s="60" t="str">
        <x:v>AI Ark SC trades export</x:v>
      </x:c>
      <x:c r="BB538" s="60" t="str">
        <x:v>https://richardspainting.net | https://www.linkedin.com/company/richard-s-painting-co-llc</x:v>
      </x:c>
      <x:c r="BC538" s="60" t="str"/>
    </x:row>
    <x:row r="539" ht="18" customHeight="1">
      <x:c r="A539" s="70" t="str">
        <x:v>538</x:v>
      </x:c>
      <x:c r="B539" s="70" t="str">
        <x:v>C - Verify</x:v>
      </x:c>
      <x:c r="C539" s="72" t="str">
        <x:v>49</x:v>
      </x:c>
      <x:c r="D539" s="60" t="str">
        <x:v>Mericle Mechanical LLC</x:v>
      </x:c>
      <x:c r="E539" s="60" t="str">
        <x:v>https://mericlemechanicalllc.com</x:v>
      </x:c>
      <x:c r="F539" s="60" t="str">
        <x:v>https://www.mericlemechanicalllc.com/</x:v>
      </x:c>
      <x:c r="G539" s="60" t="str">
        <x:v>Rock Hill</x:v>
      </x:c>
      <x:c r="H539" s="60" t="str">
        <x:v>South Carolina</x:v>
      </x:c>
      <x:c r="I539" s="60" t="str">
        <x:v>HVAC</x:v>
      </x:c>
      <x:c r="J539" s="60" t="str">
        <x:v>Mericle Mechanical LLC</x:v>
      </x:c>
      <x:c r="K539" s="60" t="str"/>
      <x:c r="L539" s="60" t="str">
        <x:v>Owner / decision maker to verify</x:v>
      </x:c>
      <x:c r="M539" s="60" t="str"/>
      <x:c r="N539" s="60" t="str"/>
      <x:c r="O539" s="60" t="str">
        <x:v>(803) 554-3115</x:v>
      </x:c>
      <x:c r="P539" s="60" t="str"/>
      <x:c r="Q539" s="60" t="str"/>
      <x:c r="R539" s="60" t="str"/>
      <x:c r="S539" s="60" t="str">
        <x:v>4.9</x:v>
      </x:c>
      <x:c r="T539" s="74" t="str">
        <x:v>598</x:v>
      </x:c>
      <x:c r="U539" s="60" t="str"/>
      <x:c r="V539" s="74" t="str">
        <x:v>29</x:v>
      </x:c>
      <x:c r="W539" s="74" t="str">
        <x:v>3</x:v>
      </x:c>
      <x:c r="X539" s="74" t="str">
        <x:v>6</x:v>
      </x:c>
      <x:c r="Y539" s="74" t="str">
        <x:v>6</x:v>
      </x:c>
      <x:c r="Z539" s="74" t="str">
        <x:v>5</x:v>
      </x:c>
      <x:c r="AA539" s="74" t="str">
        <x:v>0</x:v>
      </x:c>
      <x:c r="AB539" s="74" t="str">
        <x:v>0</x:v>
      </x:c>
      <x:c r="AC539" s="74" t="str">
        <x:v>0</x:v>
      </x:c>
      <x:c r="AD539" s="74" t="str">
        <x:v>0</x:v>
      </x:c>
      <x:c r="AE539" s="74" t="str">
        <x:v>0</x:v>
      </x:c>
      <x:c r="AF539" s="74" t="str">
        <x:v>housecallpro</x:v>
      </x:c>
      <x:c r="AG539" s="74" t="str">
        <x:v>0</x:v>
      </x:c>
      <x:c r="AH539" s="74" t="str">
        <x:v>0</x:v>
      </x:c>
      <x:c r="AI539" s="74" t="str">
        <x:v>0</x:v>
      </x:c>
      <x:c r="AJ539" s="74" t="str">
        <x:v>0</x:v>
      </x:c>
      <x:c r="AK539" s="74" t="str">
        <x:v>1</x:v>
      </x:c>
      <x:c r="AL539" s="74" t="str">
        <x:v>1</x:v>
      </x:c>
      <x:c r="AM539" s="74" t="str">
        <x:v>1</x:v>
      </x:c>
      <x:c r="AN539" s="74" t="str">
        <x:v>0</x:v>
      </x:c>
      <x:c r="AO539" s="60" t="str">
        <x:v>0</x:v>
      </x:c>
      <x:c r="AP539" s="76" t="str">
        <x:v>598 Google reviews; no embedded homepage video found</x:v>
      </x:c>
      <x:c r="AQ539" s="76" t="str">
        <x:v>visible service offer; no embedded homepage video detected</x:v>
      </x:c>
      <x:c r="AR539" s="76" t="str">
        <x:v>Mericle Mechanical LLC has 598 Google reviews—strong proof that could be turned into short-form ad concepts.</x:v>
      </x:c>
      <x:c r="AS539" s="76" t="str">
        <x:v>no-cool-call to same-day comfort ad</x:v>
      </x:c>
      <x:c r="AT539" s="76" t="str">
        <x:v>Mericle Mechanical LLC ad concept</x:v>
      </x:c>
      <x:c r="AU539" s="76" t="str">
        <x:v>Hi Mericle Mechanical LLC — Mericle Mechanical LLC has 598 Google reviews—strong proof that could be turned into short-form ad concepts. I mapped a private 15-second no-cool-call to same-day comfort ad for Mericle Mechanical LLC using only public brand context—not for publishing, just to show the angle. We build three client-approved video ad concepts in seven days, then turn the winners into fresh variations. No filming day required. Worth sending the private sample?</x:v>
      </x:c>
      <x:c r="AV539" s="76" t="str">
        <x:v>Quick follow-up: the sample angle is a no-cool-call to same-day comfort ad. If it misses the mark, no problem—I won't keep chasing. Should I send it?</x:v>
      </x:c>
      <x:c r="AW539" s="76" t="str">
        <x:v>Hi Mericle Mechanical LLC, Ryan here. I was looking at Mericle Mechanical LLC's public marketing and noticed: 598 google reviews; no embedded homepage video found. I mapped one private no-cool-call to same-day comfort ad as an example. Did I catch you with 30 seconds?</x:v>
      </x:c>
      <x:c r="AX539" s="60" t="str">
        <x:v>https://www.facebook.com/ads/library/?active_status=active&amp;ad_type=all&amp;country=US&amp;q=Mericle%20Mechanical%20LLC&amp;search_type=keyword_unordered</x:v>
      </x:c>
      <x:c r="AY539" s="60" t="str">
        <x:v>ok:200</x:v>
      </x:c>
      <x:c r="AZ539" s="60" t="n">
        <x:v>46232.722858796296</x:v>
      </x:c>
      <x:c r="BA539" s="60" t="str">
        <x:v>Google Maps home-services export</x:v>
      </x:c>
      <x:c r="BB539" s="60" t="str">
        <x:v>https://maps.google.com/?cid=5458009688479088228&amp;g_mp=Cidnb29nbGUubWFwcy5wbGFjZXMudjEuUGxhY2VzLlNlYXJjaFRleHQQAhgEIAA | https://mericlemechanicalllc.com</x:v>
      </x:c>
      <x:c r="BC539" s="60" t="str"/>
    </x:row>
    <x:row r="540" ht="18" customHeight="1">
      <x:c r="A540" s="70" t="str">
        <x:v>539</x:v>
      </x:c>
      <x:c r="B540" s="70" t="str">
        <x:v>C - Verify</x:v>
      </x:c>
      <x:c r="C540" s="72" t="str">
        <x:v>49</x:v>
      </x:c>
      <x:c r="D540" s="60" t="str">
        <x:v>IES Roofing Services</x:v>
      </x:c>
      <x:c r="E540" s="60" t="str">
        <x:v>https://iesroofing.com</x:v>
      </x:c>
      <x:c r="F540" s="60" t="str">
        <x:v>https://iesroofing.com</x:v>
      </x:c>
      <x:c r="G540" s="60" t="str">
        <x:v>Greenville</x:v>
      </x:c>
      <x:c r="H540" s="60" t="str">
        <x:v>South Carolina</x:v>
      </x:c>
      <x:c r="I540" s="60" t="str">
        <x:v>Roofing</x:v>
      </x:c>
      <x:c r="J540" s="60" t="str">
        <x:v>IES Roofing Services</x:v>
      </x:c>
      <x:c r="K540" s="60" t="str"/>
      <x:c r="L540" s="60" t="str">
        <x:v>Owner / decision maker to verify</x:v>
      </x:c>
      <x:c r="M540" s="60" t="str"/>
      <x:c r="N540" s="60" t="str"/>
      <x:c r="O540" s="60" t="str">
        <x:v>(864) 349-1410</x:v>
      </x:c>
      <x:c r="P540" s="60" t="str"/>
      <x:c r="Q540" s="60" t="str"/>
      <x:c r="R540" s="60" t="str"/>
      <x:c r="S540" s="60" t="str">
        <x:v>4.9</x:v>
      </x:c>
      <x:c r="T540" s="74" t="str">
        <x:v>131</x:v>
      </x:c>
      <x:c r="U540" s="60" t="str"/>
      <x:c r="V540" s="74" t="str">
        <x:v>29</x:v>
      </x:c>
      <x:c r="W540" s="74" t="str">
        <x:v>3</x:v>
      </x:c>
      <x:c r="X540" s="74" t="str">
        <x:v>6</x:v>
      </x:c>
      <x:c r="Y540" s="74" t="str">
        <x:v>6</x:v>
      </x:c>
      <x:c r="Z540" s="74" t="str">
        <x:v>5</x:v>
      </x:c>
      <x:c r="AA540" s="74" t="str">
        <x:v>0</x:v>
      </x:c>
      <x:c r="AB540" s="74" t="str">
        <x:v>0</x:v>
      </x:c>
      <x:c r="AC540" s="74" t="str">
        <x:v>1</x:v>
      </x:c>
      <x:c r="AD540" s="74" t="str">
        <x:v>0</x:v>
      </x:c>
      <x:c r="AE540" s="74" t="str">
        <x:v>0</x:v>
      </x:c>
      <x:c r="AF540" s="74" t="str"/>
      <x:c r="AG540" s="74" t="str">
        <x:v>0</x:v>
      </x:c>
      <x:c r="AH540" s="74" t="str">
        <x:v>0</x:v>
      </x:c>
      <x:c r="AI540" s="74" t="str">
        <x:v>0</x:v>
      </x:c>
      <x:c r="AJ540" s="74" t="str">
        <x:v>1</x:v>
      </x:c>
      <x:c r="AK540" s="74" t="str">
        <x:v>0</x:v>
      </x:c>
      <x:c r="AL540" s="74" t="str">
        <x:v>1</x:v>
      </x:c>
      <x:c r="AM540" s="74" t="str">
        <x:v>1</x:v>
      </x:c>
      <x:c r="AN540" s="74" t="str">
        <x:v>0</x:v>
      </x:c>
      <x:c r="AO540" s="60" t="str">
        <x:v>2026</x:v>
      </x:c>
      <x:c r="AP540" s="76" t="str">
        <x:v>131 Google reviews; no embedded homepage video found</x:v>
      </x:c>
      <x:c r="AQ540" s="76" t="str">
        <x:v>financing; no embedded homepage video detected</x:v>
      </x:c>
      <x:c r="AR540" s="76" t="str">
        <x:v>IES Roofing Services has 131 Google reviews—strong proof that could be turned into short-form ad concepts.</x:v>
      </x:c>
      <x:c r="AS540" s="76" t="str">
        <x:v>storm-to-inspection before/after ad</x:v>
      </x:c>
      <x:c r="AT540" s="76" t="str">
        <x:v>IES Roofing Services ad concept</x:v>
      </x:c>
      <x:c r="AU540" s="76" t="str">
        <x:v>Hi IES Roofing Services — IES Roofing Services has 131 Google reviews—strong proof that could be turned into short-form ad concepts. I mapped a private 15-second storm-to-inspection before/after ad for IES Roofing Services using only public brand context—not for publishing, just to show the angle. We build three client-approved video ad concepts in seven days, then turn the winners into fresh variations. No filming day required. Worth sending the private sample?</x:v>
      </x:c>
      <x:c r="AV540" s="76" t="str">
        <x:v>Quick follow-up: the sample angle is a storm-to-inspection before/after ad. If it misses the mark, no problem—I won't keep chasing. Should I send it?</x:v>
      </x:c>
      <x:c r="AW540" s="76" t="str">
        <x:v>Hi IES Roofing Services, Ryan here. I was looking at IES Roofing Services's public marketing and noticed: 131 google reviews; no embedded homepage video found. I mapped one private storm-to-inspection before/after ad as an example. Did I catch you with 30 seconds?</x:v>
      </x:c>
      <x:c r="AX540" s="60" t="str">
        <x:v>https://www.facebook.com/ads/library/?active_status=active&amp;ad_type=all&amp;country=US&amp;q=IES%20Roofing%20Services&amp;search_type=keyword_unordered</x:v>
      </x:c>
      <x:c r="AY540" s="60" t="str">
        <x:v>ok:200</x:v>
      </x:c>
      <x:c r="AZ540" s="60" t="n">
        <x:v>46232.722858796296</x:v>
      </x:c>
      <x:c r="BA540" s="60" t="str">
        <x:v>Google Maps home-services export</x:v>
      </x:c>
      <x:c r="BB540" s="60" t="str">
        <x:v>https://iesroofing.com | https://maps.google.com/?cid=6769923364551570516&amp;g_mp=Cidnb29nbGUubWFwcy5wbGFjZXMudjEuUGxhY2VzLlNlYXJjaFRleHQQAhgEIAA</x:v>
      </x:c>
      <x:c r="BC540" s="60" t="str"/>
    </x:row>
    <x:row r="541" ht="18" customHeight="1">
      <x:c r="A541" s="70" t="str">
        <x:v>540</x:v>
      </x:c>
      <x:c r="B541" s="70" t="str">
        <x:v>C - Verify</x:v>
      </x:c>
      <x:c r="C541" s="72" t="str">
        <x:v>49</x:v>
      </x:c>
      <x:c r="D541" s="60" t="str">
        <x:v>Honest Abe Plumbing LLC</x:v>
      </x:c>
      <x:c r="E541" s="60" t="str">
        <x:v>https://honestabeplumbingsc.com</x:v>
      </x:c>
      <x:c r="F541" s="60" t="str">
        <x:v>https://honestabeplumbingsc.com</x:v>
      </x:c>
      <x:c r="G541" s="60" t="str">
        <x:v>Summerville</x:v>
      </x:c>
      <x:c r="H541" s="60" t="str">
        <x:v>South Carolina</x:v>
      </x:c>
      <x:c r="I541" s="60" t="str">
        <x:v>Plumbing</x:v>
      </x:c>
      <x:c r="J541" s="60" t="str">
        <x:v>Honest Abe Plumbing LLC</x:v>
      </x:c>
      <x:c r="K541" s="60" t="str"/>
      <x:c r="L541" s="60" t="str">
        <x:v>Owner / decision maker to verify</x:v>
      </x:c>
      <x:c r="M541" s="60" t="str"/>
      <x:c r="N541" s="60" t="str"/>
      <x:c r="O541" s="60" t="str">
        <x:v>(843) 609-6626</x:v>
      </x:c>
      <x:c r="P541" s="60" t="str"/>
      <x:c r="Q541" s="60" t="str"/>
      <x:c r="R541" s="60" t="str"/>
      <x:c r="S541" s="60" t="str">
        <x:v>5</x:v>
      </x:c>
      <x:c r="T541" s="74" t="str">
        <x:v>434</x:v>
      </x:c>
      <x:c r="U541" s="60" t="str"/>
      <x:c r="V541" s="74" t="str">
        <x:v>25</x:v>
      </x:c>
      <x:c r="W541" s="74" t="str">
        <x:v>3</x:v>
      </x:c>
      <x:c r="X541" s="74" t="str">
        <x:v>10</x:v>
      </x:c>
      <x:c r="Y541" s="74" t="str">
        <x:v>6</x:v>
      </x:c>
      <x:c r="Z541" s="74" t="str">
        <x:v>5</x:v>
      </x:c>
      <x:c r="AA541" s="74" t="str">
        <x:v>0</x:v>
      </x:c>
      <x:c r="AB541" s="74" t="str">
        <x:v>0</x:v>
      </x:c>
      <x:c r="AC541" s="74" t="str">
        <x:v>1</x:v>
      </x:c>
      <x:c r="AD541" s="74" t="str">
        <x:v>0</x:v>
      </x:c>
      <x:c r="AE541" s="74" t="str">
        <x:v>0</x:v>
      </x:c>
      <x:c r="AF541" s="74" t="str"/>
      <x:c r="AG541" s="74" t="str">
        <x:v>0</x:v>
      </x:c>
      <x:c r="AH541" s="74" t="str">
        <x:v>0</x:v>
      </x:c>
      <x:c r="AI541" s="74" t="str">
        <x:v>0</x:v>
      </x:c>
      <x:c r="AJ541" s="74" t="str">
        <x:v>0</x:v>
      </x:c>
      <x:c r="AK541" s="74" t="str">
        <x:v>1</x:v>
      </x:c>
      <x:c r="AL541" s="74" t="str">
        <x:v>0</x:v>
      </x:c>
      <x:c r="AM541" s="74" t="str">
        <x:v>0</x:v>
      </x:c>
      <x:c r="AN541" s="74" t="str">
        <x:v>0</x:v>
      </x:c>
      <x:c r="AO541" s="60" t="str">
        <x:v>0</x:v>
      </x:c>
      <x:c r="AP541" s="76" t="str">
        <x:v>434 Google reviews; no embedded homepage video found</x:v>
      </x:c>
      <x:c r="AQ541" s="76" t="str">
        <x:v>visible service offer; no embedded homepage video detected</x:v>
      </x:c>
      <x:c r="AR541" s="76" t="str">
        <x:v>Honest Abe Plumbing LLC has 434 Google reviews—strong proof that could be turned into short-form ad concepts.</x:v>
      </x:c>
      <x:c r="AS541" s="76" t="str">
        <x:v>small symptom to prevented-emergency ad</x:v>
      </x:c>
      <x:c r="AT541" s="76" t="str">
        <x:v>Honest Abe Plumbing LLC ad concept</x:v>
      </x:c>
      <x:c r="AU541" s="76" t="str">
        <x:v>Hi Honest Abe Plumbing LLC — Honest Abe Plumbing LLC has 434 Google reviews—strong proof that could be turned into short-form ad concepts. I mapped a private 15-second small symptom to prevented-emergency ad for Honest Abe Plumbing LLC using only public brand context—not for publishing, just to show the angle. We build three client-approved video ad concepts in seven days, then turn the winners into fresh variations. No filming day required. Worth sending the private sample?</x:v>
      </x:c>
      <x:c r="AV541" s="76" t="str">
        <x:v>Quick follow-up: the sample angle is a small symptom to prevented-emergency ad. If it misses the mark, no problem—I won't keep chasing. Should I send it?</x:v>
      </x:c>
      <x:c r="AW541" s="76" t="str">
        <x:v>Hi Honest Abe Plumbing LLC, Ryan here. I was looking at Honest Abe Plumbing LLC's public marketing and noticed: 434 google reviews; no embedded homepage video found. I mapped one private small symptom to prevented-emergency ad as an example. Did I catch you with 30 seconds?</x:v>
      </x:c>
      <x:c r="AX541" s="60" t="str">
        <x:v>https://www.facebook.com/ads/library/?active_status=active&amp;ad_type=all&amp;country=US&amp;q=Honest%20Abe%20Plumbing%20LLC&amp;search_type=keyword_unordered</x:v>
      </x:c>
      <x:c r="AY541" s="60" t="str">
        <x:v>ok:200</x:v>
      </x:c>
      <x:c r="AZ541" s="60" t="n">
        <x:v>46232.722858796296</x:v>
      </x:c>
      <x:c r="BA541" s="60" t="str">
        <x:v>Google Maps home-services export</x:v>
      </x:c>
      <x:c r="BB541" s="60" t="str">
        <x:v>https://honestabeplumbingsc.com | https://maps.google.com/?cid=6978213773676771829&amp;g_mp=Cidnb29nbGUubWFwcy5wbGFjZXMudjEuUGxhY2VzLlNlYXJjaFRleHQQAhgEIAA</x:v>
      </x:c>
      <x:c r="BC541" s="60" t="str"/>
    </x:row>
    <x:row r="542" ht="18" customHeight="1">
      <x:c r="A542" s="70" t="str">
        <x:v>541</x:v>
      </x:c>
      <x:c r="B542" s="70" t="str">
        <x:v>C - Verify</x:v>
      </x:c>
      <x:c r="C542" s="72" t="str">
        <x:v>49</x:v>
      </x:c>
      <x:c r="D542" s="60" t="str">
        <x:v>Freedom Plumbing, Inc.</x:v>
      </x:c>
      <x:c r="E542" s="60" t="str">
        <x:v>https://freedom-plumbing.com</x:v>
      </x:c>
      <x:c r="F542" s="60" t="str">
        <x:v>https://www.freedom-plumbing.com/</x:v>
      </x:c>
      <x:c r="G542" s="60" t="str">
        <x:v>Columbia</x:v>
      </x:c>
      <x:c r="H542" s="60" t="str">
        <x:v>South Carolina</x:v>
      </x:c>
      <x:c r="I542" s="60" t="str">
        <x:v>Plumbing</x:v>
      </x:c>
      <x:c r="J542" s="60" t="str">
        <x:v>Freedom Plumbing, Inc.</x:v>
      </x:c>
      <x:c r="K542" s="60" t="str"/>
      <x:c r="L542" s="60" t="str">
        <x:v>Owner / decision maker to verify</x:v>
      </x:c>
      <x:c r="M542" s="60" t="str"/>
      <x:c r="N542" s="60" t="str"/>
      <x:c r="O542" s="60" t="str">
        <x:v>(803) 447-0471</x:v>
      </x:c>
      <x:c r="P542" s="60" t="str"/>
      <x:c r="Q542" s="60" t="str"/>
      <x:c r="R542" s="60" t="str"/>
      <x:c r="S542" s="60" t="str">
        <x:v>4.9</x:v>
      </x:c>
      <x:c r="T542" s="74" t="str">
        <x:v>452</x:v>
      </x:c>
      <x:c r="U542" s="60" t="str"/>
      <x:c r="V542" s="74" t="str">
        <x:v>25</x:v>
      </x:c>
      <x:c r="W542" s="74" t="str">
        <x:v>3</x:v>
      </x:c>
      <x:c r="X542" s="74" t="str">
        <x:v>10</x:v>
      </x:c>
      <x:c r="Y542" s="74" t="str">
        <x:v>6</x:v>
      </x:c>
      <x:c r="Z542" s="74" t="str">
        <x:v>5</x:v>
      </x:c>
      <x:c r="AA542" s="74" t="str">
        <x:v>0</x:v>
      </x:c>
      <x:c r="AB542" s="74" t="str">
        <x:v>0</x:v>
      </x:c>
      <x:c r="AC542" s="74" t="str">
        <x:v>1</x:v>
      </x:c>
      <x:c r="AD542" s="74" t="str">
        <x:v>0</x:v>
      </x:c>
      <x:c r="AE542" s="74" t="str">
        <x:v>0</x:v>
      </x:c>
      <x:c r="AF542" s="74" t="str"/>
      <x:c r="AG542" s="74" t="str">
        <x:v>0</x:v>
      </x:c>
      <x:c r="AH542" s="74" t="str">
        <x:v>0</x:v>
      </x:c>
      <x:c r="AI542" s="74" t="str">
        <x:v>0</x:v>
      </x:c>
      <x:c r="AJ542" s="74" t="str">
        <x:v>0</x:v>
      </x:c>
      <x:c r="AK542" s="74" t="str">
        <x:v>1</x:v>
      </x:c>
      <x:c r="AL542" s="74" t="str">
        <x:v>0</x:v>
      </x:c>
      <x:c r="AM542" s="74" t="str">
        <x:v>1</x:v>
      </x:c>
      <x:c r="AN542" s="74" t="str">
        <x:v>0</x:v>
      </x:c>
      <x:c r="AO542" s="60" t="str">
        <x:v>2026</x:v>
      </x:c>
      <x:c r="AP542" s="76" t="str">
        <x:v>452 Google reviews; no embedded homepage video found</x:v>
      </x:c>
      <x:c r="AQ542" s="76" t="str">
        <x:v>visible service offer; no embedded homepage video detected</x:v>
      </x:c>
      <x:c r="AR542" s="76" t="str">
        <x:v>Freedom Plumbing, Inc. has 452 Google reviews—strong proof that could be turned into short-form ad concepts.</x:v>
      </x:c>
      <x:c r="AS542" s="76" t="str">
        <x:v>small symptom to prevented-emergency ad</x:v>
      </x:c>
      <x:c r="AT542" s="76" t="str">
        <x:v>Freedom Plumbing, Inc. ad concept</x:v>
      </x:c>
      <x:c r="AU542" s="76" t="str">
        <x:v>Hi Freedom Plumbing, Inc. — Freedom Plumbing, Inc. has 452 Google reviews—strong proof that could be turned into short-form ad concepts. I mapped a private 15-second small symptom to prevented-emergency ad for Freedom Plumbing, Inc. using only public brand context—not for publishing, just to show the angle. We build three client-approved video ad concepts in seven days, then turn the winners into fresh variations. No filming day required. Worth sending the private sample?</x:v>
      </x:c>
      <x:c r="AV542" s="76" t="str">
        <x:v>Quick follow-up: the sample angle is a small symptom to prevented-emergency ad. If it misses the mark, no problem—I won't keep chasing. Should I send it?</x:v>
      </x:c>
      <x:c r="AW542" s="76" t="str">
        <x:v>Hi Freedom Plumbing, Inc., Ryan here. I was looking at Freedom Plumbing, Inc.'s public marketing and noticed: 452 google reviews; no embedded homepage video found. I mapped one private small symptom to prevented-emergency ad as an example. Did I catch you with 30 seconds?</x:v>
      </x:c>
      <x:c r="AX542" s="60" t="str">
        <x:v>https://www.facebook.com/ads/library/?active_status=active&amp;ad_type=all&amp;country=US&amp;q=Freedom%20Plumbing%2C%20Inc.&amp;search_type=keyword_unordered</x:v>
      </x:c>
      <x:c r="AY542" s="60" t="str">
        <x:v>ok:200</x:v>
      </x:c>
      <x:c r="AZ542" s="60" t="n">
        <x:v>46232.722858796296</x:v>
      </x:c>
      <x:c r="BA542" s="60" t="str">
        <x:v>Google Maps home-services export</x:v>
      </x:c>
      <x:c r="BB542" s="60" t="str">
        <x:v>https://freedom-plumbing.com | https://maps.google.com/?cid=8809817729643021064&amp;g_mp=Cidnb29nbGUubWFwcy5wbGFjZXMudjEuUGxhY2VzLlNlYXJjaFRleHQQAhgEIAA</x:v>
      </x:c>
      <x:c r="BC542" s="60" t="str"/>
    </x:row>
    <x:row r="543" ht="18" customHeight="1">
      <x:c r="A543" s="70" t="str">
        <x:v>542</x:v>
      </x:c>
      <x:c r="B543" s="70" t="str">
        <x:v>C - Verify</x:v>
      </x:c>
      <x:c r="C543" s="72" t="str">
        <x:v>49</x:v>
      </x:c>
      <x:c r="D543" s="60" t="str">
        <x:v>STR8N UP Professional Organizing Services</x:v>
      </x:c>
      <x:c r="E543" s="60" t="str">
        <x:v>https://str8nup.org</x:v>
      </x:c>
      <x:c r="F543" s="60" t="str">
        <x:v>https://www.str8nup.org/</x:v>
      </x:c>
      <x:c r="G543" s="60" t="str">
        <x:v>Charleston</x:v>
      </x:c>
      <x:c r="H543" s="60" t="str">
        <x:v>South Carolina</x:v>
      </x:c>
      <x:c r="I543" s="60" t="str">
        <x:v>Remodeling</x:v>
      </x:c>
      <x:c r="J543" s="60" t="str">
        <x:v>Jennifer</x:v>
      </x:c>
      <x:c r="K543" s="60" t="str">
        <x:v>Truesdale, CPO®</x:v>
      </x:c>
      <x:c r="L543" s="60" t="str">
        <x:v>Owner</x:v>
      </x:c>
      <x:c r="M543" s="60" t="str">
        <x:v>jennifer@str8nup.org</x:v>
      </x:c>
      <x:c r="N543" s="60" t="str">
        <x:v>Verified with BounceBan on 08 Jun 26 12:06</x:v>
      </x:c>
      <x:c r="O543" s="60" t="str">
        <x:v>+1 843 696 6960</x:v>
      </x:c>
      <x:c r="P543" s="60" t="str">
        <x:v>https://www.linkedin.com/in/jennifertruesdale</x:v>
      </x:c>
      <x:c r="Q543" s="60" t="str">
        <x:v>2-10</x:v>
      </x:c>
      <x:c r="R543" s="60" t="str">
        <x:v>0-99999</x:v>
      </x:c>
      <x:c r="S543" s="60" t="str"/>
      <x:c r="T543" s="74" t="str">
        <x:v>0</x:v>
      </x:c>
      <x:c r="U543" s="60" t="str"/>
      <x:c r="V543" s="74" t="str">
        <x:v>25</x:v>
      </x:c>
      <x:c r="W543" s="74" t="str">
        <x:v>3</x:v>
      </x:c>
      <x:c r="X543" s="74" t="str">
        <x:v>6</x:v>
      </x:c>
      <x:c r="Y543" s="74" t="str">
        <x:v>5</x:v>
      </x:c>
      <x:c r="Z543" s="74" t="str">
        <x:v>10</x:v>
      </x:c>
      <x:c r="AA543" s="74" t="str">
        <x:v>0</x:v>
      </x:c>
      <x:c r="AB543" s="74" t="str">
        <x:v>0</x:v>
      </x:c>
      <x:c r="AC543" s="74" t="str">
        <x:v>1</x:v>
      </x:c>
      <x:c r="AD543" s="74" t="str">
        <x:v>0</x:v>
      </x:c>
      <x:c r="AE543" s="74" t="str">
        <x:v>0</x:v>
      </x:c>
      <x:c r="AF543" s="74" t="str"/>
      <x:c r="AG543" s="74" t="str">
        <x:v>0</x:v>
      </x:c>
      <x:c r="AH543" s="74" t="str">
        <x:v>1</x:v>
      </x:c>
      <x:c r="AI543" s="74" t="str">
        <x:v>0</x:v>
      </x:c>
      <x:c r="AJ543" s="74" t="str">
        <x:v>0</x:v>
      </x:c>
      <x:c r="AK543" s="74" t="str">
        <x:v>0</x:v>
      </x:c>
      <x:c r="AL543" s="74" t="str">
        <x:v>1</x:v>
      </x:c>
      <x:c r="AM543" s="74" t="str">
        <x:v>1</x:v>
      </x:c>
      <x:c r="AN543" s="74" t="str">
        <x:v>0</x:v>
      </x:c>
      <x:c r="AO543" s="60" t="str">
        <x:v>0</x:v>
      </x:c>
      <x:c r="AP543" s="76" t="str">
        <x:v>Project/gallery proof found; no embedded homepage video found</x:v>
      </x:c>
      <x:c r="AQ543" s="76" t="str">
        <x:v>project/gallery proof; no embedded homepage video detected</x:v>
      </x:c>
      <x:c r="AR543" s="76" t="str">
        <x:v>I found project/gallery proof on STR8N UP Professional Organizing Services's site that could be repackaged into short-form ad concepts.</x:v>
      </x:c>
      <x:c r="AS543" s="76" t="str">
        <x:v>project reveal with budget-and-timeline proof</x:v>
      </x:c>
      <x:c r="AT543" s="76" t="str">
        <x:v>STR8N UP Professional Organizing Services ad concept</x:v>
      </x:c>
      <x:c r="AU543" s="76" t="str">
        <x:v>Hi Jennifer — I found project/gallery proof on STR8N UP Professional Organizing Services's site that could be repackaged into short-form ad concepts. I mapped a private 15-second project reveal with budget-and-timeline proof for STR8N UP Professional Organizing Services using only public brand context—not for publishing, just to show the angle. We build three client-approved video ad concepts in seven days, then turn the winners into fresh variations. No filming day required. Worth sending the private sample?</x:v>
      </x:c>
      <x:c r="AV543" s="76" t="str">
        <x:v>Quick follow-up: the sample angle is a project reveal with budget-and-timeline proof. If it misses the mark, no problem—I won't keep chasing. Should I send it?</x:v>
      </x:c>
      <x:c r="AW543" s="76" t="str">
        <x:v>Hi Jennifer, Ryan here. I was looking at STR8N UP Professional Organizing Services's public marketing and noticed: project/gallery proof found; no embedded homepage video found. I mapped one private project reveal with budget-and-timeline proof as an example. Did I catch you with 30 seconds?</x:v>
      </x:c>
      <x:c r="AX543" s="60" t="str">
        <x:v>https://www.facebook.com/ads/library/?active_status=active&amp;ad_type=all&amp;country=US&amp;q=STR8N%20UP%20Professional%20Organizing%20Services&amp;search_type=keyword_unordered</x:v>
      </x:c>
      <x:c r="AY543" s="60" t="str">
        <x:v>ok:200</x:v>
      </x:c>
      <x:c r="AZ543" s="60" t="n">
        <x:v>46232.722858796296</x:v>
      </x:c>
      <x:c r="BA543" s="60" t="str">
        <x:v>AI Ark SC trades export</x:v>
      </x:c>
      <x:c r="BB543" s="60" t="str">
        <x:v>https://str8nup.org | https://www.linkedin.com/company/str8n-up-professional-organizing-services</x:v>
      </x:c>
      <x:c r="BC543" s="60" t="str"/>
    </x:row>
    <x:row r="544" ht="18" customHeight="1">
      <x:c r="A544" s="70" t="str">
        <x:v>543</x:v>
      </x:c>
      <x:c r="B544" s="70" t="str">
        <x:v>C - Verify</x:v>
      </x:c>
      <x:c r="C544" s="72" t="str">
        <x:v>49</x:v>
      </x:c>
      <x:c r="D544" s="60" t="str">
        <x:v>Shine Construction</x:v>
      </x:c>
      <x:c r="E544" s="60" t="str">
        <x:v>https://shineconstruction.com</x:v>
      </x:c>
      <x:c r="F544" s="60" t="str">
        <x:v>https://shineconstruction.com</x:v>
      </x:c>
      <x:c r="G544" s="60" t="str">
        <x:v>Charleston</x:v>
      </x:c>
      <x:c r="H544" s="60" t="str">
        <x:v>South Carolina Metropolitan Area</x:v>
      </x:c>
      <x:c r="I544" s="60" t="str">
        <x:v>Solar</x:v>
      </x:c>
      <x:c r="J544" s="60" t="str">
        <x:v>Daniel</x:v>
      </x:c>
      <x:c r="K544" s="60" t="str">
        <x:v>Hancock</x:v>
      </x:c>
      <x:c r="L544" s="60" t="str">
        <x:v>Owner/President</x:v>
      </x:c>
      <x:c r="M544" s="60" t="str">
        <x:v>dhancock@shineconstruction.com</x:v>
      </x:c>
      <x:c r="N544" s="60" t="str">
        <x:v>Verified with BounceBan on 08 Jun 26 12:06</x:v>
      </x:c>
      <x:c r="O544" s="60" t="str">
        <x:v>+1 843 437 4365</x:v>
      </x:c>
      <x:c r="P544" s="60" t="str">
        <x:v>https://www.linkedin.com/in/daniel-hancock-88453563</x:v>
      </x:c>
      <x:c r="Q544" s="60" t="str">
        <x:v>2-10</x:v>
      </x:c>
      <x:c r="R544" s="60" t="str">
        <x:v>100000-499999</x:v>
      </x:c>
      <x:c r="S544" s="60" t="str"/>
      <x:c r="T544" s="74" t="str">
        <x:v>0</x:v>
      </x:c>
      <x:c r="U544" s="60" t="str"/>
      <x:c r="V544" s="74" t="str">
        <x:v>25</x:v>
      </x:c>
      <x:c r="W544" s="74" t="str">
        <x:v>3</x:v>
      </x:c>
      <x:c r="X544" s="74" t="str">
        <x:v>6</x:v>
      </x:c>
      <x:c r="Y544" s="74" t="str">
        <x:v>5</x:v>
      </x:c>
      <x:c r="Z544" s="74" t="str">
        <x:v>10</x:v>
      </x:c>
      <x:c r="AA544" s="74" t="str">
        <x:v>0</x:v>
      </x:c>
      <x:c r="AB544" s="74" t="str">
        <x:v>0</x:v>
      </x:c>
      <x:c r="AC544" s="74" t="str">
        <x:v>1</x:v>
      </x:c>
      <x:c r="AD544" s="74" t="str">
        <x:v>0</x:v>
      </x:c>
      <x:c r="AE544" s="74" t="str">
        <x:v>0</x:v>
      </x:c>
      <x:c r="AF544" s="74" t="str"/>
      <x:c r="AG544" s="74" t="str">
        <x:v>0</x:v>
      </x:c>
      <x:c r="AH544" s="74" t="str">
        <x:v>1</x:v>
      </x:c>
      <x:c r="AI544" s="74" t="str">
        <x:v>0</x:v>
      </x:c>
      <x:c r="AJ544" s="74" t="str">
        <x:v>0</x:v>
      </x:c>
      <x:c r="AK544" s="74" t="str">
        <x:v>0</x:v>
      </x:c>
      <x:c r="AL544" s="74" t="str">
        <x:v>1</x:v>
      </x:c>
      <x:c r="AM544" s="74" t="str">
        <x:v>1</x:v>
      </x:c>
      <x:c r="AN544" s="74" t="str">
        <x:v>0</x:v>
      </x:c>
      <x:c r="AO544" s="60" t="str">
        <x:v>2026</x:v>
      </x:c>
      <x:c r="AP544" s="76" t="str">
        <x:v>Project/gallery proof found; no embedded homepage video found</x:v>
      </x:c>
      <x:c r="AQ544" s="76" t="str">
        <x:v>project/gallery proof; no embedded homepage video detected</x:v>
      </x:c>
      <x:c r="AR544" s="76" t="str">
        <x:v>I found project/gallery proof on Shine Construction's site that could be repackaged into short-form ad concepts.</x:v>
      </x:c>
      <x:c r="AS544" s="76" t="str">
        <x:v>utility-bill problem to consultation ad</x:v>
      </x:c>
      <x:c r="AT544" s="76" t="str">
        <x:v>Shine Construction ad concept</x:v>
      </x:c>
      <x:c r="AU544" s="76" t="str">
        <x:v>Hi Daniel — I found project/gallery proof on Shine Construction's site that could be repackaged into short-form ad concepts. I mapped a private 15-second utility-bill problem to consultation ad for Shine Construction using only public brand context—not for publishing, just to show the angle. We build three client-approved video ad concepts in seven days, then turn the winners into fresh variations. No filming day required. Worth sending the private sample?</x:v>
      </x:c>
      <x:c r="AV544" s="76" t="str">
        <x:v>Quick follow-up: the sample angle is a utility-bill problem to consultation ad. If it misses the mark, no problem—I won't keep chasing. Should I send it?</x:v>
      </x:c>
      <x:c r="AW544" s="76" t="str">
        <x:v>Hi Daniel, Ryan here. I was looking at Shine Construction's public marketing and noticed: project/gallery proof found; no embedded homepage video found. I mapped one private utility-bill problem to consultation ad as an example. Did I catch you with 30 seconds?</x:v>
      </x:c>
      <x:c r="AX544" s="60" t="str">
        <x:v>https://www.facebook.com/ads/library/?active_status=active&amp;ad_type=all&amp;country=US&amp;q=Shine%20Construction&amp;search_type=keyword_unordered</x:v>
      </x:c>
      <x:c r="AY544" s="60" t="str">
        <x:v>ok:200</x:v>
      </x:c>
      <x:c r="AZ544" s="60" t="n">
        <x:v>46232.722858796296</x:v>
      </x:c>
      <x:c r="BA544" s="60" t="str">
        <x:v>AI Ark SC trades export</x:v>
      </x:c>
      <x:c r="BB544" s="60" t="str">
        <x:v>https://shineconstruction.com | https://www.linkedin.com/company/shineconstruction</x:v>
      </x:c>
      <x:c r="BC544" s="60" t="str"/>
    </x:row>
    <x:row r="545" ht="18" customHeight="1">
      <x:c r="A545" s="70" t="str">
        <x:v>544</x:v>
      </x:c>
      <x:c r="B545" s="70" t="str">
        <x:v>C - Verify</x:v>
      </x:c>
      <x:c r="C545" s="72" t="str">
        <x:v>49</x:v>
      </x:c>
      <x:c r="D545" s="60" t="str">
        <x:v>Polar Bear Heating and Air</x:v>
      </x:c>
      <x:c r="E545" s="60" t="str">
        <x:v>https://polarbearairco.com</x:v>
      </x:c>
      <x:c r="F545" s="60" t="str">
        <x:v>https://www.polarbearairco.com/</x:v>
      </x:c>
      <x:c r="G545" s="60" t="str">
        <x:v>North Charleston</x:v>
      </x:c>
      <x:c r="H545" s="60" t="str">
        <x:v>South Carolina</x:v>
      </x:c>
      <x:c r="I545" s="60" t="str">
        <x:v>HVAC</x:v>
      </x:c>
      <x:c r="J545" s="60" t="str">
        <x:v>Polar Bear Heating and Air</x:v>
      </x:c>
      <x:c r="K545" s="60" t="str"/>
      <x:c r="L545" s="60" t="str">
        <x:v>Owner / decision maker to verify</x:v>
      </x:c>
      <x:c r="M545" s="60" t="str"/>
      <x:c r="N545" s="60" t="str"/>
      <x:c r="O545" s="60" t="str">
        <x:v>(843) 955-0877</x:v>
      </x:c>
      <x:c r="P545" s="60" t="str"/>
      <x:c r="Q545" s="60" t="str"/>
      <x:c r="R545" s="60" t="str"/>
      <x:c r="S545" s="60" t="str">
        <x:v>5</x:v>
      </x:c>
      <x:c r="T545" s="74" t="str">
        <x:v>93</x:v>
      </x:c>
      <x:c r="U545" s="60" t="str"/>
      <x:c r="V545" s="74" t="str">
        <x:v>26</x:v>
      </x:c>
      <x:c r="W545" s="74" t="str">
        <x:v>3</x:v>
      </x:c>
      <x:c r="X545" s="74" t="str">
        <x:v>10</x:v>
      </x:c>
      <x:c r="Y545" s="74" t="str">
        <x:v>5</x:v>
      </x:c>
      <x:c r="Z545" s="74" t="str">
        <x:v>5</x:v>
      </x:c>
      <x:c r="AA545" s="74" t="str">
        <x:v>0</x:v>
      </x:c>
      <x:c r="AB545" s="74" t="str">
        <x:v>0</x:v>
      </x:c>
      <x:c r="AC545" s="74" t="str">
        <x:v>1</x:v>
      </x:c>
      <x:c r="AD545" s="74" t="str">
        <x:v>0</x:v>
      </x:c>
      <x:c r="AE545" s="74" t="str">
        <x:v>0</x:v>
      </x:c>
      <x:c r="AF545" s="74" t="str"/>
      <x:c r="AG545" s="74" t="str">
        <x:v>0</x:v>
      </x:c>
      <x:c r="AH545" s="74" t="str">
        <x:v>0</x:v>
      </x:c>
      <x:c r="AI545" s="74" t="str">
        <x:v>0</x:v>
      </x:c>
      <x:c r="AJ545" s="74" t="str">
        <x:v>0</x:v>
      </x:c>
      <x:c r="AK545" s="74" t="str">
        <x:v>1</x:v>
      </x:c>
      <x:c r="AL545" s="74" t="str">
        <x:v>0</x:v>
      </x:c>
      <x:c r="AM545" s="74" t="str">
        <x:v>0</x:v>
      </x:c>
      <x:c r="AN545" s="74" t="str">
        <x:v>0</x:v>
      </x:c>
      <x:c r="AO545" s="60" t="str">
        <x:v>0</x:v>
      </x:c>
      <x:c r="AP545" s="76" t="str">
        <x:v>ICP fit; paid-demand need requires manual verification</x:v>
      </x:c>
      <x:c r="AQ545" s="76" t="str">
        <x:v>visible service offer; no embedded homepage video detected</x:v>
      </x:c>
      <x:c r="AR545" s="76" t="str">
        <x:v>I was reviewing hvac companies in North Charleston, South Carolina and Polar Bear Heating and Air looked like a strong fit for a creative test.</x:v>
      </x:c>
      <x:c r="AS545" s="76" t="str">
        <x:v>no-cool-call to same-day comfort ad</x:v>
      </x:c>
      <x:c r="AT545" s="76" t="str">
        <x:v>Polar Bear Heating and Air ad concept</x:v>
      </x:c>
      <x:c r="AU545" s="76" t="str">
        <x:v>Hi Polar Bear Heating and Air — I was reviewing hvac companies in North Charleston, South Carolina and Polar Bear Heating and Air looked like a strong fit for a creative test. I mapped a private 15-second no-cool-call to same-day comfort ad for Polar Bear Heating and Air using only public brand context—not for publishing, just to show the angle. We build three client-approved video ad concepts in seven days, then turn the winners into fresh variations. No filming day required. Worth sending the private sample?</x:v>
      </x:c>
      <x:c r="AV545" s="76" t="str">
        <x:v>Quick follow-up: the sample angle is a no-cool-call to same-day comfort ad. If it misses the mark, no problem—I won't keep chasing. Should I send it?</x:v>
      </x:c>
      <x:c r="AW545" s="76" t="str">
        <x:v>Hi Polar Bear Heating and Air, Ryan here. I was looking at Polar Bear Heating and Air's public marketing and noticed: icp fit; paid-demand need requires manual verification. I mapped one private no-cool-call to same-day comfort ad as an example. Did I catch you with 30 seconds?</x:v>
      </x:c>
      <x:c r="AX545" s="60" t="str">
        <x:v>https://www.facebook.com/ads/library/?active_status=active&amp;ad_type=all&amp;country=US&amp;q=Polar%20Bear%20Heating%20and%20Air&amp;search_type=keyword_unordered</x:v>
      </x:c>
      <x:c r="AY545" s="60" t="str">
        <x:v>ok:200</x:v>
      </x:c>
      <x:c r="AZ545" s="60" t="n">
        <x:v>46232.722858796296</x:v>
      </x:c>
      <x:c r="BA545" s="60" t="str">
        <x:v>Google Maps home-services export</x:v>
      </x:c>
      <x:c r="BB545" s="60" t="str">
        <x:v>https://maps.google.com/?cid=2395356393453651270&amp;g_mp=Cidnb29nbGUubWFwcy5wbGFjZXMudjEuUGxhY2VzLlNlYXJjaFRleHQQAhgEIAA | https://polarbearairco.com</x:v>
      </x:c>
      <x:c r="BC545" s="60" t="str"/>
    </x:row>
    <x:row r="546" ht="18" customHeight="1">
      <x:c r="A546" s="70" t="str">
        <x:v>545</x:v>
      </x:c>
      <x:c r="B546" s="70" t="str">
        <x:v>C - Verify</x:v>
      </x:c>
      <x:c r="C546" s="72" t="str">
        <x:v>49</x:v>
      </x:c>
      <x:c r="D546" s="60" t="str">
        <x:v>Mount Pleasant Heating &amp; Air Conditioning</x:v>
      </x:c>
      <x:c r="E546" s="60" t="str">
        <x:v>https://mtpleasanthvac.com</x:v>
      </x:c>
      <x:c r="F546" s="60" t="str">
        <x:v>https://mtpleasanthvac.com</x:v>
      </x:c>
      <x:c r="G546" s="60" t="str">
        <x:v>Mount Pleasant</x:v>
      </x:c>
      <x:c r="H546" s="60" t="str">
        <x:v>South Carolina</x:v>
      </x:c>
      <x:c r="I546" s="60" t="str">
        <x:v>HVAC</x:v>
      </x:c>
      <x:c r="J546" s="60" t="str">
        <x:v>Mount Pleasant Heating &amp; Air Conditioning</x:v>
      </x:c>
      <x:c r="K546" s="60" t="str"/>
      <x:c r="L546" s="60" t="str">
        <x:v>Owner / decision maker to verify</x:v>
      </x:c>
      <x:c r="M546" s="60" t="str"/>
      <x:c r="N546" s="60" t="str"/>
      <x:c r="O546" s="60" t="str">
        <x:v>(843) 714-0863</x:v>
      </x:c>
      <x:c r="P546" s="60" t="str"/>
      <x:c r="Q546" s="60" t="str"/>
      <x:c r="R546" s="60" t="str"/>
      <x:c r="S546" s="60" t="str">
        <x:v>4.9</x:v>
      </x:c>
      <x:c r="T546" s="74" t="str">
        <x:v>31</x:v>
      </x:c>
      <x:c r="U546" s="60" t="str"/>
      <x:c r="V546" s="74" t="str">
        <x:v>26</x:v>
      </x:c>
      <x:c r="W546" s="74" t="str">
        <x:v>3</x:v>
      </x:c>
      <x:c r="X546" s="74" t="str">
        <x:v>10</x:v>
      </x:c>
      <x:c r="Y546" s="74" t="str">
        <x:v>5</x:v>
      </x:c>
      <x:c r="Z546" s="74" t="str">
        <x:v>5</x:v>
      </x:c>
      <x:c r="AA546" s="74" t="str">
        <x:v>0</x:v>
      </x:c>
      <x:c r="AB546" s="74" t="str">
        <x:v>0</x:v>
      </x:c>
      <x:c r="AC546" s="74" t="str">
        <x:v>1</x:v>
      </x:c>
      <x:c r="AD546" s="74" t="str">
        <x:v>0</x:v>
      </x:c>
      <x:c r="AE546" s="74" t="str">
        <x:v>0</x:v>
      </x:c>
      <x:c r="AF546" s="74" t="str"/>
      <x:c r="AG546" s="74" t="str">
        <x:v>0</x:v>
      </x:c>
      <x:c r="AH546" s="74" t="str">
        <x:v>0</x:v>
      </x:c>
      <x:c r="AI546" s="74" t="str">
        <x:v>0</x:v>
      </x:c>
      <x:c r="AJ546" s="74" t="str">
        <x:v>0</x:v>
      </x:c>
      <x:c r="AK546" s="74" t="str">
        <x:v>1</x:v>
      </x:c>
      <x:c r="AL546" s="74" t="str">
        <x:v>0</x:v>
      </x:c>
      <x:c r="AM546" s="74" t="str">
        <x:v>1</x:v>
      </x:c>
      <x:c r="AN546" s="74" t="str">
        <x:v>0</x:v>
      </x:c>
      <x:c r="AO546" s="60" t="str">
        <x:v>2026</x:v>
      </x:c>
      <x:c r="AP546" s="76" t="str">
        <x:v>ICP fit; paid-demand need requires manual verification</x:v>
      </x:c>
      <x:c r="AQ546" s="76" t="str">
        <x:v>visible service offer; no embedded homepage video detected</x:v>
      </x:c>
      <x:c r="AR546" s="76" t="str">
        <x:v>I was reviewing hvac companies in Mount Pleasant, South Carolina and Mount Pleasant Heating &amp; Air Conditioning looked like a strong fit for a creative test.</x:v>
      </x:c>
      <x:c r="AS546" s="76" t="str">
        <x:v>no-cool-call to same-day comfort ad</x:v>
      </x:c>
      <x:c r="AT546" s="76" t="str">
        <x:v>Mount Pleasant Heating &amp; Air Conditioning ad concept</x:v>
      </x:c>
      <x:c r="AU546" s="76" t="str">
        <x:v>Hi Mount Pleasant Heating &amp; Air Conditioning — I was reviewing hvac companies in Mount Pleasant, South Carolina and Mount Pleasant Heating &amp; Air Conditioning looked like a strong fit for a creative test. I mapped a private 15-second no-cool-call to same-day comfort ad for Mount Pleasant Heating &amp; Air Conditioning using only public brand context—not for publishing, just to show the angle. We build three client-approved video ad concepts in seven days, then turn the winners into fresh variations. No filming day required. Worth sending the private sample?</x:v>
      </x:c>
      <x:c r="AV546" s="76" t="str">
        <x:v>Quick follow-up: the sample angle is a no-cool-call to same-day comfort ad. If it misses the mark, no problem—I won't keep chasing. Should I send it?</x:v>
      </x:c>
      <x:c r="AW546" s="76" t="str">
        <x:v>Hi Mount Pleasant Heating &amp; Air Conditioning, Ryan here. I was looking at Mount Pleasant Heating &amp; Air Conditioning's public marketing and noticed: icp fit; paid-demand need requires manual verification. I mapped one private no-cool-call to same-day comfort ad as an example. Did I catch you with 30 seconds?</x:v>
      </x:c>
      <x:c r="AX546" s="60" t="str">
        <x:v>https://www.facebook.com/ads/library/?active_status=active&amp;ad_type=all&amp;country=US&amp;q=Mount%20Pleasant%20Heating%20%26%20Air%20Conditioning&amp;search_type=keyword_unordered</x:v>
      </x:c>
      <x:c r="AY546" s="60" t="str">
        <x:v>ok:200</x:v>
      </x:c>
      <x:c r="AZ546" s="60" t="n">
        <x:v>46232.722858796296</x:v>
      </x:c>
      <x:c r="BA546" s="60" t="str">
        <x:v>Google Maps home-services export</x:v>
      </x:c>
      <x:c r="BB546" s="60" t="str">
        <x:v>https://maps.google.com/?cid=1054067826845612836&amp;g_mp=Cidnb29nbGUubWFwcy5wbGFjZXMudjEuUGxhY2VzLlNlYXJjaFRleHQQAhgEIAA | https://mtpleasanthvac.com</x:v>
      </x:c>
      <x:c r="BC546" s="60" t="str"/>
    </x:row>
    <x:row r="547" ht="18" customHeight="1">
      <x:c r="A547" s="70" t="str">
        <x:v>546</x:v>
      </x:c>
      <x:c r="B547" s="70" t="str">
        <x:v>C - Verify</x:v>
      </x:c>
      <x:c r="C547" s="72" t="str">
        <x:v>49</x:v>
      </x:c>
      <x:c r="D547" s="60" t="str">
        <x:v>J W Long Heating &amp; Air Conditioning</x:v>
      </x:c>
      <x:c r="E547" s="60" t="str">
        <x:v>https://jwlongmechanical.com</x:v>
      </x:c>
      <x:c r="F547" s="60" t="str">
        <x:v>https://www.jwlongmechanical.com/</x:v>
      </x:c>
      <x:c r="G547" s="60" t="str">
        <x:v>Summerville</x:v>
      </x:c>
      <x:c r="H547" s="60" t="str">
        <x:v>South Carolina</x:v>
      </x:c>
      <x:c r="I547" s="60" t="str">
        <x:v>HVAC</x:v>
      </x:c>
      <x:c r="J547" s="60" t="str">
        <x:v>J W Long Heating &amp; Air Conditioning</x:v>
      </x:c>
      <x:c r="K547" s="60" t="str"/>
      <x:c r="L547" s="60" t="str">
        <x:v>Owner / decision maker to verify</x:v>
      </x:c>
      <x:c r="M547" s="60" t="str"/>
      <x:c r="N547" s="60" t="str"/>
      <x:c r="O547" s="60" t="str">
        <x:v>(843) 873-0371</x:v>
      </x:c>
      <x:c r="P547" s="60" t="str"/>
      <x:c r="Q547" s="60" t="str"/>
      <x:c r="R547" s="60" t="str"/>
      <x:c r="S547" s="60" t="str">
        <x:v>4.8</x:v>
      </x:c>
      <x:c r="T547" s="74" t="str">
        <x:v>53</x:v>
      </x:c>
      <x:c r="U547" s="60" t="str"/>
      <x:c r="V547" s="74" t="str">
        <x:v>26</x:v>
      </x:c>
      <x:c r="W547" s="74" t="str">
        <x:v>3</x:v>
      </x:c>
      <x:c r="X547" s="74" t="str">
        <x:v>10</x:v>
      </x:c>
      <x:c r="Y547" s="74" t="str">
        <x:v>5</x:v>
      </x:c>
      <x:c r="Z547" s="74" t="str">
        <x:v>5</x:v>
      </x:c>
      <x:c r="AA547" s="74" t="str">
        <x:v>0</x:v>
      </x:c>
      <x:c r="AB547" s="74" t="str">
        <x:v>0</x:v>
      </x:c>
      <x:c r="AC547" s="74" t="str">
        <x:v>1</x:v>
      </x:c>
      <x:c r="AD547" s="74" t="str">
        <x:v>0</x:v>
      </x:c>
      <x:c r="AE547" s="74" t="str">
        <x:v>0</x:v>
      </x:c>
      <x:c r="AF547" s="74" t="str"/>
      <x:c r="AG547" s="74" t="str">
        <x:v>0</x:v>
      </x:c>
      <x:c r="AH547" s="74" t="str">
        <x:v>0</x:v>
      </x:c>
      <x:c r="AI547" s="74" t="str">
        <x:v>0</x:v>
      </x:c>
      <x:c r="AJ547" s="74" t="str">
        <x:v>0</x:v>
      </x:c>
      <x:c r="AK547" s="74" t="str">
        <x:v>1</x:v>
      </x:c>
      <x:c r="AL547" s="74" t="str">
        <x:v>0</x:v>
      </x:c>
      <x:c r="AM547" s="74" t="str">
        <x:v>1</x:v>
      </x:c>
      <x:c r="AN547" s="74" t="str">
        <x:v>0</x:v>
      </x:c>
      <x:c r="AO547" s="60" t="str">
        <x:v>2026</x:v>
      </x:c>
      <x:c r="AP547" s="76" t="str">
        <x:v>ICP fit; paid-demand need requires manual verification</x:v>
      </x:c>
      <x:c r="AQ547" s="76" t="str">
        <x:v>visible service offer; no embedded homepage video detected</x:v>
      </x:c>
      <x:c r="AR547" s="76" t="str">
        <x:v>I was reviewing hvac companies in Summerville, South Carolina and J W Long Heating &amp; Air Conditioning looked like a strong fit for a creative test.</x:v>
      </x:c>
      <x:c r="AS547" s="76" t="str">
        <x:v>no-cool-call to same-day comfort ad</x:v>
      </x:c>
      <x:c r="AT547" s="76" t="str">
        <x:v>J W Long Heating &amp; Air Conditioning ad concept</x:v>
      </x:c>
      <x:c r="AU547" s="76" t="str">
        <x:v>Hi J W Long Heating &amp; Air Conditioning — I was reviewing hvac companies in Summerville, South Carolina and J W Long Heating &amp; Air Conditioning looked like a strong fit for a creative test. I mapped a private 15-second no-cool-call to same-day comfort ad for J W Long Heating &amp; Air Conditioning using only public brand context—not for publishing, just to show the angle. We build three client-approved video ad concepts in seven days, then turn the winners into fresh variations. No filming day required. Worth sending the private sample?</x:v>
      </x:c>
      <x:c r="AV547" s="76" t="str">
        <x:v>Quick follow-up: the sample angle is a no-cool-call to same-day comfort ad. If it misses the mark, no problem—I won't keep chasing. Should I send it?</x:v>
      </x:c>
      <x:c r="AW547" s="76" t="str">
        <x:v>Hi J W Long Heating &amp; Air Conditioning, Ryan here. I was looking at J W Long Heating &amp; Air Conditioning's public marketing and noticed: icp fit; paid-demand need requires manual verification. I mapped one private no-cool-call to same-day comfort ad as an example. Did I catch you with 30 seconds?</x:v>
      </x:c>
      <x:c r="AX547" s="60" t="str">
        <x:v>https://www.facebook.com/ads/library/?active_status=active&amp;ad_type=all&amp;country=US&amp;q=J%20W%20Long%20Heating%20%26%20Air%20Conditioning&amp;search_type=keyword_unordered</x:v>
      </x:c>
      <x:c r="AY547" s="60" t="str">
        <x:v>ok:200</x:v>
      </x:c>
      <x:c r="AZ547" s="60" t="n">
        <x:v>46232.722858796296</x:v>
      </x:c>
      <x:c r="BA547" s="60" t="str">
        <x:v>Google Maps home-services export</x:v>
      </x:c>
      <x:c r="BB547" s="60" t="str">
        <x:v>https://jwlongmechanical.com | https://maps.google.com/?cid=17269160483288478726&amp;g_mp=Cidnb29nbGUubWFwcy5wbGFjZXMudjEuUGxhY2VzLlNlYXJjaFRleHQQAhgEIAA</x:v>
      </x:c>
      <x:c r="BC547" s="60" t="str"/>
    </x:row>
    <x:row r="548" ht="18" customHeight="1">
      <x:c r="A548" s="70" t="str">
        <x:v>547</x:v>
      </x:c>
      <x:c r="B548" s="70" t="str">
        <x:v>C - Verify</x:v>
      </x:c>
      <x:c r="C548" s="72" t="str">
        <x:v>49</x:v>
      </x:c>
      <x:c r="D548" s="60" t="str">
        <x:v>All Phase Remodeling, Inc.</x:v>
      </x:c>
      <x:c r="E548" s="60" t="str">
        <x:v>https://allphaseremodeling.com</x:v>
      </x:c>
      <x:c r="F548" s="60" t="str">
        <x:v>https://rlrider.com/</x:v>
      </x:c>
      <x:c r="G548" s="60" t="str">
        <x:v>Simpsonville</x:v>
      </x:c>
      <x:c r="H548" s="60" t="str">
        <x:v>South Carolina</x:v>
      </x:c>
      <x:c r="I548" s="60" t="str">
        <x:v>Restoration</x:v>
      </x:c>
      <x:c r="J548" s="60" t="str">
        <x:v>Mike</x:v>
      </x:c>
      <x:c r="K548" s="60" t="str">
        <x:v>Shields</x:v>
      </x:c>
      <x:c r="L548" s="60" t="str">
        <x:v>owner</x:v>
      </x:c>
      <x:c r="M548" s="60" t="str"/>
      <x:c r="N548" s="60" t="str"/>
      <x:c r="O548" s="60" t="str">
        <x:v>+1 517 482 6433</x:v>
      </x:c>
      <x:c r="P548" s="60" t="str">
        <x:v>https://www.linkedin.com/in/mike-shields-89917b26</x:v>
      </x:c>
      <x:c r="Q548" s="60" t="str">
        <x:v>2-10</x:v>
      </x:c>
      <x:c r="R548" s="60" t="str">
        <x:v>1000000-4999999</x:v>
      </x:c>
      <x:c r="S548" s="60" t="str"/>
      <x:c r="T548" s="74" t="str">
        <x:v>0</x:v>
      </x:c>
      <x:c r="U548" s="60" t="str"/>
      <x:c r="V548" s="74" t="str">
        <x:v>30</x:v>
      </x:c>
      <x:c r="W548" s="74" t="str">
        <x:v>3</x:v>
      </x:c>
      <x:c r="X548" s="74" t="str">
        <x:v>6</x:v>
      </x:c>
      <x:c r="Y548" s="74" t="str">
        <x:v>5</x:v>
      </x:c>
      <x:c r="Z548" s="74" t="str">
        <x:v>5</x:v>
      </x:c>
      <x:c r="AA548" s="74" t="str">
        <x:v>0</x:v>
      </x:c>
      <x:c r="AB548" s="74" t="str">
        <x:v>0</x:v>
      </x:c>
      <x:c r="AC548" s="74" t="str">
        <x:v>1</x:v>
      </x:c>
      <x:c r="AD548" s="74" t="str">
        <x:v>0</x:v>
      </x:c>
      <x:c r="AE548" s="74" t="str">
        <x:v>0</x:v>
      </x:c>
      <x:c r="AF548" s="74" t="str"/>
      <x:c r="AG548" s="74" t="str">
        <x:v>0</x:v>
      </x:c>
      <x:c r="AH548" s="74" t="str">
        <x:v>1</x:v>
      </x:c>
      <x:c r="AI548" s="74" t="str">
        <x:v>0</x:v>
      </x:c>
      <x:c r="AJ548" s="74" t="str">
        <x:v>0</x:v>
      </x:c>
      <x:c r="AK548" s="74" t="str">
        <x:v>0</x:v>
      </x:c>
      <x:c r="AL548" s="74" t="str">
        <x:v>0</x:v>
      </x:c>
      <x:c r="AM548" s="74" t="str">
        <x:v>1</x:v>
      </x:c>
      <x:c r="AN548" s="74" t="str">
        <x:v>1</x:v>
      </x:c>
      <x:c r="AO548" s="60" t="str">
        <x:v>2026</x:v>
      </x:c>
      <x:c r="AP548" s="76" t="str">
        <x:v>Project/gallery proof found; no embedded homepage video found</x:v>
      </x:c>
      <x:c r="AQ548" s="76" t="str">
        <x:v>project/gallery proof; no embedded homepage video detected</x:v>
      </x:c>
      <x:c r="AR548" s="76" t="str">
        <x:v>I found project/gallery proof on All Phase Remodeling, Inc.'s site that could be repackaged into short-form ad concepts.</x:v>
      </x:c>
      <x:c r="AS548" s="76" t="str">
        <x:v>first-24-hours emergency-response ad</x:v>
      </x:c>
      <x:c r="AT548" s="76" t="str">
        <x:v>All Phase Remodeling, Inc. ad concept</x:v>
      </x:c>
      <x:c r="AU548" s="76" t="str">
        <x:v>Hi Mike — I found project/gallery proof on All Phase Remodeling, Inc.'s site that could be repackaged into short-form ad concepts. I mapped a private 15-second first-24-hours emergency-response ad for All Phase Remodeling, Inc. using only public brand context—not for publishing, just to show the angle. We build three client-approved video ad concepts in seven days, then turn the winners into fresh variations. No filming day required. Worth sending the private sample?</x:v>
      </x:c>
      <x:c r="AV548" s="76" t="str">
        <x:v>Quick follow-up: the sample angle is a first-24-hours emergency-response ad. If it misses the mark, no problem—I won't keep chasing. Should I send it?</x:v>
      </x:c>
      <x:c r="AW548" s="76" t="str">
        <x:v>Hi Mike, Ryan here. I was looking at All Phase Remodeling, Inc.'s public marketing and noticed: project/gallery proof found; no embedded homepage video found. I mapped one private first-24-hours emergency-response ad as an example. Did I catch you with 30 seconds?</x:v>
      </x:c>
      <x:c r="AX548" s="60" t="str">
        <x:v>https://www.facebook.com/ads/library/?active_status=active&amp;ad_type=all&amp;country=US&amp;q=All%20Phase%20Remodeling%2C%20Inc.&amp;search_type=keyword_unordered</x:v>
      </x:c>
      <x:c r="AY548" s="60" t="str">
        <x:v>ok:200</x:v>
      </x:c>
      <x:c r="AZ548" s="60" t="n">
        <x:v>46232.722858796296</x:v>
      </x:c>
      <x:c r="BA548" s="60" t="str">
        <x:v>AI Ark SC trades export</x:v>
      </x:c>
      <x:c r="BB548" s="60" t="str">
        <x:v>https://allphaseremodeling.com | https://www.linkedin.com/company/all-phase-remodeling-inc.</x:v>
      </x:c>
      <x:c r="BC548" s="60" t="str"/>
    </x:row>
    <x:row r="549" ht="18" customHeight="1">
      <x:c r="A549" s="70" t="str">
        <x:v>548</x:v>
      </x:c>
      <x:c r="B549" s="70" t="str">
        <x:v>C - Verify</x:v>
      </x:c>
      <x:c r="C549" s="72" t="str">
        <x:v>49</x:v>
      </x:c>
      <x:c r="D549" s="60" t="str">
        <x:v>BEVIS CONSTRUCTION</x:v>
      </x:c>
      <x:c r="E549" s="60" t="str">
        <x:v>https://bevisconstructioninc.com</x:v>
      </x:c>
      <x:c r="F549" s="60" t="str">
        <x:v>https://www.bevisconstructioninc.com/</x:v>
      </x:c>
      <x:c r="G549" s="60" t="str">
        <x:v>Clemson</x:v>
      </x:c>
      <x:c r="H549" s="60" t="str">
        <x:v>South Carolina</x:v>
      </x:c>
      <x:c r="I549" s="60" t="str">
        <x:v>General Contractor</x:v>
      </x:c>
      <x:c r="J549" s="60" t="str">
        <x:v>billy</x:v>
      </x:c>
      <x:c r="K549" s="60" t="str">
        <x:v>Bevis</x:v>
      </x:c>
      <x:c r="L549" s="60" t="str">
        <x:v>construction company owner and travel writer</x:v>
      </x:c>
      <x:c r="M549" s="60" t="str"/>
      <x:c r="N549" s="60" t="str"/>
      <x:c r="O549" s="60" t="str">
        <x:v>+1 863 465 0053</x:v>
      </x:c>
      <x:c r="P549" s="60" t="str">
        <x:v>https://www.linkedin.com/in/billy-bevis-bba8bb14b</x:v>
      </x:c>
      <x:c r="Q549" s="60" t="str">
        <x:v>2-10</x:v>
      </x:c>
      <x:c r="R549" s="60" t="str">
        <x:v>1000000-4999999</x:v>
      </x:c>
      <x:c r="S549" s="60" t="str"/>
      <x:c r="T549" s="74" t="str">
        <x:v>0</x:v>
      </x:c>
      <x:c r="U549" s="60" t="str"/>
      <x:c r="V549" s="74" t="str">
        <x:v>24</x:v>
      </x:c>
      <x:c r="W549" s="74" t="str">
        <x:v>3</x:v>
      </x:c>
      <x:c r="X549" s="74" t="str">
        <x:v>13</x:v>
      </x:c>
      <x:c r="Y549" s="74" t="str">
        <x:v>4</x:v>
      </x:c>
      <x:c r="Z549" s="74" t="str">
        <x:v>5</x:v>
      </x:c>
      <x:c r="AA549" s="74" t="str">
        <x:v>0</x:v>
      </x:c>
      <x:c r="AB549" s="74" t="str">
        <x:v>0</x:v>
      </x:c>
      <x:c r="AC549" s="74" t="str">
        <x:v>1</x:v>
      </x:c>
      <x:c r="AD549" s="74" t="str">
        <x:v>0</x:v>
      </x:c>
      <x:c r="AE549" s="74" t="str">
        <x:v>0</x:v>
      </x:c>
      <x:c r="AF549" s="74" t="str"/>
      <x:c r="AG549" s="74" t="str">
        <x:v>0</x:v>
      </x:c>
      <x:c r="AH549" s="74" t="str">
        <x:v>0</x:v>
      </x:c>
      <x:c r="AI549" s="74" t="str">
        <x:v>1</x:v>
      </x:c>
      <x:c r="AJ549" s="74" t="str">
        <x:v>0</x:v>
      </x:c>
      <x:c r="AK549" s="74" t="str">
        <x:v>0</x:v>
      </x:c>
      <x:c r="AL549" s="74" t="str">
        <x:v>0</x:v>
      </x:c>
      <x:c r="AM549" s="74" t="str">
        <x:v>1</x:v>
      </x:c>
      <x:c r="AN549" s="74" t="str">
        <x:v>0</x:v>
      </x:c>
      <x:c r="AO549" s="60" t="str">
        <x:v>2021</x:v>
      </x:c>
      <x:c r="AP549" s="76" t="str">
        <x:v>ICP fit; paid-demand need requires manual verification</x:v>
      </x:c>
      <x:c r="AQ549" s="76" t="str">
        <x:v>testimonials; no embedded homepage video detected</x:v>
      </x:c>
      <x:c r="AR549" s="76" t="str">
        <x:v>I was reviewing general contractor companies in Clemson, South Carolina and BEVIS CONSTRUCTION looked like a strong fit for a creative test.</x:v>
      </x:c>
      <x:c r="AS549" s="76" t="str">
        <x:v>project walkthrough with proof milestones</x:v>
      </x:c>
      <x:c r="AT549" s="76" t="str">
        <x:v>BEVIS CONSTRUCTION ad concept</x:v>
      </x:c>
      <x:c r="AU549" s="76" t="str">
        <x:v>Hi billy — I was reviewing general contractor companies in Clemson, South Carolina and BEVIS CONSTRUCTION looked like a strong fit for a creative test. I mapped a private 15-second project walkthrough with proof milestones for BEVIS CONSTRUCTION using only public brand context—not for publishing, just to show the angle. We build three client-approved video ad concepts in seven days, then turn the winners into fresh variations. No filming day required. Worth sending the private sample?</x:v>
      </x:c>
      <x:c r="AV549" s="76" t="str">
        <x:v>Quick follow-up: the sample angle is a project walkthrough with proof milestones. If it misses the mark, no problem—I won't keep chasing. Should I send it?</x:v>
      </x:c>
      <x:c r="AW549" s="76" t="str">
        <x:v>Hi billy, Ryan here. I was looking at BEVIS CONSTRUCTION's public marketing and noticed: icp fit; paid-demand need requires manual verification. I mapped one private project walkthrough with proof milestones as an example. Did I catch you with 30 seconds?</x:v>
      </x:c>
      <x:c r="AX549" s="60" t="str">
        <x:v>https://www.facebook.com/ads/library/?active_status=active&amp;ad_type=all&amp;country=US&amp;q=BEVIS%20CONSTRUCTION&amp;search_type=keyword_unordered</x:v>
      </x:c>
      <x:c r="AY549" s="60" t="str">
        <x:v>ok:200</x:v>
      </x:c>
      <x:c r="AZ549" s="60" t="n">
        <x:v>46232.722858796296</x:v>
      </x:c>
      <x:c r="BA549" s="60" t="str">
        <x:v>AI Ark SC trades export</x:v>
      </x:c>
      <x:c r="BB549" s="60" t="str">
        <x:v>https://bevisconstructioninc.com | https://www.linkedin.com/company/bevis-construction</x:v>
      </x:c>
      <x:c r="BC549" s="60" t="str"/>
    </x:row>
    <x:row r="550" ht="18" customHeight="1">
      <x:c r="A550" s="70" t="str">
        <x:v>549</x:v>
      </x:c>
      <x:c r="B550" s="70" t="str">
        <x:v>C - Verify</x:v>
      </x:c>
      <x:c r="C550" s="72" t="str">
        <x:v>49</x:v>
      </x:c>
      <x:c r="D550" s="60" t="str">
        <x:v>Scout Mechanical</x:v>
      </x:c>
      <x:c r="E550" s="60" t="str">
        <x:v>https://scoutmechanical.com</x:v>
      </x:c>
      <x:c r="F550" s="60" t="str">
        <x:v>https://www.scoutmechanical.com/</x:v>
      </x:c>
      <x:c r="G550" s="60" t="str">
        <x:v>Greenville</x:v>
      </x:c>
      <x:c r="H550" s="60" t="str">
        <x:v>South Carolina</x:v>
      </x:c>
      <x:c r="I550" s="60" t="str">
        <x:v>HVAC</x:v>
      </x:c>
      <x:c r="J550" s="60" t="str">
        <x:v>Bishop</x:v>
      </x:c>
      <x:c r="K550" s="60" t="str">
        <x:v>Scott</x:v>
      </x:c>
      <x:c r="L550" s="60" t="str">
        <x:v>Co-Owner</x:v>
      </x:c>
      <x:c r="M550" s="60" t="str">
        <x:v>bishop@scoutmech.com</x:v>
      </x:c>
      <x:c r="N550" s="60" t="str">
        <x:v>Verified with BounceBan on 08 Jun 26 12:06</x:v>
      </x:c>
      <x:c r="O550" s="60" t="str"/>
      <x:c r="P550" s="60" t="str">
        <x:v>https://www.linkedin.com/in/bishop-scott-12609b69</x:v>
      </x:c>
      <x:c r="Q550" s="60" t="str">
        <x:v>51-200</x:v>
      </x:c>
      <x:c r="R550" s="60" t="str">
        <x:v>100000-499999</x:v>
      </x:c>
      <x:c r="S550" s="60" t="str"/>
      <x:c r="T550" s="74" t="str">
        <x:v>0</x:v>
      </x:c>
      <x:c r="U550" s="60" t="str"/>
      <x:c r="V550" s="74" t="str">
        <x:v>30</x:v>
      </x:c>
      <x:c r="W550" s="74" t="str">
        <x:v>3</x:v>
      </x:c>
      <x:c r="X550" s="74" t="str">
        <x:v>6</x:v>
      </x:c>
      <x:c r="Y550" s="74" t="str">
        <x:v>3</x:v>
      </x:c>
      <x:c r="Z550" s="74" t="str">
        <x:v>7</x:v>
      </x:c>
      <x:c r="AA550" s="74" t="str">
        <x:v>0</x:v>
      </x:c>
      <x:c r="AB550" s="74" t="str">
        <x:v>0</x:v>
      </x:c>
      <x:c r="AC550" s="74" t="str">
        <x:v>1</x:v>
      </x:c>
      <x:c r="AD550" s="74" t="str">
        <x:v>0</x:v>
      </x:c>
      <x:c r="AE550" s="74" t="str">
        <x:v>0</x:v>
      </x:c>
      <x:c r="AF550" s="74" t="str"/>
      <x:c r="AG550" s="74" t="str">
        <x:v>0</x:v>
      </x:c>
      <x:c r="AH550" s="74" t="str">
        <x:v>0</x:v>
      </x:c>
      <x:c r="AI550" s="74" t="str">
        <x:v>0</x:v>
      </x:c>
      <x:c r="AJ550" s="74" t="str">
        <x:v>0</x:v>
      </x:c>
      <x:c r="AK550" s="74" t="str">
        <x:v>1</x:v>
      </x:c>
      <x:c r="AL550" s="74" t="str">
        <x:v>1</x:v>
      </x:c>
      <x:c r="AM550" s="74" t="str">
        <x:v>1</x:v>
      </x:c>
      <x:c r="AN550" s="74" t="str">
        <x:v>0</x:v>
      </x:c>
      <x:c r="AO550" s="60" t="str">
        <x:v>2026</x:v>
      </x:c>
      <x:c r="AP550" s="76" t="str">
        <x:v>ICP fit; paid-demand need requires manual verification</x:v>
      </x:c>
      <x:c r="AQ550" s="76" t="str">
        <x:v>visible service offer; no embedded homepage video detected</x:v>
      </x:c>
      <x:c r="AR550" s="76" t="str">
        <x:v>I was reviewing hvac companies in Greenville, South Carolina and Scout Mechanical looked like a strong fit for a creative test.</x:v>
      </x:c>
      <x:c r="AS550" s="76" t="str">
        <x:v>no-cool-call to same-day comfort ad</x:v>
      </x:c>
      <x:c r="AT550" s="76" t="str">
        <x:v>Scout Mechanical ad concept</x:v>
      </x:c>
      <x:c r="AU550" s="76" t="str">
        <x:v>Hi Bishop — I was reviewing hvac companies in Greenville, South Carolina and Scout Mechanical looked like a strong fit for a creative test. I mapped a private 15-second no-cool-call to same-day comfort ad for Scout Mechanical using only public brand context—not for publishing, just to show the angle. We build three client-approved video ad concepts in seven days, then turn the winners into fresh variations. No filming day required. Worth sending the private sample?</x:v>
      </x:c>
      <x:c r="AV550" s="76" t="str">
        <x:v>Quick follow-up: the sample angle is a no-cool-call to same-day comfort ad. If it misses the mark, no problem—I won't keep chasing. Should I send it?</x:v>
      </x:c>
      <x:c r="AW550" s="76" t="str">
        <x:v>Hi Bishop, Ryan here. I was looking at Scout Mechanical's public marketing and noticed: icp fit; paid-demand need requires manual verification. I mapped one private no-cool-call to same-day comfort ad as an example. Did I catch you with 30 seconds?</x:v>
      </x:c>
      <x:c r="AX550" s="60" t="str">
        <x:v>https://www.facebook.com/ads/library/?active_status=active&amp;ad_type=all&amp;country=US&amp;q=Scout%20Mechanical&amp;search_type=keyword_unordered</x:v>
      </x:c>
      <x:c r="AY550" s="60" t="str">
        <x:v>ok:200</x:v>
      </x:c>
      <x:c r="AZ550" s="60" t="n">
        <x:v>46232.722858796296</x:v>
      </x:c>
      <x:c r="BA550" s="60" t="str">
        <x:v>AI Ark SC trades export</x:v>
      </x:c>
      <x:c r="BB550" s="60" t="str">
        <x:v>https://scoutmechanical.com | https://www.linkedin.com/company/scout-mechanical</x:v>
      </x:c>
      <x:c r="BC550" s="60" t="str"/>
    </x:row>
    <x:row r="551" ht="18" customHeight="1">
      <x:c r="A551" s="70" t="str">
        <x:v>550</x:v>
      </x:c>
      <x:c r="B551" s="70" t="str">
        <x:v>C - Verify</x:v>
      </x:c>
      <x:c r="C551" s="72" t="str">
        <x:v>49</x:v>
      </x:c>
      <x:c r="D551" s="60" t="str">
        <x:v>Paul Davis Restoration and Remodeling of Rock Hill</x:v>
      </x:c>
      <x:c r="E551" s="60" t="str">
        <x:v>https://pauldavis.com</x:v>
      </x:c>
      <x:c r="F551" s="60" t="str">
        <x:v>https://pauldavis.com</x:v>
      </x:c>
      <x:c r="G551" s="60" t="str">
        <x:v>Rock Hill</x:v>
      </x:c>
      <x:c r="H551" s="60" t="str">
        <x:v>South Carolina</x:v>
      </x:c>
      <x:c r="I551" s="60" t="str">
        <x:v>Restoration</x:v>
      </x:c>
      <x:c r="J551" s="60" t="str">
        <x:v>Danny</x:v>
      </x:c>
      <x:c r="K551" s="60" t="str">
        <x:v>Rogers</x:v>
      </x:c>
      <x:c r="L551" s="60" t="str">
        <x:v>Owner</x:v>
      </x:c>
      <x:c r="M551" s="60" t="str">
        <x:v>danny.rogers@pauldavis.com</x:v>
      </x:c>
      <x:c r="N551" s="60" t="str">
        <x:v>Verified with BounceBan on 08 Jun 26 02:15</x:v>
      </x:c>
      <x:c r="O551" s="60" t="str"/>
      <x:c r="P551" s="60" t="str">
        <x:v>https://www.linkedin.com/in/danny-rogers-39109822</x:v>
      </x:c>
      <x:c r="Q551" s="60" t="str">
        <x:v>11-50</x:v>
      </x:c>
      <x:c r="R551" s="60" t="str">
        <x:v>500000-999999</x:v>
      </x:c>
      <x:c r="S551" s="60" t="str"/>
      <x:c r="T551" s="74" t="str">
        <x:v>0</x:v>
      </x:c>
      <x:c r="U551" s="60" t="str"/>
      <x:c r="V551" s="74" t="str">
        <x:v>30</x:v>
      </x:c>
      <x:c r="W551" s="74" t="str">
        <x:v>3</x:v>
      </x:c>
      <x:c r="X551" s="74" t="str">
        <x:v>6</x:v>
      </x:c>
      <x:c r="Y551" s="74" t="str">
        <x:v>3</x:v>
      </x:c>
      <x:c r="Z551" s="74" t="str">
        <x:v>7</x:v>
      </x:c>
      <x:c r="AA551" s="74" t="str">
        <x:v>0</x:v>
      </x:c>
      <x:c r="AB551" s="74" t="str">
        <x:v>0</x:v>
      </x:c>
      <x:c r="AC551" s="74" t="str">
        <x:v>1</x:v>
      </x:c>
      <x:c r="AD551" s="74" t="str">
        <x:v>0</x:v>
      </x:c>
      <x:c r="AE551" s="74" t="str">
        <x:v>0</x:v>
      </x:c>
      <x:c r="AF551" s="74" t="str"/>
      <x:c r="AG551" s="74" t="str">
        <x:v>0</x:v>
      </x:c>
      <x:c r="AH551" s="74" t="str">
        <x:v>0</x:v>
      </x:c>
      <x:c r="AI551" s="74" t="str">
        <x:v>0</x:v>
      </x:c>
      <x:c r="AJ551" s="74" t="str">
        <x:v>0</x:v>
      </x:c>
      <x:c r="AK551" s="74" t="str">
        <x:v>1</x:v>
      </x:c>
      <x:c r="AL551" s="74" t="str">
        <x:v>1</x:v>
      </x:c>
      <x:c r="AM551" s="74" t="str">
        <x:v>1</x:v>
      </x:c>
      <x:c r="AN551" s="74" t="str">
        <x:v>1</x:v>
      </x:c>
      <x:c r="AO551" s="60" t="str">
        <x:v>0</x:v>
      </x:c>
      <x:c r="AP551" s="76" t="str">
        <x:v>ICP fit; paid-demand need requires manual verification</x:v>
      </x:c>
      <x:c r="AQ551" s="76" t="str">
        <x:v>visible service offer; no embedded homepage video detected</x:v>
      </x:c>
      <x:c r="AR551" s="76" t="str">
        <x:v>I was reviewing restoration companies in Rock Hill, South Carolina and Paul Davis Restoration and Remodeling of Rock Hill looked like a strong fit for a creative test.</x:v>
      </x:c>
      <x:c r="AS551" s="76" t="str">
        <x:v>first-24-hours emergency-response ad</x:v>
      </x:c>
      <x:c r="AT551" s="76" t="str">
        <x:v>Paul Davis Restoration and Remodeling of Rock Hill ad concept</x:v>
      </x:c>
      <x:c r="AU551" s="76" t="str">
        <x:v>Hi Danny — I was reviewing restoration companies in Rock Hill, South Carolina and Paul Davis Restoration and Remodeling of Rock Hill looked like a strong fit for a creative test. I mapped a private 15-second first-24-hours emergency-response ad for Paul Davis Restoration and Remodeling of Rock Hill using only public brand context—not for publishing, just to show the angle. We build three client-approved video ad concepts in seven days, then turn the winners into fresh variations. No filming day required. Worth sending the private sample?</x:v>
      </x:c>
      <x:c r="AV551" s="76" t="str">
        <x:v>Quick follow-up: the sample angle is a first-24-hours emergency-response ad. If it misses the mark, no problem—I won't keep chasing. Should I send it?</x:v>
      </x:c>
      <x:c r="AW551" s="76" t="str">
        <x:v>Hi Danny, Ryan here. I was looking at Paul Davis Restoration and Remodeling of Rock Hill's public marketing and noticed: icp fit; paid-demand need requires manual verification. I mapped one private first-24-hours emergency-response ad as an example. Did I catch you with 30 seconds?</x:v>
      </x:c>
      <x:c r="AX551" s="60" t="str">
        <x:v>https://www.facebook.com/ads/library/?active_status=active&amp;ad_type=all&amp;country=US&amp;q=Paul%20Davis%20Restoration%20and%20Remodeling%20of%20Rock%20Hill&amp;search_type=keyword_unordered</x:v>
      </x:c>
      <x:c r="AY551" s="60" t="str">
        <x:v>ok:200</x:v>
      </x:c>
      <x:c r="AZ551" s="60" t="n">
        <x:v>46232.722858796296</x:v>
      </x:c>
      <x:c r="BA551" s="60" t="str">
        <x:v>AI Ark SC trades export</x:v>
      </x:c>
      <x:c r="BB551" s="60" t="str">
        <x:v>https://pauldavis.com | https://www.linkedin.com/company/paul-davis-restoration-and-remodeling-of-rock-hill</x:v>
      </x:c>
      <x:c r="BC551" s="60" t="str"/>
    </x:row>
    <x:row r="552" ht="18" customHeight="1">
      <x:c r="A552" s="70" t="str">
        <x:v>551</x:v>
      </x:c>
      <x:c r="B552" s="70" t="str">
        <x:v>C - Verify</x:v>
      </x:c>
      <x:c r="C552" s="72" t="str">
        <x:v>49</x:v>
      </x:c>
      <x:c r="D552" s="60" t="str">
        <x:v>On The Rock Services</x:v>
      </x:c>
      <x:c r="E552" s="60" t="str">
        <x:v>https://ontherockservices.com</x:v>
      </x:c>
      <x:c r="F552" s="60" t="str">
        <x:v>https://ontherockservices.com</x:v>
      </x:c>
      <x:c r="G552" s="60" t="str">
        <x:v>Greenville</x:v>
      </x:c>
      <x:c r="H552" s="60" t="str">
        <x:v>South Carolina</x:v>
      </x:c>
      <x:c r="I552" s="60" t="str">
        <x:v>HVAC</x:v>
      </x:c>
      <x:c r="J552" s="60" t="str">
        <x:v>Rich</x:v>
      </x:c>
      <x:c r="K552" s="60" t="str">
        <x:v>Ortega</x:v>
      </x:c>
      <x:c r="L552" s="60" t="str">
        <x:v>C.O.O &amp; Co-Owner</x:v>
      </x:c>
      <x:c r="M552" s="60" t="str">
        <x:v>rich@ontherockservices.com</x:v>
      </x:c>
      <x:c r="N552" s="60" t="str">
        <x:v>Verified with BounceBan on 08 Jun 26 12:06</x:v>
      </x:c>
      <x:c r="O552" s="60" t="str"/>
      <x:c r="P552" s="60" t="str">
        <x:v>https://www.linkedin.com/in/rich-ortega-61460125b</x:v>
      </x:c>
      <x:c r="Q552" s="60" t="str">
        <x:v>2-10</x:v>
      </x:c>
      <x:c r="R552" s="60" t="str">
        <x:v>0-99999</x:v>
      </x:c>
      <x:c r="S552" s="60" t="str"/>
      <x:c r="T552" s="74" t="str">
        <x:v>0</x:v>
      </x:c>
      <x:c r="U552" s="60" t="str"/>
      <x:c r="V552" s="74" t="str">
        <x:v>27</x:v>
      </x:c>
      <x:c r="W552" s="74" t="str">
        <x:v>3</x:v>
      </x:c>
      <x:c r="X552" s="74" t="str">
        <x:v>9</x:v>
      </x:c>
      <x:c r="Y552" s="74" t="str">
        <x:v>3</x:v>
      </x:c>
      <x:c r="Z552" s="74" t="str">
        <x:v>7</x:v>
      </x:c>
      <x:c r="AA552" s="74" t="str">
        <x:v>0</x:v>
      </x:c>
      <x:c r="AB552" s="74" t="str">
        <x:v>0</x:v>
      </x:c>
      <x:c r="AC552" s="74" t="str">
        <x:v>1</x:v>
      </x:c>
      <x:c r="AD552" s="74" t="str">
        <x:v>0</x:v>
      </x:c>
      <x:c r="AE552" s="74" t="str">
        <x:v>0</x:v>
      </x:c>
      <x:c r="AF552" s="74" t="str"/>
      <x:c r="AG552" s="74" t="str">
        <x:v>0</x:v>
      </x:c>
      <x:c r="AH552" s="74" t="str">
        <x:v>0</x:v>
      </x:c>
      <x:c r="AI552" s="74" t="str">
        <x:v>0</x:v>
      </x:c>
      <x:c r="AJ552" s="74" t="str">
        <x:v>0</x:v>
      </x:c>
      <x:c r="AK552" s="74" t="str">
        <x:v>1</x:v>
      </x:c>
      <x:c r="AL552" s="74" t="str">
        <x:v>1</x:v>
      </x:c>
      <x:c r="AM552" s="74" t="str">
        <x:v>1</x:v>
      </x:c>
      <x:c r="AN552" s="74" t="str">
        <x:v>1</x:v>
      </x:c>
      <x:c r="AO552" s="60" t="str">
        <x:v>2024</x:v>
      </x:c>
      <x:c r="AP552" s="76" t="str">
        <x:v>ICP fit; paid-demand need requires manual verification</x:v>
      </x:c>
      <x:c r="AQ552" s="76" t="str">
        <x:v>visible service offer; no embedded homepage video detected</x:v>
      </x:c>
      <x:c r="AR552" s="76" t="str">
        <x:v>I was reviewing hvac companies in Greenville, South Carolina and On The Rock Services looked like a strong fit for a creative test.</x:v>
      </x:c>
      <x:c r="AS552" s="76" t="str">
        <x:v>no-cool-call to same-day comfort ad</x:v>
      </x:c>
      <x:c r="AT552" s="76" t="str">
        <x:v>On The Rock Services ad concept</x:v>
      </x:c>
      <x:c r="AU552" s="76" t="str">
        <x:v>Hi Rich — I was reviewing hvac companies in Greenville, South Carolina and On The Rock Services looked like a strong fit for a creative test. I mapped a private 15-second no-cool-call to same-day comfort ad for On The Rock Services using only public brand context—not for publishing, just to show the angle. We build three client-approved video ad concepts in seven days, then turn the winners into fresh variations. No filming day required. Worth sending the private sample?</x:v>
      </x:c>
      <x:c r="AV552" s="76" t="str">
        <x:v>Quick follow-up: the sample angle is a no-cool-call to same-day comfort ad. If it misses the mark, no problem—I won't keep chasing. Should I send it?</x:v>
      </x:c>
      <x:c r="AW552" s="76" t="str">
        <x:v>Hi Rich, Ryan here. I was looking at On The Rock Services's public marketing and noticed: icp fit; paid-demand need requires manual verification. I mapped one private no-cool-call to same-day comfort ad as an example. Did I catch you with 30 seconds?</x:v>
      </x:c>
      <x:c r="AX552" s="60" t="str">
        <x:v>https://www.facebook.com/ads/library/?active_status=active&amp;ad_type=all&amp;country=US&amp;q=On%20The%20Rock%20Services&amp;search_type=keyword_unordered</x:v>
      </x:c>
      <x:c r="AY552" s="60" t="str">
        <x:v>ok:200</x:v>
      </x:c>
      <x:c r="AZ552" s="60" t="n">
        <x:v>46232.722858796296</x:v>
      </x:c>
      <x:c r="BA552" s="60" t="str">
        <x:v>AI Ark SC trades export</x:v>
      </x:c>
      <x:c r="BB552" s="60" t="str">
        <x:v>https://ontherockservices.com | https://www.linkedin.com/company/ontherockservices</x:v>
      </x:c>
      <x:c r="BC552" s="60" t="str"/>
    </x:row>
    <x:row r="553" ht="18" customHeight="1">
      <x:c r="A553" s="70" t="str">
        <x:v>552</x:v>
      </x:c>
      <x:c r="B553" s="70" t="str">
        <x:v>C - Verify</x:v>
      </x:c>
      <x:c r="C553" s="72" t="str">
        <x:v>49</x:v>
      </x:c>
      <x:c r="D553" s="60" t="str">
        <x:v>New Heritage Roofing</x:v>
      </x:c>
      <x:c r="E553" s="60" t="str">
        <x:v>https://newheritageconstruction.com</x:v>
      </x:c>
      <x:c r="F553" s="60" t="str">
        <x:v>https://www.newheritageconstruction.com/</x:v>
      </x:c>
      <x:c r="G553" s="60" t="str">
        <x:v>Greenville-spartanburg-anderson</x:v>
      </x:c>
      <x:c r="H553" s="60" t="str">
        <x:v>South Carolina Area</x:v>
      </x:c>
      <x:c r="I553" s="60" t="str">
        <x:v>Roofing</x:v>
      </x:c>
      <x:c r="J553" s="60" t="str">
        <x:v>Shawn</x:v>
      </x:c>
      <x:c r="K553" s="60" t="str">
        <x:v>Hall</x:v>
      </x:c>
      <x:c r="L553" s="60" t="str">
        <x:v>Co-Owner</x:v>
      </x:c>
      <x:c r="M553" s="60" t="str">
        <x:v>shawn@newheritageconstruction.com</x:v>
      </x:c>
      <x:c r="N553" s="60" t="str">
        <x:v>Verified with BounceBan on 08 Jun 26 12:06</x:v>
      </x:c>
      <x:c r="O553" s="60" t="str"/>
      <x:c r="P553" s="60" t="str">
        <x:v>https://www.linkedin.com/in/shawn-hall-9066a520a</x:v>
      </x:c>
      <x:c r="Q553" s="60" t="str">
        <x:v>11-50</x:v>
      </x:c>
      <x:c r="R553" s="60" t="str">
        <x:v>100000-499999</x:v>
      </x:c>
      <x:c r="S553" s="60" t="str"/>
      <x:c r="T553" s="74" t="str">
        <x:v>0</x:v>
      </x:c>
      <x:c r="U553" s="60" t="str"/>
      <x:c r="V553" s="74" t="str">
        <x:v>30</x:v>
      </x:c>
      <x:c r="W553" s="74" t="str">
        <x:v>3</x:v>
      </x:c>
      <x:c r="X553" s="74" t="str">
        <x:v>6</x:v>
      </x:c>
      <x:c r="Y553" s="74" t="str">
        <x:v>3</x:v>
      </x:c>
      <x:c r="Z553" s="74" t="str">
        <x:v>7</x:v>
      </x:c>
      <x:c r="AA553" s="74" t="str">
        <x:v>0</x:v>
      </x:c>
      <x:c r="AB553" s="74" t="str">
        <x:v>0</x:v>
      </x:c>
      <x:c r="AC553" s="74" t="str">
        <x:v>1</x:v>
      </x:c>
      <x:c r="AD553" s="74" t="str">
        <x:v>0</x:v>
      </x:c>
      <x:c r="AE553" s="74" t="str">
        <x:v>0</x:v>
      </x:c>
      <x:c r="AF553" s="74" t="str"/>
      <x:c r="AG553" s="74" t="str">
        <x:v>0</x:v>
      </x:c>
      <x:c r="AH553" s="74" t="str">
        <x:v>0</x:v>
      </x:c>
      <x:c r="AI553" s="74" t="str">
        <x:v>0</x:v>
      </x:c>
      <x:c r="AJ553" s="74" t="str">
        <x:v>0</x:v>
      </x:c>
      <x:c r="AK553" s="74" t="str">
        <x:v>1</x:v>
      </x:c>
      <x:c r="AL553" s="74" t="str">
        <x:v>1</x:v>
      </x:c>
      <x:c r="AM553" s="74" t="str">
        <x:v>1</x:v>
      </x:c>
      <x:c r="AN553" s="74" t="str">
        <x:v>0</x:v>
      </x:c>
      <x:c r="AO553" s="60" t="str">
        <x:v>0</x:v>
      </x:c>
      <x:c r="AP553" s="76" t="str">
        <x:v>ICP fit; paid-demand need requires manual verification</x:v>
      </x:c>
      <x:c r="AQ553" s="76" t="str">
        <x:v>visible service offer; no embedded homepage video detected</x:v>
      </x:c>
      <x:c r="AR553" s="76" t="str">
        <x:v>I was reviewing roofing companies in Greenville-spartanburg-anderson, South Carolina Area and New Heritage Roofing looked like a strong fit for a creative test.</x:v>
      </x:c>
      <x:c r="AS553" s="76" t="str">
        <x:v>storm-to-inspection before/after ad</x:v>
      </x:c>
      <x:c r="AT553" s="76" t="str">
        <x:v>New Heritage Roofing ad concept</x:v>
      </x:c>
      <x:c r="AU553" s="76" t="str">
        <x:v>Hi Shawn — I was reviewing roofing companies in Greenville-spartanburg-anderson, South Carolina Area and New Heritage Roofing looked like a strong fit for a creative test. I mapped a private 15-second storm-to-inspection before/after ad for New Heritage Roofing using only public brand context—not for publishing, just to show the angle. We build three client-approved video ad concepts in seven days, then turn the winners into fresh variations. No filming day required. Worth sending the private sample?</x:v>
      </x:c>
      <x:c r="AV553" s="76" t="str">
        <x:v>Quick follow-up: the sample angle is a storm-to-inspection before/after ad. If it misses the mark, no problem—I won't keep chasing. Should I send it?</x:v>
      </x:c>
      <x:c r="AW553" s="76" t="str">
        <x:v>Hi Shawn, Ryan here. I was looking at New Heritage Roofing's public marketing and noticed: icp fit; paid-demand need requires manual verification. I mapped one private storm-to-inspection before/after ad as an example. Did I catch you with 30 seconds?</x:v>
      </x:c>
      <x:c r="AX553" s="60" t="str">
        <x:v>https://www.facebook.com/ads/library/?active_status=active&amp;ad_type=all&amp;country=US&amp;q=New%20Heritage%20Roofing&amp;search_type=keyword_unordered</x:v>
      </x:c>
      <x:c r="AY553" s="60" t="str">
        <x:v>ok:200</x:v>
      </x:c>
      <x:c r="AZ553" s="60" t="n">
        <x:v>46232.722858796296</x:v>
      </x:c>
      <x:c r="BA553" s="60" t="str">
        <x:v>AI Ark SC trades export</x:v>
      </x:c>
      <x:c r="BB553" s="60" t="str">
        <x:v>https://newheritageconstruction.com | https://www.linkedin.com/company/new-heritage-roofing</x:v>
      </x:c>
      <x:c r="BC553" s="60" t="str"/>
    </x:row>
    <x:row r="554" ht="18" customHeight="1">
      <x:c r="A554" s="70" t="str">
        <x:v>553</x:v>
      </x:c>
      <x:c r="B554" s="70" t="str">
        <x:v>C - Verify</x:v>
      </x:c>
      <x:c r="C554" s="72" t="str">
        <x:v>49</x:v>
      </x:c>
      <x:c r="D554" s="60" t="str">
        <x:v>Southern Heating &amp; Air Conditioning</x:v>
      </x:c>
      <x:c r="E554" s="60" t="str">
        <x:v>https://southernheatingandairsc.com</x:v>
      </x:c>
      <x:c r="F554" s="60" t="str">
        <x:v>https://southernheatingandairsc.com</x:v>
      </x:c>
      <x:c r="G554" s="60" t="str">
        <x:v>Columbia</x:v>
      </x:c>
      <x:c r="H554" s="60" t="str">
        <x:v>South Carolina</x:v>
      </x:c>
      <x:c r="I554" s="60" t="str">
        <x:v>HVAC</x:v>
      </x:c>
      <x:c r="J554" s="60" t="str">
        <x:v>Southern Heating &amp; Air Conditioning</x:v>
      </x:c>
      <x:c r="K554" s="60" t="str"/>
      <x:c r="L554" s="60" t="str">
        <x:v>Owner / decision maker to verify</x:v>
      </x:c>
      <x:c r="M554" s="60" t="str"/>
      <x:c r="N554" s="60" t="str"/>
      <x:c r="O554" s="60" t="str">
        <x:v>(803) 254-3381</x:v>
      </x:c>
      <x:c r="P554" s="60" t="str"/>
      <x:c r="Q554" s="60" t="str"/>
      <x:c r="R554" s="60" t="str"/>
      <x:c r="S554" s="60" t="str">
        <x:v>4.8</x:v>
      </x:c>
      <x:c r="T554" s="74" t="str">
        <x:v>121</x:v>
      </x:c>
      <x:c r="U554" s="60" t="str"/>
      <x:c r="V554" s="74" t="str">
        <x:v>28</x:v>
      </x:c>
      <x:c r="W554" s="74" t="str">
        <x:v>3</x:v>
      </x:c>
      <x:c r="X554" s="74" t="str">
        <x:v>10</x:v>
      </x:c>
      <x:c r="Y554" s="74" t="str">
        <x:v>3</x:v>
      </x:c>
      <x:c r="Z554" s="74" t="str">
        <x:v>5</x:v>
      </x:c>
      <x:c r="AA554" s="74" t="str">
        <x:v>0</x:v>
      </x:c>
      <x:c r="AB554" s="74" t="str">
        <x:v>0</x:v>
      </x:c>
      <x:c r="AC554" s="74" t="str">
        <x:v>1</x:v>
      </x:c>
      <x:c r="AD554" s="74" t="str">
        <x:v>0</x:v>
      </x:c>
      <x:c r="AE554" s="74" t="str">
        <x:v>0</x:v>
      </x:c>
      <x:c r="AF554" s="74" t="str"/>
      <x:c r="AG554" s="74" t="str">
        <x:v>0</x:v>
      </x:c>
      <x:c r="AH554" s="74" t="str">
        <x:v>0</x:v>
      </x:c>
      <x:c r="AI554" s="74" t="str">
        <x:v>0</x:v>
      </x:c>
      <x:c r="AJ554" s="74" t="str">
        <x:v>0</x:v>
      </x:c>
      <x:c r="AK554" s="74" t="str">
        <x:v>0</x:v>
      </x:c>
      <x:c r="AL554" s="74" t="str">
        <x:v>0</x:v>
      </x:c>
      <x:c r="AM554" s="74" t="str">
        <x:v>0</x:v>
      </x:c>
      <x:c r="AN554" s="74" t="str">
        <x:v>0</x:v>
      </x:c>
      <x:c r="AO554" s="60" t="str">
        <x:v>0</x:v>
      </x:c>
      <x:c r="AP554" s="76" t="str">
        <x:v>121 Google reviews; no embedded homepage video found</x:v>
      </x:c>
      <x:c r="AQ554" s="76" t="str">
        <x:v>no embedded homepage video detected</x:v>
      </x:c>
      <x:c r="AR554" s="76" t="str">
        <x:v>Southern Heating &amp; Air Conditioning has 121 Google reviews—strong proof that could be turned into short-form ad concepts.</x:v>
      </x:c>
      <x:c r="AS554" s="76" t="str">
        <x:v>no-cool-call to same-day comfort ad</x:v>
      </x:c>
      <x:c r="AT554" s="76" t="str">
        <x:v>Southern Heating &amp; Air Conditioning ad concept</x:v>
      </x:c>
      <x:c r="AU554" s="76" t="str">
        <x:v>Hi Southern Heating &amp; Air Conditioning — Southern Heating &amp; Air Conditioning has 121 Google reviews—strong proof that could be turned into short-form ad concepts. I mapped a private 15-second no-cool-call to same-day comfort ad for Southern Heating &amp; Air Conditioning using only public brand context—not for publishing, just to show the angle. We build three client-approved video ad concepts in seven days, then turn the winners into fresh variations. No filming day required. Worth sending the private sample?</x:v>
      </x:c>
      <x:c r="AV554" s="76" t="str">
        <x:v>Quick follow-up: the sample angle is a no-cool-call to same-day comfort ad. If it misses the mark, no problem—I won't keep chasing. Should I send it?</x:v>
      </x:c>
      <x:c r="AW554" s="76" t="str">
        <x:v>Hi Southern Heating &amp; Air Conditioning, Ryan here. I was looking at Southern Heating &amp; Air Conditioning's public marketing and noticed: 121 google reviews; no embedded homepage video found. I mapped one private no-cool-call to same-day comfort ad as an example. Did I catch you with 30 seconds?</x:v>
      </x:c>
      <x:c r="AX554" s="60" t="str">
        <x:v>https://www.facebook.com/ads/library/?active_status=active&amp;ad_type=all&amp;country=US&amp;q=Southern%20Heating%20%26%20Air%20Conditioning&amp;search_type=keyword_unordered</x:v>
      </x:c>
      <x:c r="AY554" s="60" t="str">
        <x:v>ok:200</x:v>
      </x:c>
      <x:c r="AZ554" s="60" t="n">
        <x:v>46232.722858796296</x:v>
      </x:c>
      <x:c r="BA554" s="60" t="str">
        <x:v>Google Maps home-services export</x:v>
      </x:c>
      <x:c r="BB554" s="60" t="str">
        <x:v>https://maps.google.com/?cid=16014869218691065329&amp;g_mp=Cidnb29nbGUubWFwcy5wbGFjZXMudjEuUGxhY2VzLlNlYXJjaFRleHQQAhgEIAA | https://southernheatingandairsc.com</x:v>
      </x:c>
      <x:c r="BC554" s="60" t="str"/>
    </x:row>
    <x:row r="555" ht="18" customHeight="1">
      <x:c r="A555" s="70" t="str">
        <x:v>554</x:v>
      </x:c>
      <x:c r="B555" s="70" t="str">
        <x:v>C - Verify</x:v>
      </x:c>
      <x:c r="C555" s="72" t="str">
        <x:v>49</x:v>
      </x:c>
      <x:c r="D555" s="60" t="str">
        <x:v>Trehel Corporation</x:v>
      </x:c>
      <x:c r="E555" s="60" t="str">
        <x:v>https://trehel.com</x:v>
      </x:c>
      <x:c r="F555" s="60" t="str">
        <x:v>https://trehel.com</x:v>
      </x:c>
      <x:c r="G555" s="60" t="str">
        <x:v>Greenville</x:v>
      </x:c>
      <x:c r="H555" s="60" t="str">
        <x:v>South Carolina</x:v>
      </x:c>
      <x:c r="I555" s="60" t="str">
        <x:v>Remodeling</x:v>
      </x:c>
      <x:c r="J555" s="60" t="str">
        <x:v>Will</x:v>
      </x:c>
      <x:c r="K555" s="60" t="str">
        <x:v>Huss</x:v>
      </x:c>
      <x:c r="L555" s="60" t="str">
        <x:v>Chief Executive Officer | Owner</x:v>
      </x:c>
      <x:c r="M555" s="60" t="str">
        <x:v>whuss@trehel.com</x:v>
      </x:c>
      <x:c r="N555" s="60" t="str">
        <x:v>Verified with BounceBan on 08 Jun 26 12:06</x:v>
      </x:c>
      <x:c r="O555" s="60" t="str">
        <x:v>+1 864 986 1636, +1 864 505 5550</x:v>
      </x:c>
      <x:c r="P555" s="60" t="str">
        <x:v>https://www.linkedin.com/in/will-huss-1846aba</x:v>
      </x:c>
      <x:c r="Q555" s="60" t="str">
        <x:v>51-200</x:v>
      </x:c>
      <x:c r="R555" s="60" t="str">
        <x:v>1000000-4999999</x:v>
      </x:c>
      <x:c r="S555" s="60" t="str"/>
      <x:c r="T555" s="74" t="str">
        <x:v>0</x:v>
      </x:c>
      <x:c r="U555" s="60" t="str"/>
      <x:c r="V555" s="74" t="str">
        <x:v>30</x:v>
      </x:c>
      <x:c r="W555" s="74" t="str">
        <x:v>3</x:v>
      </x:c>
      <x:c r="X555" s="74" t="str">
        <x:v>6</x:v>
      </x:c>
      <x:c r="Y555" s="74" t="str">
        <x:v>0</x:v>
      </x:c>
      <x:c r="Z555" s="74" t="str">
        <x:v>10</x:v>
      </x:c>
      <x:c r="AA555" s="74" t="str">
        <x:v>0</x:v>
      </x:c>
      <x:c r="AB555" s="74" t="str">
        <x:v>0</x:v>
      </x:c>
      <x:c r="AC555" s="74" t="str">
        <x:v>1</x:v>
      </x:c>
      <x:c r="AD555" s="74" t="str">
        <x:v>0</x:v>
      </x:c>
      <x:c r="AE555" s="74" t="str">
        <x:v>0</x:v>
      </x:c>
      <x:c r="AF555" s="74" t="str"/>
      <x:c r="AG555" s="74" t="str">
        <x:v>0</x:v>
      </x:c>
      <x:c r="AH555" s="74" t="str">
        <x:v>0</x:v>
      </x:c>
      <x:c r="AI555" s="74" t="str">
        <x:v>0</x:v>
      </x:c>
      <x:c r="AJ555" s="74" t="str">
        <x:v>0</x:v>
      </x:c>
      <x:c r="AK555" s="74" t="str">
        <x:v>0</x:v>
      </x:c>
      <x:c r="AL555" s="74" t="str">
        <x:v>1</x:v>
      </x:c>
      <x:c r="AM555" s="74" t="str">
        <x:v>1</x:v>
      </x:c>
      <x:c r="AN555" s="74" t="str">
        <x:v>1</x:v>
      </x:c>
      <x:c r="AO555" s="60" t="str">
        <x:v>0</x:v>
      </x:c>
      <x:c r="AP555" s="76" t="str">
        <x:v>ICP fit; paid-demand need requires manual verification</x:v>
      </x:c>
      <x:c r="AQ555" s="76" t="str">
        <x:v>no embedded homepage video detected</x:v>
      </x:c>
      <x:c r="AR555" s="76" t="str">
        <x:v>I was reviewing remodeling companies in Greenville, South Carolina and Trehel Corporation looked like a strong fit for a creative test.</x:v>
      </x:c>
      <x:c r="AS555" s="76" t="str">
        <x:v>project reveal with budget-and-timeline proof</x:v>
      </x:c>
      <x:c r="AT555" s="76" t="str">
        <x:v>Trehel Corporation ad concept</x:v>
      </x:c>
      <x:c r="AU555" s="76" t="str">
        <x:v>Hi Will — I was reviewing remodeling companies in Greenville, South Carolina and Trehel Corporation looked like a strong fit for a creative test. I mapped a private 15-second project reveal with budget-and-timeline proof for Trehel Corporation using only public brand context—not for publishing, just to show the angle. We build three client-approved video ad concepts in seven days, then turn the winners into fresh variations. No filming day required. Worth sending the private sample?</x:v>
      </x:c>
      <x:c r="AV555" s="76" t="str">
        <x:v>Quick follow-up: the sample angle is a project reveal with budget-and-timeline proof. If it misses the mark, no problem—I won't keep chasing. Should I send it?</x:v>
      </x:c>
      <x:c r="AW555" s="76" t="str">
        <x:v>Hi Will, Ryan here. I was looking at Trehel Corporation's public marketing and noticed: icp fit; paid-demand need requires manual verification. I mapped one private project reveal with budget-and-timeline proof as an example. Did I catch you with 30 seconds?</x:v>
      </x:c>
      <x:c r="AX555" s="60" t="str">
        <x:v>https://www.facebook.com/ads/library/?active_status=active&amp;ad_type=all&amp;country=US&amp;q=Trehel%20Corporation&amp;search_type=keyword_unordered</x:v>
      </x:c>
      <x:c r="AY555" s="60" t="str">
        <x:v>ok:200</x:v>
      </x:c>
      <x:c r="AZ555" s="60" t="n">
        <x:v>46232.722858796296</x:v>
      </x:c>
      <x:c r="BA555" s="60" t="str">
        <x:v>AI Ark SC trades export</x:v>
      </x:c>
      <x:c r="BB555" s="60" t="str">
        <x:v>https://trehel.com | https://www.linkedin.com/company/trehel-corporation</x:v>
      </x:c>
      <x:c r="BC555" s="60" t="str"/>
    </x:row>
    <x:row r="556" ht="18" customHeight="1">
      <x:c r="A556" s="70" t="str">
        <x:v>555</x:v>
      </x:c>
      <x:c r="B556" s="70" t="str">
        <x:v>C - Verify</x:v>
      </x:c>
      <x:c r="C556" s="72" t="str">
        <x:v>49</x:v>
      </x:c>
      <x:c r="D556" s="60" t="str">
        <x:v>Spectrum Interiors of South Carolina</x:v>
      </x:c>
      <x:c r="E556" s="60" t="str">
        <x:v>https://spectruminteriors-sc.com</x:v>
      </x:c>
      <x:c r="F556" s="60" t="str">
        <x:v>https://spectruminteriors-sc.com</x:v>
      </x:c>
      <x:c r="G556" s="60" t="str">
        <x:v>Greenville</x:v>
      </x:c>
      <x:c r="H556" s="60" t="str">
        <x:v>South Carolina</x:v>
      </x:c>
      <x:c r="I556" s="60" t="str">
        <x:v>General Contractor</x:v>
      </x:c>
      <x:c r="J556" s="60" t="str">
        <x:v>Charley</x:v>
      </x:c>
      <x:c r="K556" s="60" t="str">
        <x:v>Kleier</x:v>
      </x:c>
      <x:c r="L556" s="60" t="str">
        <x:v>Owner / CEO</x:v>
      </x:c>
      <x:c r="M556" s="60" t="str">
        <x:v>ckleier@spectruminteriors-sc.com</x:v>
      </x:c>
      <x:c r="N556" s="60" t="str">
        <x:v>Verified with BounceBan on 08 Jun 26 12:06</x:v>
      </x:c>
      <x:c r="O556" s="60" t="str">
        <x:v>+1 864 991 7675</x:v>
      </x:c>
      <x:c r="P556" s="60" t="str">
        <x:v>https://www.linkedin.com/in/charley-kleier-030a3a6</x:v>
      </x:c>
      <x:c r="Q556" s="60" t="str">
        <x:v>11-50</x:v>
      </x:c>
      <x:c r="R556" s="60" t="str">
        <x:v>1000000-4999999</x:v>
      </x:c>
      <x:c r="S556" s="60" t="str"/>
      <x:c r="T556" s="74" t="str">
        <x:v>0</x:v>
      </x:c>
      <x:c r="U556" s="60" t="str"/>
      <x:c r="V556" s="74" t="str">
        <x:v>27</x:v>
      </x:c>
      <x:c r="W556" s="74" t="str">
        <x:v>3</x:v>
      </x:c>
      <x:c r="X556" s="74" t="str">
        <x:v>9</x:v>
      </x:c>
      <x:c r="Y556" s="74" t="str">
        <x:v>0</x:v>
      </x:c>
      <x:c r="Z556" s="74" t="str">
        <x:v>10</x:v>
      </x:c>
      <x:c r="AA556" s="74" t="str">
        <x:v>0</x:v>
      </x:c>
      <x:c r="AB556" s="74" t="str">
        <x:v>0</x:v>
      </x:c>
      <x:c r="AC556" s="74" t="str">
        <x:v>1</x:v>
      </x:c>
      <x:c r="AD556" s="74" t="str">
        <x:v>0</x:v>
      </x:c>
      <x:c r="AE556" s="74" t="str">
        <x:v>0</x:v>
      </x:c>
      <x:c r="AF556" s="74" t="str"/>
      <x:c r="AG556" s="74" t="str">
        <x:v>0</x:v>
      </x:c>
      <x:c r="AH556" s="74" t="str">
        <x:v>0</x:v>
      </x:c>
      <x:c r="AI556" s="74" t="str">
        <x:v>0</x:v>
      </x:c>
      <x:c r="AJ556" s="74" t="str">
        <x:v>0</x:v>
      </x:c>
      <x:c r="AK556" s="74" t="str">
        <x:v>0</x:v>
      </x:c>
      <x:c r="AL556" s="74" t="str">
        <x:v>1</x:v>
      </x:c>
      <x:c r="AM556" s="74" t="str">
        <x:v>1</x:v>
      </x:c>
      <x:c r="AN556" s="74" t="str">
        <x:v>0</x:v>
      </x:c>
      <x:c r="AO556" s="60" t="str">
        <x:v>2021</x:v>
      </x:c>
      <x:c r="AP556" s="76" t="str">
        <x:v>ICP fit; paid-demand need requires manual verification</x:v>
      </x:c>
      <x:c r="AQ556" s="76" t="str">
        <x:v>no embedded homepage video detected</x:v>
      </x:c>
      <x:c r="AR556" s="76" t="str">
        <x:v>I was reviewing general contractor companies in Greenville, South Carolina and Spectrum Interiors of South Carolina looked like a strong fit for a creative test.</x:v>
      </x:c>
      <x:c r="AS556" s="76" t="str">
        <x:v>project walkthrough with proof milestones</x:v>
      </x:c>
      <x:c r="AT556" s="76" t="str">
        <x:v>Spectrum Interiors of South Carolina ad concept</x:v>
      </x:c>
      <x:c r="AU556" s="76" t="str">
        <x:v>Hi Charley — I was reviewing general contractor companies in Greenville, South Carolina and Spectrum Interiors of South Carolina looked like a strong fit for a creative test. I mapped a private 15-second project walkthrough with proof milestones for Spectrum Interiors of South Carolina using only public brand context—not for publishing, just to show the angle. We build three client-approved video ad concepts in seven days, then turn the winners into fresh variations. No filming day required. Worth sending the private sample?</x:v>
      </x:c>
      <x:c r="AV556" s="76" t="str">
        <x:v>Quick follow-up: the sample angle is a project walkthrough with proof milestones. If it misses the mark, no problem—I won't keep chasing. Should I send it?</x:v>
      </x:c>
      <x:c r="AW556" s="76" t="str">
        <x:v>Hi Charley, Ryan here. I was looking at Spectrum Interiors of South Carolina's public marketing and noticed: icp fit; paid-demand need requires manual verification. I mapped one private project walkthrough with proof milestones as an example. Did I catch you with 30 seconds?</x:v>
      </x:c>
      <x:c r="AX556" s="60" t="str">
        <x:v>https://www.facebook.com/ads/library/?active_status=active&amp;ad_type=all&amp;country=US&amp;q=Spectrum%20Interiors%20of%20South%20Carolina&amp;search_type=keyword_unordered</x:v>
      </x:c>
      <x:c r="AY556" s="60" t="str">
        <x:v>ok:200</x:v>
      </x:c>
      <x:c r="AZ556" s="60" t="n">
        <x:v>46232.722858796296</x:v>
      </x:c>
      <x:c r="BA556" s="60" t="str">
        <x:v>AI Ark SC trades export</x:v>
      </x:c>
      <x:c r="BB556" s="60" t="str">
        <x:v>https://spectruminteriors-sc.com | https://www.linkedin.com/company/spectrum-interiors-of-south-carolina</x:v>
      </x:c>
      <x:c r="BC556" s="60" t="str"/>
    </x:row>
    <x:row r="557" ht="18" customHeight="1">
      <x:c r="A557" s="70" t="str">
        <x:v>556</x:v>
      </x:c>
      <x:c r="B557" s="70" t="str">
        <x:v>C - Verify</x:v>
      </x:c>
      <x:c r="C557" s="72" t="str">
        <x:v>49</x:v>
      </x:c>
      <x:c r="D557" s="60" t="str">
        <x:v>Southeast Pools</x:v>
      </x:c>
      <x:c r="E557" s="60" t="str">
        <x:v>https://southeastpools.com</x:v>
      </x:c>
      <x:c r="F557" s="60" t="str">
        <x:v>https://southeastpools.com</x:v>
      </x:c>
      <x:c r="G557" s="60" t="str">
        <x:v>Greenville</x:v>
      </x:c>
      <x:c r="H557" s="60" t="str">
        <x:v>South Carolina</x:v>
      </x:c>
      <x:c r="I557" s="60" t="str">
        <x:v>Foundation &amp; Waterproofing</x:v>
      </x:c>
      <x:c r="J557" s="60" t="str">
        <x:v>Mark</x:v>
      </x:c>
      <x:c r="K557" s="60" t="str">
        <x:v>Bushaw</x:v>
      </x:c>
      <x:c r="L557" s="60" t="str">
        <x:v>Co-Owner</x:v>
      </x:c>
      <x:c r="M557" s="60" t="str">
        <x:v>mark@southeastpools.com</x:v>
      </x:c>
      <x:c r="N557" s="60" t="str">
        <x:v>Verified with BounceBan on 08 Jun 26 12:06</x:v>
      </x:c>
      <x:c r="O557" s="60" t="str">
        <x:v>+1 919 302 8652</x:v>
      </x:c>
      <x:c r="P557" s="60" t="str">
        <x:v>https://www.linkedin.com/in/mark-bushaw</x:v>
      </x:c>
      <x:c r="Q557" s="60" t="str">
        <x:v>2-10</x:v>
      </x:c>
      <x:c r="R557" s="60" t="str">
        <x:v>100000-499999</x:v>
      </x:c>
      <x:c r="S557" s="60" t="str"/>
      <x:c r="T557" s="74" t="str">
        <x:v>0</x:v>
      </x:c>
      <x:c r="U557" s="60" t="str"/>
      <x:c r="V557" s="74" t="str">
        <x:v>26</x:v>
      </x:c>
      <x:c r="W557" s="74" t="str">
        <x:v>3</x:v>
      </x:c>
      <x:c r="X557" s="74" t="str">
        <x:v>10</x:v>
      </x:c>
      <x:c r="Y557" s="74" t="str">
        <x:v>0</x:v>
      </x:c>
      <x:c r="Z557" s="74" t="str">
        <x:v>10</x:v>
      </x:c>
      <x:c r="AA557" s="74" t="str">
        <x:v>0</x:v>
      </x:c>
      <x:c r="AB557" s="74" t="str">
        <x:v>0</x:v>
      </x:c>
      <x:c r="AC557" s="74" t="str">
        <x:v>1</x:v>
      </x:c>
      <x:c r="AD557" s="74" t="str">
        <x:v>0</x:v>
      </x:c>
      <x:c r="AE557" s="74" t="str">
        <x:v>0</x:v>
      </x:c>
      <x:c r="AF557" s="74" t="str"/>
      <x:c r="AG557" s="74" t="str">
        <x:v>0</x:v>
      </x:c>
      <x:c r="AH557" s="74" t="str">
        <x:v>0</x:v>
      </x:c>
      <x:c r="AI557" s="74" t="str">
        <x:v>0</x:v>
      </x:c>
      <x:c r="AJ557" s="74" t="str">
        <x:v>0</x:v>
      </x:c>
      <x:c r="AK557" s="74" t="str">
        <x:v>0</x:v>
      </x:c>
      <x:c r="AL557" s="74" t="str">
        <x:v>0</x:v>
      </x:c>
      <x:c r="AM557" s="74" t="str">
        <x:v>1</x:v>
      </x:c>
      <x:c r="AN557" s="74" t="str">
        <x:v>0</x:v>
      </x:c>
      <x:c r="AO557" s="60" t="str">
        <x:v>2025</x:v>
      </x:c>
      <x:c r="AP557" s="76" t="str">
        <x:v>ICP fit; paid-demand need requires manual verification</x:v>
      </x:c>
      <x:c r="AQ557" s="76" t="str">
        <x:v>no embedded homepage video detected</x:v>
      </x:c>
      <x:c r="AR557" s="76" t="str">
        <x:v>I was reviewing foundation &amp; waterproofing companies in Greenville, South Carolina and Southeast Pools looked like a strong fit for a creative test.</x:v>
      </x:c>
      <x:c r="AS557" s="76" t="str">
        <x:v>visible-warning-signs inspection ad</x:v>
      </x:c>
      <x:c r="AT557" s="76" t="str">
        <x:v>Southeast Pools ad concept</x:v>
      </x:c>
      <x:c r="AU557" s="76" t="str">
        <x:v>Hi Mark — I was reviewing foundation &amp; waterproofing companies in Greenville, South Carolina and Southeast Pools looked like a strong fit for a creative test. I mapped a private 15-second visible-warning-signs inspection ad for Southeast Pools using only public brand context—not for publishing, just to show the angle. We build three client-approved video ad concepts in seven days, then turn the winners into fresh variations. No filming day required. Worth sending the private sample?</x:v>
      </x:c>
      <x:c r="AV557" s="76" t="str">
        <x:v>Quick follow-up: the sample angle is a visible-warning-signs inspection ad. If it misses the mark, no problem—I won't keep chasing. Should I send it?</x:v>
      </x:c>
      <x:c r="AW557" s="76" t="str">
        <x:v>Hi Mark, Ryan here. I was looking at Southeast Pools's public marketing and noticed: icp fit; paid-demand need requires manual verification. I mapped one private visible-warning-signs inspection ad as an example. Did I catch you with 30 seconds?</x:v>
      </x:c>
      <x:c r="AX557" s="60" t="str">
        <x:v>https://www.facebook.com/ads/library/?active_status=active&amp;ad_type=all&amp;country=US&amp;q=Southeast%20Pools&amp;search_type=keyword_unordered</x:v>
      </x:c>
      <x:c r="AY557" s="60" t="str">
        <x:v>ok:200</x:v>
      </x:c>
      <x:c r="AZ557" s="60" t="n">
        <x:v>46232.722858796296</x:v>
      </x:c>
      <x:c r="BA557" s="60" t="str">
        <x:v>AI Ark SC trades export</x:v>
      </x:c>
      <x:c r="BB557" s="60" t="str">
        <x:v>https://southeastpools.com | https://www.linkedin.com/company/southeastpools</x:v>
      </x:c>
      <x:c r="BC557" s="60" t="str"/>
    </x:row>
    <x:row r="558" ht="18" customHeight="1">
      <x:c r="A558" s="70" t="str">
        <x:v>557</x:v>
      </x:c>
      <x:c r="B558" s="70" t="str">
        <x:v>C - Verify</x:v>
      </x:c>
      <x:c r="C558" s="72" t="str">
        <x:v>49</x:v>
      </x:c>
      <x:c r="D558" s="60" t="str">
        <x:v>Prestige Heating &amp; Air Conditioning</x:v>
      </x:c>
      <x:c r="E558" s="60" t="str">
        <x:v>https://prestigeheatingandair.com</x:v>
      </x:c>
      <x:c r="F558" s="60" t="str">
        <x:v>https://prestigeheatingandair.com</x:v>
      </x:c>
      <x:c r="G558" s="60" t="str">
        <x:v>Goose Creek</x:v>
      </x:c>
      <x:c r="H558" s="60" t="str">
        <x:v>South Carolina</x:v>
      </x:c>
      <x:c r="I558" s="60" t="str">
        <x:v>HVAC</x:v>
      </x:c>
      <x:c r="J558" s="60" t="str">
        <x:v>Prestige Heating &amp; Air Conditioning</x:v>
      </x:c>
      <x:c r="K558" s="60" t="str"/>
      <x:c r="L558" s="60" t="str">
        <x:v>Owner / decision maker to verify</x:v>
      </x:c>
      <x:c r="M558" s="60" t="str"/>
      <x:c r="N558" s="60" t="str"/>
      <x:c r="O558" s="60" t="str">
        <x:v>(843) 764-0460</x:v>
      </x:c>
      <x:c r="P558" s="60" t="str"/>
      <x:c r="Q558" s="60" t="str"/>
      <x:c r="R558" s="60" t="str"/>
      <x:c r="S558" s="60" t="str">
        <x:v>4.3</x:v>
      </x:c>
      <x:c r="T558" s="74" t="str">
        <x:v>90</x:v>
      </x:c>
      <x:c r="U558" s="60" t="str"/>
      <x:c r="V558" s="74" t="str">
        <x:v>26</x:v>
      </x:c>
      <x:c r="W558" s="74" t="str">
        <x:v>0</x:v>
      </x:c>
      <x:c r="X558" s="74" t="str">
        <x:v>4</x:v>
      </x:c>
      <x:c r="Y558" s="74" t="str">
        <x:v>14</x:v>
      </x:c>
      <x:c r="Z558" s="74" t="str">
        <x:v>5</x:v>
      </x:c>
      <x:c r="AA558" s="74" t="str">
        <x:v>0</x:v>
      </x:c>
      <x:c r="AB558" s="74" t="str">
        <x:v>0</x:v>
      </x:c>
      <x:c r="AC558" s="74" t="str">
        <x:v>0</x:v>
      </x:c>
      <x:c r="AD558" s="74" t="str">
        <x:v>0</x:v>
      </x:c>
      <x:c r="AE558" s="74" t="str">
        <x:v>0</x:v>
      </x:c>
      <x:c r="AF558" s="74" t="str"/>
      <x:c r="AG558" s="74" t="str">
        <x:v>1</x:v>
      </x:c>
      <x:c r="AH558" s="74" t="str">
        <x:v>1</x:v>
      </x:c>
      <x:c r="AI558" s="74" t="str">
        <x:v>1</x:v>
      </x:c>
      <x:c r="AJ558" s="74" t="str">
        <x:v>0</x:v>
      </x:c>
      <x:c r="AK558" s="74" t="str">
        <x:v>1</x:v>
      </x:c>
      <x:c r="AL558" s="74" t="str">
        <x:v>0</x:v>
      </x:c>
      <x:c r="AM558" s="74" t="str">
        <x:v>1</x:v>
      </x:c>
      <x:c r="AN558" s="74" t="str">
        <x:v>0</x:v>
      </x:c>
      <x:c r="AO558" s="60" t="str">
        <x:v>2026</x:v>
      </x:c>
      <x:c r="AP558" s="76" t="str">
        <x:v>ICP fit; paid-demand need requires manual verification</x:v>
      </x:c>
      <x:c r="AQ558" s="76" t="str">
        <x:v>project/gallery proof; testimonials; visible service offer</x:v>
      </x:c>
      <x:c r="AR558" s="76" t="str">
        <x:v>I was reviewing hvac companies in Goose Creek, South Carolina and Prestige Heating &amp; Air Conditioning looked like a strong fit for a creative test.</x:v>
      </x:c>
      <x:c r="AS558" s="76" t="str">
        <x:v>no-cool-call to same-day comfort ad</x:v>
      </x:c>
      <x:c r="AT558" s="76" t="str">
        <x:v>Prestige Heating &amp; Air Conditioning ad concept</x:v>
      </x:c>
      <x:c r="AU558" s="76" t="str">
        <x:v>Hi Prestige Heating &amp; Air Conditioning — I was reviewing hvac companies in Goose Creek, South Carolina and Prestige Heating &amp; Air Conditioning looked like a strong fit for a creative test. I mapped a private 15-second no-cool-call to same-day comfort ad for Prestige Heating &amp; Air Conditioning using only public brand context—not for publishing, just to show the angle. We build three client-approved video ad concepts in seven days, then turn the winners into fresh variations. No filming day required. Worth sending the private sample?</x:v>
      </x:c>
      <x:c r="AV558" s="76" t="str">
        <x:v>Quick follow-up: the sample angle is a no-cool-call to same-day comfort ad. If it misses the mark, no problem—I won't keep chasing. Should I send it?</x:v>
      </x:c>
      <x:c r="AW558" s="76" t="str">
        <x:v>Hi Prestige Heating &amp; Air Conditioning, Ryan here. I was looking at Prestige Heating &amp; Air Conditioning's public marketing and noticed: icp fit; paid-demand need requires manual verification. I mapped one private no-cool-call to same-day comfort ad as an example. Did I catch you with 30 seconds?</x:v>
      </x:c>
      <x:c r="AX558" s="60" t="str">
        <x:v>https://www.facebook.com/ads/library/?active_status=active&amp;ad_type=all&amp;country=US&amp;q=Prestige%20Heating%20%26%20Air%20Conditioning&amp;search_type=keyword_unordered</x:v>
      </x:c>
      <x:c r="AY558" s="60" t="str">
        <x:v>ok:200</x:v>
      </x:c>
      <x:c r="AZ558" s="60" t="n">
        <x:v>46232.722858796296</x:v>
      </x:c>
      <x:c r="BA558" s="60" t="str">
        <x:v>Google Maps home-services export</x:v>
      </x:c>
      <x:c r="BB558" s="60" t="str">
        <x:v>https://maps.google.com/?cid=9744009767506447592&amp;g_mp=Cidnb29nbGUubWFwcy5wbGFjZXMudjEuUGxhY2VzLlNlYXJjaFRleHQQAhgEIAA | https://prestigeheatingandair.com</x:v>
      </x:c>
      <x:c r="BC558" s="60" t="str"/>
    </x:row>
    <x:row r="559" ht="18" customHeight="1">
      <x:c r="A559" s="70" t="str">
        <x:v>558</x:v>
      </x:c>
      <x:c r="B559" s="70" t="str">
        <x:v>C - Verify</x:v>
      </x:c>
      <x:c r="C559" s="72" t="str">
        <x:v>49</x:v>
      </x:c>
      <x:c r="D559" s="60" t="str">
        <x:v>Trident Fence and Ironworks</x:v>
      </x:c>
      <x:c r="E559" s="60" t="str">
        <x:v>https://aaafencechas.com</x:v>
      </x:c>
      <x:c r="F559" s="60" t="str">
        <x:v>https://aaafencechas.com</x:v>
      </x:c>
      <x:c r="G559" s="60" t="str">
        <x:v>Summerville</x:v>
      </x:c>
      <x:c r="H559" s="60" t="str">
        <x:v>South Carolina</x:v>
      </x:c>
      <x:c r="I559" s="60" t="str">
        <x:v>Fence &amp; Deck</x:v>
      </x:c>
      <x:c r="J559" s="60" t="str">
        <x:v>Corin</x:v>
      </x:c>
      <x:c r="K559" s="60" t="str">
        <x:v>Clark</x:v>
      </x:c>
      <x:c r="L559" s="60" t="str">
        <x:v>President/Owner</x:v>
      </x:c>
      <x:c r="M559" s="60" t="str">
        <x:v>corin.clark@aaafencechas.com</x:v>
      </x:c>
      <x:c r="N559" s="60" t="str">
        <x:v>Verified with BounceBan on 08 Jun 26 12:06</x:v>
      </x:c>
      <x:c r="O559" s="60" t="str">
        <x:v>+1 843 597 9833</x:v>
      </x:c>
      <x:c r="P559" s="60" t="str">
        <x:v>https://www.linkedin.com/in/corin-clark</x:v>
      </x:c>
      <x:c r="Q559" s="60" t="str">
        <x:v>2-10</x:v>
      </x:c>
      <x:c r="R559" s="60" t="str">
        <x:v>0-99999</x:v>
      </x:c>
      <x:c r="S559" s="60" t="str"/>
      <x:c r="T559" s="74" t="str">
        <x:v>0</x:v>
      </x:c>
      <x:c r="U559" s="60" t="str"/>
      <x:c r="V559" s="74" t="str">
        <x:v>21</x:v>
      </x:c>
      <x:c r="W559" s="74" t="str">
        <x:v>0</x:v>
      </x:c>
      <x:c r="X559" s="74" t="str">
        <x:v>6</x:v>
      </x:c>
      <x:c r="Y559" s="74" t="str">
        <x:v>12</x:v>
      </x:c>
      <x:c r="Z559" s="74" t="str">
        <x:v>10</x:v>
      </x:c>
      <x:c r="AA559" s="74" t="str">
        <x:v>0</x:v>
      </x:c>
      <x:c r="AB559" s="74" t="str">
        <x:v>0</x:v>
      </x:c>
      <x:c r="AC559" s="74" t="str">
        <x:v>0</x:v>
      </x:c>
      <x:c r="AD559" s="74" t="str">
        <x:v>0</x:v>
      </x:c>
      <x:c r="AE559" s="74" t="str">
        <x:v>0</x:v>
      </x:c>
      <x:c r="AF559" s="74" t="str"/>
      <x:c r="AG559" s="74" t="str">
        <x:v>0</x:v>
      </x:c>
      <x:c r="AH559" s="74" t="str">
        <x:v>1</x:v>
      </x:c>
      <x:c r="AI559" s="74" t="str">
        <x:v>1</x:v>
      </x:c>
      <x:c r="AJ559" s="74" t="str">
        <x:v>0</x:v>
      </x:c>
      <x:c r="AK559" s="74" t="str">
        <x:v>1</x:v>
      </x:c>
      <x:c r="AL559" s="74" t="str">
        <x:v>1</x:v>
      </x:c>
      <x:c r="AM559" s="74" t="str">
        <x:v>1</x:v>
      </x:c>
      <x:c r="AN559" s="74" t="str">
        <x:v>0</x:v>
      </x:c>
      <x:c r="AO559" s="60" t="str">
        <x:v>2026</x:v>
      </x:c>
      <x:c r="AP559" s="76" t="str">
        <x:v>Project/gallery proof found; no embedded homepage video found</x:v>
      </x:c>
      <x:c r="AQ559" s="76" t="str">
        <x:v>project/gallery proof; testimonials; visible service offer; no embedded homepage video detected</x:v>
      </x:c>
      <x:c r="AR559" s="76" t="str">
        <x:v>I found project/gallery proof on Trident Fence and Ironworks's site that could be repackaged into short-form ad concepts.</x:v>
      </x:c>
      <x:c r="AS559" s="76" t="str">
        <x:v>yard privacy transformation ad</x:v>
      </x:c>
      <x:c r="AT559" s="76" t="str">
        <x:v>Trident Fence and Ironworks ad concept</x:v>
      </x:c>
      <x:c r="AU559" s="76" t="str">
        <x:v>Hi Corin — I found project/gallery proof on Trident Fence and Ironworks's site that could be repackaged into short-form ad concepts. I mapped a private 15-second yard privacy transformation ad for Trident Fence and Ironworks using only public brand context—not for publishing, just to show the angle. We build three client-approved video ad concepts in seven days, then turn the winners into fresh variations. No filming day required. Worth sending the private sample?</x:v>
      </x:c>
      <x:c r="AV559" s="76" t="str">
        <x:v>Quick follow-up: the sample angle is a yard privacy transformation ad. If it misses the mark, no problem—I won't keep chasing. Should I send it?</x:v>
      </x:c>
      <x:c r="AW559" s="76" t="str">
        <x:v>Hi Corin, Ryan here. I was looking at Trident Fence and Ironworks's public marketing and noticed: project/gallery proof found; no embedded homepage video found. I mapped one private yard privacy transformation ad as an example. Did I catch you with 30 seconds?</x:v>
      </x:c>
      <x:c r="AX559" s="60" t="str">
        <x:v>https://www.facebook.com/ads/library/?active_status=active&amp;ad_type=all&amp;country=US&amp;q=Trident%20Fence%20and%20Ironworks&amp;search_type=keyword_unordered</x:v>
      </x:c>
      <x:c r="AY559" s="60" t="str">
        <x:v>ok:200</x:v>
      </x:c>
      <x:c r="AZ559" s="60" t="n">
        <x:v>46232.722858796296</x:v>
      </x:c>
      <x:c r="BA559" s="60" t="str">
        <x:v>AI Ark SC trades export</x:v>
      </x:c>
      <x:c r="BB559" s="60" t="str">
        <x:v>https://aaafencechas.com | https://www.linkedin.com/company/trident-fence-and-ironworks</x:v>
      </x:c>
      <x:c r="BC559" s="60" t="str"/>
    </x:row>
    <x:row r="560" ht="18" customHeight="1">
      <x:c r="A560" s="70" t="str">
        <x:v>559</x:v>
      </x:c>
      <x:c r="B560" s="70" t="str">
        <x:v>C - Verify</x:v>
      </x:c>
      <x:c r="C560" s="72" t="str">
        <x:v>49</x:v>
      </x:c>
      <x:c r="D560" s="60" t="str">
        <x:v>Pacific Lawn Sprinklers Franchise</x:v>
      </x:c>
      <x:c r="E560" s="60" t="str">
        <x:v>https://pacificlawnsprinklers.com</x:v>
      </x:c>
      <x:c r="F560" s="60" t="str">
        <x:v>https://www.pacificlawnsprinklers.com/</x:v>
      </x:c>
      <x:c r="G560" s="60" t="str">
        <x:v>Murrells Inlet</x:v>
      </x:c>
      <x:c r="H560" s="60" t="str">
        <x:v>South Carolina</x:v>
      </x:c>
      <x:c r="I560" s="60" t="str">
        <x:v>Plumbing</x:v>
      </x:c>
      <x:c r="J560" s="60" t="str">
        <x:v>James</x:v>
      </x:c>
      <x:c r="K560" s="60" t="str">
        <x:v>McBride</x:v>
      </x:c>
      <x:c r="L560" s="60" t="str">
        <x:v>Company Owner</x:v>
      </x:c>
      <x:c r="M560" s="60" t="str">
        <x:v>jmcbride@pacificlawnsprinklers.com</x:v>
      </x:c>
      <x:c r="N560" s="60" t="str">
        <x:v>Verified with BounceBan on 08 Jun 26 12:06</x:v>
      </x:c>
      <x:c r="O560" s="60" t="str">
        <x:v>+1 412 217 5737</x:v>
      </x:c>
      <x:c r="P560" s="60" t="str">
        <x:v>https://www.linkedin.com/in/james-mcbride1</x:v>
      </x:c>
      <x:c r="Q560" s="60" t="str">
        <x:v>201-500</x:v>
      </x:c>
      <x:c r="R560" s="60" t="str">
        <x:v>1000000-4999999</x:v>
      </x:c>
      <x:c r="S560" s="60" t="str"/>
      <x:c r="T560" s="74" t="str">
        <x:v>0</x:v>
      </x:c>
      <x:c r="U560" s="60" t="str"/>
      <x:c r="V560" s="74" t="str">
        <x:v>27</x:v>
      </x:c>
      <x:c r="W560" s="74" t="str">
        <x:v>0</x:v>
      </x:c>
      <x:c r="X560" s="74" t="str">
        <x:v>0</x:v>
      </x:c>
      <x:c r="Y560" s="74" t="str">
        <x:v>12</x:v>
      </x:c>
      <x:c r="Z560" s="74" t="str">
        <x:v>10</x:v>
      </x:c>
      <x:c r="AA560" s="74" t="str">
        <x:v>0</x:v>
      </x:c>
      <x:c r="AB560" s="74" t="str">
        <x:v>0</x:v>
      </x:c>
      <x:c r="AC560" s="74" t="str">
        <x:v>0</x:v>
      </x:c>
      <x:c r="AD560" s="74" t="str">
        <x:v>0</x:v>
      </x:c>
      <x:c r="AE560" s="74" t="str">
        <x:v>0</x:v>
      </x:c>
      <x:c r="AF560" s="74" t="str"/>
      <x:c r="AG560" s="74" t="str">
        <x:v>1</x:v>
      </x:c>
      <x:c r="AH560" s="74" t="str">
        <x:v>1</x:v>
      </x:c>
      <x:c r="AI560" s="74" t="str">
        <x:v>1</x:v>
      </x:c>
      <x:c r="AJ560" s="74" t="str">
        <x:v>0</x:v>
      </x:c>
      <x:c r="AK560" s="74" t="str">
        <x:v>1</x:v>
      </x:c>
      <x:c r="AL560" s="74" t="str">
        <x:v>1</x:v>
      </x:c>
      <x:c r="AM560" s="74" t="str">
        <x:v>1</x:v>
      </x:c>
      <x:c r="AN560" s="74" t="str">
        <x:v>1</x:v>
      </x:c>
      <x:c r="AO560" s="60" t="str">
        <x:v>2026</x:v>
      </x:c>
      <x:c r="AP560" s="76" t="str">
        <x:v>ICP fit; paid-demand need requires manual verification</x:v>
      </x:c>
      <x:c r="AQ560" s="76" t="str">
        <x:v>project/gallery proof; testimonials; visible service offer</x:v>
      </x:c>
      <x:c r="AR560" s="76" t="str">
        <x:v>I was reviewing plumbing companies in Murrells Inlet, South Carolina and Pacific Lawn Sprinklers Franchise looked like a strong fit for a creative test.</x:v>
      </x:c>
      <x:c r="AS560" s="76" t="str">
        <x:v>small symptom to prevented-emergency ad</x:v>
      </x:c>
      <x:c r="AT560" s="76" t="str">
        <x:v>Pacific Lawn Sprinklers Franchise ad concept</x:v>
      </x:c>
      <x:c r="AU560" s="76" t="str">
        <x:v>Hi James — I was reviewing plumbing companies in Murrells Inlet, South Carolina and Pacific Lawn Sprinklers Franchise looked like a strong fit for a creative test. I mapped a private 15-second small symptom to prevented-emergency ad for Pacific Lawn Sprinklers Franchise using only public brand context—not for publishing, just to show the angle. We build three client-approved video ad concepts in seven days, then turn the winners into fresh variations. No filming day required. Worth sending the private sample?</x:v>
      </x:c>
      <x:c r="AV560" s="76" t="str">
        <x:v>Quick follow-up: the sample angle is a small symptom to prevented-emergency ad. If it misses the mark, no problem—I won't keep chasing. Should I send it?</x:v>
      </x:c>
      <x:c r="AW560" s="76" t="str">
        <x:v>Hi James, Ryan here. I was looking at Pacific Lawn Sprinklers Franchise's public marketing and noticed: icp fit; paid-demand need requires manual verification. I mapped one private small symptom to prevented-emergency ad as an example. Did I catch you with 30 seconds?</x:v>
      </x:c>
      <x:c r="AX560" s="60" t="str">
        <x:v>https://www.facebook.com/ads/library/?active_status=active&amp;ad_type=all&amp;country=US&amp;q=Pacific%20Lawn%20Sprinklers%20Franchise&amp;search_type=keyword_unordered</x:v>
      </x:c>
      <x:c r="AY560" s="60" t="str">
        <x:v>ok:200</x:v>
      </x:c>
      <x:c r="AZ560" s="60" t="n">
        <x:v>46232.722858796296</x:v>
      </x:c>
      <x:c r="BA560" s="60" t="str">
        <x:v>AI Ark SC trades export</x:v>
      </x:c>
      <x:c r="BB560" s="60" t="str">
        <x:v>https://pacificlawnsprinklers.com | https://www.linkedin.com/company/pacific-lawn-sprinklers</x:v>
      </x:c>
      <x:c r="BC560" s="60" t="str"/>
    </x:row>
    <x:row r="561" ht="18" customHeight="1">
      <x:c r="A561" s="70" t="str">
        <x:v>560</x:v>
      </x:c>
      <x:c r="B561" s="70" t="str">
        <x:v>C - Verify</x:v>
      </x:c>
      <x:c r="C561" s="72" t="str">
        <x:v>49</x:v>
      </x:c>
      <x:c r="D561" s="60" t="str">
        <x:v>Black Dog Renovation &amp; Repair</x:v>
      </x:c>
      <x:c r="E561" s="60" t="str">
        <x:v>https://blackdogrr.com</x:v>
      </x:c>
      <x:c r="F561" s="60" t="str">
        <x:v>https://blackdogrr.com</x:v>
      </x:c>
      <x:c r="G561" s="60" t="str">
        <x:v>Charleston</x:v>
      </x:c>
      <x:c r="H561" s="60" t="str">
        <x:v>South Carolina Metropolitan Area</x:v>
      </x:c>
      <x:c r="I561" s="60" t="str">
        <x:v>Remodeling</x:v>
      </x:c>
      <x:c r="J561" s="60" t="str">
        <x:v>William D.</x:v>
      </x:c>
      <x:c r="K561" s="60" t="str">
        <x:v>Smith IV</x:v>
      </x:c>
      <x:c r="L561" s="60" t="str">
        <x:v>Owner</x:v>
      </x:c>
      <x:c r="M561" s="60" t="str"/>
      <x:c r="N561" s="60" t="str"/>
      <x:c r="O561" s="60" t="str">
        <x:v>+1 803 517 8761</x:v>
      </x:c>
      <x:c r="P561" s="60" t="str">
        <x:v>https://www.linkedin.com/in/william-d-smith-iv-38a43240</x:v>
      </x:c>
      <x:c r="Q561" s="60" t="str">
        <x:v>0-1</x:v>
      </x:c>
      <x:c r="R561" s="60" t="str">
        <x:v>0-99999</x:v>
      </x:c>
      <x:c r="S561" s="60" t="str"/>
      <x:c r="T561" s="74" t="str">
        <x:v>0</x:v>
      </x:c>
      <x:c r="U561" s="60" t="str"/>
      <x:c r="V561" s="74" t="str">
        <x:v>22</x:v>
      </x:c>
      <x:c r="W561" s="74" t="str">
        <x:v>0</x:v>
      </x:c>
      <x:c r="X561" s="74" t="str">
        <x:v>10</x:v>
      </x:c>
      <x:c r="Y561" s="74" t="str">
        <x:v>12</x:v>
      </x:c>
      <x:c r="Z561" s="74" t="str">
        <x:v>5</x:v>
      </x:c>
      <x:c r="AA561" s="74" t="str">
        <x:v>0</x:v>
      </x:c>
      <x:c r="AB561" s="74" t="str">
        <x:v>0</x:v>
      </x:c>
      <x:c r="AC561" s="74" t="str">
        <x:v>0</x:v>
      </x:c>
      <x:c r="AD561" s="74" t="str">
        <x:v>0</x:v>
      </x:c>
      <x:c r="AE561" s="74" t="str">
        <x:v>0</x:v>
      </x:c>
      <x:c r="AF561" s="74" t="str"/>
      <x:c r="AG561" s="74" t="str">
        <x:v>0</x:v>
      </x:c>
      <x:c r="AH561" s="74" t="str">
        <x:v>1</x:v>
      </x:c>
      <x:c r="AI561" s="74" t="str">
        <x:v>1</x:v>
      </x:c>
      <x:c r="AJ561" s="74" t="str">
        <x:v>0</x:v>
      </x:c>
      <x:c r="AK561" s="74" t="str">
        <x:v>1</x:v>
      </x:c>
      <x:c r="AL561" s="74" t="str">
        <x:v>0</x:v>
      </x:c>
      <x:c r="AM561" s="74" t="str">
        <x:v>0</x:v>
      </x:c>
      <x:c r="AN561" s="74" t="str">
        <x:v>0</x:v>
      </x:c>
      <x:c r="AO561" s="60" t="str">
        <x:v>2026</x:v>
      </x:c>
      <x:c r="AP561" s="76" t="str">
        <x:v>Project/gallery proof found; no embedded homepage video found</x:v>
      </x:c>
      <x:c r="AQ561" s="76" t="str">
        <x:v>project/gallery proof; testimonials; visible service offer; no embedded homepage video detected</x:v>
      </x:c>
      <x:c r="AR561" s="76" t="str">
        <x:v>I found project/gallery proof on Black Dog Renovation &amp; Repair's site that could be repackaged into short-form ad concepts.</x:v>
      </x:c>
      <x:c r="AS561" s="76" t="str">
        <x:v>project reveal with budget-and-timeline proof</x:v>
      </x:c>
      <x:c r="AT561" s="76" t="str">
        <x:v>Black Dog Renovation &amp; Repair ad concept</x:v>
      </x:c>
      <x:c r="AU561" s="76" t="str">
        <x:v>Hi William D. — I found project/gallery proof on Black Dog Renovation &amp; Repair's site that could be repackaged into short-form ad concepts. I mapped a private 15-second project reveal with budget-and-timeline proof for Black Dog Renovation &amp; Repair using only public brand context—not for publishing, just to show the angle. We build three client-approved video ad concepts in seven days, then turn the winners into fresh variations. No filming day required. Worth sending the private sample?</x:v>
      </x:c>
      <x:c r="AV561" s="76" t="str">
        <x:v>Quick follow-up: the sample angle is a project reveal with budget-and-timeline proof. If it misses the mark, no problem—I won't keep chasing. Should I send it?</x:v>
      </x:c>
      <x:c r="AW561" s="76" t="str">
        <x:v>Hi William D., Ryan here. I was looking at Black Dog Renovation &amp; Repair's public marketing and noticed: project/gallery proof found; no embedded homepage video found. I mapped one private project reveal with budget-and-timeline proof as an example. Did I catch you with 30 seconds?</x:v>
      </x:c>
      <x:c r="AX561" s="60" t="str">
        <x:v>https://www.facebook.com/ads/library/?active_status=active&amp;ad_type=all&amp;country=US&amp;q=Black%20Dog%20Renovation%20%26%20Repair&amp;search_type=keyword_unordered</x:v>
      </x:c>
      <x:c r="AY561" s="60" t="str">
        <x:v>ok:200</x:v>
      </x:c>
      <x:c r="AZ561" s="60" t="n">
        <x:v>46232.722858796296</x:v>
      </x:c>
      <x:c r="BA561" s="60" t="str">
        <x:v>AI Ark SC trades export</x:v>
      </x:c>
      <x:c r="BB561" s="60" t="str">
        <x:v>https://blackdogrr.com | https://www.linkedin.com/company/black-dog-renovation-repair</x:v>
      </x:c>
      <x:c r="BC561" s="60" t="str"/>
    </x:row>
    <x:row r="562" ht="18" customHeight="1">
      <x:c r="A562" s="70" t="str">
        <x:v>561</x:v>
      </x:c>
      <x:c r="B562" s="70" t="str">
        <x:v>C - Verify</x:v>
      </x:c>
      <x:c r="C562" s="72" t="str">
        <x:v>49</x:v>
      </x:c>
      <x:c r="D562" s="60" t="str">
        <x:v>Precision Air HVAC Inc.</x:v>
      </x:c>
      <x:c r="E562" s="60" t="str">
        <x:v>https://bftprecisionair.com</x:v>
      </x:c>
      <x:c r="F562" s="60" t="str">
        <x:v>https://www.bftprecisionair.com/</x:v>
      </x:c>
      <x:c r="G562" s="60" t="str">
        <x:v>Beaufort</x:v>
      </x:c>
      <x:c r="H562" s="60" t="str">
        <x:v>South Carolina</x:v>
      </x:c>
      <x:c r="I562" s="60" t="str">
        <x:v>HVAC</x:v>
      </x:c>
      <x:c r="J562" s="60" t="str">
        <x:v>Precision Air HVAC Inc.</x:v>
      </x:c>
      <x:c r="K562" s="60" t="str"/>
      <x:c r="L562" s="60" t="str">
        <x:v>Owner / decision maker to verify</x:v>
      </x:c>
      <x:c r="M562" s="60" t="str"/>
      <x:c r="N562" s="60" t="str"/>
      <x:c r="O562" s="60" t="str">
        <x:v>(843) 540-0059</x:v>
      </x:c>
      <x:c r="P562" s="60" t="str"/>
      <x:c r="Q562" s="60" t="str"/>
      <x:c r="R562" s="60" t="str"/>
      <x:c r="S562" s="60" t="str">
        <x:v>4.9</x:v>
      </x:c>
      <x:c r="T562" s="74" t="str">
        <x:v>157</x:v>
      </x:c>
      <x:c r="U562" s="60" t="str"/>
      <x:c r="V562" s="74" t="str">
        <x:v>28</x:v>
      </x:c>
      <x:c r="W562" s="74" t="str">
        <x:v>0</x:v>
      </x:c>
      <x:c r="X562" s="74" t="str">
        <x:v>6</x:v>
      </x:c>
      <x:c r="Y562" s="74" t="str">
        <x:v>10</x:v>
      </x:c>
      <x:c r="Z562" s="74" t="str">
        <x:v>5</x:v>
      </x:c>
      <x:c r="AA562" s="74" t="str">
        <x:v>0</x:v>
      </x:c>
      <x:c r="AB562" s="74" t="str">
        <x:v>0</x:v>
      </x:c>
      <x:c r="AC562" s="74" t="str">
        <x:v>0</x:v>
      </x:c>
      <x:c r="AD562" s="74" t="str">
        <x:v>0</x:v>
      </x:c>
      <x:c r="AE562" s="74" t="str">
        <x:v>0</x:v>
      </x:c>
      <x:c r="AF562" s="74" t="str"/>
      <x:c r="AG562" s="74" t="str">
        <x:v>0</x:v>
      </x:c>
      <x:c r="AH562" s="74" t="str">
        <x:v>0</x:v>
      </x:c>
      <x:c r="AI562" s="74" t="str">
        <x:v>1</x:v>
      </x:c>
      <x:c r="AJ562" s="74" t="str">
        <x:v>0</x:v>
      </x:c>
      <x:c r="AK562" s="74" t="str">
        <x:v>1</x:v>
      </x:c>
      <x:c r="AL562" s="74" t="str">
        <x:v>1</x:v>
      </x:c>
      <x:c r="AM562" s="74" t="str">
        <x:v>1</x:v>
      </x:c>
      <x:c r="AN562" s="74" t="str">
        <x:v>0</x:v>
      </x:c>
      <x:c r="AO562" s="60" t="str">
        <x:v>0</x:v>
      </x:c>
      <x:c r="AP562" s="76" t="str">
        <x:v>157 Google reviews; no embedded homepage video found</x:v>
      </x:c>
      <x:c r="AQ562" s="76" t="str">
        <x:v>testimonials; visible service offer; no embedded homepage video detected</x:v>
      </x:c>
      <x:c r="AR562" s="76" t="str">
        <x:v>Precision Air HVAC Inc. has 157 Google reviews—strong proof that could be turned into short-form ad concepts.</x:v>
      </x:c>
      <x:c r="AS562" s="76" t="str">
        <x:v>no-cool-call to same-day comfort ad</x:v>
      </x:c>
      <x:c r="AT562" s="76" t="str">
        <x:v>Precision Air HVAC Inc. ad concept</x:v>
      </x:c>
      <x:c r="AU562" s="76" t="str">
        <x:v>Hi Precision Air HVAC Inc. — Precision Air HVAC Inc. has 157 Google reviews—strong proof that could be turned into short-form ad concepts. I mapped a private 15-second no-cool-call to same-day comfort ad for Precision Air HVAC Inc. using only public brand context—not for publishing, just to show the angle. We build three client-approved video ad concepts in seven days, then turn the winners into fresh variations. No filming day required. Worth sending the private sample?</x:v>
      </x:c>
      <x:c r="AV562" s="76" t="str">
        <x:v>Quick follow-up: the sample angle is a no-cool-call to same-day comfort ad. If it misses the mark, no problem—I won't keep chasing. Should I send it?</x:v>
      </x:c>
      <x:c r="AW562" s="76" t="str">
        <x:v>Hi Precision Air HVAC Inc., Ryan here. I was looking at Precision Air HVAC Inc.'s public marketing and noticed: 157 google reviews; no embedded homepage video found. I mapped one private no-cool-call to same-day comfort ad as an example. Did I catch you with 30 seconds?</x:v>
      </x:c>
      <x:c r="AX562" s="60" t="str">
        <x:v>https://www.facebook.com/ads/library/?active_status=active&amp;ad_type=all&amp;country=US&amp;q=Precision%20Air%20HVAC%20Inc.&amp;search_type=keyword_unordered</x:v>
      </x:c>
      <x:c r="AY562" s="60" t="str">
        <x:v>ok:200</x:v>
      </x:c>
      <x:c r="AZ562" s="60" t="n">
        <x:v>46232.722858796296</x:v>
      </x:c>
      <x:c r="BA562" s="60" t="str">
        <x:v>Google Maps home-services export</x:v>
      </x:c>
      <x:c r="BB562" s="60" t="str">
        <x:v>https://bftprecisionair.com | https://maps.google.com/?cid=8422994526549730984&amp;g_mp=Cidnb29nbGUubWFwcy5wbGFjZXMudjEuUGxhY2VzLlNlYXJjaFRleHQQAhgEIAA</x:v>
      </x:c>
      <x:c r="BC562" s="60" t="str"/>
    </x:row>
    <x:row r="563" ht="18" customHeight="1">
      <x:c r="A563" s="70" t="str">
        <x:v>562</x:v>
      </x:c>
      <x:c r="B563" s="70" t="str">
        <x:v>C - Verify</x:v>
      </x:c>
      <x:c r="C563" s="72" t="str">
        <x:v>49</x:v>
      </x:c>
      <x:c r="D563" s="60" t="str">
        <x:v>Eagle Garage Door</x:v>
      </x:c>
      <x:c r="E563" s="60" t="str">
        <x:v>https://eagledoorgarage.com</x:v>
      </x:c>
      <x:c r="F563" s="60" t="str">
        <x:v>https://eagledoorgarage.com</x:v>
      </x:c>
      <x:c r="G563" s="60" t="str">
        <x:v>Charleston</x:v>
      </x:c>
      <x:c r="H563" s="60" t="str">
        <x:v>South Carolina</x:v>
      </x:c>
      <x:c r="I563" s="60" t="str">
        <x:v>Garage Doors</x:v>
      </x:c>
      <x:c r="J563" s="60" t="str">
        <x:v>Eagle Garage Door</x:v>
      </x:c>
      <x:c r="K563" s="60" t="str"/>
      <x:c r="L563" s="60" t="str">
        <x:v>Owner / decision maker to verify</x:v>
      </x:c>
      <x:c r="M563" s="60" t="str"/>
      <x:c r="N563" s="60" t="str"/>
      <x:c r="O563" s="60" t="str">
        <x:v>(843) 493-4203</x:v>
      </x:c>
      <x:c r="P563" s="60" t="str"/>
      <x:c r="Q563" s="60" t="str"/>
      <x:c r="R563" s="60" t="str"/>
      <x:c r="S563" s="60" t="str">
        <x:v>5</x:v>
      </x:c>
      <x:c r="T563" s="74" t="str">
        <x:v>39</x:v>
      </x:c>
      <x:c r="U563" s="60" t="str"/>
      <x:c r="V563" s="74" t="str">
        <x:v>22</x:v>
      </x:c>
      <x:c r="W563" s="74" t="str">
        <x:v>0</x:v>
      </x:c>
      <x:c r="X563" s="74" t="str">
        <x:v>13</x:v>
      </x:c>
      <x:c r="Y563" s="74" t="str">
        <x:v>9</x:v>
      </x:c>
      <x:c r="Z563" s="74" t="str">
        <x:v>5</x:v>
      </x:c>
      <x:c r="AA563" s="74" t="str">
        <x:v>0</x:v>
      </x:c>
      <x:c r="AB563" s="74" t="str">
        <x:v>0</x:v>
      </x:c>
      <x:c r="AC563" s="74" t="str">
        <x:v>0</x:v>
      </x:c>
      <x:c r="AD563" s="74" t="str">
        <x:v>0</x:v>
      </x:c>
      <x:c r="AE563" s="74" t="str">
        <x:v>0</x:v>
      </x:c>
      <x:c r="AF563" s="74" t="str"/>
      <x:c r="AG563" s="74" t="str">
        <x:v>0</x:v>
      </x:c>
      <x:c r="AH563" s="74" t="str">
        <x:v>0</x:v>
      </x:c>
      <x:c r="AI563" s="74" t="str">
        <x:v>1</x:v>
      </x:c>
      <x:c r="AJ563" s="74" t="str">
        <x:v>0</x:v>
      </x:c>
      <x:c r="AK563" s="74" t="str">
        <x:v>1</x:v>
      </x:c>
      <x:c r="AL563" s="74" t="str">
        <x:v>0</x:v>
      </x:c>
      <x:c r="AM563" s="74" t="str">
        <x:v>0</x:v>
      </x:c>
      <x:c r="AN563" s="74" t="str">
        <x:v>0</x:v>
      </x:c>
      <x:c r="AO563" s="60" t="str">
        <x:v>2024</x:v>
      </x:c>
      <x:c r="AP563" s="76" t="str">
        <x:v>ICP fit; paid-demand need requires manual verification</x:v>
      </x:c>
      <x:c r="AQ563" s="76" t="str">
        <x:v>testimonials; visible service offer; no embedded homepage video detected</x:v>
      </x:c>
      <x:c r="AR563" s="76" t="str">
        <x:v>I was reviewing garage doors companies in Charleston, South Carolina and Eagle Garage Door looked like a strong fit for a creative test.</x:v>
      </x:c>
      <x:c r="AS563" s="76" t="str">
        <x:v>curb-appeal transformation ad</x:v>
      </x:c>
      <x:c r="AT563" s="76" t="str">
        <x:v>Eagle Garage Door ad concept</x:v>
      </x:c>
      <x:c r="AU563" s="76" t="str">
        <x:v>Hi Eagle Garage Door — I was reviewing garage doors companies in Charleston, South Carolina and Eagle Garage Door looked like a strong fit for a creative test. I mapped a private 15-second curb-appeal transformation ad for Eagle Garage Door using only public brand context—not for publishing, just to show the angle. We build three client-approved video ad concepts in seven days, then turn the winners into fresh variations. No filming day required. Worth sending the private sample?</x:v>
      </x:c>
      <x:c r="AV563" s="76" t="str">
        <x:v>Quick follow-up: the sample angle is a curb-appeal transformation ad. If it misses the mark, no problem—I won't keep chasing. Should I send it?</x:v>
      </x:c>
      <x:c r="AW563" s="76" t="str">
        <x:v>Hi Eagle Garage Door, Ryan here. I was looking at Eagle Garage Door's public marketing and noticed: icp fit; paid-demand need requires manual verification. I mapped one private curb-appeal transformation ad as an example. Did I catch you with 30 seconds?</x:v>
      </x:c>
      <x:c r="AX563" s="60" t="str">
        <x:v>https://www.facebook.com/ads/library/?active_status=active&amp;ad_type=all&amp;country=US&amp;q=Eagle%20Garage%20Door&amp;search_type=keyword_unordered</x:v>
      </x:c>
      <x:c r="AY563" s="60" t="str">
        <x:v>ok:200</x:v>
      </x:c>
      <x:c r="AZ563" s="60" t="n">
        <x:v>46232.722858796296</x:v>
      </x:c>
      <x:c r="BA563" s="60" t="str">
        <x:v>Google Maps home-services export</x:v>
      </x:c>
      <x:c r="BB563" s="60" t="str">
        <x:v>https://eagledoorgarage.com | https://maps.google.com/?cid=5828925493060935861&amp;g_mp=Cidnb29nbGUubWFwcy5wbGFjZXMudjEuUGxhY2VzLlNlYXJjaFRleHQQAhgEIAA</x:v>
      </x:c>
      <x:c r="BC563" s="60" t="str"/>
    </x:row>
    <x:row r="564" ht="18" customHeight="1">
      <x:c r="A564" s="70" t="str">
        <x:v>563</x:v>
      </x:c>
      <x:c r="B564" s="70" t="str">
        <x:v>C - Verify</x:v>
      </x:c>
      <x:c r="C564" s="72" t="str">
        <x:v>49</x:v>
      </x:c>
      <x:c r="D564" s="60" t="str">
        <x:v>Ready. Set. Roof. LLC</x:v>
      </x:c>
      <x:c r="E564" s="60" t="str">
        <x:v>https://readysetroofsc.com</x:v>
      </x:c>
      <x:c r="F564" s="60" t="str">
        <x:v>https://www.readysetroofsc.com/</x:v>
      </x:c>
      <x:c r="G564" s="60" t="str">
        <x:v>Mount Pleasant</x:v>
      </x:c>
      <x:c r="H564" s="60" t="str">
        <x:v>South Carolina</x:v>
      </x:c>
      <x:c r="I564" s="60" t="str">
        <x:v>Roofing</x:v>
      </x:c>
      <x:c r="J564" s="60" t="str">
        <x:v>John “Cory”</x:v>
      </x:c>
      <x:c r="K564" s="60" t="str">
        <x:v>Mavis</x:v>
      </x:c>
      <x:c r="L564" s="60" t="str">
        <x:v>Owner</x:v>
      </x:c>
      <x:c r="M564" s="60" t="str">
        <x:v>john.mavis@readysetroofsc.com</x:v>
      </x:c>
      <x:c r="N564" s="60" t="str">
        <x:v>Verified with BounceBan on 08 Jun 26 12:06</x:v>
      </x:c>
      <x:c r="O564" s="60" t="str">
        <x:v>+1 716 868 5333</x:v>
      </x:c>
      <x:c r="P564" s="60" t="str">
        <x:v>https://www.linkedin.com/in/john-“cory”-mavis-9746a868</x:v>
      </x:c>
      <x:c r="Q564" s="60" t="str">
        <x:v>2-10</x:v>
      </x:c>
      <x:c r="R564" s="60" t="str">
        <x:v>100000-499999</x:v>
      </x:c>
      <x:c r="S564" s="60" t="str"/>
      <x:c r="T564" s="74" t="str">
        <x:v>0</x:v>
      </x:c>
      <x:c r="U564" s="60" t="str"/>
      <x:c r="V564" s="74" t="str">
        <x:v>28</x:v>
      </x:c>
      <x:c r="W564" s="74" t="str">
        <x:v>0</x:v>
      </x:c>
      <x:c r="X564" s="74" t="str">
        <x:v>3</x:v>
      </x:c>
      <x:c r="Y564" s="74" t="str">
        <x:v>8</x:v>
      </x:c>
      <x:c r="Z564" s="74" t="str">
        <x:v>10</x:v>
      </x:c>
      <x:c r="AA564" s="74" t="str">
        <x:v>0</x:v>
      </x:c>
      <x:c r="AB564" s="74" t="str">
        <x:v>0</x:v>
      </x:c>
      <x:c r="AC564" s="74" t="str">
        <x:v>0</x:v>
      </x:c>
      <x:c r="AD564" s="74" t="str">
        <x:v>0</x:v>
      </x:c>
      <x:c r="AE564" s="74" t="str">
        <x:v>0</x:v>
      </x:c>
      <x:c r="AF564" s="74" t="str"/>
      <x:c r="AG564" s="74" t="str">
        <x:v>1</x:v>
      </x:c>
      <x:c r="AH564" s="74" t="str">
        <x:v>1</x:v>
      </x:c>
      <x:c r="AI564" s="74" t="str">
        <x:v>0</x:v>
      </x:c>
      <x:c r="AJ564" s="74" t="str">
        <x:v>0</x:v>
      </x:c>
      <x:c r="AK564" s="74" t="str">
        <x:v>1</x:v>
      </x:c>
      <x:c r="AL564" s="74" t="str">
        <x:v>1</x:v>
      </x:c>
      <x:c r="AM564" s="74" t="str">
        <x:v>1</x:v>
      </x:c>
      <x:c r="AN564" s="74" t="str">
        <x:v>0</x:v>
      </x:c>
      <x:c r="AO564" s="60" t="str">
        <x:v>2024</x:v>
      </x:c>
      <x:c r="AP564" s="76" t="str">
        <x:v>ICP fit; paid-demand need requires manual verification</x:v>
      </x:c>
      <x:c r="AQ564" s="76" t="str">
        <x:v>project/gallery proof; visible service offer</x:v>
      </x:c>
      <x:c r="AR564" s="76" t="str">
        <x:v>I was reviewing roofing companies in Mount Pleasant, South Carolina and Ready. Set. Roof. LLC looked like a strong fit for a creative test.</x:v>
      </x:c>
      <x:c r="AS564" s="76" t="str">
        <x:v>storm-to-inspection before/after ad</x:v>
      </x:c>
      <x:c r="AT564" s="76" t="str">
        <x:v>Ready. Set. Roof. LLC ad concept</x:v>
      </x:c>
      <x:c r="AU564" s="76" t="str">
        <x:v>Hi John “Cory” — I was reviewing roofing companies in Mount Pleasant, South Carolina and Ready. Set. Roof. LLC looked like a strong fit for a creative test. I mapped a private 15-second storm-to-inspection before/after ad for Ready. Set. Roof. LLC using only public brand context—not for publishing, just to show the angle. We build three client-approved video ad concepts in seven days, then turn the winners into fresh variations. No filming day required. Worth sending the private sample?</x:v>
      </x:c>
      <x:c r="AV564" s="76" t="str">
        <x:v>Quick follow-up: the sample angle is a storm-to-inspection before/after ad. If it misses the mark, no problem—I won't keep chasing. Should I send it?</x:v>
      </x:c>
      <x:c r="AW564" s="76" t="str">
        <x:v>Hi John “Cory”, Ryan here. I was looking at Ready. Set. Roof. LLC's public marketing and noticed: icp fit; paid-demand need requires manual verification. I mapped one private storm-to-inspection before/after ad as an example. Did I catch you with 30 seconds?</x:v>
      </x:c>
      <x:c r="AX564" s="60" t="str">
        <x:v>https://www.facebook.com/ads/library/?active_status=active&amp;ad_type=all&amp;country=US&amp;q=Ready.%20Set.%20Roof.%20LLC&amp;search_type=keyword_unordered</x:v>
      </x:c>
      <x:c r="AY564" s="60" t="str">
        <x:v>ok:200</x:v>
      </x:c>
      <x:c r="AZ564" s="60" t="n">
        <x:v>46232.722858796296</x:v>
      </x:c>
      <x:c r="BA564" s="60" t="str">
        <x:v>AI Ark SC trades export</x:v>
      </x:c>
      <x:c r="BB564" s="60" t="str">
        <x:v>https://readysetroofsc.com | https://www.linkedin.com/company/ready-set-roof-sc</x:v>
      </x:c>
      <x:c r="BC564" s="60" t="str"/>
    </x:row>
    <x:row r="565" ht="18" customHeight="1">
      <x:c r="A565" s="70" t="str">
        <x:v>564</x:v>
      </x:c>
      <x:c r="B565" s="70" t="str">
        <x:v>C - Verify</x:v>
      </x:c>
      <x:c r="C565" s="72" t="str">
        <x:v>49</x:v>
      </x:c>
      <x:c r="D565" s="60" t="str">
        <x:v>Everett Johnson Roofing Co</x:v>
      </x:c>
      <x:c r="E565" s="60" t="str">
        <x:v>https://everettjohnsonroofing.com</x:v>
      </x:c>
      <x:c r="F565" s="60" t="str">
        <x:v>https://everettjohnsonroofing.com</x:v>
      </x:c>
      <x:c r="G565" s="60" t="str">
        <x:v>Aiken</x:v>
      </x:c>
      <x:c r="H565" s="60" t="str">
        <x:v>South Carolina</x:v>
      </x:c>
      <x:c r="I565" s="60" t="str">
        <x:v>Roofing</x:v>
      </x:c>
      <x:c r="J565" s="60" t="str">
        <x:v>Rhett</x:v>
      </x:c>
      <x:c r="K565" s="60" t="str">
        <x:v>Johnson</x:v>
      </x:c>
      <x:c r="L565" s="60" t="str">
        <x:v>Owner/operator</x:v>
      </x:c>
      <x:c r="M565" s="60" t="str"/>
      <x:c r="N565" s="60" t="str"/>
      <x:c r="O565" s="60" t="str">
        <x:v>+1 803 641 2365</x:v>
      </x:c>
      <x:c r="P565" s="60" t="str">
        <x:v>https://www.linkedin.com/in/rhett-johnson-870560158</x:v>
      </x:c>
      <x:c r="Q565" s="60" t="str">
        <x:v>2-10</x:v>
      </x:c>
      <x:c r="R565" s="60" t="str">
        <x:v>100000-499999</x:v>
      </x:c>
      <x:c r="S565" s="60" t="str">
        <x:v>4.3</x:v>
      </x:c>
      <x:c r="T565" s="74" t="str">
        <x:v>23</x:v>
      </x:c>
      <x:c r="U565" s="60" t="str">
        <x:v>no_show, scheduling</x:v>
      </x:c>
      <x:c r="V565" s="74" t="str">
        <x:v>28</x:v>
      </x:c>
      <x:c r="W565" s="74" t="str">
        <x:v>0</x:v>
      </x:c>
      <x:c r="X565" s="74" t="str">
        <x:v>8</x:v>
      </x:c>
      <x:c r="Y565" s="74" t="str">
        <x:v>8</x:v>
      </x:c>
      <x:c r="Z565" s="74" t="str">
        <x:v>5</x:v>
      </x:c>
      <x:c r="AA565" s="74" t="str">
        <x:v>0</x:v>
      </x:c>
      <x:c r="AB565" s="74" t="str">
        <x:v>0</x:v>
      </x:c>
      <x:c r="AC565" s="74" t="str">
        <x:v>0</x:v>
      </x:c>
      <x:c r="AD565" s="74" t="str">
        <x:v>0</x:v>
      </x:c>
      <x:c r="AE565" s="74" t="str">
        <x:v>0</x:v>
      </x:c>
      <x:c r="AF565" s="74" t="str"/>
      <x:c r="AG565" s="74" t="str">
        <x:v>0</x:v>
      </x:c>
      <x:c r="AH565" s="74" t="str">
        <x:v>1</x:v>
      </x:c>
      <x:c r="AI565" s="74" t="str">
        <x:v>0</x:v>
      </x:c>
      <x:c r="AJ565" s="74" t="str">
        <x:v>0</x:v>
      </x:c>
      <x:c r="AK565" s="74" t="str">
        <x:v>1</x:v>
      </x:c>
      <x:c r="AL565" s="74" t="str">
        <x:v>1</x:v>
      </x:c>
      <x:c r="AM565" s="74" t="str">
        <x:v>1</x:v>
      </x:c>
      <x:c r="AN565" s="74" t="str">
        <x:v>0</x:v>
      </x:c>
      <x:c r="AO565" s="60" t="str">
        <x:v>0</x:v>
      </x:c>
      <x:c r="AP565" s="76" t="str">
        <x:v>Project/gallery proof found; no embedded homepage video found</x:v>
      </x:c>
      <x:c r="AQ565" s="76" t="str">
        <x:v>project/gallery proof; visible service offer; no embedded homepage video detected</x:v>
      </x:c>
      <x:c r="AR565" s="76" t="str">
        <x:v>I found project/gallery proof on Everett Johnson Roofing Co's site that could be repackaged into short-form ad concepts.</x:v>
      </x:c>
      <x:c r="AS565" s="76" t="str">
        <x:v>storm-to-inspection before/after ad</x:v>
      </x:c>
      <x:c r="AT565" s="76" t="str">
        <x:v>Everett Johnson Roofing Co ad concept</x:v>
      </x:c>
      <x:c r="AU565" s="76" t="str">
        <x:v>Hi Rhett — I found project/gallery proof on Everett Johnson Roofing Co's site that could be repackaged into short-form ad concepts. I mapped a private 15-second storm-to-inspection before/after ad for Everett Johnson Roofing Co using only public brand context—not for publishing, just to show the angle. We build three client-approved video ad concepts in seven days, then turn the winners into fresh variations. No filming day required. Worth sending the private sample?</x:v>
      </x:c>
      <x:c r="AV565" s="76" t="str">
        <x:v>Quick follow-up: the sample angle is a storm-to-inspection before/after ad. If it misses the mark, no problem—I won't keep chasing. Should I send it?</x:v>
      </x:c>
      <x:c r="AW565" s="76" t="str">
        <x:v>Hi Rhett, Ryan here. I was looking at Everett Johnson Roofing Co's public marketing and noticed: project/gallery proof found; no embedded homepage video found. I mapped one private storm-to-inspection before/after ad as an example. Did I catch you with 30 seconds?</x:v>
      </x:c>
      <x:c r="AX565" s="60" t="str">
        <x:v>https://www.facebook.com/ads/library/?active_status=active&amp;ad_type=all&amp;country=US&amp;q=Everett%20Johnson%20Roofing%20Co&amp;search_type=keyword_unordered</x:v>
      </x:c>
      <x:c r="AY565" s="60" t="str">
        <x:v>ok:200</x:v>
      </x:c>
      <x:c r="AZ565" s="60" t="n">
        <x:v>46232.722858796296</x:v>
      </x:c>
      <x:c r="BA565" s="60" t="str">
        <x:v>AI Ark SC trades export | Google Maps home-services export</x:v>
      </x:c>
      <x:c r="BB565" s="60" t="str">
        <x:v>https://everettjohnsonroofing.com | https://maps.google.com/?cid=3770661812498674035&amp;g_mp=Cidnb29nbGUubWFwcy5wbGFjZXMudjEuUGxhY2VzLlNlYXJjaFRleHQQAhgEIAA | https://www.linkedin.com/company/everett-johnson-roofing-co</x:v>
      </x:c>
      <x:c r="BC565" s="60" t="str"/>
    </x:row>
    <x:row r="566" ht="18" customHeight="1">
      <x:c r="A566" s="70" t="str">
        <x:v>565</x:v>
      </x:c>
      <x:c r="B566" s="70" t="str">
        <x:v>C - Verify</x:v>
      </x:c>
      <x:c r="C566" s="72" t="str">
        <x:v>49</x:v>
      </x:c>
      <x:c r="D566" s="60" t="str">
        <x:v>First Call Heating &amp; Cooling</x:v>
      </x:c>
      <x:c r="E566" s="60" t="str">
        <x:v>https://843hvac-sc.com</x:v>
      </x:c>
      <x:c r="F566" s="60" t="str">
        <x:v>https://843hvac-sc.com</x:v>
      </x:c>
      <x:c r="G566" s="60" t="str">
        <x:v>Charleston</x:v>
      </x:c>
      <x:c r="H566" s="60" t="str">
        <x:v>South Carolina</x:v>
      </x:c>
      <x:c r="I566" s="60" t="str">
        <x:v>HVAC</x:v>
      </x:c>
      <x:c r="J566" s="60" t="str">
        <x:v>First Call Heating &amp; Cooling</x:v>
      </x:c>
      <x:c r="K566" s="60" t="str"/>
      <x:c r="L566" s="60" t="str">
        <x:v>Owner / decision maker to verify</x:v>
      </x:c>
      <x:c r="M566" s="60" t="str"/>
      <x:c r="N566" s="60" t="str"/>
      <x:c r="O566" s="60" t="str">
        <x:v>(843) 642-0881</x:v>
      </x:c>
      <x:c r="P566" s="60" t="str"/>
      <x:c r="Q566" s="60" t="str"/>
      <x:c r="R566" s="60" t="str"/>
      <x:c r="S566" s="60" t="str">
        <x:v>5</x:v>
      </x:c>
      <x:c r="T566" s="74" t="str">
        <x:v>160</x:v>
      </x:c>
      <x:c r="U566" s="60" t="str"/>
      <x:c r="V566" s="74" t="str">
        <x:v>28</x:v>
      </x:c>
      <x:c r="W566" s="74" t="str">
        <x:v>0</x:v>
      </x:c>
      <x:c r="X566" s="74" t="str">
        <x:v>10</x:v>
      </x:c>
      <x:c r="Y566" s="74" t="str">
        <x:v>6</x:v>
      </x:c>
      <x:c r="Z566" s="74" t="str">
        <x:v>5</x:v>
      </x:c>
      <x:c r="AA566" s="74" t="str">
        <x:v>0</x:v>
      </x:c>
      <x:c r="AB566" s="74" t="str">
        <x:v>0</x:v>
      </x:c>
      <x:c r="AC566" s="74" t="str">
        <x:v>0</x:v>
      </x:c>
      <x:c r="AD566" s="74" t="str">
        <x:v>0</x:v>
      </x:c>
      <x:c r="AE566" s="74" t="str">
        <x:v>0</x:v>
      </x:c>
      <x:c r="AF566" s="74" t="str"/>
      <x:c r="AG566" s="74" t="str">
        <x:v>0</x:v>
      </x:c>
      <x:c r="AH566" s="74" t="str">
        <x:v>0</x:v>
      </x:c>
      <x:c r="AI566" s="74" t="str">
        <x:v>0</x:v>
      </x:c>
      <x:c r="AJ566" s="74" t="str">
        <x:v>0</x:v>
      </x:c>
      <x:c r="AK566" s="74" t="str">
        <x:v>1</x:v>
      </x:c>
      <x:c r="AL566" s="74" t="str">
        <x:v>0</x:v>
      </x:c>
      <x:c r="AM566" s="74" t="str">
        <x:v>0</x:v>
      </x:c>
      <x:c r="AN566" s="74" t="str">
        <x:v>0</x:v>
      </x:c>
      <x:c r="AO566" s="60" t="str">
        <x:v>0</x:v>
      </x:c>
      <x:c r="AP566" s="76" t="str">
        <x:v>160 Google reviews; no embedded homepage video found</x:v>
      </x:c>
      <x:c r="AQ566" s="76" t="str">
        <x:v>visible service offer; no embedded homepage video detected</x:v>
      </x:c>
      <x:c r="AR566" s="76" t="str">
        <x:v>First Call Heating &amp; Cooling has 160 Google reviews—strong proof that could be turned into short-form ad concepts.</x:v>
      </x:c>
      <x:c r="AS566" s="76" t="str">
        <x:v>no-cool-call to same-day comfort ad</x:v>
      </x:c>
      <x:c r="AT566" s="76" t="str">
        <x:v>First Call Heating &amp; Cooling ad concept</x:v>
      </x:c>
      <x:c r="AU566" s="76" t="str">
        <x:v>Hi First Call Heating &amp; Cooling — First Call Heating &amp; Cooling has 160 Google reviews—strong proof that could be turned into short-form ad concepts. I mapped a private 15-second no-cool-call to same-day comfort ad for First Call Heating &amp; Cooling using only public brand context—not for publishing, just to show the angle. We build three client-approved video ad concepts in seven days, then turn the winners into fresh variations. No filming day required. Worth sending the private sample?</x:v>
      </x:c>
      <x:c r="AV566" s="76" t="str">
        <x:v>Quick follow-up: the sample angle is a no-cool-call to same-day comfort ad. If it misses the mark, no problem—I won't keep chasing. Should I send it?</x:v>
      </x:c>
      <x:c r="AW566" s="76" t="str">
        <x:v>Hi First Call Heating &amp; Cooling, Ryan here. I was looking at First Call Heating &amp; Cooling's public marketing and noticed: 160 google reviews; no embedded homepage video found. I mapped one private no-cool-call to same-day comfort ad as an example. Did I catch you with 30 seconds?</x:v>
      </x:c>
      <x:c r="AX566" s="60" t="str">
        <x:v>https://www.facebook.com/ads/library/?active_status=active&amp;ad_type=all&amp;country=US&amp;q=First%20Call%20Heating%20%26%20Cooling&amp;search_type=keyword_unordered</x:v>
      </x:c>
      <x:c r="AY566" s="60" t="str">
        <x:v>ok:200</x:v>
      </x:c>
      <x:c r="AZ566" s="60" t="n">
        <x:v>46232.722858796296</x:v>
      </x:c>
      <x:c r="BA566" s="60" t="str">
        <x:v>Google Maps home-services export</x:v>
      </x:c>
      <x:c r="BB566" s="60" t="str">
        <x:v>https://843hvac-sc.com | https://maps.google.com/?cid=8772365021113881013&amp;g_mp=Cidnb29nbGUubWFwcy5wbGFjZXMudjEuUGxhY2VzLlNlYXJjaFRleHQQAhgEIAA</x:v>
      </x:c>
      <x:c r="BC566" s="60" t="str"/>
    </x:row>
    <x:row r="567" ht="18" customHeight="1">
      <x:c r="A567" s="70" t="str">
        <x:v>566</x:v>
      </x:c>
      <x:c r="B567" s="70" t="str">
        <x:v>C - Verify</x:v>
      </x:c>
      <x:c r="C567" s="72" t="str">
        <x:v>49</x:v>
      </x:c>
      <x:c r="D567" s="60" t="str">
        <x:v>JEM Construction</x:v>
      </x:c>
      <x:c r="E567" s="60" t="str">
        <x:v>https://jemconstructiongroup.com</x:v>
      </x:c>
      <x:c r="F567" s="60" t="str">
        <x:v>https://jemconstructiongroup.com</x:v>
      </x:c>
      <x:c r="G567" s="60" t="str">
        <x:v>Charleston</x:v>
      </x:c>
      <x:c r="H567" s="60" t="str">
        <x:v>South Carolina</x:v>
      </x:c>
      <x:c r="I567" s="60" t="str">
        <x:v>Remodeling</x:v>
      </x:c>
      <x:c r="J567" s="60" t="str">
        <x:v>Eric</x:v>
      </x:c>
      <x:c r="K567" s="60" t="str">
        <x:v>Martin</x:v>
      </x:c>
      <x:c r="L567" s="60" t="str">
        <x:v>Owner</x:v>
      </x:c>
      <x:c r="M567" s="60" t="str"/>
      <x:c r="N567" s="60" t="str"/>
      <x:c r="O567" s="60" t="str">
        <x:v>+1 843 270 6180</x:v>
      </x:c>
      <x:c r="P567" s="60" t="str">
        <x:v>https://www.linkedin.com/in/eric-martin-3130bba6</x:v>
      </x:c>
      <x:c r="Q567" s="60" t="str">
        <x:v>2-10</x:v>
      </x:c>
      <x:c r="R567" s="60" t="str">
        <x:v>1000000-4999999</x:v>
      </x:c>
      <x:c r="S567" s="60" t="str"/>
      <x:c r="T567" s="74" t="str">
        <x:v>0</x:v>
      </x:c>
      <x:c r="U567" s="60" t="str"/>
      <x:c r="V567" s="74" t="str">
        <x:v>29</x:v>
      </x:c>
      <x:c r="W567" s="74" t="str">
        <x:v>0</x:v>
      </x:c>
      <x:c r="X567" s="74" t="str">
        <x:v>10</x:v>
      </x:c>
      <x:c r="Y567" s="74" t="str">
        <x:v>5</x:v>
      </x:c>
      <x:c r="Z567" s="74" t="str">
        <x:v>5</x:v>
      </x:c>
      <x:c r="AA567" s="74" t="str">
        <x:v>0</x:v>
      </x:c>
      <x:c r="AB567" s="74" t="str">
        <x:v>0</x:v>
      </x:c>
      <x:c r="AC567" s="74" t="str">
        <x:v>0</x:v>
      </x:c>
      <x:c r="AD567" s="74" t="str">
        <x:v>0</x:v>
      </x:c>
      <x:c r="AE567" s="74" t="str">
        <x:v>0</x:v>
      </x:c>
      <x:c r="AF567" s="74" t="str"/>
      <x:c r="AG567" s="74" t="str">
        <x:v>0</x:v>
      </x:c>
      <x:c r="AH567" s="74" t="str">
        <x:v>1</x:v>
      </x:c>
      <x:c r="AI567" s="74" t="str">
        <x:v>0</x:v>
      </x:c>
      <x:c r="AJ567" s="74" t="str">
        <x:v>0</x:v>
      </x:c>
      <x:c r="AK567" s="74" t="str">
        <x:v>0</x:v>
      </x:c>
      <x:c r="AL567" s="74" t="str">
        <x:v>0</x:v>
      </x:c>
      <x:c r="AM567" s="74" t="str">
        <x:v>0</x:v>
      </x:c>
      <x:c r="AN567" s="74" t="str">
        <x:v>0</x:v>
      </x:c>
      <x:c r="AO567" s="60" t="str">
        <x:v>2026</x:v>
      </x:c>
      <x:c r="AP567" s="76" t="str">
        <x:v>Project/gallery proof found; no embedded homepage video found</x:v>
      </x:c>
      <x:c r="AQ567" s="76" t="str">
        <x:v>project/gallery proof; no embedded homepage video detected</x:v>
      </x:c>
      <x:c r="AR567" s="76" t="str">
        <x:v>I found project/gallery proof on JEM Construction's site that could be repackaged into short-form ad concepts.</x:v>
      </x:c>
      <x:c r="AS567" s="76" t="str">
        <x:v>project reveal with budget-and-timeline proof</x:v>
      </x:c>
      <x:c r="AT567" s="76" t="str">
        <x:v>JEM Construction ad concept</x:v>
      </x:c>
      <x:c r="AU567" s="76" t="str">
        <x:v>Hi Eric — I found project/gallery proof on JEM Construction's site that could be repackaged into short-form ad concepts. I mapped a private 15-second project reveal with budget-and-timeline proof for JEM Construction using only public brand context—not for publishing, just to show the angle. We build three client-approved video ad concepts in seven days, then turn the winners into fresh variations. No filming day required. Worth sending the private sample?</x:v>
      </x:c>
      <x:c r="AV567" s="76" t="str">
        <x:v>Quick follow-up: the sample angle is a project reveal with budget-and-timeline proof. If it misses the mark, no problem—I won't keep chasing. Should I send it?</x:v>
      </x:c>
      <x:c r="AW567" s="76" t="str">
        <x:v>Hi Eric, Ryan here. I was looking at JEM Construction's public marketing and noticed: project/gallery proof found; no embedded homepage video found. I mapped one private project reveal with budget-and-timeline proof as an example. Did I catch you with 30 seconds?</x:v>
      </x:c>
      <x:c r="AX567" s="60" t="str">
        <x:v>https://www.facebook.com/ads/library/?active_status=active&amp;ad_type=all&amp;country=US&amp;q=JEM%20Construction&amp;search_type=keyword_unordered</x:v>
      </x:c>
      <x:c r="AY567" s="60" t="str">
        <x:v>ok:200</x:v>
      </x:c>
      <x:c r="AZ567" s="60" t="n">
        <x:v>46232.722858796296</x:v>
      </x:c>
      <x:c r="BA567" s="60" t="str">
        <x:v>AI Ark SC trades export</x:v>
      </x:c>
      <x:c r="BB567" s="60" t="str">
        <x:v>https://jemconstructiongroup.com | https://www.linkedin.com/company/jem-construction</x:v>
      </x:c>
      <x:c r="BC567" s="60" t="str"/>
    </x:row>
    <x:row r="568" ht="18" customHeight="1">
      <x:c r="A568" s="70" t="str">
        <x:v>567</x:v>
      </x:c>
      <x:c r="B568" s="70" t="str">
        <x:v>C - Verify</x:v>
      </x:c>
      <x:c r="C568" s="72" t="str">
        <x:v>49</x:v>
      </x:c>
      <x:c r="D568" s="60" t="str">
        <x:v>Buckhannon Tile + Design</x:v>
      </x:c>
      <x:c r="E568" s="60" t="str">
        <x:v>https://buckhannontd.com</x:v>
      </x:c>
      <x:c r="F568" s="60" t="str">
        <x:v>https://www.buckhannontd.com/</x:v>
      </x:c>
      <x:c r="G568" s="60" t="str">
        <x:v>Charleston</x:v>
      </x:c>
      <x:c r="H568" s="60" t="str">
        <x:v>South Carolina</x:v>
      </x:c>
      <x:c r="I568" s="60" t="str">
        <x:v>Remodeling</x:v>
      </x:c>
      <x:c r="J568" s="60" t="str">
        <x:v>Ronald Kevin</x:v>
      </x:c>
      <x:c r="K568" s="60" t="str">
        <x:v>Elliott</x:v>
      </x:c>
      <x:c r="L568" s="60" t="str">
        <x:v>President/Owner</x:v>
      </x:c>
      <x:c r="M568" s="60" t="str">
        <x:v>kevin@buckhannontd.com</x:v>
      </x:c>
      <x:c r="N568" s="60" t="str">
        <x:v>Verified with BounceBan on 08 Jun 26 12:06</x:v>
      </x:c>
      <x:c r="O568" s="60" t="str"/>
      <x:c r="P568" s="60" t="str">
        <x:v>https://www.linkedin.com/in/ronald-kevin-elliott</x:v>
      </x:c>
      <x:c r="Q568" s="60" t="str">
        <x:v>11-50</x:v>
      </x:c>
      <x:c r="R568" s="60" t="str">
        <x:v>0-99999</x:v>
      </x:c>
      <x:c r="S568" s="60" t="str"/>
      <x:c r="T568" s="74" t="str">
        <x:v>0</x:v>
      </x:c>
      <x:c r="U568" s="60" t="str"/>
      <x:c r="V568" s="74" t="str">
        <x:v>28</x:v>
      </x:c>
      <x:c r="W568" s="74" t="str">
        <x:v>0</x:v>
      </x:c>
      <x:c r="X568" s="74" t="str">
        <x:v>10</x:v>
      </x:c>
      <x:c r="Y568" s="74" t="str">
        <x:v>4</x:v>
      </x:c>
      <x:c r="Z568" s="74" t="str">
        <x:v>7</x:v>
      </x:c>
      <x:c r="AA568" s="74" t="str">
        <x:v>0</x:v>
      </x:c>
      <x:c r="AB568" s="74" t="str">
        <x:v>0</x:v>
      </x:c>
      <x:c r="AC568" s="74" t="str">
        <x:v>0</x:v>
      </x:c>
      <x:c r="AD568" s="74" t="str">
        <x:v>0</x:v>
      </x:c>
      <x:c r="AE568" s="74" t="str">
        <x:v>0</x:v>
      </x:c>
      <x:c r="AF568" s="74" t="str"/>
      <x:c r="AG568" s="74" t="str">
        <x:v>0</x:v>
      </x:c>
      <x:c r="AH568" s="74" t="str">
        <x:v>0</x:v>
      </x:c>
      <x:c r="AI568" s="74" t="str">
        <x:v>1</x:v>
      </x:c>
      <x:c r="AJ568" s="74" t="str">
        <x:v>0</x:v>
      </x:c>
      <x:c r="AK568" s="74" t="str">
        <x:v>0</x:v>
      </x:c>
      <x:c r="AL568" s="74" t="str">
        <x:v>0</x:v>
      </x:c>
      <x:c r="AM568" s="74" t="str">
        <x:v>0</x:v>
      </x:c>
      <x:c r="AN568" s="74" t="str">
        <x:v>0</x:v>
      </x:c>
      <x:c r="AO568" s="60" t="str">
        <x:v>0</x:v>
      </x:c>
      <x:c r="AP568" s="76" t="str">
        <x:v>ICP fit; paid-demand need requires manual verification</x:v>
      </x:c>
      <x:c r="AQ568" s="76" t="str">
        <x:v>testimonials; no embedded homepage video detected</x:v>
      </x:c>
      <x:c r="AR568" s="76" t="str">
        <x:v>I was reviewing remodeling companies in Charleston, South Carolina and Buckhannon Tile + Design looked like a strong fit for a creative test.</x:v>
      </x:c>
      <x:c r="AS568" s="76" t="str">
        <x:v>project reveal with budget-and-timeline proof</x:v>
      </x:c>
      <x:c r="AT568" s="76" t="str">
        <x:v>Buckhannon Tile + Design ad concept</x:v>
      </x:c>
      <x:c r="AU568" s="76" t="str">
        <x:v>Hi Ronald Kevin — I was reviewing remodeling companies in Charleston, South Carolina and Buckhannon Tile + Design looked like a strong fit for a creative test. I mapped a private 15-second project reveal with budget-and-timeline proof for Buckhannon Tile + Design using only public brand context—not for publishing, just to show the angle. We build three client-approved video ad concepts in seven days, then turn the winners into fresh variations. No filming day required. Worth sending the private sample?</x:v>
      </x:c>
      <x:c r="AV568" s="76" t="str">
        <x:v>Quick follow-up: the sample angle is a project reveal with budget-and-timeline proof. If it misses the mark, no problem—I won't keep chasing. Should I send it?</x:v>
      </x:c>
      <x:c r="AW568" s="76" t="str">
        <x:v>Hi Ronald Kevin, Ryan here. I was looking at Buckhannon Tile + Design's public marketing and noticed: icp fit; paid-demand need requires manual verification. I mapped one private project reveal with budget-and-timeline proof as an example. Did I catch you with 30 seconds?</x:v>
      </x:c>
      <x:c r="AX568" s="60" t="str">
        <x:v>https://www.facebook.com/ads/library/?active_status=active&amp;ad_type=all&amp;country=US&amp;q=Buckhannon%20Tile%20%2B%20Design&amp;search_type=keyword_unordered</x:v>
      </x:c>
      <x:c r="AY568" s="60" t="str">
        <x:v>ok:200</x:v>
      </x:c>
      <x:c r="AZ568" s="60" t="n">
        <x:v>46232.722858796296</x:v>
      </x:c>
      <x:c r="BA568" s="60" t="str">
        <x:v>AI Ark SC trades export</x:v>
      </x:c>
      <x:c r="BB568" s="60" t="str">
        <x:v>https://buckhannontd.com | https://www.linkedin.com/company/buckhannon-tile-design</x:v>
      </x:c>
      <x:c r="BC568" s="60" t="str"/>
    </x:row>
    <x:row r="569" ht="18" customHeight="1">
      <x:c r="A569" s="70" t="str">
        <x:v>568</x:v>
      </x:c>
      <x:c r="B569" s="70" t="str">
        <x:v>C - Verify</x:v>
      </x:c>
      <x:c r="C569" s="72" t="str">
        <x:v>49</x:v>
      </x:c>
      <x:c r="D569" s="60" t="str">
        <x:v>Russell Construction Company</x:v>
      </x:c>
      <x:c r="E569" s="60" t="str">
        <x:v>https://russcon.com</x:v>
      </x:c>
      <x:c r="F569" s="60" t="str">
        <x:v>https://www.russcon.com/</x:v>
      </x:c>
      <x:c r="G569" s="60" t="str">
        <x:v>Spartanburg</x:v>
      </x:c>
      <x:c r="H569" s="60" t="str">
        <x:v>South Carolina</x:v>
      </x:c>
      <x:c r="I569" s="60" t="str">
        <x:v>Remodeling</x:v>
      </x:c>
      <x:c r="J569" s="60" t="str">
        <x:v>Steve</x:v>
      </x:c>
      <x:c r="K569" s="60" t="str">
        <x:v>Russell</x:v>
      </x:c>
      <x:c r="L569" s="60" t="str">
        <x:v>Owner</x:v>
      </x:c>
      <x:c r="M569" s="60" t="str"/>
      <x:c r="N569" s="60" t="str"/>
      <x:c r="O569" s="60" t="str">
        <x:v>+1 864 583 2406</x:v>
      </x:c>
      <x:c r="P569" s="60" t="str">
        <x:v>https://www.linkedin.com/in/steve-russell-a1804a103</x:v>
      </x:c>
      <x:c r="Q569" s="60" t="str">
        <x:v>11-50</x:v>
      </x:c>
      <x:c r="R569" s="60" t="str">
        <x:v>1000000-4999999</x:v>
      </x:c>
      <x:c r="S569" s="60" t="str"/>
      <x:c r="T569" s="74" t="str">
        <x:v>0</x:v>
      </x:c>
      <x:c r="U569" s="60" t="str"/>
      <x:c r="V569" s="74" t="str">
        <x:v>30</x:v>
      </x:c>
      <x:c r="W569" s="74" t="str">
        <x:v>0</x:v>
      </x:c>
      <x:c r="X569" s="74" t="str">
        <x:v>10</x:v>
      </x:c>
      <x:c r="Y569" s="74" t="str">
        <x:v>4</x:v>
      </x:c>
      <x:c r="Z569" s="74" t="str">
        <x:v>5</x:v>
      </x:c>
      <x:c r="AA569" s="74" t="str">
        <x:v>0</x:v>
      </x:c>
      <x:c r="AB569" s="74" t="str">
        <x:v>0</x:v>
      </x:c>
      <x:c r="AC569" s="74" t="str">
        <x:v>0</x:v>
      </x:c>
      <x:c r="AD569" s="74" t="str">
        <x:v>0</x:v>
      </x:c>
      <x:c r="AE569" s="74" t="str">
        <x:v>0</x:v>
      </x:c>
      <x:c r="AF569" s="74" t="str"/>
      <x:c r="AG569" s="74" t="str">
        <x:v>0</x:v>
      </x:c>
      <x:c r="AH569" s="74" t="str">
        <x:v>0</x:v>
      </x:c>
      <x:c r="AI569" s="74" t="str">
        <x:v>1</x:v>
      </x:c>
      <x:c r="AJ569" s="74" t="str">
        <x:v>0</x:v>
      </x:c>
      <x:c r="AK569" s="74" t="str">
        <x:v>0</x:v>
      </x:c>
      <x:c r="AL569" s="74" t="str">
        <x:v>0</x:v>
      </x:c>
      <x:c r="AM569" s="74" t="str">
        <x:v>0</x:v>
      </x:c>
      <x:c r="AN569" s="74" t="str">
        <x:v>0</x:v>
      </x:c>
      <x:c r="AO569" s="60" t="str">
        <x:v>0</x:v>
      </x:c>
      <x:c r="AP569" s="76" t="str">
        <x:v>ICP fit; paid-demand need requires manual verification</x:v>
      </x:c>
      <x:c r="AQ569" s="76" t="str">
        <x:v>testimonials; no embedded homepage video detected</x:v>
      </x:c>
      <x:c r="AR569" s="76" t="str">
        <x:v>I was reviewing remodeling companies in Spartanburg, South Carolina and Russell Construction Company looked like a strong fit for a creative test.</x:v>
      </x:c>
      <x:c r="AS569" s="76" t="str">
        <x:v>project reveal with budget-and-timeline proof</x:v>
      </x:c>
      <x:c r="AT569" s="76" t="str">
        <x:v>Russell Construction Company ad concept</x:v>
      </x:c>
      <x:c r="AU569" s="76" t="str">
        <x:v>Hi Steve — I was reviewing remodeling companies in Spartanburg, South Carolina and Russell Construction Company looked like a strong fit for a creative test. I mapped a private 15-second project reveal with budget-and-timeline proof for Russell Construction Company using only public brand context—not for publishing, just to show the angle. We build three client-approved video ad concepts in seven days, then turn the winners into fresh variations. No filming day required. Worth sending the private sample?</x:v>
      </x:c>
      <x:c r="AV569" s="76" t="str">
        <x:v>Quick follow-up: the sample angle is a project reveal with budget-and-timeline proof. If it misses the mark, no problem—I won't keep chasing. Should I send it?</x:v>
      </x:c>
      <x:c r="AW569" s="76" t="str">
        <x:v>Hi Steve, Ryan here. I was looking at Russell Construction Company's public marketing and noticed: icp fit; paid-demand need requires manual verification. I mapped one private project reveal with budget-and-timeline proof as an example. Did I catch you with 30 seconds?</x:v>
      </x:c>
      <x:c r="AX569" s="60" t="str">
        <x:v>https://www.facebook.com/ads/library/?active_status=active&amp;ad_type=all&amp;country=US&amp;q=Russell%20Construction%20Company&amp;search_type=keyword_unordered</x:v>
      </x:c>
      <x:c r="AY569" s="60" t="str">
        <x:v>ok:200</x:v>
      </x:c>
      <x:c r="AZ569" s="60" t="n">
        <x:v>46232.722858796296</x:v>
      </x:c>
      <x:c r="BA569" s="60" t="str">
        <x:v>AI Ark SC trades export</x:v>
      </x:c>
      <x:c r="BB569" s="60" t="str">
        <x:v>https://russcon.com | https://www.linkedin.com/company/russell-construction-company</x:v>
      </x:c>
      <x:c r="BC569" s="60" t="str"/>
    </x:row>
    <x:row r="570" ht="18" customHeight="1">
      <x:c r="A570" s="70" t="str">
        <x:v>569</x:v>
      </x:c>
      <x:c r="B570" s="70" t="str">
        <x:v>C - Verify</x:v>
      </x:c>
      <x:c r="C570" s="72" t="str">
        <x:v>49</x:v>
      </x:c>
      <x:c r="D570" s="60" t="str">
        <x:v>River City Renovations</x:v>
      </x:c>
      <x:c r="E570" s="60" t="str">
        <x:v>https://rivercityrenovations.com.au</x:v>
      </x:c>
      <x:c r="F570" s="60" t="str">
        <x:v>https://rivercityrenovations.com.au</x:v>
      </x:c>
      <x:c r="G570" s="60" t="str">
        <x:v>Lexington County</x:v>
      </x:c>
      <x:c r="H570" s="60" t="str">
        <x:v>South Carolina</x:v>
      </x:c>
      <x:c r="I570" s="60" t="str">
        <x:v>Remodeling</x:v>
      </x:c>
      <x:c r="J570" s="60" t="str">
        <x:v>David</x:v>
      </x:c>
      <x:c r="K570" s="60" t="str">
        <x:v>Dreher</x:v>
      </x:c>
      <x:c r="L570" s="60" t="str">
        <x:v>Company Owner</x:v>
      </x:c>
      <x:c r="M570" s="60" t="str"/>
      <x:c r="N570" s="60" t="str"/>
      <x:c r="O570" s="60" t="str">
        <x:v>+1 803 622 1755</x:v>
      </x:c>
      <x:c r="P570" s="60" t="str">
        <x:v>https://www.linkedin.com/in/david-dreher-5a08308</x:v>
      </x:c>
      <x:c r="Q570" s="60" t="str">
        <x:v>11-50</x:v>
      </x:c>
      <x:c r="R570" s="60" t="str">
        <x:v>1000000-4999999</x:v>
      </x:c>
      <x:c r="S570" s="60" t="str"/>
      <x:c r="T570" s="74" t="str">
        <x:v>0</x:v>
      </x:c>
      <x:c r="U570" s="60" t="str"/>
      <x:c r="V570" s="74" t="str">
        <x:v>30</x:v>
      </x:c>
      <x:c r="W570" s="74" t="str">
        <x:v>0</x:v>
      </x:c>
      <x:c r="X570" s="74" t="str">
        <x:v>10</x:v>
      </x:c>
      <x:c r="Y570" s="74" t="str">
        <x:v>4</x:v>
      </x:c>
      <x:c r="Z570" s="74" t="str">
        <x:v>5</x:v>
      </x:c>
      <x:c r="AA570" s="74" t="str">
        <x:v>0</x:v>
      </x:c>
      <x:c r="AB570" s="74" t="str">
        <x:v>0</x:v>
      </x:c>
      <x:c r="AC570" s="74" t="str">
        <x:v>0</x:v>
      </x:c>
      <x:c r="AD570" s="74" t="str">
        <x:v>0</x:v>
      </x:c>
      <x:c r="AE570" s="74" t="str">
        <x:v>0</x:v>
      </x:c>
      <x:c r="AF570" s="74" t="str"/>
      <x:c r="AG570" s="74" t="str">
        <x:v>0</x:v>
      </x:c>
      <x:c r="AH570" s="74" t="str">
        <x:v>0</x:v>
      </x:c>
      <x:c r="AI570" s="74" t="str">
        <x:v>1</x:v>
      </x:c>
      <x:c r="AJ570" s="74" t="str">
        <x:v>0</x:v>
      </x:c>
      <x:c r="AK570" s="74" t="str">
        <x:v>0</x:v>
      </x:c>
      <x:c r="AL570" s="74" t="str">
        <x:v>0</x:v>
      </x:c>
      <x:c r="AM570" s="74" t="str">
        <x:v>0</x:v>
      </x:c>
      <x:c r="AN570" s="74" t="str">
        <x:v>0</x:v>
      </x:c>
      <x:c r="AO570" s="60" t="str">
        <x:v>0</x:v>
      </x:c>
      <x:c r="AP570" s="76" t="str">
        <x:v>ICP fit; paid-demand need requires manual verification</x:v>
      </x:c>
      <x:c r="AQ570" s="76" t="str">
        <x:v>testimonials; no embedded homepage video detected</x:v>
      </x:c>
      <x:c r="AR570" s="76" t="str">
        <x:v>I was reviewing remodeling companies in Lexington County, South Carolina and River City Renovations looked like a strong fit for a creative test.</x:v>
      </x:c>
      <x:c r="AS570" s="76" t="str">
        <x:v>project reveal with budget-and-timeline proof</x:v>
      </x:c>
      <x:c r="AT570" s="76" t="str">
        <x:v>River City Renovations ad concept</x:v>
      </x:c>
      <x:c r="AU570" s="76" t="str">
        <x:v>Hi David — I was reviewing remodeling companies in Lexington County, South Carolina and River City Renovations looked like a strong fit for a creative test. I mapped a private 15-second project reveal with budget-and-timeline proof for River City Renovations using only public brand context—not for publishing, just to show the angle. We build three client-approved video ad concepts in seven days, then turn the winners into fresh variations. No filming day required. Worth sending the private sample?</x:v>
      </x:c>
      <x:c r="AV570" s="76" t="str">
        <x:v>Quick follow-up: the sample angle is a project reveal with budget-and-timeline proof. If it misses the mark, no problem—I won't keep chasing. Should I send it?</x:v>
      </x:c>
      <x:c r="AW570" s="76" t="str">
        <x:v>Hi David, Ryan here. I was looking at River City Renovations's public marketing and noticed: icp fit; paid-demand need requires manual verification. I mapped one private project reveal with budget-and-timeline proof as an example. Did I catch you with 30 seconds?</x:v>
      </x:c>
      <x:c r="AX570" s="60" t="str">
        <x:v>https://www.facebook.com/ads/library/?active_status=active&amp;ad_type=all&amp;country=US&amp;q=River%20City%20Renovations&amp;search_type=keyword_unordered</x:v>
      </x:c>
      <x:c r="AY570" s="60" t="str">
        <x:v>ok:200</x:v>
      </x:c>
      <x:c r="AZ570" s="60" t="n">
        <x:v>46232.722858796296</x:v>
      </x:c>
      <x:c r="BA570" s="60" t="str">
        <x:v>AI Ark SC trades export</x:v>
      </x:c>
      <x:c r="BB570" s="60" t="str">
        <x:v>https://rivercityrenovations.com.au | https://www.linkedin.com/company/river-city-renovations</x:v>
      </x:c>
      <x:c r="BC570" s="60" t="str"/>
    </x:row>
    <x:row r="571" ht="18" customHeight="1">
      <x:c r="A571" s="70" t="str">
        <x:v>570</x:v>
      </x:c>
      <x:c r="B571" s="70" t="str">
        <x:v>C - Verify</x:v>
      </x:c>
      <x:c r="C571" s="72" t="str">
        <x:v>48</x:v>
      </x:c>
      <x:c r="D571" s="60" t="str">
        <x:v>EmergenServe</x:v>
      </x:c>
      <x:c r="E571" s="60" t="str">
        <x:v>https://emergenserve.com</x:v>
      </x:c>
      <x:c r="F571" s="60" t="str">
        <x:v>https://emergenserve.com</x:v>
      </x:c>
      <x:c r="G571" s="60" t="str">
        <x:v>Charleston</x:v>
      </x:c>
      <x:c r="H571" s="60" t="str">
        <x:v>South Carolina</x:v>
      </x:c>
      <x:c r="I571" s="60" t="str">
        <x:v>Electrical</x:v>
      </x:c>
      <x:c r="J571" s="60" t="str">
        <x:v>EmergenServe</x:v>
      </x:c>
      <x:c r="K571" s="60" t="str"/>
      <x:c r="L571" s="60" t="str">
        <x:v>Owner / decision maker to verify</x:v>
      </x:c>
      <x:c r="M571" s="60" t="str"/>
      <x:c r="N571" s="60" t="str"/>
      <x:c r="O571" s="60" t="str">
        <x:v>(843) 754-1671</x:v>
      </x:c>
      <x:c r="P571" s="60" t="str"/>
      <x:c r="Q571" s="60" t="str"/>
      <x:c r="R571" s="60" t="str"/>
      <x:c r="S571" s="60" t="str">
        <x:v>5</x:v>
      </x:c>
      <x:c r="T571" s="74" t="str">
        <x:v>17</x:v>
      </x:c>
      <x:c r="U571" s="60" t="str"/>
      <x:c r="V571" s="74" t="str">
        <x:v>19</x:v>
      </x:c>
      <x:c r="W571" s="74" t="str">
        <x:v>16</x:v>
      </x:c>
      <x:c r="X571" s="74" t="str">
        <x:v>0</x:v>
      </x:c>
      <x:c r="Y571" s="74" t="str">
        <x:v>8</x:v>
      </x:c>
      <x:c r="Z571" s="74" t="str">
        <x:v>5</x:v>
      </x:c>
      <x:c r="AA571" s="74" t="str">
        <x:v>0</x:v>
      </x:c>
      <x:c r="AB571" s="74" t="str">
        <x:v>1</x:v>
      </x:c>
      <x:c r="AC571" s="74" t="str">
        <x:v>1</x:v>
      </x:c>
      <x:c r="AD571" s="74" t="str">
        <x:v>0</x:v>
      </x:c>
      <x:c r="AE571" s="74" t="str">
        <x:v>0</x:v>
      </x:c>
      <x:c r="AF571" s="74" t="str">
        <x:v>jobber</x:v>
      </x:c>
      <x:c r="AG571" s="74" t="str">
        <x:v>1</x:v>
      </x:c>
      <x:c r="AH571" s="74" t="str">
        <x:v>1</x:v>
      </x:c>
      <x:c r="AI571" s="74" t="str">
        <x:v>0</x:v>
      </x:c>
      <x:c r="AJ571" s="74" t="str">
        <x:v>0</x:v>
      </x:c>
      <x:c r="AK571" s="74" t="str">
        <x:v>1</x:v>
      </x:c>
      <x:c r="AL571" s="74" t="str">
        <x:v>1</x:v>
      </x:c>
      <x:c r="AM571" s="74" t="str">
        <x:v>1</x:v>
      </x:c>
      <x:c r="AN571" s="74" t="str">
        <x:v>1</x:v>
      </x:c>
      <x:c r="AO571" s="60" t="str">
        <x:v>2026</x:v>
      </x:c>
      <x:c r="AP571" s="76" t="str">
        <x:v>Paid-demand technology detected; creative refresh hypothesis</x:v>
      </x:c>
      <x:c r="AQ571" s="76" t="str">
        <x:v>Google Ads tag; project/gallery proof; visible service offer</x:v>
      </x:c>
      <x:c r="AR571" s="76" t="str">
        <x:v>I was reviewing electrical companies in Charleston, South Carolina and EmergenServe looked like a strong fit for a creative test.</x:v>
      </x:c>
      <x:c r="AS571" s="76" t="str">
        <x:v>safety inspection problem/solution ad</x:v>
      </x:c>
      <x:c r="AT571" s="76" t="str">
        <x:v>EmergenServe ad concept</x:v>
      </x:c>
      <x:c r="AU571" s="76" t="str">
        <x:v>Hi EmergenServe — I was reviewing electrical companies in Charleston, South Carolina and EmergenServe looked like a strong fit for a creative test. I mapped a private 15-second safety inspection problem/solution ad for EmergenServe using only public brand context—not for publishing, just to show the angle. We build three client-approved video ad concepts in seven days, then turn the winners into fresh variations. No filming day required. Worth sending the private sample?</x:v>
      </x:c>
      <x:c r="AV571" s="76" t="str">
        <x:v>Quick follow-up: the sample angle is a safety inspection problem/solution ad. If it misses the mark, no problem—I won't keep chasing. Should I send it?</x:v>
      </x:c>
      <x:c r="AW571" s="76" t="str">
        <x:v>Hi EmergenServe, Ryan here. I was looking at EmergenServe's public marketing and noticed: paid-demand technology detected; creative refresh hypothesis. I mapped one private safety inspection problem/solution ad as an example. Did I catch you with 30 seconds?</x:v>
      </x:c>
      <x:c r="AX571" s="60" t="str">
        <x:v>https://www.facebook.com/ads/library/?active_status=active&amp;ad_type=all&amp;country=US&amp;q=EmergenServe&amp;search_type=keyword_unordered</x:v>
      </x:c>
      <x:c r="AY571" s="60" t="str">
        <x:v>ok:200</x:v>
      </x:c>
      <x:c r="AZ571" s="60" t="n">
        <x:v>46232.722858796296</x:v>
      </x:c>
      <x:c r="BA571" s="60" t="str">
        <x:v>Google Maps home-services export</x:v>
      </x:c>
      <x:c r="BB571" s="60" t="str">
        <x:v>https://emergenserve.com | https://maps.google.com/?cid=17982491567799093881&amp;g_mp=Cidnb29nbGUubWFwcy5wbGFjZXMudjEuUGxhY2VzLlNlYXJjaFRleHQQAhgEIAA</x:v>
      </x:c>
      <x:c r="BC571" s="60" t="str"/>
    </x:row>
    <x:row r="572" ht="18" customHeight="1">
      <x:c r="A572" s="70" t="str">
        <x:v>571</x:v>
      </x:c>
      <x:c r="B572" s="70" t="str">
        <x:v>C - Verify</x:v>
      </x:c>
      <x:c r="C572" s="72" t="str">
        <x:v>48</x:v>
      </x:c>
      <x:c r="D572" s="60" t="str">
        <x:v>Servant Plumbing of Summerville</x:v>
      </x:c>
      <x:c r="E572" s="60" t="str">
        <x:v>https://servantplumbing.com</x:v>
      </x:c>
      <x:c r="F572" s="60" t="str">
        <x:v>https://servantplumbing.com</x:v>
      </x:c>
      <x:c r="G572" s="60" t="str">
        <x:v>Summerville</x:v>
      </x:c>
      <x:c r="H572" s="60" t="str">
        <x:v>South Carolina</x:v>
      </x:c>
      <x:c r="I572" s="60" t="str">
        <x:v>Plumbing</x:v>
      </x:c>
      <x:c r="J572" s="60" t="str">
        <x:v>Servant Plumbing of Summerville</x:v>
      </x:c>
      <x:c r="K572" s="60" t="str"/>
      <x:c r="L572" s="60" t="str">
        <x:v>Owner / decision maker to verify</x:v>
      </x:c>
      <x:c r="M572" s="60" t="str"/>
      <x:c r="N572" s="60" t="str"/>
      <x:c r="O572" s="60" t="str">
        <x:v>(843) 873-6331</x:v>
      </x:c>
      <x:c r="P572" s="60" t="str"/>
      <x:c r="Q572" s="60" t="str"/>
      <x:c r="R572" s="60" t="str"/>
      <x:c r="S572" s="60" t="str">
        <x:v>5</x:v>
      </x:c>
      <x:c r="T572" s="74" t="str">
        <x:v>14</x:v>
      </x:c>
      <x:c r="U572" s="60" t="str"/>
      <x:c r="V572" s="74" t="str">
        <x:v>20</x:v>
      </x:c>
      <x:c r="W572" s="74" t="str">
        <x:v>13</x:v>
      </x:c>
      <x:c r="X572" s="74" t="str">
        <x:v>3</x:v>
      </x:c>
      <x:c r="Y572" s="74" t="str">
        <x:v>7</x:v>
      </x:c>
      <x:c r="Z572" s="74" t="str">
        <x:v>5</x:v>
      </x:c>
      <x:c r="AA572" s="74" t="str">
        <x:v>0</x:v>
      </x:c>
      <x:c r="AB572" s="74" t="str">
        <x:v>1</x:v>
      </x:c>
      <x:c r="AC572" s="74" t="str">
        <x:v>1</x:v>
      </x:c>
      <x:c r="AD572" s="74" t="str">
        <x:v>0</x:v>
      </x:c>
      <x:c r="AE572" s="74" t="str">
        <x:v>0</x:v>
      </x:c>
      <x:c r="AF572" s="74" t="str"/>
      <x:c r="AG572" s="74" t="str">
        <x:v>1</x:v>
      </x:c>
      <x:c r="AH572" s="74" t="str">
        <x:v>0</x:v>
      </x:c>
      <x:c r="AI572" s="74" t="str">
        <x:v>1</x:v>
      </x:c>
      <x:c r="AJ572" s="74" t="str">
        <x:v>0</x:v>
      </x:c>
      <x:c r="AK572" s="74" t="str">
        <x:v>1</x:v>
      </x:c>
      <x:c r="AL572" s="74" t="str">
        <x:v>1</x:v>
      </x:c>
      <x:c r="AM572" s="74" t="str">
        <x:v>1</x:v>
      </x:c>
      <x:c r="AN572" s="74" t="str">
        <x:v>1</x:v>
      </x:c>
      <x:c r="AO572" s="60" t="str">
        <x:v>2021</x:v>
      </x:c>
      <x:c r="AP572" s="76" t="str">
        <x:v>Paid-demand technology detected; creative refresh hypothesis</x:v>
      </x:c>
      <x:c r="AQ572" s="76" t="str">
        <x:v>Google Ads tag; testimonials; visible service offer</x:v>
      </x:c>
      <x:c r="AR572" s="76" t="str">
        <x:v>I was reviewing plumbing companies in Summerville, South Carolina and Servant Plumbing of Summerville looked like a strong fit for a creative test.</x:v>
      </x:c>
      <x:c r="AS572" s="76" t="str">
        <x:v>small symptom to prevented-emergency ad</x:v>
      </x:c>
      <x:c r="AT572" s="76" t="str">
        <x:v>Servant Plumbing of Summerville ad concept</x:v>
      </x:c>
      <x:c r="AU572" s="76" t="str">
        <x:v>Hi Servant Plumbing of Summerville — I was reviewing plumbing companies in Summerville, South Carolina and Servant Plumbing of Summerville looked like a strong fit for a creative test. I mapped a private 15-second small symptom to prevented-emergency ad for Servant Plumbing of Summerville using only public brand context—not for publishing, just to show the angle. We build three client-approved video ad concepts in seven days, then turn the winners into fresh variations. No filming day required. Worth sending the private sample?</x:v>
      </x:c>
      <x:c r="AV572" s="76" t="str">
        <x:v>Quick follow-up: the sample angle is a small symptom to prevented-emergency ad. If it misses the mark, no problem—I won't keep chasing. Should I send it?</x:v>
      </x:c>
      <x:c r="AW572" s="76" t="str">
        <x:v>Hi Servant Plumbing of Summerville, Ryan here. I was looking at Servant Plumbing of Summerville's public marketing and noticed: paid-demand technology detected; creative refresh hypothesis. I mapped one private small symptom to prevented-emergency ad as an example. Did I catch you with 30 seconds?</x:v>
      </x:c>
      <x:c r="AX572" s="60" t="str">
        <x:v>https://www.facebook.com/ads/library/?active_status=active&amp;ad_type=all&amp;country=US&amp;q=Servant%20Plumbing%20of%20Summerville&amp;search_type=keyword_unordered</x:v>
      </x:c>
      <x:c r="AY572" s="60" t="str">
        <x:v>ok:200</x:v>
      </x:c>
      <x:c r="AZ572" s="60" t="n">
        <x:v>46232.722858796296</x:v>
      </x:c>
      <x:c r="BA572" s="60" t="str">
        <x:v>Google Maps home-services export</x:v>
      </x:c>
      <x:c r="BB572" s="60" t="str">
        <x:v>https://maps.google.com/?cid=13392654706395726480&amp;g_mp=Cidnb29nbGUubWFwcy5wbGFjZXMudjEuUGxhY2VzLlNlYXJjaFRleHQQAhgEIAA | https://maps.google.com/?cid=1926906473251694248&amp;g_mp=Cidnb29nbGUubWFwcy5wbGFjZXMudjEuUGxhY2VzLlNlYXJjaFRleHQQAhgEIAA | https://maps.google.com/?cid=6313779462846008463&amp;g_mp=Cidnb29nbGUubWFwcy5wbGFjZXMudjEuUGxhY2VzLlNlYXJjaFRleHQQAhgEIAA | https://servantplumbing.com</x:v>
      </x:c>
      <x:c r="BC572" s="60" t="str"/>
    </x:row>
    <x:row r="573" ht="18" customHeight="1">
      <x:c r="A573" s="70" t="str">
        <x:v>572</x:v>
      </x:c>
      <x:c r="B573" s="70" t="str">
        <x:v>C - Verify</x:v>
      </x:c>
      <x:c r="C573" s="72" t="str">
        <x:v>48</x:v>
      </x:c>
      <x:c r="D573" s="60" t="str">
        <x:v>Eason Roofing</x:v>
      </x:c>
      <x:c r="E573" s="60" t="str">
        <x:v>https://easonroofing.com</x:v>
      </x:c>
      <x:c r="F573" s="60" t="str">
        <x:v>https://easonroofing.com</x:v>
      </x:c>
      <x:c r="G573" s="60" t="str">
        <x:v>Rock Hill</x:v>
      </x:c>
      <x:c r="H573" s="60" t="str">
        <x:v>South Carolina</x:v>
      </x:c>
      <x:c r="I573" s="60" t="str">
        <x:v>Roofing</x:v>
      </x:c>
      <x:c r="J573" s="60" t="str">
        <x:v>Eason Roofing</x:v>
      </x:c>
      <x:c r="K573" s="60" t="str"/>
      <x:c r="L573" s="60" t="str">
        <x:v>Owner / decision maker to verify</x:v>
      </x:c>
      <x:c r="M573" s="60" t="str"/>
      <x:c r="N573" s="60" t="str"/>
      <x:c r="O573" s="60" t="str">
        <x:v>(803) 631-4505</x:v>
      </x:c>
      <x:c r="P573" s="60" t="str"/>
      <x:c r="Q573" s="60" t="str"/>
      <x:c r="R573" s="60" t="str"/>
      <x:c r="S573" s="60" t="str">
        <x:v>5</x:v>
      </x:c>
      <x:c r="T573" s="74" t="str">
        <x:v>14</x:v>
      </x:c>
      <x:c r="U573" s="60" t="str"/>
      <x:c r="V573" s="74" t="str">
        <x:v>25</x:v>
      </x:c>
      <x:c r="W573" s="74" t="str">
        <x:v>6</x:v>
      </x:c>
      <x:c r="X573" s="74" t="str">
        <x:v>0</x:v>
      </x:c>
      <x:c r="Y573" s="74" t="str">
        <x:v>12</x:v>
      </x:c>
      <x:c r="Z573" s="74" t="str">
        <x:v>5</x:v>
      </x:c>
      <x:c r="AA573" s="74" t="str">
        <x:v>0</x:v>
      </x:c>
      <x:c r="AB573" s="74" t="str">
        <x:v>0</x:v>
      </x:c>
      <x:c r="AC573" s="74" t="str">
        <x:v>1</x:v>
      </x:c>
      <x:c r="AD573" s="74" t="str">
        <x:v>0</x:v>
      </x:c>
      <x:c r="AE573" s="74" t="str">
        <x:v>0</x:v>
      </x:c>
      <x:c r="AF573" s="74" t="str">
        <x:v>podium</x:v>
      </x:c>
      <x:c r="AG573" s="74" t="str">
        <x:v>1</x:v>
      </x:c>
      <x:c r="AH573" s="74" t="str">
        <x:v>1</x:v>
      </x:c>
      <x:c r="AI573" s="74" t="str">
        <x:v>1</x:v>
      </x:c>
      <x:c r="AJ573" s="74" t="str">
        <x:v>0</x:v>
      </x:c>
      <x:c r="AK573" s="74" t="str">
        <x:v>1</x:v>
      </x:c>
      <x:c r="AL573" s="74" t="str">
        <x:v>1</x:v>
      </x:c>
      <x:c r="AM573" s="74" t="str">
        <x:v>1</x:v>
      </x:c>
      <x:c r="AN573" s="74" t="str">
        <x:v>1</x:v>
      </x:c>
      <x:c r="AO573" s="60" t="str">
        <x:v>2026</x:v>
      </x:c>
      <x:c r="AP573" s="76" t="str">
        <x:v>ICP fit; paid-demand need requires manual verification</x:v>
      </x:c>
      <x:c r="AQ573" s="76" t="str">
        <x:v>project/gallery proof; testimonials; visible service offer</x:v>
      </x:c>
      <x:c r="AR573" s="76" t="str">
        <x:v>I was reviewing roofing companies in Rock Hill, South Carolina and Eason Roofing looked like a strong fit for a creative test.</x:v>
      </x:c>
      <x:c r="AS573" s="76" t="str">
        <x:v>storm-to-inspection before/after ad</x:v>
      </x:c>
      <x:c r="AT573" s="76" t="str">
        <x:v>Eason Roofing ad concept</x:v>
      </x:c>
      <x:c r="AU573" s="76" t="str">
        <x:v>Hi Eason Roofing — I was reviewing roofing companies in Rock Hill, South Carolina and Eason Roofing looked like a strong fit for a creative test. I mapped a private 15-second storm-to-inspection before/after ad for Eason Roofing using only public brand context—not for publishing, just to show the angle. We build three client-approved video ad concepts in seven days, then turn the winners into fresh variations. No filming day required. Worth sending the private sample?</x:v>
      </x:c>
      <x:c r="AV573" s="76" t="str">
        <x:v>Quick follow-up: the sample angle is a storm-to-inspection before/after ad. If it misses the mark, no problem—I won't keep chasing. Should I send it?</x:v>
      </x:c>
      <x:c r="AW573" s="76" t="str">
        <x:v>Hi Eason Roofing, Ryan here. I was looking at Eason Roofing's public marketing and noticed: icp fit; paid-demand need requires manual verification. I mapped one private storm-to-inspection before/after ad as an example. Did I catch you with 30 seconds?</x:v>
      </x:c>
      <x:c r="AX573" s="60" t="str">
        <x:v>https://www.facebook.com/ads/library/?active_status=active&amp;ad_type=all&amp;country=US&amp;q=Eason%20Roofing&amp;search_type=keyword_unordered</x:v>
      </x:c>
      <x:c r="AY573" s="60" t="str">
        <x:v>ok:200</x:v>
      </x:c>
      <x:c r="AZ573" s="60" t="n">
        <x:v>46232.722858796296</x:v>
      </x:c>
      <x:c r="BA573" s="60" t="str">
        <x:v>Google Maps home-services export</x:v>
      </x:c>
      <x:c r="BB573" s="60" t="str">
        <x:v>https://easonroofing.com | https://maps.google.com/?cid=549449370771665715&amp;g_mp=Cidnb29nbGUubWFwcy5wbGFjZXMudjEuUGxhY2VzLlNlYXJjaFRleHQQAhgEIAA | https://maps.google.com/?cid=8334805404431966190&amp;g_mp=Cidnb29nbGUubWFwcy5wbGFjZXMudjEuUGxhY2VzLlNlYXJjaFRleHQQAhgEIAA</x:v>
      </x:c>
      <x:c r="BC573" s="60" t="str"/>
    </x:row>
    <x:row r="574" ht="18" customHeight="1">
      <x:c r="A574" s="70" t="str">
        <x:v>573</x:v>
      </x:c>
      <x:c r="B574" s="70" t="str">
        <x:v>C - Verify</x:v>
      </x:c>
      <x:c r="C574" s="72" t="str">
        <x:v>48</x:v>
      </x:c>
      <x:c r="D574" s="60" t="str">
        <x:v>Swell Guy Plumbing Co</x:v>
      </x:c>
      <x:c r="E574" s="60" t="str">
        <x:v>https://swellguyplumbing.com</x:v>
      </x:c>
      <x:c r="F574" s="60" t="str">
        <x:v>https://swellguyplumbing.com</x:v>
      </x:c>
      <x:c r="G574" s="60" t="str">
        <x:v>North Charleston</x:v>
      </x:c>
      <x:c r="H574" s="60" t="str">
        <x:v>South Carolina</x:v>
      </x:c>
      <x:c r="I574" s="60" t="str">
        <x:v>Plumbing</x:v>
      </x:c>
      <x:c r="J574" s="60" t="str">
        <x:v>Swell Guy Plumbing Co</x:v>
      </x:c>
      <x:c r="K574" s="60" t="str"/>
      <x:c r="L574" s="60" t="str">
        <x:v>Owner / decision maker to verify</x:v>
      </x:c>
      <x:c r="M574" s="60" t="str"/>
      <x:c r="N574" s="60" t="str"/>
      <x:c r="O574" s="60" t="str">
        <x:v>(843) 874-2590</x:v>
      </x:c>
      <x:c r="P574" s="60" t="str"/>
      <x:c r="Q574" s="60" t="str"/>
      <x:c r="R574" s="60" t="str"/>
      <x:c r="S574" s="60" t="str">
        <x:v>4.9</x:v>
      </x:c>
      <x:c r="T574" s="74" t="str">
        <x:v>41</x:v>
      </x:c>
      <x:c r="U574" s="60" t="str"/>
      <x:c r="V574" s="74" t="str">
        <x:v>22</x:v>
      </x:c>
      <x:c r="W574" s="74" t="str">
        <x:v>6</x:v>
      </x:c>
      <x:c r="X574" s="74" t="str">
        <x:v>6</x:v>
      </x:c>
      <x:c r="Y574" s="74" t="str">
        <x:v>9</x:v>
      </x:c>
      <x:c r="Z574" s="74" t="str">
        <x:v>5</x:v>
      </x:c>
      <x:c r="AA574" s="74" t="str">
        <x:v>0</x:v>
      </x:c>
      <x:c r="AB574" s="74" t="str">
        <x:v>0</x:v>
      </x:c>
      <x:c r="AC574" s="74" t="str">
        <x:v>1</x:v>
      </x:c>
      <x:c r="AD574" s="74" t="str">
        <x:v>0</x:v>
      </x:c>
      <x:c r="AE574" s="74" t="str">
        <x:v>0</x:v>
      </x:c>
      <x:c r="AF574" s="74" t="str">
        <x:v>housecallpro</x:v>
      </x:c>
      <x:c r="AG574" s="74" t="str">
        <x:v>0</x:v>
      </x:c>
      <x:c r="AH574" s="74" t="str">
        <x:v>0</x:v>
      </x:c>
      <x:c r="AI574" s="74" t="str">
        <x:v>1</x:v>
      </x:c>
      <x:c r="AJ574" s="74" t="str">
        <x:v>0</x:v>
      </x:c>
      <x:c r="AK574" s="74" t="str">
        <x:v>1</x:v>
      </x:c>
      <x:c r="AL574" s="74" t="str">
        <x:v>0</x:v>
      </x:c>
      <x:c r="AM574" s="74" t="str">
        <x:v>1</x:v>
      </x:c>
      <x:c r="AN574" s="74" t="str">
        <x:v>1</x:v>
      </x:c>
      <x:c r="AO574" s="60" t="str">
        <x:v>2026</x:v>
      </x:c>
      <x:c r="AP574" s="76" t="str">
        <x:v>ICP fit; paid-demand need requires manual verification</x:v>
      </x:c>
      <x:c r="AQ574" s="76" t="str">
        <x:v>testimonials; visible service offer; no embedded homepage video detected</x:v>
      </x:c>
      <x:c r="AR574" s="76" t="str">
        <x:v>I was reviewing plumbing companies in North Charleston, South Carolina and Swell Guy Plumbing Co looked like a strong fit for a creative test.</x:v>
      </x:c>
      <x:c r="AS574" s="76" t="str">
        <x:v>small symptom to prevented-emergency ad</x:v>
      </x:c>
      <x:c r="AT574" s="76" t="str">
        <x:v>Swell Guy Plumbing Co ad concept</x:v>
      </x:c>
      <x:c r="AU574" s="76" t="str">
        <x:v>Hi Swell Guy Plumbing Co — I was reviewing plumbing companies in North Charleston, South Carolina and Swell Guy Plumbing Co looked like a strong fit for a creative test. I mapped a private 15-second small symptom to prevented-emergency ad for Swell Guy Plumbing Co using only public brand context—not for publishing, just to show the angle. We build three client-approved video ad concepts in seven days, then turn the winners into fresh variations. No filming day required. Worth sending the private sample?</x:v>
      </x:c>
      <x:c r="AV574" s="76" t="str">
        <x:v>Quick follow-up: the sample angle is a small symptom to prevented-emergency ad. If it misses the mark, no problem—I won't keep chasing. Should I send it?</x:v>
      </x:c>
      <x:c r="AW574" s="76" t="str">
        <x:v>Hi Swell Guy Plumbing Co, Ryan here. I was looking at Swell Guy Plumbing Co's public marketing and noticed: icp fit; paid-demand need requires manual verification. I mapped one private small symptom to prevented-emergency ad as an example. Did I catch you with 30 seconds?</x:v>
      </x:c>
      <x:c r="AX574" s="60" t="str">
        <x:v>https://www.facebook.com/ads/library/?active_status=active&amp;ad_type=all&amp;country=US&amp;q=Swell%20Guy%20Plumbing%20Co&amp;search_type=keyword_unordered</x:v>
      </x:c>
      <x:c r="AY574" s="60" t="str">
        <x:v>ok:200</x:v>
      </x:c>
      <x:c r="AZ574" s="60" t="n">
        <x:v>46232.722858796296</x:v>
      </x:c>
      <x:c r="BA574" s="60" t="str">
        <x:v>Google Maps home-services export</x:v>
      </x:c>
      <x:c r="BB574" s="60" t="str">
        <x:v>https://maps.google.com/?cid=16501455520209992647&amp;g_mp=Cidnb29nbGUubWFwcy5wbGFjZXMudjEuUGxhY2VzLlNlYXJjaFRleHQQAhgEIAA | https://swellguyplumbing.com</x:v>
      </x:c>
      <x:c r="BC574" s="60" t="str"/>
    </x:row>
    <x:row r="575" ht="18" customHeight="1">
      <x:c r="A575" s="70" t="str">
        <x:v>574</x:v>
      </x:c>
      <x:c r="B575" s="70" t="str">
        <x:v>C - Verify</x:v>
      </x:c>
      <x:c r="C575" s="72" t="str">
        <x:v>48</x:v>
      </x:c>
      <x:c r="D575" s="60" t="str">
        <x:v>Advance Heating &amp; Air Inc</x:v>
      </x:c>
      <x:c r="E575" s="60" t="str">
        <x:v>https://advanceheating-air.com</x:v>
      </x:c>
      <x:c r="F575" s="60" t="str">
        <x:v>https://www.advanceheating-air.com/</x:v>
      </x:c>
      <x:c r="G575" s="60" t="str">
        <x:v>Sumter</x:v>
      </x:c>
      <x:c r="H575" s="60" t="str">
        <x:v>South Carolina</x:v>
      </x:c>
      <x:c r="I575" s="60" t="str">
        <x:v>HVAC</x:v>
      </x:c>
      <x:c r="J575" s="60" t="str">
        <x:v>Advance Heating &amp; Air Inc</x:v>
      </x:c>
      <x:c r="K575" s="60" t="str"/>
      <x:c r="L575" s="60" t="str">
        <x:v>Owner / decision maker to verify</x:v>
      </x:c>
      <x:c r="M575" s="60" t="str"/>
      <x:c r="N575" s="60" t="str"/>
      <x:c r="O575" s="60" t="str">
        <x:v>(803) 481-8200</x:v>
      </x:c>
      <x:c r="P575" s="60" t="str"/>
      <x:c r="Q575" s="60" t="str"/>
      <x:c r="R575" s="60" t="str"/>
      <x:c r="S575" s="60" t="str">
        <x:v>5</x:v>
      </x:c>
      <x:c r="T575" s="74" t="str">
        <x:v>292</x:v>
      </x:c>
      <x:c r="U575" s="60" t="str"/>
      <x:c r="V575" s="74" t="str">
        <x:v>29</x:v>
      </x:c>
      <x:c r="W575" s="74" t="str">
        <x:v>6</x:v>
      </x:c>
      <x:c r="X575" s="74" t="str">
        <x:v>0</x:v>
      </x:c>
      <x:c r="Y575" s="74" t="str">
        <x:v>8</x:v>
      </x:c>
      <x:c r="Z575" s="74" t="str">
        <x:v>5</x:v>
      </x:c>
      <x:c r="AA575" s="74" t="str">
        <x:v>0</x:v>
      </x:c>
      <x:c r="AB575" s="74" t="str">
        <x:v>0</x:v>
      </x:c>
      <x:c r="AC575" s="74" t="str">
        <x:v>1</x:v>
      </x:c>
      <x:c r="AD575" s="74" t="str">
        <x:v>0</x:v>
      </x:c>
      <x:c r="AE575" s="74" t="str">
        <x:v>0</x:v>
      </x:c>
      <x:c r="AF575" s="74" t="str">
        <x:v>housecallpro</x:v>
      </x:c>
      <x:c r="AG575" s="74" t="str">
        <x:v>1</x:v>
      </x:c>
      <x:c r="AH575" s="74" t="str">
        <x:v>1</x:v>
      </x:c>
      <x:c r="AI575" s="74" t="str">
        <x:v>0</x:v>
      </x:c>
      <x:c r="AJ575" s="74" t="str">
        <x:v>0</x:v>
      </x:c>
      <x:c r="AK575" s="74" t="str">
        <x:v>0</x:v>
      </x:c>
      <x:c r="AL575" s="74" t="str">
        <x:v>0</x:v>
      </x:c>
      <x:c r="AM575" s="74" t="str">
        <x:v>1</x:v>
      </x:c>
      <x:c r="AN575" s="74" t="str">
        <x:v>1</x:v>
      </x:c>
      <x:c r="AO575" s="60" t="str">
        <x:v>2026</x:v>
      </x:c>
      <x:c r="AP575" s="76" t="str">
        <x:v>ICP fit; paid-demand need requires manual verification</x:v>
      </x:c>
      <x:c r="AQ575" s="76" t="str">
        <x:v>project/gallery proof</x:v>
      </x:c>
      <x:c r="AR575" s="76" t="str">
        <x:v>I was reviewing hvac companies in Sumter, South Carolina and Advance Heating &amp; Air Inc looked like a strong fit for a creative test.</x:v>
      </x:c>
      <x:c r="AS575" s="76" t="str">
        <x:v>no-cool-call to same-day comfort ad</x:v>
      </x:c>
      <x:c r="AT575" s="76" t="str">
        <x:v>Advance Heating &amp; Air Inc ad concept</x:v>
      </x:c>
      <x:c r="AU575" s="76" t="str">
        <x:v>Hi Advance Heating &amp; Air Inc — I was reviewing hvac companies in Sumter, South Carolina and Advance Heating &amp; Air Inc looked like a strong fit for a creative test. I mapped a private 15-second no-cool-call to same-day comfort ad for Advance Heating &amp; Air Inc using only public brand context—not for publishing, just to show the angle. We build three client-approved video ad concepts in seven days, then turn the winners into fresh variations. No filming day required. Worth sending the private sample?</x:v>
      </x:c>
      <x:c r="AV575" s="76" t="str">
        <x:v>Quick follow-up: the sample angle is a no-cool-call to same-day comfort ad. If it misses the mark, no problem—I won't keep chasing. Should I send it?</x:v>
      </x:c>
      <x:c r="AW575" s="76" t="str">
        <x:v>Hi Advance Heating &amp; Air Inc, Ryan here. I was looking at Advance Heating &amp; Air Inc's public marketing and noticed: icp fit; paid-demand need requires manual verification. I mapped one private no-cool-call to same-day comfort ad as an example. Did I catch you with 30 seconds?</x:v>
      </x:c>
      <x:c r="AX575" s="60" t="str">
        <x:v>https://www.facebook.com/ads/library/?active_status=active&amp;ad_type=all&amp;country=US&amp;q=Advance%20Heating%20%26%20Air%20Inc&amp;search_type=keyword_unordered</x:v>
      </x:c>
      <x:c r="AY575" s="60" t="str">
        <x:v>ok:200</x:v>
      </x:c>
      <x:c r="AZ575" s="60" t="n">
        <x:v>46232.722858796296</x:v>
      </x:c>
      <x:c r="BA575" s="60" t="str">
        <x:v>Google Maps home-services export</x:v>
      </x:c>
      <x:c r="BB575" s="60" t="str">
        <x:v>https://advanceheating-air.com | https://maps.google.com/?cid=1520960727469831956&amp;g_mp=Cidnb29nbGUubWFwcy5wbGFjZXMudjEuUGxhY2VzLlNlYXJjaFRleHQQAhgEIAA</x:v>
      </x:c>
      <x:c r="BC575" s="60" t="str"/>
    </x:row>
    <x:row r="576" ht="18" customHeight="1">
      <x:c r="A576" s="70" t="str">
        <x:v>575</x:v>
      </x:c>
      <x:c r="B576" s="70" t="str">
        <x:v>C - Verify</x:v>
      </x:c>
      <x:c r="C576" s="72" t="str">
        <x:v>48</x:v>
      </x:c>
      <x:c r="D576" s="60" t="str">
        <x:v>One Call Plumbing</x:v>
      </x:c>
      <x:c r="E576" s="60" t="str">
        <x:v>https://onecallplumbingsc.com</x:v>
      </x:c>
      <x:c r="F576" s="60" t="str">
        <x:v>https://www.onecallplumbingsc.com/</x:v>
      </x:c>
      <x:c r="G576" s="60" t="str">
        <x:v>Spartanburg</x:v>
      </x:c>
      <x:c r="H576" s="60" t="str">
        <x:v>South Carolina</x:v>
      </x:c>
      <x:c r="I576" s="60" t="str">
        <x:v>Plumbing</x:v>
      </x:c>
      <x:c r="J576" s="60" t="str">
        <x:v>One Call Plumbing</x:v>
      </x:c>
      <x:c r="K576" s="60" t="str"/>
      <x:c r="L576" s="60" t="str">
        <x:v>Owner / decision maker to verify</x:v>
      </x:c>
      <x:c r="M576" s="60" t="str"/>
      <x:c r="N576" s="60" t="str"/>
      <x:c r="O576" s="60" t="str">
        <x:v>(864) 310-6277</x:v>
      </x:c>
      <x:c r="P576" s="60" t="str"/>
      <x:c r="Q576" s="60" t="str"/>
      <x:c r="R576" s="60" t="str"/>
      <x:c r="S576" s="60" t="str">
        <x:v>4.9</x:v>
      </x:c>
      <x:c r="T576" s="74" t="str">
        <x:v>83</x:v>
      </x:c>
      <x:c r="U576" s="60" t="str"/>
      <x:c r="V576" s="74" t="str">
        <x:v>22</x:v>
      </x:c>
      <x:c r="W576" s="74" t="str">
        <x:v>6</x:v>
      </x:c>
      <x:c r="X576" s="74" t="str">
        <x:v>10</x:v>
      </x:c>
      <x:c r="Y576" s="74" t="str">
        <x:v>5</x:v>
      </x:c>
      <x:c r="Z576" s="74" t="str">
        <x:v>5</x:v>
      </x:c>
      <x:c r="AA576" s="74" t="str">
        <x:v>0</x:v>
      </x:c>
      <x:c r="AB576" s="74" t="str">
        <x:v>0</x:v>
      </x:c>
      <x:c r="AC576" s="74" t="str">
        <x:v>1</x:v>
      </x:c>
      <x:c r="AD576" s="74" t="str">
        <x:v>0</x:v>
      </x:c>
      <x:c r="AE576" s="74" t="str">
        <x:v>0</x:v>
      </x:c>
      <x:c r="AF576" s="74" t="str">
        <x:v>servicetitan</x:v>
      </x:c>
      <x:c r="AG576" s="74" t="str">
        <x:v>0</x:v>
      </x:c>
      <x:c r="AH576" s="74" t="str">
        <x:v>0</x:v>
      </x:c>
      <x:c r="AI576" s="74" t="str">
        <x:v>0</x:v>
      </x:c>
      <x:c r="AJ576" s="74" t="str">
        <x:v>0</x:v>
      </x:c>
      <x:c r="AK576" s="74" t="str">
        <x:v>1</x:v>
      </x:c>
      <x:c r="AL576" s="74" t="str">
        <x:v>0</x:v>
      </x:c>
      <x:c r="AM576" s="74" t="str">
        <x:v>0</x:v>
      </x:c>
      <x:c r="AN576" s="74" t="str">
        <x:v>0</x:v>
      </x:c>
      <x:c r="AO576" s="60" t="str">
        <x:v>2026</x:v>
      </x:c>
      <x:c r="AP576" s="76" t="str">
        <x:v>ICP fit; paid-demand need requires manual verification</x:v>
      </x:c>
      <x:c r="AQ576" s="76" t="str">
        <x:v>visible service offer; no embedded homepage video detected</x:v>
      </x:c>
      <x:c r="AR576" s="76" t="str">
        <x:v>I was reviewing plumbing companies in Spartanburg, South Carolina and One Call Plumbing looked like a strong fit for a creative test.</x:v>
      </x:c>
      <x:c r="AS576" s="76" t="str">
        <x:v>small symptom to prevented-emergency ad</x:v>
      </x:c>
      <x:c r="AT576" s="76" t="str">
        <x:v>One Call Plumbing ad concept</x:v>
      </x:c>
      <x:c r="AU576" s="76" t="str">
        <x:v>Hi One Call Plumbing — I was reviewing plumbing companies in Spartanburg, South Carolina and One Call Plumbing looked like a strong fit for a creative test. I mapped a private 15-second small symptom to prevented-emergency ad for One Call Plumbing using only public brand context—not for publishing, just to show the angle. We build three client-approved video ad concepts in seven days, then turn the winners into fresh variations. No filming day required. Worth sending the private sample?</x:v>
      </x:c>
      <x:c r="AV576" s="76" t="str">
        <x:v>Quick follow-up: the sample angle is a small symptom to prevented-emergency ad. If it misses the mark, no problem—I won't keep chasing. Should I send it?</x:v>
      </x:c>
      <x:c r="AW576" s="76" t="str">
        <x:v>Hi One Call Plumbing, Ryan here. I was looking at One Call Plumbing's public marketing and noticed: icp fit; paid-demand need requires manual verification. I mapped one private small symptom to prevented-emergency ad as an example. Did I catch you with 30 seconds?</x:v>
      </x:c>
      <x:c r="AX576" s="60" t="str">
        <x:v>https://www.facebook.com/ads/library/?active_status=active&amp;ad_type=all&amp;country=US&amp;q=One%20Call%20Plumbing&amp;search_type=keyword_unordered</x:v>
      </x:c>
      <x:c r="AY576" s="60" t="str">
        <x:v>ok:200</x:v>
      </x:c>
      <x:c r="AZ576" s="60" t="n">
        <x:v>46232.722858796296</x:v>
      </x:c>
      <x:c r="BA576" s="60" t="str">
        <x:v>Google Maps home-services export</x:v>
      </x:c>
      <x:c r="BB576" s="60" t="str">
        <x:v>https://maps.google.com/?cid=15723107705497182033&amp;g_mp=Cidnb29nbGUubWFwcy5wbGFjZXMudjEuUGxhY2VzLlNlYXJjaFRleHQQAhgEIAA | https://maps.google.com/?cid=4718692252807574447&amp;g_mp=Cidnb29nbGUubWFwcy5wbGFjZXMudjEuUGxhY2VzLlNlYXJjaFRleHQQAhgEIAA | https://onecallplumbingsc.com</x:v>
      </x:c>
      <x:c r="BC576" s="60" t="str"/>
    </x:row>
    <x:row r="577" ht="18" customHeight="1">
      <x:c r="A577" s="70" t="str">
        <x:v>576</x:v>
      </x:c>
      <x:c r="B577" s="70" t="str">
        <x:v>C - Verify</x:v>
      </x:c>
      <x:c r="C577" s="72" t="str">
        <x:v>48</x:v>
      </x:c>
      <x:c r="D577" s="60" t="str">
        <x:v>Up &amp; Over Roofing</x:v>
      </x:c>
      <x:c r="E577" s="60" t="str">
        <x:v>https://upandoverroof.com</x:v>
      </x:c>
      <x:c r="F577" s="60" t="str">
        <x:v>https://upandoverroof.com</x:v>
      </x:c>
      <x:c r="G577" s="60" t="str">
        <x:v>Myrtle Beach</x:v>
      </x:c>
      <x:c r="H577" s="60" t="str">
        <x:v>South Carolina</x:v>
      </x:c>
      <x:c r="I577" s="60" t="str">
        <x:v>Roofing</x:v>
      </x:c>
      <x:c r="J577" s="60" t="str">
        <x:v>Up &amp; Over Roofing</x:v>
      </x:c>
      <x:c r="K577" s="60" t="str"/>
      <x:c r="L577" s="60" t="str">
        <x:v>Owner / decision maker to verify</x:v>
      </x:c>
      <x:c r="M577" s="60" t="str"/>
      <x:c r="N577" s="60" t="str"/>
      <x:c r="O577" s="60" t="str">
        <x:v>(843) 222-4607</x:v>
      </x:c>
      <x:c r="P577" s="60" t="str"/>
      <x:c r="Q577" s="60" t="str"/>
      <x:c r="R577" s="60" t="str"/>
      <x:c r="S577" s="60" t="str">
        <x:v>4.9</x:v>
      </x:c>
      <x:c r="T577" s="74" t="str">
        <x:v>151</x:v>
      </x:c>
      <x:c r="U577" s="60" t="str"/>
      <x:c r="V577" s="74" t="str">
        <x:v>29</x:v>
      </x:c>
      <x:c r="W577" s="74" t="str">
        <x:v>3</x:v>
      </x:c>
      <x:c r="X577" s="74" t="str">
        <x:v>0</x:v>
      </x:c>
      <x:c r="Y577" s="74" t="str">
        <x:v>11</x:v>
      </x:c>
      <x:c r="Z577" s="74" t="str">
        <x:v>5</x:v>
      </x:c>
      <x:c r="AA577" s="74" t="str">
        <x:v>0</x:v>
      </x:c>
      <x:c r="AB577" s="74" t="str">
        <x:v>0</x:v>
      </x:c>
      <x:c r="AC577" s="74" t="str">
        <x:v>1</x:v>
      </x:c>
      <x:c r="AD577" s="74" t="str">
        <x:v>0</x:v>
      </x:c>
      <x:c r="AE577" s="74" t="str">
        <x:v>0</x:v>
      </x:c>
      <x:c r="AF577" s="74" t="str"/>
      <x:c r="AG577" s="74" t="str">
        <x:v>1</x:v>
      </x:c>
      <x:c r="AH577" s="74" t="str">
        <x:v>1</x:v>
      </x:c>
      <x:c r="AI577" s="74" t="str">
        <x:v>0</x:v>
      </x:c>
      <x:c r="AJ577" s="74" t="str">
        <x:v>0</x:v>
      </x:c>
      <x:c r="AK577" s="74" t="str">
        <x:v>1</x:v>
      </x:c>
      <x:c r="AL577" s="74" t="str">
        <x:v>1</x:v>
      </x:c>
      <x:c r="AM577" s="74" t="str">
        <x:v>1</x:v>
      </x:c>
      <x:c r="AN577" s="74" t="str">
        <x:v>1</x:v>
      </x:c>
      <x:c r="AO577" s="60" t="str">
        <x:v>2026</x:v>
      </x:c>
      <x:c r="AP577" s="76" t="str">
        <x:v>ICP fit; paid-demand need requires manual verification</x:v>
      </x:c>
      <x:c r="AQ577" s="76" t="str">
        <x:v>project/gallery proof; visible service offer</x:v>
      </x:c>
      <x:c r="AR577" s="76" t="str">
        <x:v>I was reviewing roofing companies in Myrtle Beach, South Carolina and Up &amp; Over Roofing looked like a strong fit for a creative test.</x:v>
      </x:c>
      <x:c r="AS577" s="76" t="str">
        <x:v>storm-to-inspection before/after ad</x:v>
      </x:c>
      <x:c r="AT577" s="76" t="str">
        <x:v>Up &amp; Over Roofing ad concept</x:v>
      </x:c>
      <x:c r="AU577" s="76" t="str">
        <x:v>Hi Up &amp; Over Roofing — I was reviewing roofing companies in Myrtle Beach, South Carolina and Up &amp; Over Roofing looked like a strong fit for a creative test. I mapped a private 15-second storm-to-inspection before/after ad for Up &amp; Over Roofing using only public brand context—not for publishing, just to show the angle. We build three client-approved video ad concepts in seven days, then turn the winners into fresh variations. No filming day required. Worth sending the private sample?</x:v>
      </x:c>
      <x:c r="AV577" s="76" t="str">
        <x:v>Quick follow-up: the sample angle is a storm-to-inspection before/after ad. If it misses the mark, no problem—I won't keep chasing. Should I send it?</x:v>
      </x:c>
      <x:c r="AW577" s="76" t="str">
        <x:v>Hi Up &amp; Over Roofing, Ryan here. I was looking at Up &amp; Over Roofing's public marketing and noticed: icp fit; paid-demand need requires manual verification. I mapped one private storm-to-inspection before/after ad as an example. Did I catch you with 30 seconds?</x:v>
      </x:c>
      <x:c r="AX577" s="60" t="str">
        <x:v>https://www.facebook.com/ads/library/?active_status=active&amp;ad_type=all&amp;country=US&amp;q=Up%20%26%20Over%20Roofing&amp;search_type=keyword_unordered</x:v>
      </x:c>
      <x:c r="AY577" s="60" t="str">
        <x:v>ok:200</x:v>
      </x:c>
      <x:c r="AZ577" s="60" t="n">
        <x:v>46232.722858796296</x:v>
      </x:c>
      <x:c r="BA577" s="60" t="str">
        <x:v>Google Maps home-services export</x:v>
      </x:c>
      <x:c r="BB577" s="60" t="str">
        <x:v>https://maps.google.com/?cid=1364939293534163507&amp;g_mp=Cidnb29nbGUubWFwcy5wbGFjZXMudjEuUGxhY2VzLlNlYXJjaFRleHQQAhgEIAA | https://upandoverroof.com</x:v>
      </x:c>
      <x:c r="BC577" s="60" t="str"/>
    </x:row>
    <x:row r="578" ht="18" customHeight="1">
      <x:c r="A578" s="70" t="str">
        <x:v>577</x:v>
      </x:c>
      <x:c r="B578" s="70" t="str">
        <x:v>C - Verify</x:v>
      </x:c>
      <x:c r="C578" s="72" t="str">
        <x:v>48</x:v>
      </x:c>
      <x:c r="D578" s="60" t="str">
        <x:v>Redland Electric LLC</x:v>
      </x:c>
      <x:c r="E578" s="60" t="str">
        <x:v>https://redlandelectric.com</x:v>
      </x:c>
      <x:c r="F578" s="60" t="str">
        <x:v>https://www.redlandelectric.com/</x:v>
      </x:c>
      <x:c r="G578" s="60" t="str">
        <x:v>Greenville</x:v>
      </x:c>
      <x:c r="H578" s="60" t="str">
        <x:v>South Carolina</x:v>
      </x:c>
      <x:c r="I578" s="60" t="str">
        <x:v>Electrical</x:v>
      </x:c>
      <x:c r="J578" s="60" t="str">
        <x:v>Redland Electric LLC</x:v>
      </x:c>
      <x:c r="K578" s="60" t="str"/>
      <x:c r="L578" s="60" t="str">
        <x:v>Owner / decision maker to verify</x:v>
      </x:c>
      <x:c r="M578" s="60" t="str"/>
      <x:c r="N578" s="60" t="str"/>
      <x:c r="O578" s="60" t="str">
        <x:v>(864) 909-4441</x:v>
      </x:c>
      <x:c r="P578" s="60" t="str"/>
      <x:c r="Q578" s="60" t="str"/>
      <x:c r="R578" s="60" t="str"/>
      <x:c r="S578" s="60" t="str">
        <x:v>5</x:v>
      </x:c>
      <x:c r="T578" s="74" t="str">
        <x:v>228</x:v>
      </x:c>
      <x:c r="U578" s="60" t="str"/>
      <x:c r="V578" s="74" t="str">
        <x:v>23</x:v>
      </x:c>
      <x:c r="W578" s="74" t="str">
        <x:v>3</x:v>
      </x:c>
      <x:c r="X578" s="74" t="str">
        <x:v>6</x:v>
      </x:c>
      <x:c r="Y578" s="74" t="str">
        <x:v>11</x:v>
      </x:c>
      <x:c r="Z578" s="74" t="str">
        <x:v>5</x:v>
      </x:c>
      <x:c r="AA578" s="74" t="str">
        <x:v>0</x:v>
      </x:c>
      <x:c r="AB578" s="74" t="str">
        <x:v>0</x:v>
      </x:c>
      <x:c r="AC578" s="74" t="str">
        <x:v>1</x:v>
      </x:c>
      <x:c r="AD578" s="74" t="str">
        <x:v>0</x:v>
      </x:c>
      <x:c r="AE578" s="74" t="str">
        <x:v>0</x:v>
      </x:c>
      <x:c r="AF578" s="74" t="str"/>
      <x:c r="AG578" s="74" t="str">
        <x:v>0</x:v>
      </x:c>
      <x:c r="AH578" s="74" t="str">
        <x:v>1</x:v>
      </x:c>
      <x:c r="AI578" s="74" t="str">
        <x:v>0</x:v>
      </x:c>
      <x:c r="AJ578" s="74" t="str">
        <x:v>0</x:v>
      </x:c>
      <x:c r="AK578" s="74" t="str">
        <x:v>1</x:v>
      </x:c>
      <x:c r="AL578" s="74" t="str">
        <x:v>1</x:v>
      </x:c>
      <x:c r="AM578" s="74" t="str">
        <x:v>1</x:v>
      </x:c>
      <x:c r="AN578" s="74" t="str">
        <x:v>0</x:v>
      </x:c>
      <x:c r="AO578" s="60" t="str">
        <x:v>2026</x:v>
      </x:c>
      <x:c r="AP578" s="76" t="str">
        <x:v>Project/gallery proof found; no embedded homepage video found</x:v>
      </x:c>
      <x:c r="AQ578" s="76" t="str">
        <x:v>project/gallery proof; visible service offer; no embedded homepage video detected</x:v>
      </x:c>
      <x:c r="AR578" s="76" t="str">
        <x:v>I found project/gallery proof on Redland Electric LLC's site that could be repackaged into short-form ad concepts.</x:v>
      </x:c>
      <x:c r="AS578" s="76" t="str">
        <x:v>safety inspection problem/solution ad</x:v>
      </x:c>
      <x:c r="AT578" s="76" t="str">
        <x:v>Redland Electric LLC ad concept</x:v>
      </x:c>
      <x:c r="AU578" s="76" t="str">
        <x:v>Hi Redland Electric LLC — I found project/gallery proof on Redland Electric LLC's site that could be repackaged into short-form ad concepts. I mapped a private 15-second safety inspection problem/solution ad for Redland Electric LLC using only public brand context—not for publishing, just to show the angle. We build three client-approved video ad concepts in seven days, then turn the winners into fresh variations. No filming day required. Worth sending the private sample?</x:v>
      </x:c>
      <x:c r="AV578" s="76" t="str">
        <x:v>Quick follow-up: the sample angle is a safety inspection problem/solution ad. If it misses the mark, no problem—I won't keep chasing. Should I send it?</x:v>
      </x:c>
      <x:c r="AW578" s="76" t="str">
        <x:v>Hi Redland Electric LLC, Ryan here. I was looking at Redland Electric LLC's public marketing and noticed: project/gallery proof found; no embedded homepage video found. I mapped one private safety inspection problem/solution ad as an example. Did I catch you with 30 seconds?</x:v>
      </x:c>
      <x:c r="AX578" s="60" t="str">
        <x:v>https://www.facebook.com/ads/library/?active_status=active&amp;ad_type=all&amp;country=US&amp;q=Redland%20Electric%20LLC&amp;search_type=keyword_unordered</x:v>
      </x:c>
      <x:c r="AY578" s="60" t="str">
        <x:v>ok:200</x:v>
      </x:c>
      <x:c r="AZ578" s="60" t="n">
        <x:v>46232.722858796296</x:v>
      </x:c>
      <x:c r="BA578" s="60" t="str">
        <x:v>Google Maps home-services export</x:v>
      </x:c>
      <x:c r="BB578" s="60" t="str">
        <x:v>https://maps.google.com/?cid=9370983826718609064&amp;g_mp=Cidnb29nbGUubWFwcy5wbGFjZXMudjEuUGxhY2VzLlNlYXJjaFRleHQQAhgEIAA | https://redlandelectric.com</x:v>
      </x:c>
      <x:c r="BC578" s="60" t="str"/>
    </x:row>
    <x:row r="579" ht="18" customHeight="1">
      <x:c r="A579" s="70" t="str">
        <x:v>578</x:v>
      </x:c>
      <x:c r="B579" s="70" t="str">
        <x:v>C - Verify</x:v>
      </x:c>
      <x:c r="C579" s="72" t="str">
        <x:v>48</x:v>
      </x:c>
      <x:c r="D579" s="60" t="str">
        <x:v>Alpha Contractors</x:v>
      </x:c>
      <x:c r="E579" s="60" t="str">
        <x:v>https://thealphacontractors.com</x:v>
      </x:c>
      <x:c r="F579" s="60" t="str">
        <x:v>https://thealphacontractors.com</x:v>
      </x:c>
      <x:c r="G579" s="60" t="str">
        <x:v>Myrtle Beach</x:v>
      </x:c>
      <x:c r="H579" s="60" t="str">
        <x:v>South Carolina</x:v>
      </x:c>
      <x:c r="I579" s="60" t="str">
        <x:v>Roofing</x:v>
      </x:c>
      <x:c r="J579" s="60" t="str">
        <x:v>Alpha Contractors</x:v>
      </x:c>
      <x:c r="K579" s="60" t="str"/>
      <x:c r="L579" s="60" t="str">
        <x:v>Owner / decision maker to verify</x:v>
      </x:c>
      <x:c r="M579" s="60" t="str"/>
      <x:c r="N579" s="60" t="str"/>
      <x:c r="O579" s="60" t="str">
        <x:v>(843) 698-9332</x:v>
      </x:c>
      <x:c r="P579" s="60" t="str"/>
      <x:c r="Q579" s="60" t="str"/>
      <x:c r="R579" s="60" t="str"/>
      <x:c r="S579" s="60" t="str">
        <x:v>4.9</x:v>
      </x:c>
      <x:c r="T579" s="74" t="str">
        <x:v>113</x:v>
      </x:c>
      <x:c r="U579" s="60" t="str"/>
      <x:c r="V579" s="74" t="str">
        <x:v>29</x:v>
      </x:c>
      <x:c r="W579" s="74" t="str">
        <x:v>3</x:v>
      </x:c>
      <x:c r="X579" s="74" t="str">
        <x:v>0</x:v>
      </x:c>
      <x:c r="Y579" s="74" t="str">
        <x:v>11</x:v>
      </x:c>
      <x:c r="Z579" s="74" t="str">
        <x:v>5</x:v>
      </x:c>
      <x:c r="AA579" s="74" t="str">
        <x:v>0</x:v>
      </x:c>
      <x:c r="AB579" s="74" t="str">
        <x:v>0</x:v>
      </x:c>
      <x:c r="AC579" s="74" t="str">
        <x:v>1</x:v>
      </x:c>
      <x:c r="AD579" s="74" t="str">
        <x:v>0</x:v>
      </x:c>
      <x:c r="AE579" s="74" t="str">
        <x:v>0</x:v>
      </x:c>
      <x:c r="AF579" s="74" t="str"/>
      <x:c r="AG579" s="74" t="str">
        <x:v>1</x:v>
      </x:c>
      <x:c r="AH579" s="74" t="str">
        <x:v>1</x:v>
      </x:c>
      <x:c r="AI579" s="74" t="str">
        <x:v>0</x:v>
      </x:c>
      <x:c r="AJ579" s="74" t="str">
        <x:v>0</x:v>
      </x:c>
      <x:c r="AK579" s="74" t="str">
        <x:v>1</x:v>
      </x:c>
      <x:c r="AL579" s="74" t="str">
        <x:v>1</x:v>
      </x:c>
      <x:c r="AM579" s="74" t="str">
        <x:v>1</x:v>
      </x:c>
      <x:c r="AN579" s="74" t="str">
        <x:v>0</x:v>
      </x:c>
      <x:c r="AO579" s="60" t="str">
        <x:v>2026</x:v>
      </x:c>
      <x:c r="AP579" s="76" t="str">
        <x:v>ICP fit; paid-demand need requires manual verification</x:v>
      </x:c>
      <x:c r="AQ579" s="76" t="str">
        <x:v>project/gallery proof; visible service offer</x:v>
      </x:c>
      <x:c r="AR579" s="76" t="str">
        <x:v>I was reviewing roofing companies in Myrtle Beach, South Carolina and Alpha Contractors looked like a strong fit for a creative test.</x:v>
      </x:c>
      <x:c r="AS579" s="76" t="str">
        <x:v>storm-to-inspection before/after ad</x:v>
      </x:c>
      <x:c r="AT579" s="76" t="str">
        <x:v>Alpha Contractors ad concept</x:v>
      </x:c>
      <x:c r="AU579" s="76" t="str">
        <x:v>Hi Alpha Contractors — I was reviewing roofing companies in Myrtle Beach, South Carolina and Alpha Contractors looked like a strong fit for a creative test. I mapped a private 15-second storm-to-inspection before/after ad for Alpha Contractors using only public brand context—not for publishing, just to show the angle. We build three client-approved video ad concepts in seven days, then turn the winners into fresh variations. No filming day required. Worth sending the private sample?</x:v>
      </x:c>
      <x:c r="AV579" s="76" t="str">
        <x:v>Quick follow-up: the sample angle is a storm-to-inspection before/after ad. If it misses the mark, no problem—I won't keep chasing. Should I send it?</x:v>
      </x:c>
      <x:c r="AW579" s="76" t="str">
        <x:v>Hi Alpha Contractors, Ryan here. I was looking at Alpha Contractors's public marketing and noticed: icp fit; paid-demand need requires manual verification. I mapped one private storm-to-inspection before/after ad as an example. Did I catch you with 30 seconds?</x:v>
      </x:c>
      <x:c r="AX579" s="60" t="str">
        <x:v>https://www.facebook.com/ads/library/?active_status=active&amp;ad_type=all&amp;country=US&amp;q=Alpha%20Contractors&amp;search_type=keyword_unordered</x:v>
      </x:c>
      <x:c r="AY579" s="60" t="str">
        <x:v>ok:200</x:v>
      </x:c>
      <x:c r="AZ579" s="60" t="n">
        <x:v>46232.722858796296</x:v>
      </x:c>
      <x:c r="BA579" s="60" t="str">
        <x:v>Google Maps home-services export</x:v>
      </x:c>
      <x:c r="BB579" s="60" t="str">
        <x:v>https://maps.google.com/?cid=7046951188583068480&amp;g_mp=Cidnb29nbGUubWFwcy5wbGFjZXMudjEuUGxhY2VzLlNlYXJjaFRleHQQAhgEIAA | https://thealphacontractors.com</x:v>
      </x:c>
      <x:c r="BC579" s="60" t="str"/>
    </x:row>
    <x:row r="580" ht="18" customHeight="1">
      <x:c r="A580" s="70" t="str">
        <x:v>579</x:v>
      </x:c>
      <x:c r="B580" s="70" t="str">
        <x:v>C - Verify</x:v>
      </x:c>
      <x:c r="C580" s="72" t="str">
        <x:v>48</x:v>
      </x:c>
      <x:c r="D580" s="60" t="str">
        <x:v>843 Roof LLC</x:v>
      </x:c>
      <x:c r="E580" s="60" t="str">
        <x:v>https://843roof.com</x:v>
      </x:c>
      <x:c r="F580" s="60" t="str">
        <x:v>https://843roof.com</x:v>
      </x:c>
      <x:c r="G580" s="60" t="str">
        <x:v>Charleston</x:v>
      </x:c>
      <x:c r="H580" s="60" t="str">
        <x:v>South Carolina</x:v>
      </x:c>
      <x:c r="I580" s="60" t="str">
        <x:v>Roofing</x:v>
      </x:c>
      <x:c r="J580" s="60" t="str">
        <x:v>843 Roof LLC</x:v>
      </x:c>
      <x:c r="K580" s="60" t="str"/>
      <x:c r="L580" s="60" t="str">
        <x:v>Owner / decision maker to verify</x:v>
      </x:c>
      <x:c r="M580" s="60" t="str"/>
      <x:c r="N580" s="60" t="str"/>
      <x:c r="O580" s="60" t="str">
        <x:v>(843) 900-7663</x:v>
      </x:c>
      <x:c r="P580" s="60" t="str"/>
      <x:c r="Q580" s="60" t="str"/>
      <x:c r="R580" s="60" t="str"/>
      <x:c r="S580" s="60" t="str">
        <x:v>5</x:v>
      </x:c>
      <x:c r="T580" s="74" t="str">
        <x:v>201</x:v>
      </x:c>
      <x:c r="U580" s="60" t="str"/>
      <x:c r="V580" s="74" t="str">
        <x:v>29</x:v>
      </x:c>
      <x:c r="W580" s="74" t="str">
        <x:v>3</x:v>
      </x:c>
      <x:c r="X580" s="74" t="str">
        <x:v>0</x:v>
      </x:c>
      <x:c r="Y580" s="74" t="str">
        <x:v>11</x:v>
      </x:c>
      <x:c r="Z580" s="74" t="str">
        <x:v>5</x:v>
      </x:c>
      <x:c r="AA580" s="74" t="str">
        <x:v>0</x:v>
      </x:c>
      <x:c r="AB580" s="74" t="str">
        <x:v>0</x:v>
      </x:c>
      <x:c r="AC580" s="74" t="str">
        <x:v>1</x:v>
      </x:c>
      <x:c r="AD580" s="74" t="str">
        <x:v>0</x:v>
      </x:c>
      <x:c r="AE580" s="74" t="str">
        <x:v>0</x:v>
      </x:c>
      <x:c r="AF580" s="74" t="str"/>
      <x:c r="AG580" s="74" t="str">
        <x:v>1</x:v>
      </x:c>
      <x:c r="AH580" s="74" t="str">
        <x:v>1</x:v>
      </x:c>
      <x:c r="AI580" s="74" t="str">
        <x:v>0</x:v>
      </x:c>
      <x:c r="AJ580" s="74" t="str">
        <x:v>0</x:v>
      </x:c>
      <x:c r="AK580" s="74" t="str">
        <x:v>1</x:v>
      </x:c>
      <x:c r="AL580" s="74" t="str">
        <x:v>1</x:v>
      </x:c>
      <x:c r="AM580" s="74" t="str">
        <x:v>1</x:v>
      </x:c>
      <x:c r="AN580" s="74" t="str">
        <x:v>0</x:v>
      </x:c>
      <x:c r="AO580" s="60" t="str">
        <x:v>0</x:v>
      </x:c>
      <x:c r="AP580" s="76" t="str">
        <x:v>ICP fit; paid-demand need requires manual verification</x:v>
      </x:c>
      <x:c r="AQ580" s="76" t="str">
        <x:v>project/gallery proof; visible service offer</x:v>
      </x:c>
      <x:c r="AR580" s="76" t="str">
        <x:v>I was reviewing roofing companies in Charleston, South Carolina and 843 Roof LLC looked like a strong fit for a creative test.</x:v>
      </x:c>
      <x:c r="AS580" s="76" t="str">
        <x:v>storm-to-inspection before/after ad</x:v>
      </x:c>
      <x:c r="AT580" s="76" t="str">
        <x:v>843 Roof LLC ad concept</x:v>
      </x:c>
      <x:c r="AU580" s="76" t="str">
        <x:v>Hi 843 Roof LLC — I was reviewing roofing companies in Charleston, South Carolina and 843 Roof LLC looked like a strong fit for a creative test. I mapped a private 15-second storm-to-inspection before/after ad for 843 Roof LLC using only public brand context—not for publishing, just to show the angle. We build three client-approved video ad concepts in seven days, then turn the winners into fresh variations. No filming day required. Worth sending the private sample?</x:v>
      </x:c>
      <x:c r="AV580" s="76" t="str">
        <x:v>Quick follow-up: the sample angle is a storm-to-inspection before/after ad. If it misses the mark, no problem—I won't keep chasing. Should I send it?</x:v>
      </x:c>
      <x:c r="AW580" s="76" t="str">
        <x:v>Hi 843 Roof LLC, Ryan here. I was looking at 843 Roof LLC's public marketing and noticed: icp fit; paid-demand need requires manual verification. I mapped one private storm-to-inspection before/after ad as an example. Did I catch you with 30 seconds?</x:v>
      </x:c>
      <x:c r="AX580" s="60" t="str">
        <x:v>https://www.facebook.com/ads/library/?active_status=active&amp;ad_type=all&amp;country=US&amp;q=843%20Roof%20LLC&amp;search_type=keyword_unordered</x:v>
      </x:c>
      <x:c r="AY580" s="60" t="str">
        <x:v>ok:200</x:v>
      </x:c>
      <x:c r="AZ580" s="60" t="n">
        <x:v>46232.722858796296</x:v>
      </x:c>
      <x:c r="BA580" s="60" t="str">
        <x:v>Google Maps home-services export</x:v>
      </x:c>
      <x:c r="BB580" s="60" t="str">
        <x:v>https://843roof.com | https://maps.google.com/?cid=3388310504175382064&amp;g_mp=Cidnb29nbGUubWFwcy5wbGFjZXMudjEuUGxhY2VzLlNlYXJjaFRleHQQAhgEIAA</x:v>
      </x:c>
      <x:c r="BC580" s="60" t="str"/>
    </x:row>
    <x:row r="581" ht="18" customHeight="1">
      <x:c r="A581" s="70" t="str">
        <x:v>580</x:v>
      </x:c>
      <x:c r="B581" s="70" t="str">
        <x:v>C - Verify</x:v>
      </x:c>
      <x:c r="C581" s="72" t="str">
        <x:v>48</x:v>
      </x:c>
      <x:c r="D581" s="60" t="str">
        <x:v>Midlands Roofing &amp; Exteriors</x:v>
      </x:c>
      <x:c r="E581" s="60" t="str">
        <x:v>https://midlandsroofing.net</x:v>
      </x:c>
      <x:c r="F581" s="60" t="str">
        <x:v>https://www.midlandsroofing.net/</x:v>
      </x:c>
      <x:c r="G581" s="60" t="str">
        <x:v>Columbia</x:v>
      </x:c>
      <x:c r="H581" s="60" t="str">
        <x:v>South Carolina</x:v>
      </x:c>
      <x:c r="I581" s="60" t="str">
        <x:v>Roofing</x:v>
      </x:c>
      <x:c r="J581" s="60" t="str">
        <x:v>Midlands Roofing &amp; Exteriors</x:v>
      </x:c>
      <x:c r="K581" s="60" t="str"/>
      <x:c r="L581" s="60" t="str">
        <x:v>Owner / decision maker to verify</x:v>
      </x:c>
      <x:c r="M581" s="60" t="str"/>
      <x:c r="N581" s="60" t="str"/>
      <x:c r="O581" s="60" t="str">
        <x:v>(803) 414-6801</x:v>
      </x:c>
      <x:c r="P581" s="60" t="str"/>
      <x:c r="Q581" s="60" t="str"/>
      <x:c r="R581" s="60" t="str"/>
      <x:c r="S581" s="60" t="str">
        <x:v>4.9</x:v>
      </x:c>
      <x:c r="T581" s="74" t="str">
        <x:v>371</x:v>
      </x:c>
      <x:c r="U581" s="60" t="str"/>
      <x:c r="V581" s="74" t="str">
        <x:v>30</x:v>
      </x:c>
      <x:c r="W581" s="74" t="str">
        <x:v>3</x:v>
      </x:c>
      <x:c r="X581" s="74" t="str">
        <x:v>0</x:v>
      </x:c>
      <x:c r="Y581" s="74" t="str">
        <x:v>10</x:v>
      </x:c>
      <x:c r="Z581" s="74" t="str">
        <x:v>5</x:v>
      </x:c>
      <x:c r="AA581" s="74" t="str">
        <x:v>0</x:v>
      </x:c>
      <x:c r="AB581" s="74" t="str">
        <x:v>0</x:v>
      </x:c>
      <x:c r="AC581" s="74" t="str">
        <x:v>1</x:v>
      </x:c>
      <x:c r="AD581" s="74" t="str">
        <x:v>0</x:v>
      </x:c>
      <x:c r="AE581" s="74" t="str">
        <x:v>0</x:v>
      </x:c>
      <x:c r="AF581" s="74" t="str"/>
      <x:c r="AG581" s="74" t="str">
        <x:v>1</x:v>
      </x:c>
      <x:c r="AH581" s="74" t="str">
        <x:v>0</x:v>
      </x:c>
      <x:c r="AI581" s="74" t="str">
        <x:v>1</x:v>
      </x:c>
      <x:c r="AJ581" s="74" t="str">
        <x:v>0</x:v>
      </x:c>
      <x:c r="AK581" s="74" t="str">
        <x:v>1</x:v>
      </x:c>
      <x:c r="AL581" s="74" t="str">
        <x:v>1</x:v>
      </x:c>
      <x:c r="AM581" s="74" t="str">
        <x:v>1</x:v>
      </x:c>
      <x:c r="AN581" s="74" t="str">
        <x:v>0</x:v>
      </x:c>
      <x:c r="AO581" s="60" t="str">
        <x:v>2026</x:v>
      </x:c>
      <x:c r="AP581" s="76" t="str">
        <x:v>ICP fit; paid-demand need requires manual verification</x:v>
      </x:c>
      <x:c r="AQ581" s="76" t="str">
        <x:v>testimonials; visible service offer</x:v>
      </x:c>
      <x:c r="AR581" s="76" t="str">
        <x:v>I was reviewing roofing companies in Columbia, South Carolina and Midlands Roofing &amp; Exteriors looked like a strong fit for a creative test.</x:v>
      </x:c>
      <x:c r="AS581" s="76" t="str">
        <x:v>storm-to-inspection before/after ad</x:v>
      </x:c>
      <x:c r="AT581" s="76" t="str">
        <x:v>Midlands Roofing &amp; Exteriors ad concept</x:v>
      </x:c>
      <x:c r="AU581" s="76" t="str">
        <x:v>Hi Midlands Roofing &amp; Exteriors — I was reviewing roofing companies in Columbia, South Carolina and Midlands Roofing &amp; Exteriors looked like a strong fit for a creative test. I mapped a private 15-second storm-to-inspection before/after ad for Midlands Roofing &amp; Exteriors using only public brand context—not for publishing, just to show the angle. We build three client-approved video ad concepts in seven days, then turn the winners into fresh variations. No filming day required. Worth sending the private sample?</x:v>
      </x:c>
      <x:c r="AV581" s="76" t="str">
        <x:v>Quick follow-up: the sample angle is a storm-to-inspection before/after ad. If it misses the mark, no problem—I won't keep chasing. Should I send it?</x:v>
      </x:c>
      <x:c r="AW581" s="76" t="str">
        <x:v>Hi Midlands Roofing &amp; Exteriors, Ryan here. I was looking at Midlands Roofing &amp; Exteriors's public marketing and noticed: icp fit; paid-demand need requires manual verification. I mapped one private storm-to-inspection before/after ad as an example. Did I catch you with 30 seconds?</x:v>
      </x:c>
      <x:c r="AX581" s="60" t="str">
        <x:v>https://www.facebook.com/ads/library/?active_status=active&amp;ad_type=all&amp;country=US&amp;q=Midlands%20Roofing%20%26%20Exteriors&amp;search_type=keyword_unordered</x:v>
      </x:c>
      <x:c r="AY581" s="60" t="str">
        <x:v>ok:200</x:v>
      </x:c>
      <x:c r="AZ581" s="60" t="n">
        <x:v>46232.722858796296</x:v>
      </x:c>
      <x:c r="BA581" s="60" t="str">
        <x:v>Google Maps home-services export</x:v>
      </x:c>
      <x:c r="BB581" s="60" t="str">
        <x:v>https://maps.google.com/?cid=8847222620962760167&amp;g_mp=Cidnb29nbGUubWFwcy5wbGFjZXMudjEuUGxhY2VzLlNlYXJjaFRleHQQAhgEIAA | https://midlandsroofing.net</x:v>
      </x:c>
      <x:c r="BC581" s="60" t="str"/>
    </x:row>
    <x:row r="582" ht="18" customHeight="1">
      <x:c r="A582" s="70" t="str">
        <x:v>581</x:v>
      </x:c>
      <x:c r="B582" s="70" t="str">
        <x:v>C - Verify</x:v>
      </x:c>
      <x:c r="C582" s="72" t="str">
        <x:v>48</x:v>
      </x:c>
      <x:c r="D582" s="60" t="str">
        <x:v>Island Electrical, LLC</x:v>
      </x:c>
      <x:c r="E582" s="60" t="str">
        <x:v>https://islandelectricalchs.com</x:v>
      </x:c>
      <x:c r="F582" s="60" t="str">
        <x:v>https://islandelectricalchs.com</x:v>
      </x:c>
      <x:c r="G582" s="60" t="str">
        <x:v>Charleston</x:v>
      </x:c>
      <x:c r="H582" s="60" t="str">
        <x:v>South Carolina</x:v>
      </x:c>
      <x:c r="I582" s="60" t="str">
        <x:v>Electrical</x:v>
      </x:c>
      <x:c r="J582" s="60" t="str">
        <x:v>Island Electrical, LLC</x:v>
      </x:c>
      <x:c r="K582" s="60" t="str"/>
      <x:c r="L582" s="60" t="str">
        <x:v>Owner / decision maker to verify</x:v>
      </x:c>
      <x:c r="M582" s="60" t="str"/>
      <x:c r="N582" s="60" t="str"/>
      <x:c r="O582" s="60" t="str">
        <x:v>(518) 755-8104</x:v>
      </x:c>
      <x:c r="P582" s="60" t="str"/>
      <x:c r="Q582" s="60" t="str"/>
      <x:c r="R582" s="60" t="str"/>
      <x:c r="S582" s="60" t="str">
        <x:v>5</x:v>
      </x:c>
      <x:c r="T582" s="74" t="str">
        <x:v>39</x:v>
      </x:c>
      <x:c r="U582" s="60" t="str"/>
      <x:c r="V582" s="74" t="str">
        <x:v>21</x:v>
      </x:c>
      <x:c r="W582" s="74" t="str">
        <x:v>3</x:v>
      </x:c>
      <x:c r="X582" s="74" t="str">
        <x:v>10</x:v>
      </x:c>
      <x:c r="Y582" s="74" t="str">
        <x:v>9</x:v>
      </x:c>
      <x:c r="Z582" s="74" t="str">
        <x:v>5</x:v>
      </x:c>
      <x:c r="AA582" s="74" t="str">
        <x:v>0</x:v>
      </x:c>
      <x:c r="AB582" s="74" t="str">
        <x:v>0</x:v>
      </x:c>
      <x:c r="AC582" s="74" t="str">
        <x:v>0</x:v>
      </x:c>
      <x:c r="AD582" s="74" t="str">
        <x:v>0</x:v>
      </x:c>
      <x:c r="AE582" s="74" t="str">
        <x:v>0</x:v>
      </x:c>
      <x:c r="AF582" s="74" t="str">
        <x:v>housecallpro</x:v>
      </x:c>
      <x:c r="AG582" s="74" t="str">
        <x:v>0</x:v>
      </x:c>
      <x:c r="AH582" s="74" t="str">
        <x:v>0</x:v>
      </x:c>
      <x:c r="AI582" s="74" t="str">
        <x:v>1</x:v>
      </x:c>
      <x:c r="AJ582" s="74" t="str">
        <x:v>0</x:v>
      </x:c>
      <x:c r="AK582" s="74" t="str">
        <x:v>1</x:v>
      </x:c>
      <x:c r="AL582" s="74" t="str">
        <x:v>0</x:v>
      </x:c>
      <x:c r="AM582" s="74" t="str">
        <x:v>0</x:v>
      </x:c>
      <x:c r="AN582" s="74" t="str">
        <x:v>0</x:v>
      </x:c>
      <x:c r="AO582" s="60" t="str">
        <x:v>2025</x:v>
      </x:c>
      <x:c r="AP582" s="76" t="str">
        <x:v>ICP fit; paid-demand need requires manual verification</x:v>
      </x:c>
      <x:c r="AQ582" s="76" t="str">
        <x:v>testimonials; visible service offer; no embedded homepage video detected</x:v>
      </x:c>
      <x:c r="AR582" s="76" t="str">
        <x:v>I was reviewing electrical companies in Charleston, South Carolina and Island Electrical, LLC looked like a strong fit for a creative test.</x:v>
      </x:c>
      <x:c r="AS582" s="76" t="str">
        <x:v>safety inspection problem/solution ad</x:v>
      </x:c>
      <x:c r="AT582" s="76" t="str">
        <x:v>Island Electrical, LLC ad concept</x:v>
      </x:c>
      <x:c r="AU582" s="76" t="str">
        <x:v>Hi Island Electrical, LLC — I was reviewing electrical companies in Charleston, South Carolina and Island Electrical, LLC looked like a strong fit for a creative test. I mapped a private 15-second safety inspection problem/solution ad for Island Electrical, LLC using only public brand context—not for publishing, just to show the angle. We build three client-approved video ad concepts in seven days, then turn the winners into fresh variations. No filming day required. Worth sending the private sample?</x:v>
      </x:c>
      <x:c r="AV582" s="76" t="str">
        <x:v>Quick follow-up: the sample angle is a safety inspection problem/solution ad. If it misses the mark, no problem—I won't keep chasing. Should I send it?</x:v>
      </x:c>
      <x:c r="AW582" s="76" t="str">
        <x:v>Hi Island Electrical, LLC, Ryan here. I was looking at Island Electrical, LLC's public marketing and noticed: icp fit; paid-demand need requires manual verification. I mapped one private safety inspection problem/solution ad as an example. Did I catch you with 30 seconds?</x:v>
      </x:c>
      <x:c r="AX582" s="60" t="str">
        <x:v>https://www.facebook.com/ads/library/?active_status=active&amp;ad_type=all&amp;country=US&amp;q=Island%20Electrical%2C%20LLC&amp;search_type=keyword_unordered</x:v>
      </x:c>
      <x:c r="AY582" s="60" t="str">
        <x:v>ok:200</x:v>
      </x:c>
      <x:c r="AZ582" s="60" t="n">
        <x:v>46232.722858796296</x:v>
      </x:c>
      <x:c r="BA582" s="60" t="str">
        <x:v>Google Maps home-services export</x:v>
      </x:c>
      <x:c r="BB582" s="60" t="str">
        <x:v>https://islandelectricalchs.com | https://maps.google.com/?cid=17714612131436042653&amp;g_mp=Cidnb29nbGUubWFwcy5wbGFjZXMudjEuUGxhY2VzLlNlYXJjaFRleHQQAhgEIAA</x:v>
      </x:c>
      <x:c r="BC582" s="60" t="str"/>
    </x:row>
    <x:row r="583" ht="18" customHeight="1">
      <x:c r="A583" s="70" t="str">
        <x:v>582</x:v>
      </x:c>
      <x:c r="B583" s="70" t="str">
        <x:v>C - Verify</x:v>
      </x:c>
      <x:c r="C583" s="72" t="str">
        <x:v>48</x:v>
      </x:c>
      <x:c r="D583" s="60" t="str">
        <x:v>Kitchen Guard</x:v>
      </x:c>
      <x:c r="E583" s="60" t="str">
        <x:v>https://kitchenguard.com</x:v>
      </x:c>
      <x:c r="F583" s="60" t="str">
        <x:v>https://kitchenguard.com</x:v>
      </x:c>
      <x:c r="G583" s="60" t="str">
        <x:v>Swansea</x:v>
      </x:c>
      <x:c r="H583" s="60" t="str">
        <x:v>South Carolina</x:v>
      </x:c>
      <x:c r="I583" s="60" t="str">
        <x:v>Remodeling</x:v>
      </x:c>
      <x:c r="J583" s="60" t="str">
        <x:v>Will</x:v>
      </x:c>
      <x:c r="K583" s="60" t="str">
        <x:v>Reynolds</x:v>
      </x:c>
      <x:c r="L583" s="60" t="str">
        <x:v>Company Owner</x:v>
      </x:c>
      <x:c r="M583" s="60" t="str">
        <x:v>will.reynolds@kitchenguard.com</x:v>
      </x:c>
      <x:c r="N583" s="60" t="str">
        <x:v>Verified with BounceBan on 08 Jun 26 12:06</x:v>
      </x:c>
      <x:c r="O583" s="60" t="str"/>
      <x:c r="P583" s="60" t="str">
        <x:v>https://www.linkedin.com/in/will-reynolds-nokitchenfires</x:v>
      </x:c>
      <x:c r="Q583" s="60" t="str">
        <x:v>11-50</x:v>
      </x:c>
      <x:c r="R583" s="60" t="str">
        <x:v>1000000-4999999</x:v>
      </x:c>
      <x:c r="S583" s="60" t="str"/>
      <x:c r="T583" s="74" t="str">
        <x:v>0</x:v>
      </x:c>
      <x:c r="U583" s="60" t="str"/>
      <x:c r="V583" s="74" t="str">
        <x:v>30</x:v>
      </x:c>
      <x:c r="W583" s="74" t="str">
        <x:v>3</x:v>
      </x:c>
      <x:c r="X583" s="74" t="str">
        <x:v>0</x:v>
      </x:c>
      <x:c r="Y583" s="74" t="str">
        <x:v>8</x:v>
      </x:c>
      <x:c r="Z583" s="74" t="str">
        <x:v>7</x:v>
      </x:c>
      <x:c r="AA583" s="74" t="str">
        <x:v>0</x:v>
      </x:c>
      <x:c r="AB583" s="74" t="str">
        <x:v>0</x:v>
      </x:c>
      <x:c r="AC583" s="74" t="str">
        <x:v>1</x:v>
      </x:c>
      <x:c r="AD583" s="74" t="str">
        <x:v>0</x:v>
      </x:c>
      <x:c r="AE583" s="74" t="str">
        <x:v>0</x:v>
      </x:c>
      <x:c r="AF583" s="74" t="str"/>
      <x:c r="AG583" s="74" t="str">
        <x:v>1</x:v>
      </x:c>
      <x:c r="AH583" s="74" t="str">
        <x:v>1</x:v>
      </x:c>
      <x:c r="AI583" s="74" t="str">
        <x:v>0</x:v>
      </x:c>
      <x:c r="AJ583" s="74" t="str">
        <x:v>0</x:v>
      </x:c>
      <x:c r="AK583" s="74" t="str">
        <x:v>1</x:v>
      </x:c>
      <x:c r="AL583" s="74" t="str">
        <x:v>1</x:v>
      </x:c>
      <x:c r="AM583" s="74" t="str">
        <x:v>1</x:v>
      </x:c>
      <x:c r="AN583" s="74" t="str">
        <x:v>1</x:v>
      </x:c>
      <x:c r="AO583" s="60" t="str">
        <x:v>2026</x:v>
      </x:c>
      <x:c r="AP583" s="76" t="str">
        <x:v>ICP fit; paid-demand need requires manual verification</x:v>
      </x:c>
      <x:c r="AQ583" s="76" t="str">
        <x:v>project/gallery proof; visible service offer</x:v>
      </x:c>
      <x:c r="AR583" s="76" t="str">
        <x:v>I was reviewing remodeling companies in Swansea, South Carolina and Kitchen Guard looked like a strong fit for a creative test.</x:v>
      </x:c>
      <x:c r="AS583" s="76" t="str">
        <x:v>project reveal with budget-and-timeline proof</x:v>
      </x:c>
      <x:c r="AT583" s="76" t="str">
        <x:v>Kitchen Guard ad concept</x:v>
      </x:c>
      <x:c r="AU583" s="76" t="str">
        <x:v>Hi Will — I was reviewing remodeling companies in Swansea, South Carolina and Kitchen Guard looked like a strong fit for a creative test. I mapped a private 15-second project reveal with budget-and-timeline proof for Kitchen Guard using only public brand context—not for publishing, just to show the angle. We build three client-approved video ad concepts in seven days, then turn the winners into fresh variations. No filming day required. Worth sending the private sample?</x:v>
      </x:c>
      <x:c r="AV583" s="76" t="str">
        <x:v>Quick follow-up: the sample angle is a project reveal with budget-and-timeline proof. If it misses the mark, no problem—I won't keep chasing. Should I send it?</x:v>
      </x:c>
      <x:c r="AW583" s="76" t="str">
        <x:v>Hi Will, Ryan here. I was looking at Kitchen Guard's public marketing and noticed: icp fit; paid-demand need requires manual verification. I mapped one private project reveal with budget-and-timeline proof as an example. Did I catch you with 30 seconds?</x:v>
      </x:c>
      <x:c r="AX583" s="60" t="str">
        <x:v>https://www.facebook.com/ads/library/?active_status=active&amp;ad_type=all&amp;country=US&amp;q=Kitchen%20Guard&amp;search_type=keyword_unordered</x:v>
      </x:c>
      <x:c r="AY583" s="60" t="str">
        <x:v>ok:200</x:v>
      </x:c>
      <x:c r="AZ583" s="60" t="n">
        <x:v>46232.722858796296</x:v>
      </x:c>
      <x:c r="BA583" s="60" t="str">
        <x:v>AI Ark SC trades export</x:v>
      </x:c>
      <x:c r="BB583" s="60" t="str">
        <x:v>https://kitchenguard.com | https://www.linkedin.com/company/kitchen-guard</x:v>
      </x:c>
      <x:c r="BC583" s="60" t="str"/>
    </x:row>
    <x:row r="584" ht="18" customHeight="1">
      <x:c r="A584" s="70" t="str">
        <x:v>583</x:v>
      </x:c>
      <x:c r="B584" s="70" t="str">
        <x:v>C - Verify</x:v>
      </x:c>
      <x:c r="C584" s="72" t="str">
        <x:v>48</x:v>
      </x:c>
      <x:c r="D584" s="60" t="str">
        <x:v>The Electric Man</x:v>
      </x:c>
      <x:c r="E584" s="60" t="str">
        <x:v>https://theelectricman.biz</x:v>
      </x:c>
      <x:c r="F584" s="60" t="str">
        <x:v>https://www.theelectricman.biz/</x:v>
      </x:c>
      <x:c r="G584" s="60" t="str">
        <x:v>Columbia</x:v>
      </x:c>
      <x:c r="H584" s="60" t="str">
        <x:v>South Carolina</x:v>
      </x:c>
      <x:c r="I584" s="60" t="str">
        <x:v>Electrical</x:v>
      </x:c>
      <x:c r="J584" s="60" t="str">
        <x:v>The Electric Man</x:v>
      </x:c>
      <x:c r="K584" s="60" t="str"/>
      <x:c r="L584" s="60" t="str">
        <x:v>Owner / decision maker to verify</x:v>
      </x:c>
      <x:c r="M584" s="60" t="str"/>
      <x:c r="N584" s="60" t="str"/>
      <x:c r="O584" s="60" t="str">
        <x:v>(803) 989-3337</x:v>
      </x:c>
      <x:c r="P584" s="60" t="str"/>
      <x:c r="Q584" s="60" t="str"/>
      <x:c r="R584" s="60" t="str"/>
      <x:c r="S584" s="60" t="str">
        <x:v>4.9</x:v>
      </x:c>
      <x:c r="T584" s="74" t="str">
        <x:v>195</x:v>
      </x:c>
      <x:c r="U584" s="60" t="str"/>
      <x:c r="V584" s="74" t="str">
        <x:v>23</x:v>
      </x:c>
      <x:c r="W584" s="74" t="str">
        <x:v>3</x:v>
      </x:c>
      <x:c r="X584" s="74" t="str">
        <x:v>10</x:v>
      </x:c>
      <x:c r="Y584" s="74" t="str">
        <x:v>7</x:v>
      </x:c>
      <x:c r="Z584" s="74" t="str">
        <x:v>5</x:v>
      </x:c>
      <x:c r="AA584" s="74" t="str">
        <x:v>0</x:v>
      </x:c>
      <x:c r="AB584" s="74" t="str">
        <x:v>0</x:v>
      </x:c>
      <x:c r="AC584" s="74" t="str">
        <x:v>1</x:v>
      </x:c>
      <x:c r="AD584" s="74" t="str">
        <x:v>0</x:v>
      </x:c>
      <x:c r="AE584" s="74" t="str">
        <x:v>0</x:v>
      </x:c>
      <x:c r="AF584" s="74" t="str"/>
      <x:c r="AG584" s="74" t="str">
        <x:v>0</x:v>
      </x:c>
      <x:c r="AH584" s="74" t="str">
        <x:v>0</x:v>
      </x:c>
      <x:c r="AI584" s="74" t="str">
        <x:v>1</x:v>
      </x:c>
      <x:c r="AJ584" s="74" t="str">
        <x:v>0</x:v>
      </x:c>
      <x:c r="AK584" s="74" t="str">
        <x:v>0</x:v>
      </x:c>
      <x:c r="AL584" s="74" t="str">
        <x:v>0</x:v>
      </x:c>
      <x:c r="AM584" s="74" t="str">
        <x:v>0</x:v>
      </x:c>
      <x:c r="AN584" s="74" t="str">
        <x:v>0</x:v>
      </x:c>
      <x:c r="AO584" s="60" t="str">
        <x:v>0</x:v>
      </x:c>
      <x:c r="AP584" s="76" t="str">
        <x:v>195 Google reviews; no embedded homepage video found</x:v>
      </x:c>
      <x:c r="AQ584" s="76" t="str">
        <x:v>testimonials; no embedded homepage video detected</x:v>
      </x:c>
      <x:c r="AR584" s="76" t="str">
        <x:v>The Electric Man has 195 Google reviews—strong proof that could be turned into short-form ad concepts.</x:v>
      </x:c>
      <x:c r="AS584" s="76" t="str">
        <x:v>safety inspection problem/solution ad</x:v>
      </x:c>
      <x:c r="AT584" s="76" t="str">
        <x:v>The Electric Man ad concept</x:v>
      </x:c>
      <x:c r="AU584" s="76" t="str">
        <x:v>Hi The Electric Man — The Electric Man has 195 Google reviews—strong proof that could be turned into short-form ad concepts. I mapped a private 15-second safety inspection problem/solution ad for The Electric Man using only public brand context—not for publishing, just to show the angle. We build three client-approved video ad concepts in seven days, then turn the winners into fresh variations. No filming day required. Worth sending the private sample?</x:v>
      </x:c>
      <x:c r="AV584" s="76" t="str">
        <x:v>Quick follow-up: the sample angle is a safety inspection problem/solution ad. If it misses the mark, no problem—I won't keep chasing. Should I send it?</x:v>
      </x:c>
      <x:c r="AW584" s="76" t="str">
        <x:v>Hi The Electric Man, Ryan here. I was looking at The Electric Man's public marketing and noticed: 195 google reviews; no embedded homepage video found. I mapped one private safety inspection problem/solution ad as an example. Did I catch you with 30 seconds?</x:v>
      </x:c>
      <x:c r="AX584" s="60" t="str">
        <x:v>https://www.facebook.com/ads/library/?active_status=active&amp;ad_type=all&amp;country=US&amp;q=The%20Electric%20Man&amp;search_type=keyword_unordered</x:v>
      </x:c>
      <x:c r="AY584" s="60" t="str">
        <x:v>ok:200</x:v>
      </x:c>
      <x:c r="AZ584" s="60" t="n">
        <x:v>46232.722858796296</x:v>
      </x:c>
      <x:c r="BA584" s="60" t="str">
        <x:v>Google Maps home-services export</x:v>
      </x:c>
      <x:c r="BB584" s="60" t="str">
        <x:v>https://maps.google.com/?cid=18058648635684980989&amp;g_mp=Cidnb29nbGUubWFwcy5wbGFjZXMudjEuUGxhY2VzLlNlYXJjaFRleHQQAhgEIAA | https://theelectricman.biz</x:v>
      </x:c>
      <x:c r="BC584" s="60" t="str"/>
    </x:row>
    <x:row r="585" ht="18" customHeight="1">
      <x:c r="A585" s="70" t="str">
        <x:v>584</x:v>
      </x:c>
      <x:c r="B585" s="70" t="str">
        <x:v>C - Verify</x:v>
      </x:c>
      <x:c r="C585" s="72" t="str">
        <x:v>48</x:v>
      </x:c>
      <x:c r="D585" s="60" t="str">
        <x:v>Grier Roofing, LLC</x:v>
      </x:c>
      <x:c r="E585" s="60" t="str">
        <x:v>https://grier-roofing-llc.localo.site</x:v>
      </x:c>
      <x:c r="F585" s="60" t="str">
        <x:v>https://grier-roofing-llc.localo.site</x:v>
      </x:c>
      <x:c r="G585" s="60" t="str">
        <x:v>Columbia</x:v>
      </x:c>
      <x:c r="H585" s="60" t="str">
        <x:v>South Carolina</x:v>
      </x:c>
      <x:c r="I585" s="60" t="str">
        <x:v>Roofing</x:v>
      </x:c>
      <x:c r="J585" s="60" t="str">
        <x:v>Grier Roofing, LLC</x:v>
      </x:c>
      <x:c r="K585" s="60" t="str"/>
      <x:c r="L585" s="60" t="str">
        <x:v>Owner / decision maker to verify</x:v>
      </x:c>
      <x:c r="M585" s="60" t="str"/>
      <x:c r="N585" s="60" t="str"/>
      <x:c r="O585" s="60" t="str">
        <x:v>(877) 398-4526</x:v>
      </x:c>
      <x:c r="P585" s="60" t="str"/>
      <x:c r="Q585" s="60" t="str"/>
      <x:c r="R585" s="60" t="str"/>
      <x:c r="S585" s="60" t="str">
        <x:v>4.7</x:v>
      </x:c>
      <x:c r="T585" s="74" t="str">
        <x:v>83</x:v>
      </x:c>
      <x:c r="U585" s="60" t="str"/>
      <x:c r="V585" s="74" t="str">
        <x:v>27</x:v>
      </x:c>
      <x:c r="W585" s="74" t="str">
        <x:v>3</x:v>
      </x:c>
      <x:c r="X585" s="74" t="str">
        <x:v>6</x:v>
      </x:c>
      <x:c r="Y585" s="74" t="str">
        <x:v>7</x:v>
      </x:c>
      <x:c r="Z585" s="74" t="str">
        <x:v>5</x:v>
      </x:c>
      <x:c r="AA585" s="74" t="str">
        <x:v>0</x:v>
      </x:c>
      <x:c r="AB585" s="74" t="str">
        <x:v>0</x:v>
      </x:c>
      <x:c r="AC585" s="74" t="str">
        <x:v>0</x:v>
      </x:c>
      <x:c r="AD585" s="74" t="str">
        <x:v>0</x:v>
      </x:c>
      <x:c r="AE585" s="74" t="str">
        <x:v>0</x:v>
      </x:c>
      <x:c r="AF585" s="74" t="str">
        <x:v>birdeye</x:v>
      </x:c>
      <x:c r="AG585" s="74" t="str">
        <x:v>0</x:v>
      </x:c>
      <x:c r="AH585" s="74" t="str">
        <x:v>1</x:v>
      </x:c>
      <x:c r="AI585" s="74" t="str">
        <x:v>0</x:v>
      </x:c>
      <x:c r="AJ585" s="74" t="str">
        <x:v>0</x:v>
      </x:c>
      <x:c r="AK585" s="74" t="str">
        <x:v>0</x:v>
      </x:c>
      <x:c r="AL585" s="74" t="str">
        <x:v>1</x:v>
      </x:c>
      <x:c r="AM585" s="74" t="str">
        <x:v>1</x:v>
      </x:c>
      <x:c r="AN585" s="74" t="str">
        <x:v>1</x:v>
      </x:c>
      <x:c r="AO585" s="60" t="str">
        <x:v>0</x:v>
      </x:c>
      <x:c r="AP585" s="76" t="str">
        <x:v>Project/gallery proof found; no embedded homepage video found</x:v>
      </x:c>
      <x:c r="AQ585" s="76" t="str">
        <x:v>project/gallery proof; no embedded homepage video detected</x:v>
      </x:c>
      <x:c r="AR585" s="76" t="str">
        <x:v>I found project/gallery proof on Grier Roofing, LLC's site that could be repackaged into short-form ad concepts.</x:v>
      </x:c>
      <x:c r="AS585" s="76" t="str">
        <x:v>storm-to-inspection before/after ad</x:v>
      </x:c>
      <x:c r="AT585" s="76" t="str">
        <x:v>Grier Roofing, LLC ad concept</x:v>
      </x:c>
      <x:c r="AU585" s="76" t="str">
        <x:v>Hi Grier Roofing, LLC — I found project/gallery proof on Grier Roofing, LLC's site that could be repackaged into short-form ad concepts. I mapped a private 15-second storm-to-inspection before/after ad for Grier Roofing, LLC using only public brand context—not for publishing, just to show the angle. We build three client-approved video ad concepts in seven days, then turn the winners into fresh variations. No filming day required. Worth sending the private sample?</x:v>
      </x:c>
      <x:c r="AV585" s="76" t="str">
        <x:v>Quick follow-up: the sample angle is a storm-to-inspection before/after ad. If it misses the mark, no problem—I won't keep chasing. Should I send it?</x:v>
      </x:c>
      <x:c r="AW585" s="76" t="str">
        <x:v>Hi Grier Roofing, LLC, Ryan here. I was looking at Grier Roofing, LLC's public marketing and noticed: project/gallery proof found; no embedded homepage video found. I mapped one private storm-to-inspection before/after ad as an example. Did I catch you with 30 seconds?</x:v>
      </x:c>
      <x:c r="AX585" s="60" t="str">
        <x:v>https://www.facebook.com/ads/library/?active_status=active&amp;ad_type=all&amp;country=US&amp;q=Grier%20Roofing%2C%20LLC&amp;search_type=keyword_unordered</x:v>
      </x:c>
      <x:c r="AY585" s="60" t="str">
        <x:v>ok:200</x:v>
      </x:c>
      <x:c r="AZ585" s="60" t="n">
        <x:v>46232.722858796296</x:v>
      </x:c>
      <x:c r="BA585" s="60" t="str">
        <x:v>Google Maps home-services export</x:v>
      </x:c>
      <x:c r="BB585" s="60" t="str">
        <x:v>https://grier-roofing-llc.localo.site | https://maps.google.com/?cid=11450917532688973019&amp;g_mp=Cidnb29nbGUubWFwcy5wbGFjZXMudjEuUGxhY2VzLlNlYXJjaFRleHQQAhgEIAA</x:v>
      </x:c>
      <x:c r="BC585" s="60" t="str"/>
    </x:row>
    <x:row r="586" ht="18" customHeight="1">
      <x:c r="A586" s="70" t="str">
        <x:v>585</x:v>
      </x:c>
      <x:c r="B586" s="70" t="str">
        <x:v>C - Verify</x:v>
      </x:c>
      <x:c r="C586" s="72" t="str">
        <x:v>48</x:v>
      </x:c>
      <x:c r="D586" s="60" t="str">
        <x:v>Brown Electrical Services</x:v>
      </x:c>
      <x:c r="E586" s="60" t="str">
        <x:v>https://brownelectricalservice.com</x:v>
      </x:c>
      <x:c r="F586" s="60" t="str">
        <x:v>https://brownelectricalservices.com/</x:v>
      </x:c>
      <x:c r="G586" s="60" t="str">
        <x:v>Charleston</x:v>
      </x:c>
      <x:c r="H586" s="60" t="str">
        <x:v>South Carolina</x:v>
      </x:c>
      <x:c r="I586" s="60" t="str">
        <x:v>Electrical</x:v>
      </x:c>
      <x:c r="J586" s="60" t="str">
        <x:v>Brown Electrical Services</x:v>
      </x:c>
      <x:c r="K586" s="60" t="str"/>
      <x:c r="L586" s="60" t="str">
        <x:v>Owner / decision maker to verify</x:v>
      </x:c>
      <x:c r="M586" s="60" t="str"/>
      <x:c r="N586" s="60" t="str"/>
      <x:c r="O586" s="60" t="str">
        <x:v>(984) 689-2827</x:v>
      </x:c>
      <x:c r="P586" s="60" t="str"/>
      <x:c r="Q586" s="60" t="str"/>
      <x:c r="R586" s="60" t="str"/>
      <x:c r="S586" s="60" t="str">
        <x:v>5</x:v>
      </x:c>
      <x:c r="T586" s="74" t="str">
        <x:v>127</x:v>
      </x:c>
      <x:c r="U586" s="60" t="str"/>
      <x:c r="V586" s="74" t="str">
        <x:v>23</x:v>
      </x:c>
      <x:c r="W586" s="74" t="str">
        <x:v>3</x:v>
      </x:c>
      <x:c r="X586" s="74" t="str">
        <x:v>10</x:v>
      </x:c>
      <x:c r="Y586" s="74" t="str">
        <x:v>7</x:v>
      </x:c>
      <x:c r="Z586" s="74" t="str">
        <x:v>5</x:v>
      </x:c>
      <x:c r="AA586" s="74" t="str">
        <x:v>0</x:v>
      </x:c>
      <x:c r="AB586" s="74" t="str">
        <x:v>0</x:v>
      </x:c>
      <x:c r="AC586" s="74" t="str">
        <x:v>1</x:v>
      </x:c>
      <x:c r="AD586" s="74" t="str">
        <x:v>0</x:v>
      </x:c>
      <x:c r="AE586" s="74" t="str">
        <x:v>0</x:v>
      </x:c>
      <x:c r="AF586" s="74" t="str"/>
      <x:c r="AG586" s="74" t="str">
        <x:v>0</x:v>
      </x:c>
      <x:c r="AH586" s="74" t="str">
        <x:v>0</x:v>
      </x:c>
      <x:c r="AI586" s="74" t="str">
        <x:v>1</x:v>
      </x:c>
      <x:c r="AJ586" s="74" t="str">
        <x:v>0</x:v>
      </x:c>
      <x:c r="AK586" s="74" t="str">
        <x:v>0</x:v>
      </x:c>
      <x:c r="AL586" s="74" t="str">
        <x:v>0</x:v>
      </x:c>
      <x:c r="AM586" s="74" t="str">
        <x:v>0</x:v>
      </x:c>
      <x:c r="AN586" s="74" t="str">
        <x:v>0</x:v>
      </x:c>
      <x:c r="AO586" s="60" t="str">
        <x:v>2025</x:v>
      </x:c>
      <x:c r="AP586" s="76" t="str">
        <x:v>127 Google reviews; no embedded homepage video found</x:v>
      </x:c>
      <x:c r="AQ586" s="76" t="str">
        <x:v>testimonials; no embedded homepage video detected</x:v>
      </x:c>
      <x:c r="AR586" s="76" t="str">
        <x:v>Brown Electrical Services has 127 Google reviews—strong proof that could be turned into short-form ad concepts.</x:v>
      </x:c>
      <x:c r="AS586" s="76" t="str">
        <x:v>safety inspection problem/solution ad</x:v>
      </x:c>
      <x:c r="AT586" s="76" t="str">
        <x:v>Brown Electrical Services ad concept</x:v>
      </x:c>
      <x:c r="AU586" s="76" t="str">
        <x:v>Hi Brown Electrical Services — Brown Electrical Services has 127 Google reviews—strong proof that could be turned into short-form ad concepts. I mapped a private 15-second safety inspection problem/solution ad for Brown Electrical Services using only public brand context—not for publishing, just to show the angle. We build three client-approved video ad concepts in seven days, then turn the winners into fresh variations. No filming day required. Worth sending the private sample?</x:v>
      </x:c>
      <x:c r="AV586" s="76" t="str">
        <x:v>Quick follow-up: the sample angle is a safety inspection problem/solution ad. If it misses the mark, no problem—I won't keep chasing. Should I send it?</x:v>
      </x:c>
      <x:c r="AW586" s="76" t="str">
        <x:v>Hi Brown Electrical Services, Ryan here. I was looking at Brown Electrical Services's public marketing and noticed: 127 google reviews; no embedded homepage video found. I mapped one private safety inspection problem/solution ad as an example. Did I catch you with 30 seconds?</x:v>
      </x:c>
      <x:c r="AX586" s="60" t="str">
        <x:v>https://www.facebook.com/ads/library/?active_status=active&amp;ad_type=all&amp;country=US&amp;q=Brown%20Electrical%20Services&amp;search_type=keyword_unordered</x:v>
      </x:c>
      <x:c r="AY586" s="60" t="str">
        <x:v>ok:200</x:v>
      </x:c>
      <x:c r="AZ586" s="60" t="n">
        <x:v>46232.722858796296</x:v>
      </x:c>
      <x:c r="BA586" s="60" t="str">
        <x:v>Google Maps home-services export</x:v>
      </x:c>
      <x:c r="BB586" s="60" t="str">
        <x:v>https://brownelectricalservice.com | https://maps.google.com/?cid=8369513123710120195&amp;g_mp=Cidnb29nbGUubWFwcy5wbGFjZXMudjEuUGxhY2VzLlNlYXJjaFRleHQQAhgEIAA</x:v>
      </x:c>
      <x:c r="BC586" s="60" t="str"/>
    </x:row>
    <x:row r="587" ht="18" customHeight="1">
      <x:c r="A587" s="70" t="str">
        <x:v>586</x:v>
      </x:c>
      <x:c r="B587" s="70" t="str">
        <x:v>C - Verify</x:v>
      </x:c>
      <x:c r="C587" s="72" t="str">
        <x:v>48</x:v>
      </x:c>
      <x:c r="D587" s="60" t="str">
        <x:v>Tri-State Plumbing, Electrical, and Septic</x:v>
      </x:c>
      <x:c r="E587" s="60" t="str">
        <x:v>https://864plumbing.com</x:v>
      </x:c>
      <x:c r="F587" s="60" t="str">
        <x:v>https://www.emergencyplumbercincinnati.com/</x:v>
      </x:c>
      <x:c r="G587" s="60" t="str">
        <x:v>Greenville</x:v>
      </x:c>
      <x:c r="H587" s="60" t="str">
        <x:v>South Carolina</x:v>
      </x:c>
      <x:c r="I587" s="60" t="str">
        <x:v>Plumbing</x:v>
      </x:c>
      <x:c r="J587" s="60" t="str">
        <x:v>Tri-State Plumbing, Electrical, and Septic</x:v>
      </x:c>
      <x:c r="K587" s="60" t="str"/>
      <x:c r="L587" s="60" t="str">
        <x:v>Owner / decision maker to verify</x:v>
      </x:c>
      <x:c r="M587" s="60" t="str"/>
      <x:c r="N587" s="60" t="str"/>
      <x:c r="O587" s="60" t="str">
        <x:v>(864) 982-5232</x:v>
      </x:c>
      <x:c r="P587" s="60" t="str"/>
      <x:c r="Q587" s="60" t="str"/>
      <x:c r="R587" s="60" t="str"/>
      <x:c r="S587" s="60" t="str">
        <x:v>4.7</x:v>
      </x:c>
      <x:c r="T587" s="74" t="str">
        <x:v>226</x:v>
      </x:c>
      <x:c r="U587" s="60" t="str"/>
      <x:c r="V587" s="74" t="str">
        <x:v>24</x:v>
      </x:c>
      <x:c r="W587" s="74" t="str">
        <x:v>3</x:v>
      </x:c>
      <x:c r="X587" s="74" t="str">
        <x:v>10</x:v>
      </x:c>
      <x:c r="Y587" s="74" t="str">
        <x:v>6</x:v>
      </x:c>
      <x:c r="Z587" s="74" t="str">
        <x:v>5</x:v>
      </x:c>
      <x:c r="AA587" s="74" t="str">
        <x:v>0</x:v>
      </x:c>
      <x:c r="AB587" s="74" t="str">
        <x:v>0</x:v>
      </x:c>
      <x:c r="AC587" s="74" t="str">
        <x:v>1</x:v>
      </x:c>
      <x:c r="AD587" s="74" t="str">
        <x:v>0</x:v>
      </x:c>
      <x:c r="AE587" s="74" t="str">
        <x:v>0</x:v>
      </x:c>
      <x:c r="AF587" s="74" t="str"/>
      <x:c r="AG587" s="74" t="str">
        <x:v>0</x:v>
      </x:c>
      <x:c r="AH587" s="74" t="str">
        <x:v>0</x:v>
      </x:c>
      <x:c r="AI587" s="74" t="str">
        <x:v>0</x:v>
      </x:c>
      <x:c r="AJ587" s="74" t="str">
        <x:v>0</x:v>
      </x:c>
      <x:c r="AK587" s="74" t="str">
        <x:v>1</x:v>
      </x:c>
      <x:c r="AL587" s="74" t="str">
        <x:v>0</x:v>
      </x:c>
      <x:c r="AM587" s="74" t="str">
        <x:v>0</x:v>
      </x:c>
      <x:c r="AN587" s="74" t="str">
        <x:v>0</x:v>
      </x:c>
      <x:c r="AO587" s="60" t="str">
        <x:v>2026</x:v>
      </x:c>
      <x:c r="AP587" s="76" t="str">
        <x:v>226 Google reviews; no embedded homepage video found</x:v>
      </x:c>
      <x:c r="AQ587" s="76" t="str">
        <x:v>visible service offer; no embedded homepage video detected</x:v>
      </x:c>
      <x:c r="AR587" s="76" t="str">
        <x:v>Tri-State Plumbing, Electrical, and Septic has 226 Google reviews—strong proof that could be turned into short-form ad concepts.</x:v>
      </x:c>
      <x:c r="AS587" s="76" t="str">
        <x:v>small symptom to prevented-emergency ad</x:v>
      </x:c>
      <x:c r="AT587" s="76" t="str">
        <x:v>Tri-State Plumbing, Electrical, and Septic ad concept</x:v>
      </x:c>
      <x:c r="AU587" s="76" t="str">
        <x:v>Hi Tri-State Plumbing, Electrical, and Septic — Tri-State Plumbing, Electrical, and Septic has 226 Google reviews—strong proof that could be turned into short-form ad concepts. I mapped a private 15-second small symptom to prevented-emergency ad for Tri-State Plumbing, Electrical, and Septic using only public brand context—not for publishing, just to show the angle. We build three client-approved video ad concepts in seven days, then turn the winners into fresh variations. No filming day required. Worth sending the private sample?</x:v>
      </x:c>
      <x:c r="AV587" s="76" t="str">
        <x:v>Quick follow-up: the sample angle is a small symptom to prevented-emergency ad. If it misses the mark, no problem—I won't keep chasing. Should I send it?</x:v>
      </x:c>
      <x:c r="AW587" s="76" t="str">
        <x:v>Hi Tri-State Plumbing, Electrical, and Septic, Ryan here. I was looking at Tri-State Plumbing, Electrical, and Septic's public marketing and noticed: 226 google reviews; no embedded homepage video found. I mapped one private small symptom to prevented-emergency ad as an example. Did I catch you with 30 seconds?</x:v>
      </x:c>
      <x:c r="AX587" s="60" t="str">
        <x:v>https://www.facebook.com/ads/library/?active_status=active&amp;ad_type=all&amp;country=US&amp;q=Tri-State%20Plumbing%2C%20Electrical%2C%20and%20Septic&amp;search_type=keyword_unordered</x:v>
      </x:c>
      <x:c r="AY587" s="60" t="str">
        <x:v>ok:200</x:v>
      </x:c>
      <x:c r="AZ587" s="60" t="n">
        <x:v>46232.722858796296</x:v>
      </x:c>
      <x:c r="BA587" s="60" t="str">
        <x:v>Google Maps home-services export</x:v>
      </x:c>
      <x:c r="BB587" s="60" t="str">
        <x:v>https://864plumbing.com | https://maps.google.com/?cid=16696611563184047294&amp;g_mp=Cidnb29nbGUubWFwcy5wbGFjZXMudjEuUGxhY2VzLlNlYXJjaFRleHQQAhgEIAA</x:v>
      </x:c>
      <x:c r="BC587" s="60" t="str"/>
    </x:row>
    <x:row r="588" ht="18" customHeight="1">
      <x:c r="A588" s="70" t="str">
        <x:v>587</x:v>
      </x:c>
      <x:c r="B588" s="70" t="str">
        <x:v>C - Verify</x:v>
      </x:c>
      <x:c r="C588" s="72" t="str">
        <x:v>48</x:v>
      </x:c>
      <x:c r="D588" s="60" t="str">
        <x:v>Plumb Easy</x:v>
      </x:c>
      <x:c r="E588" s="60" t="str">
        <x:v>https://plumbeasy.com</x:v>
      </x:c>
      <x:c r="F588" s="60" t="str">
        <x:v>https://plumbeasy.com</x:v>
      </x:c>
      <x:c r="G588" s="60" t="str">
        <x:v>Charleston</x:v>
      </x:c>
      <x:c r="H588" s="60" t="str">
        <x:v>South Carolina</x:v>
      </x:c>
      <x:c r="I588" s="60" t="str">
        <x:v>Plumbing</x:v>
      </x:c>
      <x:c r="J588" s="60" t="str">
        <x:v>Plumb Easy</x:v>
      </x:c>
      <x:c r="K588" s="60" t="str"/>
      <x:c r="L588" s="60" t="str">
        <x:v>Owner / decision maker to verify</x:v>
      </x:c>
      <x:c r="M588" s="60" t="str"/>
      <x:c r="N588" s="60" t="str"/>
      <x:c r="O588" s="60" t="str">
        <x:v>(843) 270-3983</x:v>
      </x:c>
      <x:c r="P588" s="60" t="str"/>
      <x:c r="Q588" s="60" t="str"/>
      <x:c r="R588" s="60" t="str"/>
      <x:c r="S588" s="60" t="str">
        <x:v>5</x:v>
      </x:c>
      <x:c r="T588" s="74" t="str">
        <x:v>143</x:v>
      </x:c>
      <x:c r="U588" s="60" t="str"/>
      <x:c r="V588" s="74" t="str">
        <x:v>24</x:v>
      </x:c>
      <x:c r="W588" s="74" t="str">
        <x:v>3</x:v>
      </x:c>
      <x:c r="X588" s="74" t="str">
        <x:v>10</x:v>
      </x:c>
      <x:c r="Y588" s="74" t="str">
        <x:v>6</x:v>
      </x:c>
      <x:c r="Z588" s="74" t="str">
        <x:v>5</x:v>
      </x:c>
      <x:c r="AA588" s="74" t="str">
        <x:v>0</x:v>
      </x:c>
      <x:c r="AB588" s="74" t="str">
        <x:v>0</x:v>
      </x:c>
      <x:c r="AC588" s="74" t="str">
        <x:v>1</x:v>
      </x:c>
      <x:c r="AD588" s="74" t="str">
        <x:v>0</x:v>
      </x:c>
      <x:c r="AE588" s="74" t="str">
        <x:v>0</x:v>
      </x:c>
      <x:c r="AF588" s="74" t="str"/>
      <x:c r="AG588" s="74" t="str">
        <x:v>0</x:v>
      </x:c>
      <x:c r="AH588" s="74" t="str">
        <x:v>0</x:v>
      </x:c>
      <x:c r="AI588" s="74" t="str">
        <x:v>0</x:v>
      </x:c>
      <x:c r="AJ588" s="74" t="str">
        <x:v>0</x:v>
      </x:c>
      <x:c r="AK588" s="74" t="str">
        <x:v>1</x:v>
      </x:c>
      <x:c r="AL588" s="74" t="str">
        <x:v>0</x:v>
      </x:c>
      <x:c r="AM588" s="74" t="str">
        <x:v>0</x:v>
      </x:c>
      <x:c r="AN588" s="74" t="str">
        <x:v>0</x:v>
      </x:c>
      <x:c r="AO588" s="60" t="str">
        <x:v>2025</x:v>
      </x:c>
      <x:c r="AP588" s="76" t="str">
        <x:v>143 Google reviews; no embedded homepage video found</x:v>
      </x:c>
      <x:c r="AQ588" s="76" t="str">
        <x:v>visible service offer; no embedded homepage video detected</x:v>
      </x:c>
      <x:c r="AR588" s="76" t="str">
        <x:v>Plumb Easy has 143 Google reviews—strong proof that could be turned into short-form ad concepts.</x:v>
      </x:c>
      <x:c r="AS588" s="76" t="str">
        <x:v>small symptom to prevented-emergency ad</x:v>
      </x:c>
      <x:c r="AT588" s="76" t="str">
        <x:v>Plumb Easy ad concept</x:v>
      </x:c>
      <x:c r="AU588" s="76" t="str">
        <x:v>Hi Plumb Easy — Plumb Easy has 143 Google reviews—strong proof that could be turned into short-form ad concepts. I mapped a private 15-second small symptom to prevented-emergency ad for Plumb Easy using only public brand context—not for publishing, just to show the angle. We build three client-approved video ad concepts in seven days, then turn the winners into fresh variations. No filming day required. Worth sending the private sample?</x:v>
      </x:c>
      <x:c r="AV588" s="76" t="str">
        <x:v>Quick follow-up: the sample angle is a small symptom to prevented-emergency ad. If it misses the mark, no problem—I won't keep chasing. Should I send it?</x:v>
      </x:c>
      <x:c r="AW588" s="76" t="str">
        <x:v>Hi Plumb Easy, Ryan here. I was looking at Plumb Easy's public marketing and noticed: 143 google reviews; no embedded homepage video found. I mapped one private small symptom to prevented-emergency ad as an example. Did I catch you with 30 seconds?</x:v>
      </x:c>
      <x:c r="AX588" s="60" t="str">
        <x:v>https://www.facebook.com/ads/library/?active_status=active&amp;ad_type=all&amp;country=US&amp;q=Plumb%20Easy&amp;search_type=keyword_unordered</x:v>
      </x:c>
      <x:c r="AY588" s="60" t="str">
        <x:v>ok:200</x:v>
      </x:c>
      <x:c r="AZ588" s="60" t="n">
        <x:v>46232.722858796296</x:v>
      </x:c>
      <x:c r="BA588" s="60" t="str">
        <x:v>Google Maps home-services export</x:v>
      </x:c>
      <x:c r="BB588" s="60" t="str">
        <x:v>https://maps.google.com/?cid=4726254855428541644&amp;g_mp=Cidnb29nbGUubWFwcy5wbGFjZXMudjEuUGxhY2VzLlNlYXJjaFRleHQQAhgEIAA | https://plumbeasy.com</x:v>
      </x:c>
      <x:c r="BC588" s="60" t="str"/>
    </x:row>
    <x:row r="589" ht="18" customHeight="1">
      <x:c r="A589" s="70" t="str">
        <x:v>588</x:v>
      </x:c>
      <x:c r="B589" s="70" t="str">
        <x:v>C - Verify</x:v>
      </x:c>
      <x:c r="C589" s="72" t="str">
        <x:v>48</x:v>
      </x:c>
      <x:c r="D589" s="60" t="str">
        <x:v>JYC Construction Co</x:v>
      </x:c>
      <x:c r="E589" s="60" t="str">
        <x:v>https://apexroofingsystems.com</x:v>
      </x:c>
      <x:c r="F589" s="60" t="str">
        <x:v>https://apexroofingsystems.com</x:v>
      </x:c>
      <x:c r="G589" s="60" t="str">
        <x:v>Simpsonville</x:v>
      </x:c>
      <x:c r="H589" s="60" t="str">
        <x:v>South Carolina</x:v>
      </x:c>
      <x:c r="I589" s="60" t="str">
        <x:v>General Contractor</x:v>
      </x:c>
      <x:c r="J589" s="60" t="str">
        <x:v>Astrid</x:v>
      </x:c>
      <x:c r="K589" s="60" t="str">
        <x:v>Colón</x:v>
      </x:c>
      <x:c r="L589" s="60" t="str">
        <x:v>Owner</x:v>
      </x:c>
      <x:c r="M589" s="60" t="str"/>
      <x:c r="N589" s="60" t="str"/>
      <x:c r="O589" s="60" t="str">
        <x:v>(864) 779-7663</x:v>
      </x:c>
      <x:c r="P589" s="60" t="str">
        <x:v>https://www.linkedin.com/in/astrid-colón-2398b2197</x:v>
      </x:c>
      <x:c r="Q589" s="60" t="str">
        <x:v>2-10</x:v>
      </x:c>
      <x:c r="R589" s="60" t="str">
        <x:v>100000-499999</x:v>
      </x:c>
      <x:c r="S589" s="60" t="str">
        <x:v>4.9</x:v>
      </x:c>
      <x:c r="T589" s="74" t="str">
        <x:v>101</x:v>
      </x:c>
      <x:c r="U589" s="60" t="str"/>
      <x:c r="V589" s="74" t="str">
        <x:v>30</x:v>
      </x:c>
      <x:c r="W589" s="74" t="str">
        <x:v>3</x:v>
      </x:c>
      <x:c r="X589" s="74" t="str">
        <x:v>4</x:v>
      </x:c>
      <x:c r="Y589" s="74" t="str">
        <x:v>6</x:v>
      </x:c>
      <x:c r="Z589" s="74" t="str">
        <x:v>5</x:v>
      </x:c>
      <x:c r="AA589" s="74" t="str">
        <x:v>0</x:v>
      </x:c>
      <x:c r="AB589" s="74" t="str">
        <x:v>0</x:v>
      </x:c>
      <x:c r="AC589" s="74" t="str">
        <x:v>1</x:v>
      </x:c>
      <x:c r="AD589" s="74" t="str">
        <x:v>0</x:v>
      </x:c>
      <x:c r="AE589" s="74" t="str">
        <x:v>0</x:v>
      </x:c>
      <x:c r="AF589" s="74" t="str"/>
      <x:c r="AG589" s="74" t="str">
        <x:v>1</x:v>
      </x:c>
      <x:c r="AH589" s="74" t="str">
        <x:v>0</x:v>
      </x:c>
      <x:c r="AI589" s="74" t="str">
        <x:v>0</x:v>
      </x:c>
      <x:c r="AJ589" s="74" t="str">
        <x:v>0</x:v>
      </x:c>
      <x:c r="AK589" s="74" t="str">
        <x:v>1</x:v>
      </x:c>
      <x:c r="AL589" s="74" t="str">
        <x:v>0</x:v>
      </x:c>
      <x:c r="AM589" s="74" t="str">
        <x:v>1</x:v>
      </x:c>
      <x:c r="AN589" s="74" t="str">
        <x:v>0</x:v>
      </x:c>
      <x:c r="AO589" s="60" t="str">
        <x:v>0</x:v>
      </x:c>
      <x:c r="AP589" s="76" t="str">
        <x:v>ICP fit; paid-demand need requires manual verification</x:v>
      </x:c>
      <x:c r="AQ589" s="76" t="str">
        <x:v>visible service offer</x:v>
      </x:c>
      <x:c r="AR589" s="76" t="str">
        <x:v>I was reviewing general contractor companies in Simpsonville, South Carolina and JYC Construction Co looked like a strong fit for a creative test.</x:v>
      </x:c>
      <x:c r="AS589" s="76" t="str">
        <x:v>project walkthrough with proof milestones</x:v>
      </x:c>
      <x:c r="AT589" s="76" t="str">
        <x:v>JYC Construction Co ad concept</x:v>
      </x:c>
      <x:c r="AU589" s="76" t="str">
        <x:v>Hi Astrid — I was reviewing general contractor companies in Simpsonville, South Carolina and JYC Construction Co looked like a strong fit for a creative test. I mapped a private 15-second project walkthrough with proof milestones for JYC Construction Co using only public brand context—not for publishing, just to show the angle. We build three client-approved video ad concepts in seven days, then turn the winners into fresh variations. No filming day required. Worth sending the private sample?</x:v>
      </x:c>
      <x:c r="AV589" s="76" t="str">
        <x:v>Quick follow-up: the sample angle is a project walkthrough with proof milestones. If it misses the mark, no problem—I won't keep chasing. Should I send it?</x:v>
      </x:c>
      <x:c r="AW589" s="76" t="str">
        <x:v>Hi Astrid, Ryan here. I was looking at JYC Construction Co's public marketing and noticed: icp fit; paid-demand need requires manual verification. I mapped one private project walkthrough with proof milestones as an example. Did I catch you with 30 seconds?</x:v>
      </x:c>
      <x:c r="AX589" s="60" t="str">
        <x:v>https://www.facebook.com/ads/library/?active_status=active&amp;ad_type=all&amp;country=US&amp;q=JYC%20Construction%20Co&amp;search_type=keyword_unordered</x:v>
      </x:c>
      <x:c r="AY589" s="60" t="str">
        <x:v>ok:200</x:v>
      </x:c>
      <x:c r="AZ589" s="60" t="n">
        <x:v>46232.722858796296</x:v>
      </x:c>
      <x:c r="BA589" s="60" t="str">
        <x:v>AI Ark SC trades export | Google Maps home-services export</x:v>
      </x:c>
      <x:c r="BB589" s="60" t="str">
        <x:v>https://apexroofingsystems.com | https://maps.google.com/?cid=3670901228199162256&amp;g_mp=Cidnb29nbGUubWFwcy5wbGFjZXMudjEuUGxhY2VzLlNlYXJjaFRleHQQAhgEIAA | https://www.linkedin.com/company/jyc-construction</x:v>
      </x:c>
      <x:c r="BC589" s="60" t="str"/>
    </x:row>
    <x:row r="590" ht="18" customHeight="1">
      <x:c r="A590" s="70" t="str">
        <x:v>589</x:v>
      </x:c>
      <x:c r="B590" s="70" t="str">
        <x:v>C - Verify</x:v>
      </x:c>
      <x:c r="C590" s="72" t="str">
        <x:v>48</x:v>
      </x:c>
      <x:c r="D590" s="60" t="str">
        <x:v>Marsh Bell Construction</x:v>
      </x:c>
      <x:c r="E590" s="60" t="str">
        <x:v>https://marshbell.com</x:v>
      </x:c>
      <x:c r="F590" s="60" t="str">
        <x:v>https://marshbell.com</x:v>
      </x:c>
      <x:c r="G590" s="60" t="str">
        <x:v>Greenville</x:v>
      </x:c>
      <x:c r="H590" s="60" t="str">
        <x:v>South Carolina</x:v>
      </x:c>
      <x:c r="I590" s="60" t="str">
        <x:v>Remodeling</x:v>
      </x:c>
      <x:c r="J590" s="60" t="str">
        <x:v>Garret</x:v>
      </x:c>
      <x:c r="K590" s="60" t="str">
        <x:v>Tomforde</x:v>
      </x:c>
      <x:c r="L590" s="60" t="str">
        <x:v>Owner/COO</x:v>
      </x:c>
      <x:c r="M590" s="60" t="str">
        <x:v>gtomforde@marshbell.com</x:v>
      </x:c>
      <x:c r="N590" s="60" t="str">
        <x:v>Verified with BounceBan on 08 Jun 26 12:06</x:v>
      </x:c>
      <x:c r="O590" s="60" t="str">
        <x:v>+1 805 748 2933</x:v>
      </x:c>
      <x:c r="P590" s="60" t="str">
        <x:v>https://www.linkedin.com/in/garret-tomforde-4a166536</x:v>
      </x:c>
      <x:c r="Q590" s="60" t="str">
        <x:v>11-50</x:v>
      </x:c>
      <x:c r="R590" s="60" t="str">
        <x:v>1000000-4999999</x:v>
      </x:c>
      <x:c r="S590" s="60" t="str"/>
      <x:c r="T590" s="74" t="str">
        <x:v>0</x:v>
      </x:c>
      <x:c r="U590" s="60" t="str"/>
      <x:c r="V590" s="74" t="str">
        <x:v>30</x:v>
      </x:c>
      <x:c r="W590" s="74" t="str">
        <x:v>3</x:v>
      </x:c>
      <x:c r="X590" s="74" t="str">
        <x:v>0</x:v>
      </x:c>
      <x:c r="Y590" s="74" t="str">
        <x:v>5</x:v>
      </x:c>
      <x:c r="Z590" s="74" t="str">
        <x:v>10</x:v>
      </x:c>
      <x:c r="AA590" s="74" t="str">
        <x:v>0</x:v>
      </x:c>
      <x:c r="AB590" s="74" t="str">
        <x:v>0</x:v>
      </x:c>
      <x:c r="AC590" s="74" t="str">
        <x:v>1</x:v>
      </x:c>
      <x:c r="AD590" s="74" t="str">
        <x:v>0</x:v>
      </x:c>
      <x:c r="AE590" s="74" t="str">
        <x:v>0</x:v>
      </x:c>
      <x:c r="AF590" s="74" t="str"/>
      <x:c r="AG590" s="74" t="str">
        <x:v>1</x:v>
      </x:c>
      <x:c r="AH590" s="74" t="str">
        <x:v>1</x:v>
      </x:c>
      <x:c r="AI590" s="74" t="str">
        <x:v>0</x:v>
      </x:c>
      <x:c r="AJ590" s="74" t="str">
        <x:v>0</x:v>
      </x:c>
      <x:c r="AK590" s="74" t="str">
        <x:v>0</x:v>
      </x:c>
      <x:c r="AL590" s="74" t="str">
        <x:v>0</x:v>
      </x:c>
      <x:c r="AM590" s="74" t="str">
        <x:v>0</x:v>
      </x:c>
      <x:c r="AN590" s="74" t="str">
        <x:v>1</x:v>
      </x:c>
      <x:c r="AO590" s="60" t="str">
        <x:v>2026</x:v>
      </x:c>
      <x:c r="AP590" s="76" t="str">
        <x:v>ICP fit; paid-demand need requires manual verification</x:v>
      </x:c>
      <x:c r="AQ590" s="76" t="str">
        <x:v>project/gallery proof</x:v>
      </x:c>
      <x:c r="AR590" s="76" t="str">
        <x:v>I was reviewing remodeling companies in Greenville, South Carolina and Marsh Bell Construction looked like a strong fit for a creative test.</x:v>
      </x:c>
      <x:c r="AS590" s="76" t="str">
        <x:v>project reveal with budget-and-timeline proof</x:v>
      </x:c>
      <x:c r="AT590" s="76" t="str">
        <x:v>Marsh Bell Construction ad concept</x:v>
      </x:c>
      <x:c r="AU590" s="76" t="str">
        <x:v>Hi Garret — I was reviewing remodeling companies in Greenville, South Carolina and Marsh Bell Construction looked like a strong fit for a creative test. I mapped a private 15-second project reveal with budget-and-timeline proof for Marsh Bell Construction using only public brand context—not for publishing, just to show the angle. We build three client-approved video ad concepts in seven days, then turn the winners into fresh variations. No filming day required. Worth sending the private sample?</x:v>
      </x:c>
      <x:c r="AV590" s="76" t="str">
        <x:v>Quick follow-up: the sample angle is a project reveal with budget-and-timeline proof. If it misses the mark, no problem—I won't keep chasing. Should I send it?</x:v>
      </x:c>
      <x:c r="AW590" s="76" t="str">
        <x:v>Hi Garret, Ryan here. I was looking at Marsh Bell Construction's public marketing and noticed: icp fit; paid-demand need requires manual verification. I mapped one private project reveal with budget-and-timeline proof as an example. Did I catch you with 30 seconds?</x:v>
      </x:c>
      <x:c r="AX590" s="60" t="str">
        <x:v>https://www.facebook.com/ads/library/?active_status=active&amp;ad_type=all&amp;country=US&amp;q=Marsh%20Bell%20Construction&amp;search_type=keyword_unordered</x:v>
      </x:c>
      <x:c r="AY590" s="60" t="str">
        <x:v>ok:200</x:v>
      </x:c>
      <x:c r="AZ590" s="60" t="n">
        <x:v>46232.722858796296</x:v>
      </x:c>
      <x:c r="BA590" s="60" t="str">
        <x:v>AI Ark SC trades export</x:v>
      </x:c>
      <x:c r="BB590" s="60" t="str">
        <x:v>https://marshbell.com | https://www.linkedin.com/company/marsh-bell-construction</x:v>
      </x:c>
      <x:c r="BC590" s="60" t="str"/>
    </x:row>
    <x:row r="591" ht="18" customHeight="1">
      <x:c r="A591" s="70" t="str">
        <x:v>590</x:v>
      </x:c>
      <x:c r="B591" s="70" t="str">
        <x:v>C - Verify</x:v>
      </x:c>
      <x:c r="C591" s="72" t="str">
        <x:v>48</x:v>
      </x:c>
      <x:c r="D591" s="60" t="str">
        <x:v>Egger &amp; Co</x:v>
      </x:c>
      <x:c r="E591" s="60" t="str">
        <x:v>https://eggerco.com</x:v>
      </x:c>
      <x:c r="F591" s="60" t="str">
        <x:v>https://www.eggerco.com/</x:v>
      </x:c>
      <x:c r="G591" s="60" t="str">
        <x:v>Myrtle Beach</x:v>
      </x:c>
      <x:c r="H591" s="60" t="str">
        <x:v>South Carolina</x:v>
      </x:c>
      <x:c r="I591" s="60" t="str">
        <x:v>General Contractor</x:v>
      </x:c>
      <x:c r="J591" s="60" t="str">
        <x:v>Larry</x:v>
      </x:c>
      <x:c r="K591" s="60" t="str">
        <x:v>Thomas</x:v>
      </x:c>
      <x:c r="L591" s="60" t="str">
        <x:v>Owner</x:v>
      </x:c>
      <x:c r="M591" s="60" t="str">
        <x:v>thomas@eggerco.com</x:v>
      </x:c>
      <x:c r="N591" s="60" t="str">
        <x:v>Verified with BounceBan on 08 Jun 26 12:06</x:v>
      </x:c>
      <x:c r="O591" s="60" t="str">
        <x:v>+1 828 274 0221</x:v>
      </x:c>
      <x:c r="P591" s="60" t="str">
        <x:v>https://www.linkedin.com/in/larry-thomas-8a441525</x:v>
      </x:c>
      <x:c r="Q591" s="60" t="str">
        <x:v>2-10</x:v>
      </x:c>
      <x:c r="R591" s="60" t="str">
        <x:v>1000000-4999999</x:v>
      </x:c>
      <x:c r="S591" s="60" t="str"/>
      <x:c r="T591" s="74" t="str">
        <x:v>0</x:v>
      </x:c>
      <x:c r="U591" s="60" t="str"/>
      <x:c r="V591" s="74" t="str">
        <x:v>24</x:v>
      </x:c>
      <x:c r="W591" s="74" t="str">
        <x:v>3</x:v>
      </x:c>
      <x:c r="X591" s="74" t="str">
        <x:v>6</x:v>
      </x:c>
      <x:c r="Y591" s="74" t="str">
        <x:v>5</x:v>
      </x:c>
      <x:c r="Z591" s="74" t="str">
        <x:v>10</x:v>
      </x:c>
      <x:c r="AA591" s="74" t="str">
        <x:v>0</x:v>
      </x:c>
      <x:c r="AB591" s="74" t="str">
        <x:v>0</x:v>
      </x:c>
      <x:c r="AC591" s="74" t="str">
        <x:v>1</x:v>
      </x:c>
      <x:c r="AD591" s="74" t="str">
        <x:v>0</x:v>
      </x:c>
      <x:c r="AE591" s="74" t="str">
        <x:v>0</x:v>
      </x:c>
      <x:c r="AF591" s="74" t="str"/>
      <x:c r="AG591" s="74" t="str">
        <x:v>0</x:v>
      </x:c>
      <x:c r="AH591" s="74" t="str">
        <x:v>1</x:v>
      </x:c>
      <x:c r="AI591" s="74" t="str">
        <x:v>0</x:v>
      </x:c>
      <x:c r="AJ591" s="74" t="str">
        <x:v>0</x:v>
      </x:c>
      <x:c r="AK591" s="74" t="str">
        <x:v>0</x:v>
      </x:c>
      <x:c r="AL591" s="74" t="str">
        <x:v>1</x:v>
      </x:c>
      <x:c r="AM591" s="74" t="str">
        <x:v>1</x:v>
      </x:c>
      <x:c r="AN591" s="74" t="str">
        <x:v>1</x:v>
      </x:c>
      <x:c r="AO591" s="60" t="str">
        <x:v>2026</x:v>
      </x:c>
      <x:c r="AP591" s="76" t="str">
        <x:v>Project/gallery proof found; no embedded homepage video found</x:v>
      </x:c>
      <x:c r="AQ591" s="76" t="str">
        <x:v>project/gallery proof; no embedded homepage video detected</x:v>
      </x:c>
      <x:c r="AR591" s="76" t="str">
        <x:v>I found project/gallery proof on Egger &amp; Co's site that could be repackaged into short-form ad concepts.</x:v>
      </x:c>
      <x:c r="AS591" s="76" t="str">
        <x:v>project walkthrough with proof milestones</x:v>
      </x:c>
      <x:c r="AT591" s="76" t="str">
        <x:v>Egger &amp; Co ad concept</x:v>
      </x:c>
      <x:c r="AU591" s="76" t="str">
        <x:v>Hi Larry — I found project/gallery proof on Egger &amp; Co's site that could be repackaged into short-form ad concepts. I mapped a private 15-second project walkthrough with proof milestones for Egger &amp; Co using only public brand context—not for publishing, just to show the angle. We build three client-approved video ad concepts in seven days, then turn the winners into fresh variations. No filming day required. Worth sending the private sample?</x:v>
      </x:c>
      <x:c r="AV591" s="76" t="str">
        <x:v>Quick follow-up: the sample angle is a project walkthrough with proof milestones. If it misses the mark, no problem—I won't keep chasing. Should I send it?</x:v>
      </x:c>
      <x:c r="AW591" s="76" t="str">
        <x:v>Hi Larry, Ryan here. I was looking at Egger &amp; Co's public marketing and noticed: project/gallery proof found; no embedded homepage video found. I mapped one private project walkthrough with proof milestones as an example. Did I catch you with 30 seconds?</x:v>
      </x:c>
      <x:c r="AX591" s="60" t="str">
        <x:v>https://www.facebook.com/ads/library/?active_status=active&amp;ad_type=all&amp;country=US&amp;q=Egger%20%26%20Co&amp;search_type=keyword_unordered</x:v>
      </x:c>
      <x:c r="AY591" s="60" t="str">
        <x:v>ok:200</x:v>
      </x:c>
      <x:c r="AZ591" s="60" t="n">
        <x:v>46232.722858796296</x:v>
      </x:c>
      <x:c r="BA591" s="60" t="str">
        <x:v>AI Ark SC trades export</x:v>
      </x:c>
      <x:c r="BB591" s="60" t="str">
        <x:v>https://eggerco.com | https://www.linkedin.com/company/eggerco</x:v>
      </x:c>
      <x:c r="BC591" s="60" t="str"/>
    </x:row>
    <x:row r="592" ht="18" customHeight="1">
      <x:c r="A592" s="70" t="str">
        <x:v>591</x:v>
      </x:c>
      <x:c r="B592" s="70" t="str">
        <x:v>C - Verify</x:v>
      </x:c>
      <x:c r="C592" s="72" t="str">
        <x:v>48</x:v>
      </x:c>
      <x:c r="D592" s="60" t="str">
        <x:v>Satchel Construction</x:v>
      </x:c>
      <x:c r="E592" s="60" t="str">
        <x:v>https://satchelconstruction.com</x:v>
      </x:c>
      <x:c r="F592" s="60" t="str">
        <x:v>https://www.satchelconstruction.com/</x:v>
      </x:c>
      <x:c r="G592" s="60" t="str">
        <x:v>Mount Pleasant</x:v>
      </x:c>
      <x:c r="H592" s="60" t="str">
        <x:v>South Carolina</x:v>
      </x:c>
      <x:c r="I592" s="60" t="str">
        <x:v>General Contractor</x:v>
      </x:c>
      <x:c r="J592" s="60" t="str">
        <x:v>Jordan</x:v>
      </x:c>
      <x:c r="K592" s="60" t="str">
        <x:v>Fuller</x:v>
      </x:c>
      <x:c r="L592" s="60" t="str">
        <x:v>Owner</x:v>
      </x:c>
      <x:c r="M592" s="60" t="str">
        <x:v>jordan@satchelconstruction.com</x:v>
      </x:c>
      <x:c r="N592" s="60" t="str">
        <x:v>Verified with BounceBan on 08 Jun 26 12:06</x:v>
      </x:c>
      <x:c r="O592" s="60" t="str"/>
      <x:c r="P592" s="60" t="str">
        <x:v>https://www.linkedin.com/in/jordan-fuller-b002a05b</x:v>
      </x:c>
      <x:c r="Q592" s="60" t="str">
        <x:v>11-50</x:v>
      </x:c>
      <x:c r="R592" s="60" t="str">
        <x:v>1000000-4999999</x:v>
      </x:c>
      <x:c r="S592" s="60" t="str"/>
      <x:c r="T592" s="74" t="str">
        <x:v>0</x:v>
      </x:c>
      <x:c r="U592" s="60" t="str"/>
      <x:c r="V592" s="74" t="str">
        <x:v>27</x:v>
      </x:c>
      <x:c r="W592" s="74" t="str">
        <x:v>3</x:v>
      </x:c>
      <x:c r="X592" s="74" t="str">
        <x:v>6</x:v>
      </x:c>
      <x:c r="Y592" s="74" t="str">
        <x:v>5</x:v>
      </x:c>
      <x:c r="Z592" s="74" t="str">
        <x:v>7</x:v>
      </x:c>
      <x:c r="AA592" s="74" t="str">
        <x:v>0</x:v>
      </x:c>
      <x:c r="AB592" s="74" t="str">
        <x:v>0</x:v>
      </x:c>
      <x:c r="AC592" s="74" t="str">
        <x:v>1</x:v>
      </x:c>
      <x:c r="AD592" s="74" t="str">
        <x:v>0</x:v>
      </x:c>
      <x:c r="AE592" s="74" t="str">
        <x:v>0</x:v>
      </x:c>
      <x:c r="AF592" s="74" t="str"/>
      <x:c r="AG592" s="74" t="str">
        <x:v>0</x:v>
      </x:c>
      <x:c r="AH592" s="74" t="str">
        <x:v>1</x:v>
      </x:c>
      <x:c r="AI592" s="74" t="str">
        <x:v>0</x:v>
      </x:c>
      <x:c r="AJ592" s="74" t="str">
        <x:v>0</x:v>
      </x:c>
      <x:c r="AK592" s="74" t="str">
        <x:v>0</x:v>
      </x:c>
      <x:c r="AL592" s="74" t="str">
        <x:v>1</x:v>
      </x:c>
      <x:c r="AM592" s="74" t="str">
        <x:v>1</x:v>
      </x:c>
      <x:c r="AN592" s="74" t="str">
        <x:v>0</x:v>
      </x:c>
      <x:c r="AO592" s="60" t="str">
        <x:v>0</x:v>
      </x:c>
      <x:c r="AP592" s="76" t="str">
        <x:v>Project/gallery proof found; no embedded homepage video found</x:v>
      </x:c>
      <x:c r="AQ592" s="76" t="str">
        <x:v>project/gallery proof; no embedded homepage video detected</x:v>
      </x:c>
      <x:c r="AR592" s="76" t="str">
        <x:v>I found project/gallery proof on Satchel Construction's site that could be repackaged into short-form ad concepts.</x:v>
      </x:c>
      <x:c r="AS592" s="76" t="str">
        <x:v>project walkthrough with proof milestones</x:v>
      </x:c>
      <x:c r="AT592" s="76" t="str">
        <x:v>Satchel Construction ad concept</x:v>
      </x:c>
      <x:c r="AU592" s="76" t="str">
        <x:v>Hi Jordan — I found project/gallery proof on Satchel Construction's site that could be repackaged into short-form ad concepts. I mapped a private 15-second project walkthrough with proof milestones for Satchel Construction using only public brand context—not for publishing, just to show the angle. We build three client-approved video ad concepts in seven days, then turn the winners into fresh variations. No filming day required. Worth sending the private sample?</x:v>
      </x:c>
      <x:c r="AV592" s="76" t="str">
        <x:v>Quick follow-up: the sample angle is a project walkthrough with proof milestones. If it misses the mark, no problem—I won't keep chasing. Should I send it?</x:v>
      </x:c>
      <x:c r="AW592" s="76" t="str">
        <x:v>Hi Jordan, Ryan here. I was looking at Satchel Construction's public marketing and noticed: project/gallery proof found; no embedded homepage video found. I mapped one private project walkthrough with proof milestones as an example. Did I catch you with 30 seconds?</x:v>
      </x:c>
      <x:c r="AX592" s="60" t="str">
        <x:v>https://www.facebook.com/ads/library/?active_status=active&amp;ad_type=all&amp;country=US&amp;q=Satchel%20Construction&amp;search_type=keyword_unordered</x:v>
      </x:c>
      <x:c r="AY592" s="60" t="str">
        <x:v>ok:200</x:v>
      </x:c>
      <x:c r="AZ592" s="60" t="n">
        <x:v>46232.722858796296</x:v>
      </x:c>
      <x:c r="BA592" s="60" t="str">
        <x:v>AI Ark SC trades export</x:v>
      </x:c>
      <x:c r="BB592" s="60" t="str">
        <x:v>https://satchelconstruction.com | https://www.linkedin.com/company/satchel-construction</x:v>
      </x:c>
      <x:c r="BC592" s="60" t="str"/>
    </x:row>
    <x:row r="593" ht="18" customHeight="1">
      <x:c r="A593" s="70" t="str">
        <x:v>592</x:v>
      </x:c>
      <x:c r="B593" s="70" t="str">
        <x:v>C - Verify</x:v>
      </x:c>
      <x:c r="C593" s="72" t="str">
        <x:v>48</x:v>
      </x:c>
      <x:c r="D593" s="60" t="str">
        <x:v>Kroeger Marine Construction, Inc</x:v>
      </x:c>
      <x:c r="E593" s="60" t="str">
        <x:v>https://kroegermarine.com</x:v>
      </x:c>
      <x:c r="F593" s="60" t="str">
        <x:v>https://kroegermarine.com</x:v>
      </x:c>
      <x:c r="G593" s="60" t="str">
        <x:v>Seneca</x:v>
      </x:c>
      <x:c r="H593" s="60" t="str">
        <x:v>South Carolina</x:v>
      </x:c>
      <x:c r="I593" s="60" t="str">
        <x:v>General Contractor</x:v>
      </x:c>
      <x:c r="J593" s="60" t="str">
        <x:v>Sara</x:v>
      </x:c>
      <x:c r="K593" s="60" t="str">
        <x:v>Kroeger</x:v>
      </x:c>
      <x:c r="L593" s="60" t="str">
        <x:v>Business Owner</x:v>
      </x:c>
      <x:c r="M593" s="60" t="str">
        <x:v>sara@kroegermarine.com</x:v>
      </x:c>
      <x:c r="N593" s="60" t="str">
        <x:v>Verified with BounceBan on 08 Jun 26 12:06</x:v>
      </x:c>
      <x:c r="O593" s="60" t="str"/>
      <x:c r="P593" s="60" t="str">
        <x:v>https://www.linkedin.com/in/sara-kroeger-672970251</x:v>
      </x:c>
      <x:c r="Q593" s="60" t="str">
        <x:v>11-50</x:v>
      </x:c>
      <x:c r="R593" s="60" t="str">
        <x:v>1000000-4999999</x:v>
      </x:c>
      <x:c r="S593" s="60" t="str"/>
      <x:c r="T593" s="74" t="str">
        <x:v>0</x:v>
      </x:c>
      <x:c r="U593" s="60" t="str"/>
      <x:c r="V593" s="74" t="str">
        <x:v>27</x:v>
      </x:c>
      <x:c r="W593" s="74" t="str">
        <x:v>3</x:v>
      </x:c>
      <x:c r="X593" s="74" t="str">
        <x:v>6</x:v>
      </x:c>
      <x:c r="Y593" s="74" t="str">
        <x:v>5</x:v>
      </x:c>
      <x:c r="Z593" s="74" t="str">
        <x:v>7</x:v>
      </x:c>
      <x:c r="AA593" s="74" t="str">
        <x:v>0</x:v>
      </x:c>
      <x:c r="AB593" s="74" t="str">
        <x:v>0</x:v>
      </x:c>
      <x:c r="AC593" s="74" t="str">
        <x:v>1</x:v>
      </x:c>
      <x:c r="AD593" s="74" t="str">
        <x:v>0</x:v>
      </x:c>
      <x:c r="AE593" s="74" t="str">
        <x:v>0</x:v>
      </x:c>
      <x:c r="AF593" s="74" t="str"/>
      <x:c r="AG593" s="74" t="str">
        <x:v>0</x:v>
      </x:c>
      <x:c r="AH593" s="74" t="str">
        <x:v>1</x:v>
      </x:c>
      <x:c r="AI593" s="74" t="str">
        <x:v>0</x:v>
      </x:c>
      <x:c r="AJ593" s="74" t="str">
        <x:v>0</x:v>
      </x:c>
      <x:c r="AK593" s="74" t="str">
        <x:v>0</x:v>
      </x:c>
      <x:c r="AL593" s="74" t="str">
        <x:v>1</x:v>
      </x:c>
      <x:c r="AM593" s="74" t="str">
        <x:v>1</x:v>
      </x:c>
      <x:c r="AN593" s="74" t="str">
        <x:v>1</x:v>
      </x:c>
      <x:c r="AO593" s="60" t="str">
        <x:v>0</x:v>
      </x:c>
      <x:c r="AP593" s="76" t="str">
        <x:v>Project/gallery proof found; no embedded homepage video found</x:v>
      </x:c>
      <x:c r="AQ593" s="76" t="str">
        <x:v>project/gallery proof; no embedded homepage video detected</x:v>
      </x:c>
      <x:c r="AR593" s="76" t="str">
        <x:v>I found project/gallery proof on Kroeger Marine Construction, Inc's site that could be repackaged into short-form ad concepts.</x:v>
      </x:c>
      <x:c r="AS593" s="76" t="str">
        <x:v>project walkthrough with proof milestones</x:v>
      </x:c>
      <x:c r="AT593" s="76" t="str">
        <x:v>Kroeger Marine Construction, Inc ad concept</x:v>
      </x:c>
      <x:c r="AU593" s="76" t="str">
        <x:v>Hi Sara — I found project/gallery proof on Kroeger Marine Construction, Inc's site that could be repackaged into short-form ad concepts. I mapped a private 15-second project walkthrough with proof milestones for Kroeger Marine Construction, Inc using only public brand context—not for publishing, just to show the angle. We build three client-approved video ad concepts in seven days, then turn the winners into fresh variations. No filming day required. Worth sending the private sample?</x:v>
      </x:c>
      <x:c r="AV593" s="76" t="str">
        <x:v>Quick follow-up: the sample angle is a project walkthrough with proof milestones. If it misses the mark, no problem—I won't keep chasing. Should I send it?</x:v>
      </x:c>
      <x:c r="AW593" s="76" t="str">
        <x:v>Hi Sara, Ryan here. I was looking at Kroeger Marine Construction, Inc's public marketing and noticed: project/gallery proof found; no embedded homepage video found. I mapped one private project walkthrough with proof milestones as an example. Did I catch you with 30 seconds?</x:v>
      </x:c>
      <x:c r="AX593" s="60" t="str">
        <x:v>https://www.facebook.com/ads/library/?active_status=active&amp;ad_type=all&amp;country=US&amp;q=Kroeger%20Marine%20Construction%2C%20Inc&amp;search_type=keyword_unordered</x:v>
      </x:c>
      <x:c r="AY593" s="60" t="str">
        <x:v>ok:200</x:v>
      </x:c>
      <x:c r="AZ593" s="60" t="n">
        <x:v>46232.722858796296</x:v>
      </x:c>
      <x:c r="BA593" s="60" t="str">
        <x:v>AI Ark SC trades export</x:v>
      </x:c>
      <x:c r="BB593" s="60" t="str">
        <x:v>https://kroegermarine.com | https://www.linkedin.com/company/kroeger-marine</x:v>
      </x:c>
      <x:c r="BC593" s="60" t="str"/>
    </x:row>
    <x:row r="594" ht="18" customHeight="1">
      <x:c r="A594" s="70" t="str">
        <x:v>593</x:v>
      </x:c>
      <x:c r="B594" s="70" t="str">
        <x:v>C - Verify</x:v>
      </x:c>
      <x:c r="C594" s="72" t="str">
        <x:v>48</x:v>
      </x:c>
      <x:c r="D594" s="60" t="str">
        <x:v>Cedar Peak Roofing</x:v>
      </x:c>
      <x:c r="E594" s="60" t="str">
        <x:v>https://cedarpeakroofing.com</x:v>
      </x:c>
      <x:c r="F594" s="60" t="str">
        <x:v>https://www.cedarpeakroofing.com/</x:v>
      </x:c>
      <x:c r="G594" s="60" t="str">
        <x:v>Myrtle Beach</x:v>
      </x:c>
      <x:c r="H594" s="60" t="str">
        <x:v>South Carolina</x:v>
      </x:c>
      <x:c r="I594" s="60" t="str">
        <x:v>Roofing</x:v>
      </x:c>
      <x:c r="J594" s="60" t="str">
        <x:v>Cedar Peak Roofing</x:v>
      </x:c>
      <x:c r="K594" s="60" t="str"/>
      <x:c r="L594" s="60" t="str">
        <x:v>Owner / decision maker to verify</x:v>
      </x:c>
      <x:c r="M594" s="60" t="str"/>
      <x:c r="N594" s="60" t="str"/>
      <x:c r="O594" s="60" t="str">
        <x:v>(910) 495-5349</x:v>
      </x:c>
      <x:c r="P594" s="60" t="str"/>
      <x:c r="Q594" s="60" t="str"/>
      <x:c r="R594" s="60" t="str"/>
      <x:c r="S594" s="60" t="str">
        <x:v>4.7</x:v>
      </x:c>
      <x:c r="T594" s="74" t="str">
        <x:v>14</x:v>
      </x:c>
      <x:c r="U594" s="60" t="str"/>
      <x:c r="V594" s="74" t="str">
        <x:v>25</x:v>
      </x:c>
      <x:c r="W594" s="74" t="str">
        <x:v>3</x:v>
      </x:c>
      <x:c r="X594" s="74" t="str">
        <x:v>10</x:v>
      </x:c>
      <x:c r="Y594" s="74" t="str">
        <x:v>5</x:v>
      </x:c>
      <x:c r="Z594" s="74" t="str">
        <x:v>5</x:v>
      </x:c>
      <x:c r="AA594" s="74" t="str">
        <x:v>0</x:v>
      </x:c>
      <x:c r="AB594" s="74" t="str">
        <x:v>0</x:v>
      </x:c>
      <x:c r="AC594" s="74" t="str">
        <x:v>1</x:v>
      </x:c>
      <x:c r="AD594" s="74" t="str">
        <x:v>0</x:v>
      </x:c>
      <x:c r="AE594" s="74" t="str">
        <x:v>0</x:v>
      </x:c>
      <x:c r="AF594" s="74" t="str"/>
      <x:c r="AG594" s="74" t="str">
        <x:v>0</x:v>
      </x:c>
      <x:c r="AH594" s="74" t="str">
        <x:v>1</x:v>
      </x:c>
      <x:c r="AI594" s="74" t="str">
        <x:v>0</x:v>
      </x:c>
      <x:c r="AJ594" s="74" t="str">
        <x:v>0</x:v>
      </x:c>
      <x:c r="AK594" s="74" t="str">
        <x:v>0</x:v>
      </x:c>
      <x:c r="AL594" s="74" t="str">
        <x:v>0</x:v>
      </x:c>
      <x:c r="AM594" s="74" t="str">
        <x:v>0</x:v>
      </x:c>
      <x:c r="AN594" s="74" t="str">
        <x:v>0</x:v>
      </x:c>
      <x:c r="AO594" s="60" t="str">
        <x:v>0</x:v>
      </x:c>
      <x:c r="AP594" s="76" t="str">
        <x:v>Project/gallery proof found; no embedded homepage video found</x:v>
      </x:c>
      <x:c r="AQ594" s="76" t="str">
        <x:v>project/gallery proof; no embedded homepage video detected</x:v>
      </x:c>
      <x:c r="AR594" s="76" t="str">
        <x:v>I found project/gallery proof on Cedar Peak Roofing's site that could be repackaged into short-form ad concepts.</x:v>
      </x:c>
      <x:c r="AS594" s="76" t="str">
        <x:v>storm-to-inspection before/after ad</x:v>
      </x:c>
      <x:c r="AT594" s="76" t="str">
        <x:v>Cedar Peak Roofing ad concept</x:v>
      </x:c>
      <x:c r="AU594" s="76" t="str">
        <x:v>Hi Cedar Peak Roofing — I found project/gallery proof on Cedar Peak Roofing's site that could be repackaged into short-form ad concepts. I mapped a private 15-second storm-to-inspection before/after ad for Cedar Peak Roofing using only public brand context—not for publishing, just to show the angle. We build three client-approved video ad concepts in seven days, then turn the winners into fresh variations. No filming day required. Worth sending the private sample?</x:v>
      </x:c>
      <x:c r="AV594" s="76" t="str">
        <x:v>Quick follow-up: the sample angle is a storm-to-inspection before/after ad. If it misses the mark, no problem—I won't keep chasing. Should I send it?</x:v>
      </x:c>
      <x:c r="AW594" s="76" t="str">
        <x:v>Hi Cedar Peak Roofing, Ryan here. I was looking at Cedar Peak Roofing's public marketing and noticed: project/gallery proof found; no embedded homepage video found. I mapped one private storm-to-inspection before/after ad as an example. Did I catch you with 30 seconds?</x:v>
      </x:c>
      <x:c r="AX594" s="60" t="str">
        <x:v>https://www.facebook.com/ads/library/?active_status=active&amp;ad_type=all&amp;country=US&amp;q=Cedar%20Peak%20Roofing&amp;search_type=keyword_unordered</x:v>
      </x:c>
      <x:c r="AY594" s="60" t="str">
        <x:v>ok:200</x:v>
      </x:c>
      <x:c r="AZ594" s="60" t="n">
        <x:v>46232.722858796296</x:v>
      </x:c>
      <x:c r="BA594" s="60" t="str">
        <x:v>Google Maps home-services export</x:v>
      </x:c>
      <x:c r="BB594" s="60" t="str">
        <x:v>https://cedarpeakroofing.com | https://maps.google.com/?cid=3398368094628747025&amp;g_mp=Cidnb29nbGUubWFwcy5wbGFjZXMudjEuUGxhY2VzLlNlYXJjaFRleHQQAhgEIAA</x:v>
      </x:c>
      <x:c r="BC594" s="60" t="str"/>
    </x:row>
    <x:row r="595" ht="18" customHeight="1">
      <x:c r="A595" s="70" t="str">
        <x:v>594</x:v>
      </x:c>
      <x:c r="B595" s="70" t="str">
        <x:v>C - Verify</x:v>
      </x:c>
      <x:c r="C595" s="72" t="str">
        <x:v>48</x:v>
      </x:c>
      <x:c r="D595" s="60" t="str">
        <x:v>C3 Wash Pros LLC</x:v>
      </x:c>
      <x:c r="E595" s="60" t="str">
        <x:v>https://c3washpros.com</x:v>
      </x:c>
      <x:c r="F595" s="60" t="str">
        <x:v>https://c3washpros.com</x:v>
      </x:c>
      <x:c r="G595" s="60" t="str">
        <x:v>Greer</x:v>
      </x:c>
      <x:c r="H595" s="60" t="str">
        <x:v>South Carolina</x:v>
      </x:c>
      <x:c r="I595" s="60" t="str">
        <x:v>Roofing</x:v>
      </x:c>
      <x:c r="J595" s="60" t="str">
        <x:v>Clay</x:v>
      </x:c>
      <x:c r="K595" s="60" t="str">
        <x:v>Smith</x:v>
      </x:c>
      <x:c r="L595" s="60" t="str">
        <x:v>Owner</x:v>
      </x:c>
      <x:c r="M595" s="60" t="str"/>
      <x:c r="N595" s="60" t="str"/>
      <x:c r="O595" s="60" t="str">
        <x:v>+1 864 283 4740</x:v>
      </x:c>
      <x:c r="P595" s="60" t="str">
        <x:v>https://www.linkedin.com/in/clay-smith-477b6474</x:v>
      </x:c>
      <x:c r="Q595" s="60" t="str">
        <x:v>0-1</x:v>
      </x:c>
      <x:c r="R595" s="60" t="str">
        <x:v>0-99999</x:v>
      </x:c>
      <x:c r="S595" s="60" t="str"/>
      <x:c r="T595" s="74" t="str">
        <x:v>0</x:v>
      </x:c>
      <x:c r="U595" s="60" t="str"/>
      <x:c r="V595" s="74" t="str">
        <x:v>25</x:v>
      </x:c>
      <x:c r="W595" s="74" t="str">
        <x:v>3</x:v>
      </x:c>
      <x:c r="X595" s="74" t="str">
        <x:v>10</x:v>
      </x:c>
      <x:c r="Y595" s="74" t="str">
        <x:v>5</x:v>
      </x:c>
      <x:c r="Z595" s="74" t="str">
        <x:v>5</x:v>
      </x:c>
      <x:c r="AA595" s="74" t="str">
        <x:v>0</x:v>
      </x:c>
      <x:c r="AB595" s="74" t="str">
        <x:v>0</x:v>
      </x:c>
      <x:c r="AC595" s="74" t="str">
        <x:v>1</x:v>
      </x:c>
      <x:c r="AD595" s="74" t="str">
        <x:v>0</x:v>
      </x:c>
      <x:c r="AE595" s="74" t="str">
        <x:v>0</x:v>
      </x:c>
      <x:c r="AF595" s="74" t="str"/>
      <x:c r="AG595" s="74" t="str">
        <x:v>0</x:v>
      </x:c>
      <x:c r="AH595" s="74" t="str">
        <x:v>1</x:v>
      </x:c>
      <x:c r="AI595" s="74" t="str">
        <x:v>0</x:v>
      </x:c>
      <x:c r="AJ595" s="74" t="str">
        <x:v>0</x:v>
      </x:c>
      <x:c r="AK595" s="74" t="str">
        <x:v>0</x:v>
      </x:c>
      <x:c r="AL595" s="74" t="str">
        <x:v>0</x:v>
      </x:c>
      <x:c r="AM595" s="74" t="str">
        <x:v>1</x:v>
      </x:c>
      <x:c r="AN595" s="74" t="str">
        <x:v>0</x:v>
      </x:c>
      <x:c r="AO595" s="60" t="str">
        <x:v>0</x:v>
      </x:c>
      <x:c r="AP595" s="76" t="str">
        <x:v>Project/gallery proof found; no embedded homepage video found</x:v>
      </x:c>
      <x:c r="AQ595" s="76" t="str">
        <x:v>project/gallery proof; no embedded homepage video detected</x:v>
      </x:c>
      <x:c r="AR595" s="76" t="str">
        <x:v>I found project/gallery proof on C3 Wash Pros LLC's site that could be repackaged into short-form ad concepts.</x:v>
      </x:c>
      <x:c r="AS595" s="76" t="str">
        <x:v>storm-to-inspection before/after ad</x:v>
      </x:c>
      <x:c r="AT595" s="76" t="str">
        <x:v>C3 Wash Pros LLC ad concept</x:v>
      </x:c>
      <x:c r="AU595" s="76" t="str">
        <x:v>Hi Clay — I found project/gallery proof on C3 Wash Pros LLC's site that could be repackaged into short-form ad concepts. I mapped a private 15-second storm-to-inspection before/after ad for C3 Wash Pros LLC using only public brand context—not for publishing, just to show the angle. We build three client-approved video ad concepts in seven days, then turn the winners into fresh variations. No filming day required. Worth sending the private sample?</x:v>
      </x:c>
      <x:c r="AV595" s="76" t="str">
        <x:v>Quick follow-up: the sample angle is a storm-to-inspection before/after ad. If it misses the mark, no problem—I won't keep chasing. Should I send it?</x:v>
      </x:c>
      <x:c r="AW595" s="76" t="str">
        <x:v>Hi Clay, Ryan here. I was looking at C3 Wash Pros LLC's public marketing and noticed: project/gallery proof found; no embedded homepage video found. I mapped one private storm-to-inspection before/after ad as an example. Did I catch you with 30 seconds?</x:v>
      </x:c>
      <x:c r="AX595" s="60" t="str">
        <x:v>https://www.facebook.com/ads/library/?active_status=active&amp;ad_type=all&amp;country=US&amp;q=C3%20Wash%20Pros%20LLC&amp;search_type=keyword_unordered</x:v>
      </x:c>
      <x:c r="AY595" s="60" t="str">
        <x:v>ok:200</x:v>
      </x:c>
      <x:c r="AZ595" s="60" t="n">
        <x:v>46232.722858796296</x:v>
      </x:c>
      <x:c r="BA595" s="60" t="str">
        <x:v>AI Ark SC trades export</x:v>
      </x:c>
      <x:c r="BB595" s="60" t="str">
        <x:v>https://c3washpros.com | https://www.linkedin.com/company/c3-wash-pros-llc</x:v>
      </x:c>
      <x:c r="BC595" s="60" t="str"/>
    </x:row>
    <x:row r="596" ht="18" customHeight="1">
      <x:c r="A596" s="70" t="str">
        <x:v>595</x:v>
      </x:c>
      <x:c r="B596" s="70" t="str">
        <x:v>C - Verify</x:v>
      </x:c>
      <x:c r="C596" s="72" t="str">
        <x:v>48</x:v>
      </x:c>
      <x:c r="D596" s="60" t="str">
        <x:v>Tint Solutions</x:v>
      </x:c>
      <x:c r="E596" s="60" t="str">
        <x:v>https://tintsolutionsinc.com</x:v>
      </x:c>
      <x:c r="F596" s="60" t="str">
        <x:v>https://tintsolutionsinc.com</x:v>
      </x:c>
      <x:c r="G596" s="60" t="str">
        <x:v>Greenville-spartanburg-anderson</x:v>
      </x:c>
      <x:c r="H596" s="60" t="str">
        <x:v>South Carolina Area</x:v>
      </x:c>
      <x:c r="I596" s="60" t="str">
        <x:v>Windows &amp; Doors</x:v>
      </x:c>
      <x:c r="J596" s="60" t="str">
        <x:v>Roger</x:v>
      </x:c>
      <x:c r="K596" s="60" t="str">
        <x:v>Shelton</x:v>
      </x:c>
      <x:c r="L596" s="60" t="str">
        <x:v>Business Owner</x:v>
      </x:c>
      <x:c r="M596" s="60" t="str"/>
      <x:c r="N596" s="60" t="str"/>
      <x:c r="O596" s="60" t="str"/>
      <x:c r="P596" s="60" t="str">
        <x:v>https://www.linkedin.com/in/roger-shelton-226380197</x:v>
      </x:c>
      <x:c r="Q596" s="60" t="str">
        <x:v>11-50</x:v>
      </x:c>
      <x:c r="R596" s="60" t="str">
        <x:v>100000-499999</x:v>
      </x:c>
      <x:c r="S596" s="60" t="str"/>
      <x:c r="T596" s="74" t="str">
        <x:v>0</x:v>
      </x:c>
      <x:c r="U596" s="60" t="str"/>
      <x:c r="V596" s="74" t="str">
        <x:v>29</x:v>
      </x:c>
      <x:c r="W596" s="74" t="str">
        <x:v>3</x:v>
      </x:c>
      <x:c r="X596" s="74" t="str">
        <x:v>9</x:v>
      </x:c>
      <x:c r="Y596" s="74" t="str">
        <x:v>5</x:v>
      </x:c>
      <x:c r="Z596" s="74" t="str">
        <x:v>2</x:v>
      </x:c>
      <x:c r="AA596" s="74" t="str">
        <x:v>0</x:v>
      </x:c>
      <x:c r="AB596" s="74" t="str">
        <x:v>0</x:v>
      </x:c>
      <x:c r="AC596" s="74" t="str">
        <x:v>1</x:v>
      </x:c>
      <x:c r="AD596" s="74" t="str">
        <x:v>0</x:v>
      </x:c>
      <x:c r="AE596" s="74" t="str">
        <x:v>0</x:v>
      </x:c>
      <x:c r="AF596" s="74" t="str"/>
      <x:c r="AG596" s="74" t="str">
        <x:v>0</x:v>
      </x:c>
      <x:c r="AH596" s="74" t="str">
        <x:v>1</x:v>
      </x:c>
      <x:c r="AI596" s="74" t="str">
        <x:v>0</x:v>
      </x:c>
      <x:c r="AJ596" s="74" t="str">
        <x:v>0</x:v>
      </x:c>
      <x:c r="AK596" s="74" t="str">
        <x:v>0</x:v>
      </x:c>
      <x:c r="AL596" s="74" t="str">
        <x:v>1</x:v>
      </x:c>
      <x:c r="AM596" s="74" t="str">
        <x:v>1</x:v>
      </x:c>
      <x:c r="AN596" s="74" t="str">
        <x:v>0</x:v>
      </x:c>
      <x:c r="AO596" s="60" t="str">
        <x:v>2024</x:v>
      </x:c>
      <x:c r="AP596" s="76" t="str">
        <x:v>Project/gallery proof found; no embedded homepage video found</x:v>
      </x:c>
      <x:c r="AQ596" s="76" t="str">
        <x:v>project/gallery proof; no embedded homepage video detected</x:v>
      </x:c>
      <x:c r="AR596" s="76" t="str">
        <x:v>I found project/gallery proof on Tint Solutions's site that could be repackaged into short-form ad concepts.</x:v>
      </x:c>
      <x:c r="AS596" s="76" t="str">
        <x:v>energy-loss to installed-window transformation ad</x:v>
      </x:c>
      <x:c r="AT596" s="76" t="str">
        <x:v>Tint Solutions ad concept</x:v>
      </x:c>
      <x:c r="AU596" s="76" t="str">
        <x:v>Hi Roger — I found project/gallery proof on Tint Solutions's site that could be repackaged into short-form ad concepts. I mapped a private 15-second energy-loss to installed-window transformation ad for Tint Solutions using only public brand context—not for publishing, just to show the angle. We build three client-approved video ad concepts in seven days, then turn the winners into fresh variations. No filming day required. Worth sending the private sample?</x:v>
      </x:c>
      <x:c r="AV596" s="76" t="str">
        <x:v>Quick follow-up: the sample angle is a energy-loss to installed-window transformation ad. If it misses the mark, no problem—I won't keep chasing. Should I send it?</x:v>
      </x:c>
      <x:c r="AW596" s="76" t="str">
        <x:v>Hi Roger, Ryan here. I was looking at Tint Solutions's public marketing and noticed: project/gallery proof found; no embedded homepage video found. I mapped one private energy-loss to installed-window transformation ad as an example. Did I catch you with 30 seconds?</x:v>
      </x:c>
      <x:c r="AX596" s="60" t="str">
        <x:v>https://www.facebook.com/ads/library/?active_status=active&amp;ad_type=all&amp;country=US&amp;q=Tint%20Solutions&amp;search_type=keyword_unordered</x:v>
      </x:c>
      <x:c r="AY596" s="60" t="str">
        <x:v>ok:200</x:v>
      </x:c>
      <x:c r="AZ596" s="60" t="n">
        <x:v>46232.722858796296</x:v>
      </x:c>
      <x:c r="BA596" s="60" t="str">
        <x:v>AI Ark SC trades export</x:v>
      </x:c>
      <x:c r="BB596" s="60" t="str">
        <x:v>https://tintsolutionsinc.com | https://www.linkedin.com/company/tint-solutions</x:v>
      </x:c>
      <x:c r="BC596" s="60" t="str"/>
    </x:row>
    <x:row r="597" ht="18" customHeight="1">
      <x:c r="A597" s="70" t="str">
        <x:v>596</x:v>
      </x:c>
      <x:c r="B597" s="70" t="str">
        <x:v>C - Verify</x:v>
      </x:c>
      <x:c r="C597" s="72" t="str">
        <x:v>48</x:v>
      </x:c>
      <x:c r="D597" s="60" t="str">
        <x:v>Pinnacle Custom Construction, LLC</x:v>
      </x:c>
      <x:c r="E597" s="60" t="str">
        <x:v>https://pinnacleccsc.com</x:v>
      </x:c>
      <x:c r="F597" s="60" t="str">
        <x:v>https://pinnacleccsc.com</x:v>
      </x:c>
      <x:c r="G597" s="60" t="str">
        <x:v>Greenville-spartanburg-anderson</x:v>
      </x:c>
      <x:c r="H597" s="60" t="str">
        <x:v>South Carolina Area</x:v>
      </x:c>
      <x:c r="I597" s="60" t="str">
        <x:v>Remodeling</x:v>
      </x:c>
      <x:c r="J597" s="60" t="str">
        <x:v>Clay</x:v>
      </x:c>
      <x:c r="K597" s="60" t="str">
        <x:v>Fisher</x:v>
      </x:c>
      <x:c r="L597" s="60" t="str">
        <x:v>Owner</x:v>
      </x:c>
      <x:c r="M597" s="60" t="str">
        <x:v>clay@pinnacleccsc.com</x:v>
      </x:c>
      <x:c r="N597" s="60" t="str">
        <x:v>Verified with BounceBan on 08 Jun 26 12:06</x:v>
      </x:c>
      <x:c r="O597" s="60" t="str">
        <x:v>+1 864 590 6152</x:v>
      </x:c>
      <x:c r="P597" s="60" t="str">
        <x:v>https://www.linkedin.com/in/clayfisher1</x:v>
      </x:c>
      <x:c r="Q597" s="60" t="str">
        <x:v>2-10</x:v>
      </x:c>
      <x:c r="R597" s="60" t="str">
        <x:v>0-99999</x:v>
      </x:c>
      <x:c r="S597" s="60" t="str"/>
      <x:c r="T597" s="74" t="str">
        <x:v>0</x:v>
      </x:c>
      <x:c r="U597" s="60" t="str"/>
      <x:c r="V597" s="74" t="str">
        <x:v>25</x:v>
      </x:c>
      <x:c r="W597" s="74" t="str">
        <x:v>3</x:v>
      </x:c>
      <x:c r="X597" s="74" t="str">
        <x:v>6</x:v>
      </x:c>
      <x:c r="Y597" s="74" t="str">
        <x:v>4</x:v>
      </x:c>
      <x:c r="Z597" s="74" t="str">
        <x:v>10</x:v>
      </x:c>
      <x:c r="AA597" s="74" t="str">
        <x:v>0</x:v>
      </x:c>
      <x:c r="AB597" s="74" t="str">
        <x:v>0</x:v>
      </x:c>
      <x:c r="AC597" s="74" t="str">
        <x:v>1</x:v>
      </x:c>
      <x:c r="AD597" s="74" t="str">
        <x:v>0</x:v>
      </x:c>
      <x:c r="AE597" s="74" t="str">
        <x:v>0</x:v>
      </x:c>
      <x:c r="AF597" s="74" t="str"/>
      <x:c r="AG597" s="74" t="str">
        <x:v>0</x:v>
      </x:c>
      <x:c r="AH597" s="74" t="str">
        <x:v>0</x:v>
      </x:c>
      <x:c r="AI597" s="74" t="str">
        <x:v>1</x:v>
      </x:c>
      <x:c r="AJ597" s="74" t="str">
        <x:v>0</x:v>
      </x:c>
      <x:c r="AK597" s="74" t="str">
        <x:v>0</x:v>
      </x:c>
      <x:c r="AL597" s="74" t="str">
        <x:v>1</x:v>
      </x:c>
      <x:c r="AM597" s="74" t="str">
        <x:v>1</x:v>
      </x:c>
      <x:c r="AN597" s="74" t="str">
        <x:v>0</x:v>
      </x:c>
      <x:c r="AO597" s="60" t="str">
        <x:v>0</x:v>
      </x:c>
      <x:c r="AP597" s="76" t="str">
        <x:v>ICP fit; paid-demand need requires manual verification</x:v>
      </x:c>
      <x:c r="AQ597" s="76" t="str">
        <x:v>testimonials; no embedded homepage video detected</x:v>
      </x:c>
      <x:c r="AR597" s="76" t="str">
        <x:v>I was reviewing remodeling companies in Greenville-spartanburg-anderson, South Carolina Area and Pinnacle Custom Construction, LLC looked like a strong fit for a creative test.</x:v>
      </x:c>
      <x:c r="AS597" s="76" t="str">
        <x:v>project reveal with budget-and-timeline proof</x:v>
      </x:c>
      <x:c r="AT597" s="76" t="str">
        <x:v>Pinnacle Custom Construction, LLC ad concept</x:v>
      </x:c>
      <x:c r="AU597" s="76" t="str">
        <x:v>Hi Clay — I was reviewing remodeling companies in Greenville-spartanburg-anderson, South Carolina Area and Pinnacle Custom Construction, LLC looked like a strong fit for a creative test. I mapped a private 15-second project reveal with budget-and-timeline proof for Pinnacle Custom Construction, LLC using only public brand context—not for publishing, just to show the angle. We build three client-approved video ad concepts in seven days, then turn the winners into fresh variations. No filming day required. Worth sending the private sample?</x:v>
      </x:c>
      <x:c r="AV597" s="76" t="str">
        <x:v>Quick follow-up: the sample angle is a project reveal with budget-and-timeline proof. If it misses the mark, no problem—I won't keep chasing. Should I send it?</x:v>
      </x:c>
      <x:c r="AW597" s="76" t="str">
        <x:v>Hi Clay, Ryan here. I was looking at Pinnacle Custom Construction, LLC's public marketing and noticed: icp fit; paid-demand need requires manual verification. I mapped one private project reveal with budget-and-timeline proof as an example. Did I catch you with 30 seconds?</x:v>
      </x:c>
      <x:c r="AX597" s="60" t="str">
        <x:v>https://www.facebook.com/ads/library/?active_status=active&amp;ad_type=all&amp;country=US&amp;q=Pinnacle%20Custom%20Construction%2C%20LLC&amp;search_type=keyword_unordered</x:v>
      </x:c>
      <x:c r="AY597" s="60" t="str">
        <x:v>ok:200</x:v>
      </x:c>
      <x:c r="AZ597" s="60" t="n">
        <x:v>46232.722858796296</x:v>
      </x:c>
      <x:c r="BA597" s="60" t="str">
        <x:v>AI Ark SC trades export</x:v>
      </x:c>
      <x:c r="BB597" s="60" t="str">
        <x:v>https://pinnacleccsc.com | https://www.linkedin.com/company/pinnaclecustomconstructionllc</x:v>
      </x:c>
      <x:c r="BC597" s="60" t="str"/>
    </x:row>
    <x:row r="598" ht="18" customHeight="1">
      <x:c r="A598" s="70" t="str">
        <x:v>597</x:v>
      </x:c>
      <x:c r="B598" s="70" t="str">
        <x:v>C - Verify</x:v>
      </x:c>
      <x:c r="C598" s="72" t="str">
        <x:v>48</x:v>
      </x:c>
      <x:c r="D598" s="60" t="str">
        <x:v>Herlong Architects + Interiors</x:v>
      </x:c>
      <x:c r="E598" s="60" t="str">
        <x:v>https://herlongarchitects.com</x:v>
      </x:c>
      <x:c r="F598" s="60" t="str">
        <x:v>https://www.herlongarchitects.com/</x:v>
      </x:c>
      <x:c r="G598" s="60" t="str">
        <x:v>Sullivans Island</x:v>
      </x:c>
      <x:c r="H598" s="60" t="str">
        <x:v>South Carolina</x:v>
      </x:c>
      <x:c r="I598" s="60" t="str">
        <x:v>Roofing</x:v>
      </x:c>
      <x:c r="J598" s="60" t="str">
        <x:v>Stephen</x:v>
      </x:c>
      <x:c r="K598" s="60" t="str">
        <x:v>Herlong</x:v>
      </x:c>
      <x:c r="L598" s="60" t="str">
        <x:v>Owner and Design Principal</x:v>
      </x:c>
      <x:c r="M598" s="60" t="str"/>
      <x:c r="N598" s="60" t="str"/>
      <x:c r="O598" s="60" t="str">
        <x:v>+1 843 270 9199</x:v>
      </x:c>
      <x:c r="P598" s="60" t="str">
        <x:v>https://www.linkedin.com/in/stephen-herlong-46800719</x:v>
      </x:c>
      <x:c r="Q598" s="60" t="str">
        <x:v>11-50</x:v>
      </x:c>
      <x:c r="R598" s="60" t="str">
        <x:v>500000-999999</x:v>
      </x:c>
      <x:c r="S598" s="60" t="str"/>
      <x:c r="T598" s="74" t="str">
        <x:v>0</x:v>
      </x:c>
      <x:c r="U598" s="60" t="str"/>
      <x:c r="V598" s="74" t="str">
        <x:v>30</x:v>
      </x:c>
      <x:c r="W598" s="74" t="str">
        <x:v>3</x:v>
      </x:c>
      <x:c r="X598" s="74" t="str">
        <x:v>6</x:v>
      </x:c>
      <x:c r="Y598" s="74" t="str">
        <x:v>4</x:v>
      </x:c>
      <x:c r="Z598" s="74" t="str">
        <x:v>5</x:v>
      </x:c>
      <x:c r="AA598" s="74" t="str">
        <x:v>0</x:v>
      </x:c>
      <x:c r="AB598" s="74" t="str">
        <x:v>0</x:v>
      </x:c>
      <x:c r="AC598" s="74" t="str">
        <x:v>1</x:v>
      </x:c>
      <x:c r="AD598" s="74" t="str">
        <x:v>0</x:v>
      </x:c>
      <x:c r="AE598" s="74" t="str">
        <x:v>0</x:v>
      </x:c>
      <x:c r="AF598" s="74" t="str"/>
      <x:c r="AG598" s="74" t="str">
        <x:v>0</x:v>
      </x:c>
      <x:c r="AH598" s="74" t="str">
        <x:v>0</x:v>
      </x:c>
      <x:c r="AI598" s="74" t="str">
        <x:v>1</x:v>
      </x:c>
      <x:c r="AJ598" s="74" t="str">
        <x:v>0</x:v>
      </x:c>
      <x:c r="AK598" s="74" t="str">
        <x:v>0</x:v>
      </x:c>
      <x:c r="AL598" s="74" t="str">
        <x:v>1</x:v>
      </x:c>
      <x:c r="AM598" s="74" t="str">
        <x:v>1</x:v>
      </x:c>
      <x:c r="AN598" s="74" t="str">
        <x:v>1</x:v>
      </x:c>
      <x:c r="AO598" s="60" t="str">
        <x:v>0</x:v>
      </x:c>
      <x:c r="AP598" s="76" t="str">
        <x:v>ICP fit; paid-demand need requires manual verification</x:v>
      </x:c>
      <x:c r="AQ598" s="76" t="str">
        <x:v>testimonials; no embedded homepage video detected</x:v>
      </x:c>
      <x:c r="AR598" s="76" t="str">
        <x:v>I was reviewing roofing companies in Sullivans Island, South Carolina and Herlong Architects + Interiors looked like a strong fit for a creative test.</x:v>
      </x:c>
      <x:c r="AS598" s="76" t="str">
        <x:v>storm-to-inspection before/after ad</x:v>
      </x:c>
      <x:c r="AT598" s="76" t="str">
        <x:v>Herlong Architects + Interiors ad concept</x:v>
      </x:c>
      <x:c r="AU598" s="76" t="str">
        <x:v>Hi Stephen — I was reviewing roofing companies in Sullivans Island, South Carolina and Herlong Architects + Interiors looked like a strong fit for a creative test. I mapped a private 15-second storm-to-inspection before/after ad for Herlong Architects + Interiors using only public brand context—not for publishing, just to show the angle. We build three client-approved video ad concepts in seven days, then turn the winners into fresh variations. No filming day required. Worth sending the private sample?</x:v>
      </x:c>
      <x:c r="AV598" s="76" t="str">
        <x:v>Quick follow-up: the sample angle is a storm-to-inspection before/after ad. If it misses the mark, no problem—I won't keep chasing. Should I send it?</x:v>
      </x:c>
      <x:c r="AW598" s="76" t="str">
        <x:v>Hi Stephen, Ryan here. I was looking at Herlong Architects + Interiors's public marketing and noticed: icp fit; paid-demand need requires manual verification. I mapped one private storm-to-inspection before/after ad as an example. Did I catch you with 30 seconds?</x:v>
      </x:c>
      <x:c r="AX598" s="60" t="str">
        <x:v>https://www.facebook.com/ads/library/?active_status=active&amp;ad_type=all&amp;country=US&amp;q=Herlong%20Architects%20%2B%20Interiors&amp;search_type=keyword_unordered</x:v>
      </x:c>
      <x:c r="AY598" s="60" t="str">
        <x:v>ok:200</x:v>
      </x:c>
      <x:c r="AZ598" s="60" t="n">
        <x:v>46232.722858796296</x:v>
      </x:c>
      <x:c r="BA598" s="60" t="str">
        <x:v>AI Ark SC trades export</x:v>
      </x:c>
      <x:c r="BB598" s="60" t="str">
        <x:v>https://herlongarchitects.com | https://www.linkedin.com/company/herlong-architects-charleston</x:v>
      </x:c>
      <x:c r="BC598" s="60" t="str"/>
    </x:row>
    <x:row r="599" ht="18" customHeight="1">
      <x:c r="A599" s="70" t="str">
        <x:v>598</x:v>
      </x:c>
      <x:c r="B599" s="70" t="str">
        <x:v>C - Verify</x:v>
      </x:c>
      <x:c r="C599" s="72" t="str">
        <x:v>48</x:v>
      </x:c>
      <x:c r="D599" s="60" t="str">
        <x:v>Mock Electric</x:v>
      </x:c>
      <x:c r="E599" s="60" t="str">
        <x:v>https://mockelectric.com</x:v>
      </x:c>
      <x:c r="F599" s="60" t="str">
        <x:v>https://mockelectric.com</x:v>
      </x:c>
      <x:c r="G599" s="60" t="str">
        <x:v>Ridgeland</x:v>
      </x:c>
      <x:c r="H599" s="60" t="str">
        <x:v>South Carolina</x:v>
      </x:c>
      <x:c r="I599" s="60" t="str">
        <x:v>Electrical</x:v>
      </x:c>
      <x:c r="J599" s="60" t="str">
        <x:v>Dustin</x:v>
      </x:c>
      <x:c r="K599" s="60" t="str">
        <x:v>Mock</x:v>
      </x:c>
      <x:c r="L599" s="60" t="str">
        <x:v>Co-Owner</x:v>
      </x:c>
      <x:c r="M599" s="60" t="str">
        <x:v>dmock@mockelectric.com</x:v>
      </x:c>
      <x:c r="N599" s="60" t="str">
        <x:v>Verified with BounceBan on 08 Jun 26 12:06</x:v>
      </x:c>
      <x:c r="O599" s="60" t="str">
        <x:v>+1 843 321 1234</x:v>
      </x:c>
      <x:c r="P599" s="60" t="str">
        <x:v>https://www.linkedin.com/in/dustinmock</x:v>
      </x:c>
      <x:c r="Q599" s="60" t="str">
        <x:v>11-50</x:v>
      </x:c>
      <x:c r="R599" s="60" t="str">
        <x:v>100000-499999</x:v>
      </x:c>
      <x:c r="S599" s="60" t="str"/>
      <x:c r="T599" s="74" t="str">
        <x:v>0</x:v>
      </x:c>
      <x:c r="U599" s="60" t="str"/>
      <x:c r="V599" s="74" t="str">
        <x:v>25</x:v>
      </x:c>
      <x:c r="W599" s="74" t="str">
        <x:v>3</x:v>
      </x:c>
      <x:c r="X599" s="74" t="str">
        <x:v>10</x:v>
      </x:c>
      <x:c r="Y599" s="74" t="str">
        <x:v>0</x:v>
      </x:c>
      <x:c r="Z599" s="74" t="str">
        <x:v>10</x:v>
      </x:c>
      <x:c r="AA599" s="74" t="str">
        <x:v>0</x:v>
      </x:c>
      <x:c r="AB599" s="74" t="str">
        <x:v>0</x:v>
      </x:c>
      <x:c r="AC599" s="74" t="str">
        <x:v>1</x:v>
      </x:c>
      <x:c r="AD599" s="74" t="str">
        <x:v>0</x:v>
      </x:c>
      <x:c r="AE599" s="74" t="str">
        <x:v>0</x:v>
      </x:c>
      <x:c r="AF599" s="74" t="str"/>
      <x:c r="AG599" s="74" t="str">
        <x:v>0</x:v>
      </x:c>
      <x:c r="AH599" s="74" t="str">
        <x:v>0</x:v>
      </x:c>
      <x:c r="AI599" s="74" t="str">
        <x:v>0</x:v>
      </x:c>
      <x:c r="AJ599" s="74" t="str">
        <x:v>0</x:v>
      </x:c>
      <x:c r="AK599" s="74" t="str">
        <x:v>0</x:v>
      </x:c>
      <x:c r="AL599" s="74" t="str">
        <x:v>0</x:v>
      </x:c>
      <x:c r="AM599" s="74" t="str">
        <x:v>1</x:v>
      </x:c>
      <x:c r="AN599" s="74" t="str">
        <x:v>0</x:v>
      </x:c>
      <x:c r="AO599" s="60" t="str">
        <x:v>0</x:v>
      </x:c>
      <x:c r="AP599" s="76" t="str">
        <x:v>ICP fit; paid-demand need requires manual verification</x:v>
      </x:c>
      <x:c r="AQ599" s="76" t="str">
        <x:v>no embedded homepage video detected</x:v>
      </x:c>
      <x:c r="AR599" s="76" t="str">
        <x:v>I was reviewing electrical companies in Ridgeland, South Carolina and Mock Electric looked like a strong fit for a creative test.</x:v>
      </x:c>
      <x:c r="AS599" s="76" t="str">
        <x:v>safety inspection problem/solution ad</x:v>
      </x:c>
      <x:c r="AT599" s="76" t="str">
        <x:v>Mock Electric ad concept</x:v>
      </x:c>
      <x:c r="AU599" s="76" t="str">
        <x:v>Hi Dustin — I was reviewing electrical companies in Ridgeland, South Carolina and Mock Electric looked like a strong fit for a creative test. I mapped a private 15-second safety inspection problem/solution ad for Mock Electric using only public brand context—not for publishing, just to show the angle. We build three client-approved video ad concepts in seven days, then turn the winners into fresh variations. No filming day required. Worth sending the private sample?</x:v>
      </x:c>
      <x:c r="AV599" s="76" t="str">
        <x:v>Quick follow-up: the sample angle is a safety inspection problem/solution ad. If it misses the mark, no problem—I won't keep chasing. Should I send it?</x:v>
      </x:c>
      <x:c r="AW599" s="76" t="str">
        <x:v>Hi Dustin, Ryan here. I was looking at Mock Electric's public marketing and noticed: icp fit; paid-demand need requires manual verification. I mapped one private safety inspection problem/solution ad as an example. Did I catch you with 30 seconds?</x:v>
      </x:c>
      <x:c r="AX599" s="60" t="str">
        <x:v>https://www.facebook.com/ads/library/?active_status=active&amp;ad_type=all&amp;country=US&amp;q=Mock%20Electric&amp;search_type=keyword_unordered</x:v>
      </x:c>
      <x:c r="AY599" s="60" t="str">
        <x:v>ok:200</x:v>
      </x:c>
      <x:c r="AZ599" s="60" t="n">
        <x:v>46232.722858796296</x:v>
      </x:c>
      <x:c r="BA599" s="60" t="str">
        <x:v>AI Ark SC trades export</x:v>
      </x:c>
      <x:c r="BB599" s="60" t="str">
        <x:v>https://mockelectric.com | https://www.linkedin.com/company/mock-electric</x:v>
      </x:c>
      <x:c r="BC599" s="60" t="str"/>
    </x:row>
    <x:row r="600" ht="18" customHeight="1">
      <x:c r="A600" s="70" t="str">
        <x:v>599</x:v>
      </x:c>
      <x:c r="B600" s="70" t="str">
        <x:v>C - Verify</x:v>
      </x:c>
      <x:c r="C600" s="72" t="str">
        <x:v>48</x:v>
      </x:c>
      <x:c r="D600" s="60" t="str">
        <x:v>M. Padgett Engineering &amp; Construction, LLC</x:v>
      </x:c>
      <x:c r="E600" s="60" t="str">
        <x:v>https://mpadgettengineering.com</x:v>
      </x:c>
      <x:c r="F600" s="60" t="str">
        <x:v>https://mpadgettengineering.com</x:v>
      </x:c>
      <x:c r="G600" s="60" t="str">
        <x:v>Greater Florence</x:v>
      </x:c>
      <x:c r="H600" s="60" t="str">
        <x:v>South Carolina Area</x:v>
      </x:c>
      <x:c r="I600" s="60" t="str">
        <x:v>Remodeling</x:v>
      </x:c>
      <x:c r="J600" s="60" t="str">
        <x:v>Mike</x:v>
      </x:c>
      <x:c r="K600" s="60" t="str">
        <x:v>Padgett</x:v>
      </x:c>
      <x:c r="L600" s="60" t="str">
        <x:v>Owner</x:v>
      </x:c>
      <x:c r="M600" s="60" t="str">
        <x:v>mike@mpadgettengineering.com</x:v>
      </x:c>
      <x:c r="N600" s="60" t="str">
        <x:v>Verified with BounceBan on 08 Jun 26 12:06</x:v>
      </x:c>
      <x:c r="O600" s="60" t="str">
        <x:v>+1 843 908 4569</x:v>
      </x:c>
      <x:c r="P600" s="60" t="str">
        <x:v>https://www.linkedin.com/in/mike-padgett-m-padgett-engineering-and-construction</x:v>
      </x:c>
      <x:c r="Q600" s="60" t="str">
        <x:v>2-10</x:v>
      </x:c>
      <x:c r="R600" s="60" t="str">
        <x:v>0-99999</x:v>
      </x:c>
      <x:c r="S600" s="60" t="str"/>
      <x:c r="T600" s="74" t="str">
        <x:v>0</x:v>
      </x:c>
      <x:c r="U600" s="60" t="str"/>
      <x:c r="V600" s="74" t="str">
        <x:v>25</x:v>
      </x:c>
      <x:c r="W600" s="74" t="str">
        <x:v>3</x:v>
      </x:c>
      <x:c r="X600" s="74" t="str">
        <x:v>10</x:v>
      </x:c>
      <x:c r="Y600" s="74" t="str">
        <x:v>0</x:v>
      </x:c>
      <x:c r="Z600" s="74" t="str">
        <x:v>10</x:v>
      </x:c>
      <x:c r="AA600" s="74" t="str">
        <x:v>0</x:v>
      </x:c>
      <x:c r="AB600" s="74" t="str">
        <x:v>0</x:v>
      </x:c>
      <x:c r="AC600" s="74" t="str">
        <x:v>1</x:v>
      </x:c>
      <x:c r="AD600" s="74" t="str">
        <x:v>0</x:v>
      </x:c>
      <x:c r="AE600" s="74" t="str">
        <x:v>0</x:v>
      </x:c>
      <x:c r="AF600" s="74" t="str"/>
      <x:c r="AG600" s="74" t="str">
        <x:v>0</x:v>
      </x:c>
      <x:c r="AH600" s="74" t="str">
        <x:v>0</x:v>
      </x:c>
      <x:c r="AI600" s="74" t="str">
        <x:v>0</x:v>
      </x:c>
      <x:c r="AJ600" s="74" t="str">
        <x:v>0</x:v>
      </x:c>
      <x:c r="AK600" s="74" t="str">
        <x:v>0</x:v>
      </x:c>
      <x:c r="AL600" s="74" t="str">
        <x:v>0</x:v>
      </x:c>
      <x:c r="AM600" s="74" t="str">
        <x:v>0</x:v>
      </x:c>
      <x:c r="AN600" s="74" t="str">
        <x:v>0</x:v>
      </x:c>
      <x:c r="AO600" s="60" t="str">
        <x:v>0</x:v>
      </x:c>
      <x:c r="AP600" s="76" t="str">
        <x:v>ICP fit; paid-demand need requires manual verification</x:v>
      </x:c>
      <x:c r="AQ600" s="76" t="str">
        <x:v>no embedded homepage video detected</x:v>
      </x:c>
      <x:c r="AR600" s="76" t="str">
        <x:v>I was reviewing remodeling companies in Greater Florence, South Carolina Area and M. Padgett Engineering &amp; Construction, LLC looked like a strong fit for a creative test.</x:v>
      </x:c>
      <x:c r="AS600" s="76" t="str">
        <x:v>project reveal with budget-and-timeline proof</x:v>
      </x:c>
      <x:c r="AT600" s="76" t="str">
        <x:v>M. Padgett Engineering &amp; Construction, LLC ad concept</x:v>
      </x:c>
      <x:c r="AU600" s="76" t="str">
        <x:v>Hi Mike — I was reviewing remodeling companies in Greater Florence, South Carolina Area and M. Padgett Engineering &amp; Construction, LLC looked like a strong fit for a creative test. I mapped a private 15-second project reveal with budget-and-timeline proof for M. Padgett Engineering &amp; Construction, LLC using only public brand context—not for publishing, just to show the angle. We build three client-approved video ad concepts in seven days, then turn the winners into fresh variations. No filming day required. Worth sending the private sample?</x:v>
      </x:c>
      <x:c r="AV600" s="76" t="str">
        <x:v>Quick follow-up: the sample angle is a project reveal with budget-and-timeline proof. If it misses the mark, no problem—I won't keep chasing. Should I send it?</x:v>
      </x:c>
      <x:c r="AW600" s="76" t="str">
        <x:v>Hi Mike, Ryan here. I was looking at M. Padgett Engineering &amp; Construction, LLC's public marketing and noticed: icp fit; paid-demand need requires manual verification. I mapped one private project reveal with budget-and-timeline proof as an example. Did I catch you with 30 seconds?</x:v>
      </x:c>
      <x:c r="AX600" s="60" t="str">
        <x:v>https://www.facebook.com/ads/library/?active_status=active&amp;ad_type=all&amp;country=US&amp;q=M.%20Padgett%20Engineering%20%26%20Construction%2C%20LLC&amp;search_type=keyword_unordered</x:v>
      </x:c>
      <x:c r="AY600" s="60" t="str">
        <x:v>ok:200</x:v>
      </x:c>
      <x:c r="AZ600" s="60" t="n">
        <x:v>46232.722858796296</x:v>
      </x:c>
      <x:c r="BA600" s="60" t="str">
        <x:v>AI Ark SC trades export</x:v>
      </x:c>
      <x:c r="BB600" s="60" t="str">
        <x:v>https://mpadgettengineering.com | https://www.linkedin.com/company/m-padgett-engineering-construction-llc</x:v>
      </x:c>
      <x:c r="BC600" s="60" t="str"/>
    </x:row>
    <x:row r="601" ht="18" customHeight="1">
      <x:c r="A601" s="70" t="str">
        <x:v>600</x:v>
      </x:c>
      <x:c r="B601" s="70" t="str">
        <x:v>C - Verify</x:v>
      </x:c>
      <x:c r="C601" s="72" t="str">
        <x:v>48</x:v>
      </x:c>
      <x:c r="D601" s="60" t="str">
        <x:v>Hyland Construction &amp; Design, LLC</x:v>
      </x:c>
      <x:c r="E601" s="60" t="str">
        <x:v>https://hylandconst.com</x:v>
      </x:c>
      <x:c r="F601" s="60" t="str">
        <x:v>https://hylandconst.com</x:v>
      </x:c>
      <x:c r="G601" s="60" t="str">
        <x:v>Mount Pleasant</x:v>
      </x:c>
      <x:c r="H601" s="60" t="str">
        <x:v>South Carolina</x:v>
      </x:c>
      <x:c r="I601" s="60" t="str">
        <x:v>Remodeling</x:v>
      </x:c>
      <x:c r="J601" s="60" t="str">
        <x:v>Scott</x:v>
      </x:c>
      <x:c r="K601" s="60" t="str">
        <x:v>Hyland</x:v>
      </x:c>
      <x:c r="L601" s="60" t="str">
        <x:v>Owner</x:v>
      </x:c>
      <x:c r="M601" s="60" t="str">
        <x:v>scott@hylandconst.com</x:v>
      </x:c>
      <x:c r="N601" s="60" t="str">
        <x:v>Verified with BounceBan on 08 Jun 26 12:06</x:v>
      </x:c>
      <x:c r="O601" s="60" t="str">
        <x:v>+1 843 514 0001</x:v>
      </x:c>
      <x:c r="P601" s="60" t="str">
        <x:v>https://www.linkedin.com/in/scott-hyland-8669b916</x:v>
      </x:c>
      <x:c r="Q601" s="60" t="str">
        <x:v>2-10</x:v>
      </x:c>
      <x:c r="R601" s="60" t="str">
        <x:v>100000-499999</x:v>
      </x:c>
      <x:c r="S601" s="60" t="str"/>
      <x:c r="T601" s="74" t="str">
        <x:v>0</x:v>
      </x:c>
      <x:c r="U601" s="60" t="str"/>
      <x:c r="V601" s="74" t="str">
        <x:v>25</x:v>
      </x:c>
      <x:c r="W601" s="74" t="str">
        <x:v>3</x:v>
      </x:c>
      <x:c r="X601" s="74" t="str">
        <x:v>10</x:v>
      </x:c>
      <x:c r="Y601" s="74" t="str">
        <x:v>0</x:v>
      </x:c>
      <x:c r="Z601" s="74" t="str">
        <x:v>10</x:v>
      </x:c>
      <x:c r="AA601" s="74" t="str">
        <x:v>0</x:v>
      </x:c>
      <x:c r="AB601" s="74" t="str">
        <x:v>0</x:v>
      </x:c>
      <x:c r="AC601" s="74" t="str">
        <x:v>1</x:v>
      </x:c>
      <x:c r="AD601" s="74" t="str">
        <x:v>0</x:v>
      </x:c>
      <x:c r="AE601" s="74" t="str">
        <x:v>0</x:v>
      </x:c>
      <x:c r="AF601" s="74" t="str"/>
      <x:c r="AG601" s="74" t="str">
        <x:v>0</x:v>
      </x:c>
      <x:c r="AH601" s="74" t="str">
        <x:v>0</x:v>
      </x:c>
      <x:c r="AI601" s="74" t="str">
        <x:v>0</x:v>
      </x:c>
      <x:c r="AJ601" s="74" t="str">
        <x:v>0</x:v>
      </x:c>
      <x:c r="AK601" s="74" t="str">
        <x:v>0</x:v>
      </x:c>
      <x:c r="AL601" s="74" t="str">
        <x:v>0</x:v>
      </x:c>
      <x:c r="AM601" s="74" t="str">
        <x:v>1</x:v>
      </x:c>
      <x:c r="AN601" s="74" t="str">
        <x:v>0</x:v>
      </x:c>
      <x:c r="AO601" s="60" t="str">
        <x:v>2026</x:v>
      </x:c>
      <x:c r="AP601" s="76" t="str">
        <x:v>ICP fit; paid-demand need requires manual verification</x:v>
      </x:c>
      <x:c r="AQ601" s="76" t="str">
        <x:v>no embedded homepage video detected</x:v>
      </x:c>
      <x:c r="AR601" s="76" t="str">
        <x:v>I was reviewing remodeling companies in Mount Pleasant, South Carolina and Hyland Construction &amp; Design, LLC looked like a strong fit for a creative test.</x:v>
      </x:c>
      <x:c r="AS601" s="76" t="str">
        <x:v>project reveal with budget-and-timeline proof</x:v>
      </x:c>
      <x:c r="AT601" s="76" t="str">
        <x:v>Hyland Construction &amp; Design, LLC ad concept</x:v>
      </x:c>
      <x:c r="AU601" s="76" t="str">
        <x:v>Hi Scott — I was reviewing remodeling companies in Mount Pleasant, South Carolina and Hyland Construction &amp; Design, LLC looked like a strong fit for a creative test. I mapped a private 15-second project reveal with budget-and-timeline proof for Hyland Construction &amp; Design, LLC using only public brand context—not for publishing, just to show the angle. We build three client-approved video ad concepts in seven days, then turn the winners into fresh variations. No filming day required. Worth sending the private sample?</x:v>
      </x:c>
      <x:c r="AV601" s="76" t="str">
        <x:v>Quick follow-up: the sample angle is a project reveal with budget-and-timeline proof. If it misses the mark, no problem—I won't keep chasing. Should I send it?</x:v>
      </x:c>
      <x:c r="AW601" s="76" t="str">
        <x:v>Hi Scott, Ryan here. I was looking at Hyland Construction &amp; Design, LLC's public marketing and noticed: icp fit; paid-demand need requires manual verification. I mapped one private project reveal with budget-and-timeline proof as an example. Did I catch you with 30 seconds?</x:v>
      </x:c>
      <x:c r="AX601" s="60" t="str">
        <x:v>https://www.facebook.com/ads/library/?active_status=active&amp;ad_type=all&amp;country=US&amp;q=Hyland%20Construction%20%26%20Design%2C%20LLC&amp;search_type=keyword_unordered</x:v>
      </x:c>
      <x:c r="AY601" s="60" t="str">
        <x:v>ok:200</x:v>
      </x:c>
      <x:c r="AZ601" s="60" t="n">
        <x:v>46232.722858796296</x:v>
      </x:c>
      <x:c r="BA601" s="60" t="str">
        <x:v>AI Ark SC trades export</x:v>
      </x:c>
      <x:c r="BB601" s="60" t="str">
        <x:v>https://hylandconst.com | https://www.linkedin.com/company/hyland-construction-&amp;-design-llc</x:v>
      </x:c>
      <x:c r="BC601" s="60" t="str"/>
    </x:row>
    <x:row r="602" ht="18" customHeight="1">
      <x:c r="A602" s="70" t="str">
        <x:v>601</x:v>
      </x:c>
      <x:c r="B602" s="70" t="str">
        <x:v>C - Verify</x:v>
      </x:c>
      <x:c r="C602" s="72" t="str">
        <x:v>48</x:v>
      </x:c>
      <x:c r="D602" s="60" t="str">
        <x:v>Hospitality Building Services, LLC</x:v>
      </x:c>
      <x:c r="E602" s="60" t="str">
        <x:v>https://hospitalitybuild.com</x:v>
      </x:c>
      <x:c r="F602" s="60" t="str">
        <x:v>https://hospitalitybuild.com</x:v>
      </x:c>
      <x:c r="G602" s="60" t="str">
        <x:v>Mount Pleasant</x:v>
      </x:c>
      <x:c r="H602" s="60" t="str">
        <x:v>South Carolina</x:v>
      </x:c>
      <x:c r="I602" s="60" t="str">
        <x:v>General Contractor</x:v>
      </x:c>
      <x:c r="J602" s="60" t="str">
        <x:v>Brandon</x:v>
      </x:c>
      <x:c r="K602" s="60" t="str">
        <x:v>Bradford</x:v>
      </x:c>
      <x:c r="L602" s="60" t="str">
        <x:v>Owner, Director of Development</x:v>
      </x:c>
      <x:c r="M602" s="60" t="str">
        <x:v>brandon@hospitalitybuild.com</x:v>
      </x:c>
      <x:c r="N602" s="60" t="str">
        <x:v>Verified with BounceBan on 08 Jun 26 12:06</x:v>
      </x:c>
      <x:c r="O602" s="60" t="str">
        <x:v>+1 706 340 5922, +1 404 285 6288</x:v>
      </x:c>
      <x:c r="P602" s="60" t="str">
        <x:v>https://www.linkedin.com/in/hbsbrandon</x:v>
      </x:c>
      <x:c r="Q602" s="60" t="str">
        <x:v>11-50</x:v>
      </x:c>
      <x:c r="R602" s="60" t="str">
        <x:v>500000-999999</x:v>
      </x:c>
      <x:c r="S602" s="60" t="str"/>
      <x:c r="T602" s="74" t="str">
        <x:v>0</x:v>
      </x:c>
      <x:c r="U602" s="60" t="str"/>
      <x:c r="V602" s="74" t="str">
        <x:v>25</x:v>
      </x:c>
      <x:c r="W602" s="74" t="str">
        <x:v>3</x:v>
      </x:c>
      <x:c r="X602" s="74" t="str">
        <x:v>10</x:v>
      </x:c>
      <x:c r="Y602" s="74" t="str">
        <x:v>0</x:v>
      </x:c>
      <x:c r="Z602" s="74" t="str">
        <x:v>10</x:v>
      </x:c>
      <x:c r="AA602" s="74" t="str">
        <x:v>0</x:v>
      </x:c>
      <x:c r="AB602" s="74" t="str">
        <x:v>0</x:v>
      </x:c>
      <x:c r="AC602" s="74" t="str">
        <x:v>1</x:v>
      </x:c>
      <x:c r="AD602" s="74" t="str">
        <x:v>0</x:v>
      </x:c>
      <x:c r="AE602" s="74" t="str">
        <x:v>0</x:v>
      </x:c>
      <x:c r="AF602" s="74" t="str"/>
      <x:c r="AG602" s="74" t="str">
        <x:v>0</x:v>
      </x:c>
      <x:c r="AH602" s="74" t="str">
        <x:v>0</x:v>
      </x:c>
      <x:c r="AI602" s="74" t="str">
        <x:v>0</x:v>
      </x:c>
      <x:c r="AJ602" s="74" t="str">
        <x:v>0</x:v>
      </x:c>
      <x:c r="AK602" s="74" t="str">
        <x:v>0</x:v>
      </x:c>
      <x:c r="AL602" s="74" t="str">
        <x:v>0</x:v>
      </x:c>
      <x:c r="AM602" s="74" t="str">
        <x:v>1</x:v>
      </x:c>
      <x:c r="AN602" s="74" t="str">
        <x:v>0</x:v>
      </x:c>
      <x:c r="AO602" s="60" t="str">
        <x:v>0</x:v>
      </x:c>
      <x:c r="AP602" s="76" t="str">
        <x:v>ICP fit; paid-demand need requires manual verification</x:v>
      </x:c>
      <x:c r="AQ602" s="76" t="str">
        <x:v>no embedded homepage video detected</x:v>
      </x:c>
      <x:c r="AR602" s="76" t="str">
        <x:v>I was reviewing general contractor companies in Mount Pleasant, South Carolina and Hospitality Building Services, LLC looked like a strong fit for a creative test.</x:v>
      </x:c>
      <x:c r="AS602" s="76" t="str">
        <x:v>project walkthrough with proof milestones</x:v>
      </x:c>
      <x:c r="AT602" s="76" t="str">
        <x:v>Hospitality Building Services, LLC ad concept</x:v>
      </x:c>
      <x:c r="AU602" s="76" t="str">
        <x:v>Hi Brandon — I was reviewing general contractor companies in Mount Pleasant, South Carolina and Hospitality Building Services, LLC looked like a strong fit for a creative test. I mapped a private 15-second project walkthrough with proof milestones for Hospitality Building Services, LLC using only public brand context—not for publishing, just to show the angle. We build three client-approved video ad concepts in seven days, then turn the winners into fresh variations. No filming day required. Worth sending the private sample?</x:v>
      </x:c>
      <x:c r="AV602" s="76" t="str">
        <x:v>Quick follow-up: the sample angle is a project walkthrough with proof milestones. If it misses the mark, no problem—I won't keep chasing. Should I send it?</x:v>
      </x:c>
      <x:c r="AW602" s="76" t="str">
        <x:v>Hi Brandon, Ryan here. I was looking at Hospitality Building Services, LLC's public marketing and noticed: icp fit; paid-demand need requires manual verification. I mapped one private project walkthrough with proof milestones as an example. Did I catch you with 30 seconds?</x:v>
      </x:c>
      <x:c r="AX602" s="60" t="str">
        <x:v>https://www.facebook.com/ads/library/?active_status=active&amp;ad_type=all&amp;country=US&amp;q=Hospitality%20Building%20Services%2C%20LLC&amp;search_type=keyword_unordered</x:v>
      </x:c>
      <x:c r="AY602" s="60" t="str">
        <x:v>ok:200</x:v>
      </x:c>
      <x:c r="AZ602" s="60" t="n">
        <x:v>46232.722858796296</x:v>
      </x:c>
      <x:c r="BA602" s="60" t="str">
        <x:v>AI Ark SC trades export</x:v>
      </x:c>
      <x:c r="BB602" s="60" t="str">
        <x:v>https://hospitalitybuild.com | https://www.linkedin.com/company/hospitalitybuild</x:v>
      </x:c>
      <x:c r="BC602" s="60" t="str"/>
    </x:row>
    <x:row r="603" ht="18" customHeight="1">
      <x:c r="A603" s="70" t="str">
        <x:v>602</x:v>
      </x:c>
      <x:c r="B603" s="70" t="str">
        <x:v>C - Verify</x:v>
      </x:c>
      <x:c r="C603" s="72" t="str">
        <x:v>48</x:v>
      </x:c>
      <x:c r="D603" s="60" t="str">
        <x:v>Priority Heating &amp; Air, LLC</x:v>
      </x:c>
      <x:c r="E603" s="60" t="str">
        <x:v>https://priorityheatandair.com</x:v>
      </x:c>
      <x:c r="F603" s="60" t="str">
        <x:v>https://www.priorityheatandair.com/</x:v>
      </x:c>
      <x:c r="G603" s="60" t="str">
        <x:v>Spartanburg</x:v>
      </x:c>
      <x:c r="H603" s="60" t="str">
        <x:v>South Carolina</x:v>
      </x:c>
      <x:c r="I603" s="60" t="str">
        <x:v>HVAC</x:v>
      </x:c>
      <x:c r="J603" s="60" t="str">
        <x:v>Priority Heating &amp; Air, LLC</x:v>
      </x:c>
      <x:c r="K603" s="60" t="str"/>
      <x:c r="L603" s="60" t="str">
        <x:v>Owner / decision maker to verify</x:v>
      </x:c>
      <x:c r="M603" s="60" t="str"/>
      <x:c r="N603" s="60" t="str"/>
      <x:c r="O603" s="60" t="str">
        <x:v>(864) 591-1847</x:v>
      </x:c>
      <x:c r="P603" s="60" t="str"/>
      <x:c r="Q603" s="60" t="str"/>
      <x:c r="R603" s="60" t="str"/>
      <x:c r="S603" s="60" t="str">
        <x:v>4.8</x:v>
      </x:c>
      <x:c r="T603" s="74" t="str">
        <x:v>132</x:v>
      </x:c>
      <x:c r="U603" s="60" t="str"/>
      <x:c r="V603" s="74" t="str">
        <x:v>28</x:v>
      </x:c>
      <x:c r="W603" s="74" t="str">
        <x:v>0</x:v>
      </x:c>
      <x:c r="X603" s="74" t="str">
        <x:v>0</x:v>
      </x:c>
      <x:c r="Y603" s="74" t="str">
        <x:v>15</x:v>
      </x:c>
      <x:c r="Z603" s="74" t="str">
        <x:v>5</x:v>
      </x:c>
      <x:c r="AA603" s="74" t="str">
        <x:v>0</x:v>
      </x:c>
      <x:c r="AB603" s="74" t="str">
        <x:v>0</x:v>
      </x:c>
      <x:c r="AC603" s="74" t="str">
        <x:v>0</x:v>
      </x:c>
      <x:c r="AD603" s="74" t="str">
        <x:v>0</x:v>
      </x:c>
      <x:c r="AE603" s="74" t="str">
        <x:v>0</x:v>
      </x:c>
      <x:c r="AF603" s="74" t="str"/>
      <x:c r="AG603" s="74" t="str">
        <x:v>1</x:v>
      </x:c>
      <x:c r="AH603" s="74" t="str">
        <x:v>1</x:v>
      </x:c>
      <x:c r="AI603" s="74" t="str">
        <x:v>1</x:v>
      </x:c>
      <x:c r="AJ603" s="74" t="str">
        <x:v>0</x:v>
      </x:c>
      <x:c r="AK603" s="74" t="str">
        <x:v>1</x:v>
      </x:c>
      <x:c r="AL603" s="74" t="str">
        <x:v>1</x:v>
      </x:c>
      <x:c r="AM603" s="74" t="str">
        <x:v>1</x:v>
      </x:c>
      <x:c r="AN603" s="74" t="str">
        <x:v>0</x:v>
      </x:c>
      <x:c r="AO603" s="60" t="str">
        <x:v>2026</x:v>
      </x:c>
      <x:c r="AP603" s="76" t="str">
        <x:v>ICP fit; paid-demand need requires manual verification</x:v>
      </x:c>
      <x:c r="AQ603" s="76" t="str">
        <x:v>project/gallery proof; testimonials; visible service offer</x:v>
      </x:c>
      <x:c r="AR603" s="76" t="str">
        <x:v>I was reviewing hvac companies in Spartanburg, South Carolina and Priority Heating &amp; Air, LLC looked like a strong fit for a creative test.</x:v>
      </x:c>
      <x:c r="AS603" s="76" t="str">
        <x:v>no-cool-call to same-day comfort ad</x:v>
      </x:c>
      <x:c r="AT603" s="76" t="str">
        <x:v>Priority Heating &amp; Air, LLC ad concept</x:v>
      </x:c>
      <x:c r="AU603" s="76" t="str">
        <x:v>Hi Priority Heating &amp; Air, LLC — I was reviewing hvac companies in Spartanburg, South Carolina and Priority Heating &amp; Air, LLC looked like a strong fit for a creative test. I mapped a private 15-second no-cool-call to same-day comfort ad for Priority Heating &amp; Air, LLC using only public brand context—not for publishing, just to show the angle. We build three client-approved video ad concepts in seven days, then turn the winners into fresh variations. No filming day required. Worth sending the private sample?</x:v>
      </x:c>
      <x:c r="AV603" s="76" t="str">
        <x:v>Quick follow-up: the sample angle is a no-cool-call to same-day comfort ad. If it misses the mark, no problem—I won't keep chasing. Should I send it?</x:v>
      </x:c>
      <x:c r="AW603" s="76" t="str">
        <x:v>Hi Priority Heating &amp; Air, LLC, Ryan here. I was looking at Priority Heating &amp; Air, LLC's public marketing and noticed: icp fit; paid-demand need requires manual verification. I mapped one private no-cool-call to same-day comfort ad as an example. Did I catch you with 30 seconds?</x:v>
      </x:c>
      <x:c r="AX603" s="60" t="str">
        <x:v>https://www.facebook.com/ads/library/?active_status=active&amp;ad_type=all&amp;country=US&amp;q=Priority%20Heating%20%26%20Air%2C%20LLC&amp;search_type=keyword_unordered</x:v>
      </x:c>
      <x:c r="AY603" s="60" t="str">
        <x:v>ok:200</x:v>
      </x:c>
      <x:c r="AZ603" s="60" t="n">
        <x:v>46232.722858796296</x:v>
      </x:c>
      <x:c r="BA603" s="60" t="str">
        <x:v>Google Maps home-services export</x:v>
      </x:c>
      <x:c r="BB603" s="60" t="str">
        <x:v>https://maps.google.com/?cid=12927340462643230903&amp;g_mp=Cidnb29nbGUubWFwcy5wbGFjZXMudjEuUGxhY2VzLlNlYXJjaFRleHQQAhgEIAA | https://priorityheatandair.com</x:v>
      </x:c>
      <x:c r="BC603" s="60" t="str"/>
    </x:row>
    <x:row r="604" ht="18" customHeight="1">
      <x:c r="A604" s="70" t="str">
        <x:v>603</x:v>
      </x:c>
      <x:c r="B604" s="70" t="str">
        <x:v>C - Verify</x:v>
      </x:c>
      <x:c r="C604" s="72" t="str">
        <x:v>48</x:v>
      </x:c>
      <x:c r="D604" s="60" t="str">
        <x:v>McClerklin's Electrical Services</x:v>
      </x:c>
      <x:c r="E604" s="60" t="str">
        <x:v>https://mcclerklinselectricalservice.com</x:v>
      </x:c>
      <x:c r="F604" s="60" t="str">
        <x:v>https://www.mcclerklinselectricalservice.com/</x:v>
      </x:c>
      <x:c r="G604" s="60" t="str">
        <x:v>Columbia</x:v>
      </x:c>
      <x:c r="H604" s="60" t="str">
        <x:v>South Carolina</x:v>
      </x:c>
      <x:c r="I604" s="60" t="str">
        <x:v>Electrical</x:v>
      </x:c>
      <x:c r="J604" s="60" t="str">
        <x:v>McClerklin's Electrical Services</x:v>
      </x:c>
      <x:c r="K604" s="60" t="str"/>
      <x:c r="L604" s="60" t="str">
        <x:v>Owner / decision maker to verify</x:v>
      </x:c>
      <x:c r="M604" s="60" t="str"/>
      <x:c r="N604" s="60" t="str"/>
      <x:c r="O604" s="60" t="str">
        <x:v>(803) 513-0835</x:v>
      </x:c>
      <x:c r="P604" s="60" t="str"/>
      <x:c r="Q604" s="60" t="str"/>
      <x:c r="R604" s="60" t="str"/>
      <x:c r="S604" s="60" t="str">
        <x:v>4.9</x:v>
      </x:c>
      <x:c r="T604" s="74" t="str">
        <x:v>443</x:v>
      </x:c>
      <x:c r="U604" s="60" t="str"/>
      <x:c r="V604" s="74" t="str">
        <x:v>24</x:v>
      </x:c>
      <x:c r="W604" s="74" t="str">
        <x:v>0</x:v>
      </x:c>
      <x:c r="X604" s="74" t="str">
        <x:v>4</x:v>
      </x:c>
      <x:c r="Y604" s="74" t="str">
        <x:v>15</x:v>
      </x:c>
      <x:c r="Z604" s="74" t="str">
        <x:v>5</x:v>
      </x:c>
      <x:c r="AA604" s="74" t="str">
        <x:v>0</x:v>
      </x:c>
      <x:c r="AB604" s="74" t="str">
        <x:v>0</x:v>
      </x:c>
      <x:c r="AC604" s="74" t="str">
        <x:v>0</x:v>
      </x:c>
      <x:c r="AD604" s="74" t="str">
        <x:v>0</x:v>
      </x:c>
      <x:c r="AE604" s="74" t="str">
        <x:v>0</x:v>
      </x:c>
      <x:c r="AF604" s="74" t="str"/>
      <x:c r="AG604" s="74" t="str">
        <x:v>1</x:v>
      </x:c>
      <x:c r="AH604" s="74" t="str">
        <x:v>1</x:v>
      </x:c>
      <x:c r="AI604" s="74" t="str">
        <x:v>1</x:v>
      </x:c>
      <x:c r="AJ604" s="74" t="str">
        <x:v>1</x:v>
      </x:c>
      <x:c r="AK604" s="74" t="str">
        <x:v>1</x:v>
      </x:c>
      <x:c r="AL604" s="74" t="str">
        <x:v>0</x:v>
      </x:c>
      <x:c r="AM604" s="74" t="str">
        <x:v>1</x:v>
      </x:c>
      <x:c r="AN604" s="74" t="str">
        <x:v>0</x:v>
      </x:c>
      <x:c r="AO604" s="60" t="str">
        <x:v>2026</x:v>
      </x:c>
      <x:c r="AP604" s="76" t="str">
        <x:v>ICP fit; paid-demand need requires manual verification</x:v>
      </x:c>
      <x:c r="AQ604" s="76" t="str">
        <x:v>project/gallery proof; testimonials; financing; visible service offer</x:v>
      </x:c>
      <x:c r="AR604" s="76" t="str">
        <x:v>I was reviewing electrical companies in Columbia, South Carolina and McClerklin's Electrical Services looked like a strong fit for a creative test.</x:v>
      </x:c>
      <x:c r="AS604" s="76" t="str">
        <x:v>safety inspection problem/solution ad</x:v>
      </x:c>
      <x:c r="AT604" s="76" t="str">
        <x:v>McClerklin's Electrical Services ad concept</x:v>
      </x:c>
      <x:c r="AU604" s="76" t="str">
        <x:v>Hi McClerklin's Electrical Services — I was reviewing electrical companies in Columbia, South Carolina and McClerklin's Electrical Services looked like a strong fit for a creative test. I mapped a private 15-second safety inspection problem/solution ad for McClerklin's Electrical Services using only public brand context—not for publishing, just to show the angle. We build three client-approved video ad concepts in seven days, then turn the winners into fresh variations. No filming day required. Worth sending the private sample?</x:v>
      </x:c>
      <x:c r="AV604" s="76" t="str">
        <x:v>Quick follow-up: the sample angle is a safety inspection problem/solution ad. If it misses the mark, no problem—I won't keep chasing. Should I send it?</x:v>
      </x:c>
      <x:c r="AW604" s="76" t="str">
        <x:v>Hi McClerklin's Electrical Services, Ryan here. I was looking at McClerklin's Electrical Services's public marketing and noticed: icp fit; paid-demand need requires manual verification. I mapped one private safety inspection problem/solution ad as an example. Did I catch you with 30 seconds?</x:v>
      </x:c>
      <x:c r="AX604" s="60" t="str">
        <x:v>https://www.facebook.com/ads/library/?active_status=active&amp;ad_type=all&amp;country=US&amp;q=McClerklin%27s%20Electrical%20Services&amp;search_type=keyword_unordered</x:v>
      </x:c>
      <x:c r="AY604" s="60" t="str">
        <x:v>ok:200</x:v>
      </x:c>
      <x:c r="AZ604" s="60" t="n">
        <x:v>46232.722858796296</x:v>
      </x:c>
      <x:c r="BA604" s="60" t="str">
        <x:v>Google Maps home-services export</x:v>
      </x:c>
      <x:c r="BB604" s="60" t="str">
        <x:v>https://maps.google.com/?cid=2973552609526755155&amp;g_mp=Cidnb29nbGUubWFwcy5wbGFjZXMudjEuUGxhY2VzLlNlYXJjaFRleHQQAhgEIAA | https://mcclerklinselectricalservice.com</x:v>
      </x:c>
      <x:c r="BC604" s="60" t="str"/>
    </x:row>
    <x:row r="605" ht="18" customHeight="1">
      <x:c r="A605" s="70" t="str">
        <x:v>604</x:v>
      </x:c>
      <x:c r="B605" s="70" t="str">
        <x:v>C - Verify</x:v>
      </x:c>
      <x:c r="C605" s="72" t="str">
        <x:v>48</x:v>
      </x:c>
      <x:c r="D605" s="60" t="str">
        <x:v>1-800-STRIPER® of Columbia</x:v>
      </x:c>
      <x:c r="E605" s="60" t="str">
        <x:v>https://1800striper.com</x:v>
      </x:c>
      <x:c r="F605" s="60" t="str">
        <x:v>https://1800striper.com</x:v>
      </x:c>
      <x:c r="G605" s="60" t="str">
        <x:v>Columbia</x:v>
      </x:c>
      <x:c r="H605" s="60" t="str">
        <x:v>South Carolina</x:v>
      </x:c>
      <x:c r="I605" s="60" t="str">
        <x:v>General Contractor</x:v>
      </x:c>
      <x:c r="J605" s="60" t="str">
        <x:v>Stewart</x:v>
      </x:c>
      <x:c r="K605" s="60" t="str">
        <x:v>Bailey</x:v>
      </x:c>
      <x:c r="L605" s="60" t="str">
        <x:v>Owner</x:v>
      </x:c>
      <x:c r="M605" s="60" t="str">
        <x:v>sbailey@1800striper.com</x:v>
      </x:c>
      <x:c r="N605" s="60" t="str">
        <x:v>Verified with BounceBan on 08 Jun 26 12:06</x:v>
      </x:c>
      <x:c r="O605" s="60" t="str">
        <x:v>+1 843 909 2704</x:v>
      </x:c>
      <x:c r="P605" s="60" t="str">
        <x:v>https://www.linkedin.com/in/stewart-bailey-425513131</x:v>
      </x:c>
      <x:c r="Q605" s="60" t="str">
        <x:v>2-10</x:v>
      </x:c>
      <x:c r="R605" s="60" t="str">
        <x:v>0-99999</x:v>
      </x:c>
      <x:c r="S605" s="60" t="str"/>
      <x:c r="T605" s="74" t="str">
        <x:v>0</x:v>
      </x:c>
      <x:c r="U605" s="60" t="str"/>
      <x:c r="V605" s="74" t="str">
        <x:v>20</x:v>
      </x:c>
      <x:c r="W605" s="74" t="str">
        <x:v>0</x:v>
      </x:c>
      <x:c r="X605" s="74" t="str">
        <x:v>6</x:v>
      </x:c>
      <x:c r="Y605" s="74" t="str">
        <x:v>12</x:v>
      </x:c>
      <x:c r="Z605" s="74" t="str">
        <x:v>10</x:v>
      </x:c>
      <x:c r="AA605" s="74" t="str">
        <x:v>0</x:v>
      </x:c>
      <x:c r="AB605" s="74" t="str">
        <x:v>0</x:v>
      </x:c>
      <x:c r="AC605" s="74" t="str">
        <x:v>0</x:v>
      </x:c>
      <x:c r="AD605" s="74" t="str">
        <x:v>0</x:v>
      </x:c>
      <x:c r="AE605" s="74" t="str">
        <x:v>0</x:v>
      </x:c>
      <x:c r="AF605" s="74" t="str"/>
      <x:c r="AG605" s="74" t="str">
        <x:v>0</x:v>
      </x:c>
      <x:c r="AH605" s="74" t="str">
        <x:v>1</x:v>
      </x:c>
      <x:c r="AI605" s="74" t="str">
        <x:v>1</x:v>
      </x:c>
      <x:c r="AJ605" s="74" t="str">
        <x:v>0</x:v>
      </x:c>
      <x:c r="AK605" s="74" t="str">
        <x:v>1</x:v>
      </x:c>
      <x:c r="AL605" s="74" t="str">
        <x:v>1</x:v>
      </x:c>
      <x:c r="AM605" s="74" t="str">
        <x:v>1</x:v>
      </x:c>
      <x:c r="AN605" s="74" t="str">
        <x:v>1</x:v>
      </x:c>
      <x:c r="AO605" s="60" t="str">
        <x:v>2026</x:v>
      </x:c>
      <x:c r="AP605" s="76" t="str">
        <x:v>Project/gallery proof found; no embedded homepage video found</x:v>
      </x:c>
      <x:c r="AQ605" s="76" t="str">
        <x:v>project/gallery proof; testimonials; visible service offer; no embedded homepage video detected</x:v>
      </x:c>
      <x:c r="AR605" s="76" t="str">
        <x:v>I found project/gallery proof on 1-800-STRIPER® of Columbia's site that could be repackaged into short-form ad concepts.</x:v>
      </x:c>
      <x:c r="AS605" s="76" t="str">
        <x:v>project walkthrough with proof milestones</x:v>
      </x:c>
      <x:c r="AT605" s="76" t="str">
        <x:v>1-800-STRIPER® of Columbia ad concept</x:v>
      </x:c>
      <x:c r="AU605" s="76" t="str">
        <x:v>Hi Stewart — I found project/gallery proof on 1-800-STRIPER® of Columbia's site that could be repackaged into short-form ad concepts. I mapped a private 15-second project walkthrough with proof milestones for 1-800-STRIPER® of Columbia using only public brand context—not for publishing, just to show the angle. We build three client-approved video ad concepts in seven days, then turn the winners into fresh variations. No filming day required. Worth sending the private sample?</x:v>
      </x:c>
      <x:c r="AV605" s="76" t="str">
        <x:v>Quick follow-up: the sample angle is a project walkthrough with proof milestones. If it misses the mark, no problem—I won't keep chasing. Should I send it?</x:v>
      </x:c>
      <x:c r="AW605" s="76" t="str">
        <x:v>Hi Stewart, Ryan here. I was looking at 1-800-STRIPER® of Columbia's public marketing and noticed: project/gallery proof found; no embedded homepage video found. I mapped one private project walkthrough with proof milestones as an example. Did I catch you with 30 seconds?</x:v>
      </x:c>
      <x:c r="AX605" s="60" t="str">
        <x:v>https://www.facebook.com/ads/library/?active_status=active&amp;ad_type=all&amp;country=US&amp;q=1-800-STRIPER%C2%AE%20of%20Columbia&amp;search_type=keyword_unordered</x:v>
      </x:c>
      <x:c r="AY605" s="60" t="str">
        <x:v>ok:200</x:v>
      </x:c>
      <x:c r="AZ605" s="60" t="n">
        <x:v>46232.722858796296</x:v>
      </x:c>
      <x:c r="BA605" s="60" t="str">
        <x:v>AI Ark SC trades export</x:v>
      </x:c>
      <x:c r="BB605" s="60" t="str">
        <x:v>https://1800striper.com | https://www.linkedin.com/company/1800stripercolumbia</x:v>
      </x:c>
      <x:c r="BC605" s="60" t="str"/>
    </x:row>
    <x:row r="606" ht="18" customHeight="1">
      <x:c r="A606" s="70" t="str">
        <x:v>605</x:v>
      </x:c>
      <x:c r="B606" s="70" t="str">
        <x:v>C - Verify</x:v>
      </x:c>
      <x:c r="C606" s="72" t="str">
        <x:v>48</x:v>
      </x:c>
      <x:c r="D606" s="60" t="str">
        <x:v>Swift Brothers Plumbing, Heating &amp; Air</x:v>
      </x:c>
      <x:c r="E606" s="60" t="str">
        <x:v>https://swiftbrothers.com</x:v>
      </x:c>
      <x:c r="F606" s="60" t="str">
        <x:v>https://www.swiftbrothers.com/</x:v>
      </x:c>
      <x:c r="G606" s="60" t="str">
        <x:v>Rock Hill</x:v>
      </x:c>
      <x:c r="H606" s="60" t="str">
        <x:v>South Carolina</x:v>
      </x:c>
      <x:c r="I606" s="60" t="str">
        <x:v>HVAC</x:v>
      </x:c>
      <x:c r="J606" s="60" t="str">
        <x:v>Swift Brothers Plumbing, Heating &amp; Air</x:v>
      </x:c>
      <x:c r="K606" s="60" t="str"/>
      <x:c r="L606" s="60" t="str">
        <x:v>Owner / decision maker to verify</x:v>
      </x:c>
      <x:c r="M606" s="60" t="str"/>
      <x:c r="N606" s="60" t="str"/>
      <x:c r="O606" s="60" t="str">
        <x:v>(839) 203-7321</x:v>
      </x:c>
      <x:c r="P606" s="60" t="str"/>
      <x:c r="Q606" s="60" t="str"/>
      <x:c r="R606" s="60" t="str"/>
      <x:c r="S606" s="60" t="str">
        <x:v>4.9</x:v>
      </x:c>
      <x:c r="T606" s="74" t="str">
        <x:v>278</x:v>
      </x:c>
      <x:c r="U606" s="60" t="str"/>
      <x:c r="V606" s="74" t="str">
        <x:v>29</x:v>
      </x:c>
      <x:c r="W606" s="74" t="str">
        <x:v>0</x:v>
      </x:c>
      <x:c r="X606" s="74" t="str">
        <x:v>4</x:v>
      </x:c>
      <x:c r="Y606" s="74" t="str">
        <x:v>10</x:v>
      </x:c>
      <x:c r="Z606" s="74" t="str">
        <x:v>5</x:v>
      </x:c>
      <x:c r="AA606" s="74" t="str">
        <x:v>0</x:v>
      </x:c>
      <x:c r="AB606" s="74" t="str">
        <x:v>0</x:v>
      </x:c>
      <x:c r="AC606" s="74" t="str">
        <x:v>0</x:v>
      </x:c>
      <x:c r="AD606" s="74" t="str">
        <x:v>0</x:v>
      </x:c>
      <x:c r="AE606" s="74" t="str">
        <x:v>0</x:v>
      </x:c>
      <x:c r="AF606" s="74" t="str"/>
      <x:c r="AG606" s="74" t="str">
        <x:v>1</x:v>
      </x:c>
      <x:c r="AH606" s="74" t="str">
        <x:v>0</x:v>
      </x:c>
      <x:c r="AI606" s="74" t="str">
        <x:v>1</x:v>
      </x:c>
      <x:c r="AJ606" s="74" t="str">
        <x:v>0</x:v>
      </x:c>
      <x:c r="AK606" s="74" t="str">
        <x:v>1</x:v>
      </x:c>
      <x:c r="AL606" s="74" t="str">
        <x:v>0</x:v>
      </x:c>
      <x:c r="AM606" s="74" t="str">
        <x:v>0</x:v>
      </x:c>
      <x:c r="AN606" s="74" t="str">
        <x:v>0</x:v>
      </x:c>
      <x:c r="AO606" s="60" t="str">
        <x:v>0</x:v>
      </x:c>
      <x:c r="AP606" s="76" t="str">
        <x:v>ICP fit; paid-demand need requires manual verification</x:v>
      </x:c>
      <x:c r="AQ606" s="76" t="str">
        <x:v>testimonials; visible service offer</x:v>
      </x:c>
      <x:c r="AR606" s="76" t="str">
        <x:v>I was reviewing hvac companies in Rock Hill, South Carolina and Swift Brothers Plumbing, Heating &amp; Air looked like a strong fit for a creative test.</x:v>
      </x:c>
      <x:c r="AS606" s="76" t="str">
        <x:v>no-cool-call to same-day comfort ad</x:v>
      </x:c>
      <x:c r="AT606" s="76" t="str">
        <x:v>Swift Brothers Plumbing, Heating &amp; Air ad concept</x:v>
      </x:c>
      <x:c r="AU606" s="76" t="str">
        <x:v>Hi Swift Brothers Plumbing, Heating &amp; Air — I was reviewing hvac companies in Rock Hill, South Carolina and Swift Brothers Plumbing, Heating &amp; Air looked like a strong fit for a creative test. I mapped a private 15-second no-cool-call to same-day comfort ad for Swift Brothers Plumbing, Heating &amp; Air using only public brand context—not for publishing, just to show the angle. We build three client-approved video ad concepts in seven days, then turn the winners into fresh variations. No filming day required. Worth sending the private sample?</x:v>
      </x:c>
      <x:c r="AV606" s="76" t="str">
        <x:v>Quick follow-up: the sample angle is a no-cool-call to same-day comfort ad. If it misses the mark, no problem—I won't keep chasing. Should I send it?</x:v>
      </x:c>
      <x:c r="AW606" s="76" t="str">
        <x:v>Hi Swift Brothers Plumbing, Heating &amp; Air, Ryan here. I was looking at Swift Brothers Plumbing, Heating &amp; Air's public marketing and noticed: icp fit; paid-demand need requires manual verification. I mapped one private no-cool-call to same-day comfort ad as an example. Did I catch you with 30 seconds?</x:v>
      </x:c>
      <x:c r="AX606" s="60" t="str">
        <x:v>https://www.facebook.com/ads/library/?active_status=active&amp;ad_type=all&amp;country=US&amp;q=Swift%20Brothers%20Plumbing%2C%20Heating%20%26%20Air&amp;search_type=keyword_unordered</x:v>
      </x:c>
      <x:c r="AY606" s="60" t="str">
        <x:v>ok:200</x:v>
      </x:c>
      <x:c r="AZ606" s="60" t="n">
        <x:v>46232.722858796296</x:v>
      </x:c>
      <x:c r="BA606" s="60" t="str">
        <x:v>Google Maps home-services export</x:v>
      </x:c>
      <x:c r="BB606" s="60" t="str">
        <x:v>https://maps.google.com/?cid=18250642212360679764&amp;g_mp=Cidnb29nbGUubWFwcy5wbGFjZXMudjEuUGxhY2VzLlNlYXJjaFRleHQQAhgEIAA | https://swiftbrothers.com</x:v>
      </x:c>
      <x:c r="BC606" s="60" t="str"/>
    </x:row>
    <x:row r="607" ht="18" customHeight="1">
      <x:c r="A607" s="70" t="str">
        <x:v>606</x:v>
      </x:c>
      <x:c r="B607" s="70" t="str">
        <x:v>C - Verify</x:v>
      </x:c>
      <x:c r="C607" s="72" t="str">
        <x:v>48</x:v>
      </x:c>
      <x:c r="D607" s="60" t="str">
        <x:v>H&amp;H Roofing LLC</x:v>
      </x:c>
      <x:c r="E607" s="60" t="str">
        <x:v>https://hhroofingspartanburg.com</x:v>
      </x:c>
      <x:c r="F607" s="60" t="str">
        <x:v>https://www.hhroofingspartanburg.com/</x:v>
      </x:c>
      <x:c r="G607" s="60" t="str">
        <x:v>Spartanburg</x:v>
      </x:c>
      <x:c r="H607" s="60" t="str">
        <x:v>South Carolina</x:v>
      </x:c>
      <x:c r="I607" s="60" t="str">
        <x:v>Roofing</x:v>
      </x:c>
      <x:c r="J607" s="60" t="str">
        <x:v>H&amp;H Roofing LLC</x:v>
      </x:c>
      <x:c r="K607" s="60" t="str"/>
      <x:c r="L607" s="60" t="str">
        <x:v>Owner / decision maker to verify</x:v>
      </x:c>
      <x:c r="M607" s="60" t="str"/>
      <x:c r="N607" s="60" t="str"/>
      <x:c r="O607" s="60" t="str">
        <x:v>(704) 418-8807</x:v>
      </x:c>
      <x:c r="P607" s="60" t="str"/>
      <x:c r="Q607" s="60" t="str"/>
      <x:c r="R607" s="60" t="str"/>
      <x:c r="S607" s="60" t="str">
        <x:v>5</x:v>
      </x:c>
      <x:c r="T607" s="74" t="str">
        <x:v>35</x:v>
      </x:c>
      <x:c r="U607" s="60" t="str"/>
      <x:c r="V607" s="74" t="str">
        <x:v>27</x:v>
      </x:c>
      <x:c r="W607" s="74" t="str">
        <x:v>0</x:v>
      </x:c>
      <x:c r="X607" s="74" t="str">
        <x:v>6</x:v>
      </x:c>
      <x:c r="Y607" s="74" t="str">
        <x:v>10</x:v>
      </x:c>
      <x:c r="Z607" s="74" t="str">
        <x:v>5</x:v>
      </x:c>
      <x:c r="AA607" s="74" t="str">
        <x:v>0</x:v>
      </x:c>
      <x:c r="AB607" s="74" t="str">
        <x:v>0</x:v>
      </x:c>
      <x:c r="AC607" s="74" t="str">
        <x:v>0</x:v>
      </x:c>
      <x:c r="AD607" s="74" t="str">
        <x:v>0</x:v>
      </x:c>
      <x:c r="AE607" s="74" t="str">
        <x:v>0</x:v>
      </x:c>
      <x:c r="AF607" s="74" t="str"/>
      <x:c r="AG607" s="74" t="str">
        <x:v>0</x:v>
      </x:c>
      <x:c r="AH607" s="74" t="str">
        <x:v>1</x:v>
      </x:c>
      <x:c r="AI607" s="74" t="str">
        <x:v>0</x:v>
      </x:c>
      <x:c r="AJ607" s="74" t="str">
        <x:v>0</x:v>
      </x:c>
      <x:c r="AK607" s="74" t="str">
        <x:v>1</x:v>
      </x:c>
      <x:c r="AL607" s="74" t="str">
        <x:v>0</x:v>
      </x:c>
      <x:c r="AM607" s="74" t="str">
        <x:v>1</x:v>
      </x:c>
      <x:c r="AN607" s="74" t="str">
        <x:v>1</x:v>
      </x:c>
      <x:c r="AO607" s="60" t="str">
        <x:v>2026</x:v>
      </x:c>
      <x:c r="AP607" s="76" t="str">
        <x:v>Project/gallery proof found; no embedded homepage video found</x:v>
      </x:c>
      <x:c r="AQ607" s="76" t="str">
        <x:v>project/gallery proof; visible service offer; no embedded homepage video detected</x:v>
      </x:c>
      <x:c r="AR607" s="76" t="str">
        <x:v>I found project/gallery proof on H&amp;H Roofing LLC's site that could be repackaged into short-form ad concepts.</x:v>
      </x:c>
      <x:c r="AS607" s="76" t="str">
        <x:v>storm-to-inspection before/after ad</x:v>
      </x:c>
      <x:c r="AT607" s="76" t="str">
        <x:v>H&amp;H Roofing LLC ad concept</x:v>
      </x:c>
      <x:c r="AU607" s="76" t="str">
        <x:v>Hi H&amp;H Roofing LLC — I found project/gallery proof on H&amp;H Roofing LLC's site that could be repackaged into short-form ad concepts. I mapped a private 15-second storm-to-inspection before/after ad for H&amp;H Roofing LLC using only public brand context—not for publishing, just to show the angle. We build three client-approved video ad concepts in seven days, then turn the winners into fresh variations. No filming day required. Worth sending the private sample?</x:v>
      </x:c>
      <x:c r="AV607" s="76" t="str">
        <x:v>Quick follow-up: the sample angle is a storm-to-inspection before/after ad. If it misses the mark, no problem—I won't keep chasing. Should I send it?</x:v>
      </x:c>
      <x:c r="AW607" s="76" t="str">
        <x:v>Hi H&amp;H Roofing LLC, Ryan here. I was looking at H&amp;H Roofing LLC's public marketing and noticed: project/gallery proof found; no embedded homepage video found. I mapped one private storm-to-inspection before/after ad as an example. Did I catch you with 30 seconds?</x:v>
      </x:c>
      <x:c r="AX607" s="60" t="str">
        <x:v>https://www.facebook.com/ads/library/?active_status=active&amp;ad_type=all&amp;country=US&amp;q=H%26H%20Roofing%20LLC&amp;search_type=keyword_unordered</x:v>
      </x:c>
      <x:c r="AY607" s="60" t="str">
        <x:v>ok:200</x:v>
      </x:c>
      <x:c r="AZ607" s="60" t="n">
        <x:v>46232.722858796296</x:v>
      </x:c>
      <x:c r="BA607" s="60" t="str">
        <x:v>Google Maps home-services export</x:v>
      </x:c>
      <x:c r="BB607" s="60" t="str">
        <x:v>https://hhroofingspartanburg.com | https://maps.google.com/?cid=15685459718025152368&amp;g_mp=Cidnb29nbGUubWFwcy5wbGFjZXMudjEuUGxhY2VzLlNlYXJjaFRleHQQAhgEIAA</x:v>
      </x:c>
      <x:c r="BC607" s="60" t="str"/>
    </x:row>
    <x:row r="608" ht="18" customHeight="1">
      <x:c r="A608" s="70" t="str">
        <x:v>607</x:v>
      </x:c>
      <x:c r="B608" s="70" t="str">
        <x:v>C - Verify</x:v>
      </x:c>
      <x:c r="C608" s="72" t="str">
        <x:v>48</x:v>
      </x:c>
      <x:c r="D608" s="60" t="str">
        <x:v>35 North Painting &amp; Drywall</x:v>
      </x:c>
      <x:c r="E608" s="60" t="str">
        <x:v>https://35northllc.com</x:v>
      </x:c>
      <x:c r="F608" s="60" t="str">
        <x:v>https://www.35northllc.com/</x:v>
      </x:c>
      <x:c r="G608" s="60" t="str">
        <x:v>Charleston</x:v>
      </x:c>
      <x:c r="H608" s="60" t="str">
        <x:v>South Carolina Metropolitan Area</x:v>
      </x:c>
      <x:c r="I608" s="60" t="str">
        <x:v>General Contractor</x:v>
      </x:c>
      <x:c r="J608" s="60" t="str">
        <x:v>Sam</x:v>
      </x:c>
      <x:c r="K608" s="60" t="str">
        <x:v>Frye</x:v>
      </x:c>
      <x:c r="L608" s="60" t="str">
        <x:v>Company Owner</x:v>
      </x:c>
      <x:c r="M608" s="60" t="str">
        <x:v>samfrye@35northllc.com</x:v>
      </x:c>
      <x:c r="N608" s="60" t="str">
        <x:v>Verified with BounceBan on 08 Jun 26 12:06</x:v>
      </x:c>
      <x:c r="O608" s="60" t="str">
        <x:v>+1 843 408 7470</x:v>
      </x:c>
      <x:c r="P608" s="60" t="str">
        <x:v>https://www.linkedin.com/in/samfrye</x:v>
      </x:c>
      <x:c r="Q608" s="60" t="str">
        <x:v>11-50</x:v>
      </x:c>
      <x:c r="R608" s="60" t="str">
        <x:v>0-99999</x:v>
      </x:c>
      <x:c r="S608" s="60" t="str"/>
      <x:c r="T608" s="74" t="str">
        <x:v>0</x:v>
      </x:c>
      <x:c r="U608" s="60" t="str"/>
      <x:c r="V608" s="74" t="str">
        <x:v>23</x:v>
      </x:c>
      <x:c r="W608" s="74" t="str">
        <x:v>0</x:v>
      </x:c>
      <x:c r="X608" s="74" t="str">
        <x:v>6</x:v>
      </x:c>
      <x:c r="Y608" s="74" t="str">
        <x:v>9</x:v>
      </x:c>
      <x:c r="Z608" s="74" t="str">
        <x:v>10</x:v>
      </x:c>
      <x:c r="AA608" s="74" t="str">
        <x:v>0</x:v>
      </x:c>
      <x:c r="AB608" s="74" t="str">
        <x:v>0</x:v>
      </x:c>
      <x:c r="AC608" s="74" t="str">
        <x:v>0</x:v>
      </x:c>
      <x:c r="AD608" s="74" t="str">
        <x:v>0</x:v>
      </x:c>
      <x:c r="AE608" s="74" t="str">
        <x:v>0</x:v>
      </x:c>
      <x:c r="AF608" s="74" t="str"/>
      <x:c r="AG608" s="74" t="str">
        <x:v>0</x:v>
      </x:c>
      <x:c r="AH608" s="74" t="str">
        <x:v>1</x:v>
      </x:c>
      <x:c r="AI608" s="74" t="str">
        <x:v>1</x:v>
      </x:c>
      <x:c r="AJ608" s="74" t="str">
        <x:v>0</x:v>
      </x:c>
      <x:c r="AK608" s="74" t="str">
        <x:v>0</x:v>
      </x:c>
      <x:c r="AL608" s="74" t="str">
        <x:v>1</x:v>
      </x:c>
      <x:c r="AM608" s="74" t="str">
        <x:v>1</x:v>
      </x:c>
      <x:c r="AN608" s="74" t="str">
        <x:v>0</x:v>
      </x:c>
      <x:c r="AO608" s="60" t="str">
        <x:v>0</x:v>
      </x:c>
      <x:c r="AP608" s="76" t="str">
        <x:v>Project/gallery proof found; no embedded homepage video found</x:v>
      </x:c>
      <x:c r="AQ608" s="76" t="str">
        <x:v>project/gallery proof; testimonials; no embedded homepage video detected</x:v>
      </x:c>
      <x:c r="AR608" s="76" t="str">
        <x:v>I found project/gallery proof on 35 North Painting &amp; Drywall's site that could be repackaged into short-form ad concepts.</x:v>
      </x:c>
      <x:c r="AS608" s="76" t="str">
        <x:v>project walkthrough with proof milestones</x:v>
      </x:c>
      <x:c r="AT608" s="76" t="str">
        <x:v>35 North Painting &amp; Drywall ad concept</x:v>
      </x:c>
      <x:c r="AU608" s="76" t="str">
        <x:v>Hi Sam — I found project/gallery proof on 35 North Painting &amp; Drywall's site that could be repackaged into short-form ad concepts. I mapped a private 15-second project walkthrough with proof milestones for 35 North Painting &amp; Drywall using only public brand context—not for publishing, just to show the angle. We build three client-approved video ad concepts in seven days, then turn the winners into fresh variations. No filming day required. Worth sending the private sample?</x:v>
      </x:c>
      <x:c r="AV608" s="76" t="str">
        <x:v>Quick follow-up: the sample angle is a project walkthrough with proof milestones. If it misses the mark, no problem—I won't keep chasing. Should I send it?</x:v>
      </x:c>
      <x:c r="AW608" s="76" t="str">
        <x:v>Hi Sam, Ryan here. I was looking at 35 North Painting &amp; Drywall's public marketing and noticed: project/gallery proof found; no embedded homepage video found. I mapped one private project walkthrough with proof milestones as an example. Did I catch you with 30 seconds?</x:v>
      </x:c>
      <x:c r="AX608" s="60" t="str">
        <x:v>https://www.facebook.com/ads/library/?active_status=active&amp;ad_type=all&amp;country=US&amp;q=35%20North%20Painting%20%26%20Drywall&amp;search_type=keyword_unordered</x:v>
      </x:c>
      <x:c r="AY608" s="60" t="str">
        <x:v>ok:200</x:v>
      </x:c>
      <x:c r="AZ608" s="60" t="n">
        <x:v>46232.722858796296</x:v>
      </x:c>
      <x:c r="BA608" s="60" t="str">
        <x:v>AI Ark SC trades export</x:v>
      </x:c>
      <x:c r="BB608" s="60" t="str">
        <x:v>https://35northllc.com | https://www.linkedin.com/company/35-north-painting-drywall</x:v>
      </x:c>
      <x:c r="BC608" s="60" t="str"/>
    </x:row>
    <x:row r="609" ht="18" customHeight="1">
      <x:c r="A609" s="70" t="str">
        <x:v>608</x:v>
      </x:c>
      <x:c r="B609" s="70" t="str">
        <x:v>C - Verify</x:v>
      </x:c>
      <x:c r="C609" s="72" t="str">
        <x:v>48</x:v>
      </x:c>
      <x:c r="D609" s="60" t="str">
        <x:v>Bear Roofing LLC</x:v>
      </x:c>
      <x:c r="E609" s="60" t="str">
        <x:v>https://bearroofingsc.com</x:v>
      </x:c>
      <x:c r="F609" s="60" t="str">
        <x:v>https://www.bearroofingsc.com/</x:v>
      </x:c>
      <x:c r="G609" s="60" t="str">
        <x:v>Myrtle Beach</x:v>
      </x:c>
      <x:c r="H609" s="60" t="str">
        <x:v>South Carolina</x:v>
      </x:c>
      <x:c r="I609" s="60" t="str">
        <x:v>Roofing</x:v>
      </x:c>
      <x:c r="J609" s="60" t="str">
        <x:v>Lori</x:v>
      </x:c>
      <x:c r="K609" s="60" t="str">
        <x:v>Coles</x:v>
      </x:c>
      <x:c r="L609" s="60" t="str">
        <x:v>Owner</x:v>
      </x:c>
      <x:c r="M609" s="60" t="str">
        <x:v>lori@bearroofingsc.com</x:v>
      </x:c>
      <x:c r="N609" s="60" t="str">
        <x:v>Verified with BounceBan on 08 Jun 26 12:06</x:v>
      </x:c>
      <x:c r="O609" s="60" t="str"/>
      <x:c r="P609" s="60" t="str">
        <x:v>https://www.linkedin.com/in/lori-coles-1950a832b</x:v>
      </x:c>
      <x:c r="Q609" s="60" t="str">
        <x:v>2-10</x:v>
      </x:c>
      <x:c r="R609" s="60" t="str">
        <x:v>0-99999</x:v>
      </x:c>
      <x:c r="S609" s="60" t="str"/>
      <x:c r="T609" s="74" t="str">
        <x:v>0</x:v>
      </x:c>
      <x:c r="U609" s="60" t="str"/>
      <x:c r="V609" s="74" t="str">
        <x:v>28</x:v>
      </x:c>
      <x:c r="W609" s="74" t="str">
        <x:v>0</x:v>
      </x:c>
      <x:c r="X609" s="74" t="str">
        <x:v>6</x:v>
      </x:c>
      <x:c r="Y609" s="74" t="str">
        <x:v>7</x:v>
      </x:c>
      <x:c r="Z609" s="74" t="str">
        <x:v>7</x:v>
      </x:c>
      <x:c r="AA609" s="74" t="str">
        <x:v>0</x:v>
      </x:c>
      <x:c r="AB609" s="74" t="str">
        <x:v>0</x:v>
      </x:c>
      <x:c r="AC609" s="74" t="str">
        <x:v>0</x:v>
      </x:c>
      <x:c r="AD609" s="74" t="str">
        <x:v>0</x:v>
      </x:c>
      <x:c r="AE609" s="74" t="str">
        <x:v>0</x:v>
      </x:c>
      <x:c r="AF609" s="74" t="str"/>
      <x:c r="AG609" s="74" t="str">
        <x:v>0</x:v>
      </x:c>
      <x:c r="AH609" s="74" t="str">
        <x:v>0</x:v>
      </x:c>
      <x:c r="AI609" s="74" t="str">
        <x:v>1</x:v>
      </x:c>
      <x:c r="AJ609" s="74" t="str">
        <x:v>0</x:v>
      </x:c>
      <x:c r="AK609" s="74" t="str">
        <x:v>1</x:v>
      </x:c>
      <x:c r="AL609" s="74" t="str">
        <x:v>1</x:v>
      </x:c>
      <x:c r="AM609" s="74" t="str">
        <x:v>1</x:v>
      </x:c>
      <x:c r="AN609" s="74" t="str">
        <x:v>0</x:v>
      </x:c>
      <x:c r="AO609" s="60" t="str">
        <x:v>0</x:v>
      </x:c>
      <x:c r="AP609" s="76" t="str">
        <x:v>ICP fit; paid-demand need requires manual verification</x:v>
      </x:c>
      <x:c r="AQ609" s="76" t="str">
        <x:v>testimonials; visible service offer; no embedded homepage video detected</x:v>
      </x:c>
      <x:c r="AR609" s="76" t="str">
        <x:v>I was reviewing roofing companies in Myrtle Beach, South Carolina and Bear Roofing LLC looked like a strong fit for a creative test.</x:v>
      </x:c>
      <x:c r="AS609" s="76" t="str">
        <x:v>storm-to-inspection before/after ad</x:v>
      </x:c>
      <x:c r="AT609" s="76" t="str">
        <x:v>Bear Roofing LLC ad concept</x:v>
      </x:c>
      <x:c r="AU609" s="76" t="str">
        <x:v>Hi Lori — I was reviewing roofing companies in Myrtle Beach, South Carolina and Bear Roofing LLC looked like a strong fit for a creative test. I mapped a private 15-second storm-to-inspection before/after ad for Bear Roofing LLC using only public brand context—not for publishing, just to show the angle. We build three client-approved video ad concepts in seven days, then turn the winners into fresh variations. No filming day required. Worth sending the private sample?</x:v>
      </x:c>
      <x:c r="AV609" s="76" t="str">
        <x:v>Quick follow-up: the sample angle is a storm-to-inspection before/after ad. If it misses the mark, no problem—I won't keep chasing. Should I send it?</x:v>
      </x:c>
      <x:c r="AW609" s="76" t="str">
        <x:v>Hi Lori, Ryan here. I was looking at Bear Roofing LLC's public marketing and noticed: icp fit; paid-demand need requires manual verification. I mapped one private storm-to-inspection before/after ad as an example. Did I catch you with 30 seconds?</x:v>
      </x:c>
      <x:c r="AX609" s="60" t="str">
        <x:v>https://www.facebook.com/ads/library/?active_status=active&amp;ad_type=all&amp;country=US&amp;q=Bear%20Roofing%20LLC&amp;search_type=keyword_unordered</x:v>
      </x:c>
      <x:c r="AY609" s="60" t="str">
        <x:v>ok:200</x:v>
      </x:c>
      <x:c r="AZ609" s="60" t="n">
        <x:v>46232.722858796296</x:v>
      </x:c>
      <x:c r="BA609" s="60" t="str">
        <x:v>AI Ark SC trades export</x:v>
      </x:c>
      <x:c r="BB609" s="60" t="str">
        <x:v>https://bearroofingsc.com | https://www.linkedin.com/company/bear-roofing-llc</x:v>
      </x:c>
      <x:c r="BC609" s="60" t="str"/>
    </x:row>
    <x:row r="610" ht="18" customHeight="1">
      <x:c r="A610" s="70" t="str">
        <x:v>609</x:v>
      </x:c>
      <x:c r="B610" s="70" t="str">
        <x:v>C - Verify</x:v>
      </x:c>
      <x:c r="C610" s="72" t="str">
        <x:v>48</x:v>
      </x:c>
      <x:c r="D610" s="60" t="str">
        <x:v>JMEC Construction, LLC</x:v>
      </x:c>
      <x:c r="E610" s="60" t="str">
        <x:v>https://jmecco.com</x:v>
      </x:c>
      <x:c r="F610" s="60" t="str">
        <x:v>https://www.jmecco.com/</x:v>
      </x:c>
      <x:c r="G610" s="60" t="str">
        <x:v>Georgetown</x:v>
      </x:c>
      <x:c r="H610" s="60" t="str">
        <x:v>South Carolina</x:v>
      </x:c>
      <x:c r="I610" s="60" t="str">
        <x:v>General Contractor</x:v>
      </x:c>
      <x:c r="J610" s="60" t="str">
        <x:v>Jim</x:v>
      </x:c>
      <x:c r="K610" s="60" t="str">
        <x:v>Hutton</x:v>
      </x:c>
      <x:c r="L610" s="60" t="str">
        <x:v>Owner</x:v>
      </x:c>
      <x:c r="M610" s="60" t="str">
        <x:v>jim@jmecco.com</x:v>
      </x:c>
      <x:c r="N610" s="60" t="str">
        <x:v>Verified with BounceBan on 08 Jun 26 12:06</x:v>
      </x:c>
      <x:c r="O610" s="60" t="str">
        <x:v>+1 843 382 7565</x:v>
      </x:c>
      <x:c r="P610" s="60" t="str">
        <x:v>https://www.linkedin.com/in/jim-hutton-25a753126</x:v>
      </x:c>
      <x:c r="Q610" s="60" t="str">
        <x:v>11-50</x:v>
      </x:c>
      <x:c r="R610" s="60" t="str">
        <x:v>100000-499999</x:v>
      </x:c>
      <x:c r="S610" s="60" t="str"/>
      <x:c r="T610" s="74" t="str">
        <x:v>0</x:v>
      </x:c>
      <x:c r="U610" s="60" t="str"/>
      <x:c r="V610" s="74" t="str">
        <x:v>23</x:v>
      </x:c>
      <x:c r="W610" s="74" t="str">
        <x:v>0</x:v>
      </x:c>
      <x:c r="X610" s="74" t="str">
        <x:v>10</x:v>
      </x:c>
      <x:c r="Y610" s="74" t="str">
        <x:v>5</x:v>
      </x:c>
      <x:c r="Z610" s="74" t="str">
        <x:v>10</x:v>
      </x:c>
      <x:c r="AA610" s="74" t="str">
        <x:v>0</x:v>
      </x:c>
      <x:c r="AB610" s="74" t="str">
        <x:v>0</x:v>
      </x:c>
      <x:c r="AC610" s="74" t="str">
        <x:v>0</x:v>
      </x:c>
      <x:c r="AD610" s="74" t="str">
        <x:v>0</x:v>
      </x:c>
      <x:c r="AE610" s="74" t="str">
        <x:v>0</x:v>
      </x:c>
      <x:c r="AF610" s="74" t="str"/>
      <x:c r="AG610" s="74" t="str">
        <x:v>0</x:v>
      </x:c>
      <x:c r="AH610" s="74" t="str">
        <x:v>1</x:v>
      </x:c>
      <x:c r="AI610" s="74" t="str">
        <x:v>0</x:v>
      </x:c>
      <x:c r="AJ610" s="74" t="str">
        <x:v>0</x:v>
      </x:c>
      <x:c r="AK610" s="74" t="str">
        <x:v>0</x:v>
      </x:c>
      <x:c r="AL610" s="74" t="str">
        <x:v>0</x:v>
      </x:c>
      <x:c r="AM610" s="74" t="str">
        <x:v>0</x:v>
      </x:c>
      <x:c r="AN610" s="74" t="str">
        <x:v>0</x:v>
      </x:c>
      <x:c r="AO610" s="60" t="str">
        <x:v>0</x:v>
      </x:c>
      <x:c r="AP610" s="76" t="str">
        <x:v>Project/gallery proof found; no embedded homepage video found</x:v>
      </x:c>
      <x:c r="AQ610" s="76" t="str">
        <x:v>project/gallery proof; no embedded homepage video detected</x:v>
      </x:c>
      <x:c r="AR610" s="76" t="str">
        <x:v>I found project/gallery proof on JMEC Construction, LLC's site that could be repackaged into short-form ad concepts.</x:v>
      </x:c>
      <x:c r="AS610" s="76" t="str">
        <x:v>project walkthrough with proof milestones</x:v>
      </x:c>
      <x:c r="AT610" s="76" t="str">
        <x:v>JMEC Construction, LLC ad concept</x:v>
      </x:c>
      <x:c r="AU610" s="76" t="str">
        <x:v>Hi Jim — I found project/gallery proof on JMEC Construction, LLC's site that could be repackaged into short-form ad concepts. I mapped a private 15-second project walkthrough with proof milestones for JMEC Construction, LLC using only public brand context—not for publishing, just to show the angle. We build three client-approved video ad concepts in seven days, then turn the winners into fresh variations. No filming day required. Worth sending the private sample?</x:v>
      </x:c>
      <x:c r="AV610" s="76" t="str">
        <x:v>Quick follow-up: the sample angle is a project walkthrough with proof milestones. If it misses the mark, no problem—I won't keep chasing. Should I send it?</x:v>
      </x:c>
      <x:c r="AW610" s="76" t="str">
        <x:v>Hi Jim, Ryan here. I was looking at JMEC Construction, LLC's public marketing and noticed: project/gallery proof found; no embedded homepage video found. I mapped one private project walkthrough with proof milestones as an example. Did I catch you with 30 seconds?</x:v>
      </x:c>
      <x:c r="AX610" s="60" t="str">
        <x:v>https://www.facebook.com/ads/library/?active_status=active&amp;ad_type=all&amp;country=US&amp;q=JMEC%20Construction%2C%20LLC&amp;search_type=keyword_unordered</x:v>
      </x:c>
      <x:c r="AY610" s="60" t="str">
        <x:v>ok:200</x:v>
      </x:c>
      <x:c r="AZ610" s="60" t="n">
        <x:v>46232.722858796296</x:v>
      </x:c>
      <x:c r="BA610" s="60" t="str">
        <x:v>AI Ark SC trades export</x:v>
      </x:c>
      <x:c r="BB610" s="60" t="str">
        <x:v>https://jmecco.com | https://www.linkedin.com/company/jmec-construction-llc</x:v>
      </x:c>
      <x:c r="BC610" s="60" t="str"/>
    </x:row>
    <x:row r="611" ht="18" customHeight="1">
      <x:c r="A611" s="70" t="str">
        <x:v>610</x:v>
      </x:c>
      <x:c r="B611" s="70" t="str">
        <x:v>C - Verify</x:v>
      </x:c>
      <x:c r="C611" s="72" t="str">
        <x:v>48</x:v>
      </x:c>
      <x:c r="D611" s="60" t="str">
        <x:v>Hawk Construction</x:v>
      </x:c>
      <x:c r="E611" s="60" t="str">
        <x:v>https://hawkprecast.com</x:v>
      </x:c>
      <x:c r="F611" s="60" t="str">
        <x:v>https://www.hawkprecast.com/</x:v>
      </x:c>
      <x:c r="G611" s="60" t="str">
        <x:v>Greenville</x:v>
      </x:c>
      <x:c r="H611" s="60" t="str">
        <x:v>South Carolina</x:v>
      </x:c>
      <x:c r="I611" s="60" t="str">
        <x:v>Fence &amp; Deck</x:v>
      </x:c>
      <x:c r="J611" s="60" t="str">
        <x:v>John</x:v>
      </x:c>
      <x:c r="K611" s="60" t="str">
        <x:v>Hawkins</x:v>
      </x:c>
      <x:c r="L611" s="60" t="str">
        <x:v>Owner</x:v>
      </x:c>
      <x:c r="M611" s="60" t="str"/>
      <x:c r="N611" s="60" t="str"/>
      <x:c r="O611" s="60" t="str">
        <x:v>+1 386 341 9134</x:v>
      </x:c>
      <x:c r="P611" s="60" t="str">
        <x:v>https://www.linkedin.com/in/john-hawkins-0a73b42b</x:v>
      </x:c>
      <x:c r="Q611" s="60" t="str">
        <x:v>11-50</x:v>
      </x:c>
      <x:c r="R611" s="60" t="str">
        <x:v>1000000-4999999</x:v>
      </x:c>
      <x:c r="S611" s="60" t="str"/>
      <x:c r="T611" s="74" t="str">
        <x:v>0</x:v>
      </x:c>
      <x:c r="U611" s="60" t="str"/>
      <x:c r="V611" s="74" t="str">
        <x:v>28</x:v>
      </x:c>
      <x:c r="W611" s="74" t="str">
        <x:v>0</x:v>
      </x:c>
      <x:c r="X611" s="74" t="str">
        <x:v>10</x:v>
      </x:c>
      <x:c r="Y611" s="74" t="str">
        <x:v>5</x:v>
      </x:c>
      <x:c r="Z611" s="74" t="str">
        <x:v>5</x:v>
      </x:c>
      <x:c r="AA611" s="74" t="str">
        <x:v>0</x:v>
      </x:c>
      <x:c r="AB611" s="74" t="str">
        <x:v>0</x:v>
      </x:c>
      <x:c r="AC611" s="74" t="str">
        <x:v>0</x:v>
      </x:c>
      <x:c r="AD611" s="74" t="str">
        <x:v>0</x:v>
      </x:c>
      <x:c r="AE611" s="74" t="str">
        <x:v>0</x:v>
      </x:c>
      <x:c r="AF611" s="74" t="str"/>
      <x:c r="AG611" s="74" t="str">
        <x:v>0</x:v>
      </x:c>
      <x:c r="AH611" s="74" t="str">
        <x:v>1</x:v>
      </x:c>
      <x:c r="AI611" s="74" t="str">
        <x:v>0</x:v>
      </x:c>
      <x:c r="AJ611" s="74" t="str">
        <x:v>0</x:v>
      </x:c>
      <x:c r="AK611" s="74" t="str">
        <x:v>0</x:v>
      </x:c>
      <x:c r="AL611" s="74" t="str">
        <x:v>0</x:v>
      </x:c>
      <x:c r="AM611" s="74" t="str">
        <x:v>0</x:v>
      </x:c>
      <x:c r="AN611" s="74" t="str">
        <x:v>0</x:v>
      </x:c>
      <x:c r="AO611" s="60" t="str">
        <x:v>0</x:v>
      </x:c>
      <x:c r="AP611" s="76" t="str">
        <x:v>Project/gallery proof found; no embedded homepage video found</x:v>
      </x:c>
      <x:c r="AQ611" s="76" t="str">
        <x:v>project/gallery proof; no embedded homepage video detected</x:v>
      </x:c>
      <x:c r="AR611" s="76" t="str">
        <x:v>I found project/gallery proof on Hawk Construction's site that could be repackaged into short-form ad concepts.</x:v>
      </x:c>
      <x:c r="AS611" s="76" t="str">
        <x:v>yard privacy transformation ad</x:v>
      </x:c>
      <x:c r="AT611" s="76" t="str">
        <x:v>Hawk Construction ad concept</x:v>
      </x:c>
      <x:c r="AU611" s="76" t="str">
        <x:v>Hi John — I found project/gallery proof on Hawk Construction's site that could be repackaged into short-form ad concepts. I mapped a private 15-second yard privacy transformation ad for Hawk Construction using only public brand context—not for publishing, just to show the angle. We build three client-approved video ad concepts in seven days, then turn the winners into fresh variations. No filming day required. Worth sending the private sample?</x:v>
      </x:c>
      <x:c r="AV611" s="76" t="str">
        <x:v>Quick follow-up: the sample angle is a yard privacy transformation ad. If it misses the mark, no problem—I won't keep chasing. Should I send it?</x:v>
      </x:c>
      <x:c r="AW611" s="76" t="str">
        <x:v>Hi John, Ryan here. I was looking at Hawk Construction's public marketing and noticed: project/gallery proof found; no embedded homepage video found. I mapped one private yard privacy transformation ad as an example. Did I catch you with 30 seconds?</x:v>
      </x:c>
      <x:c r="AX611" s="60" t="str">
        <x:v>https://www.facebook.com/ads/library/?active_status=active&amp;ad_type=all&amp;country=US&amp;q=Hawk%20Construction&amp;search_type=keyword_unordered</x:v>
      </x:c>
      <x:c r="AY611" s="60" t="str">
        <x:v>ok:200</x:v>
      </x:c>
      <x:c r="AZ611" s="60" t="n">
        <x:v>46232.722858796296</x:v>
      </x:c>
      <x:c r="BA611" s="60" t="str">
        <x:v>AI Ark SC trades export</x:v>
      </x:c>
      <x:c r="BB611" s="60" t="str">
        <x:v>https://hawkprecast.com | https://www.linkedin.com/company/hawk-construction</x:v>
      </x:c>
      <x:c r="BC611" s="60" t="str"/>
    </x:row>
    <x:row r="612" ht="18" customHeight="1">
      <x:c r="A612" s="70" t="str">
        <x:v>611</x:v>
      </x:c>
      <x:c r="B612" s="70" t="str">
        <x:v>C - Verify</x:v>
      </x:c>
      <x:c r="C612" s="72" t="str">
        <x:v>48</x:v>
      </x:c>
      <x:c r="D612" s="60" t="str">
        <x:v>Roofing USA</x:v>
      </x:c>
      <x:c r="E612" s="60" t="str">
        <x:v>https://roofingusa.com</x:v>
      </x:c>
      <x:c r="F612" s="60" t="str">
        <x:v>https://roofingusa.com</x:v>
      </x:c>
      <x:c r="G612" s="60" t="str">
        <x:v>Mount Pleasant</x:v>
      </x:c>
      <x:c r="H612" s="60" t="str">
        <x:v>South Carolina</x:v>
      </x:c>
      <x:c r="I612" s="60" t="str">
        <x:v>Roofing</x:v>
      </x:c>
      <x:c r="J612" s="60" t="str">
        <x:v>Roofing USA</x:v>
      </x:c>
      <x:c r="K612" s="60" t="str"/>
      <x:c r="L612" s="60" t="str">
        <x:v>Owner / decision maker to verify</x:v>
      </x:c>
      <x:c r="M612" s="60" t="str"/>
      <x:c r="N612" s="60" t="str"/>
      <x:c r="O612" s="60" t="str">
        <x:v>(843) 417-0607</x:v>
      </x:c>
      <x:c r="P612" s="60" t="str"/>
      <x:c r="Q612" s="60" t="str"/>
      <x:c r="R612" s="60" t="str"/>
      <x:c r="S612" s="60" t="str">
        <x:v>4.7</x:v>
      </x:c>
      <x:c r="T612" s="74" t="str">
        <x:v>265</x:v>
      </x:c>
      <x:c r="U612" s="60" t="str"/>
      <x:c r="V612" s="74" t="str">
        <x:v>30</x:v>
      </x:c>
      <x:c r="W612" s="74" t="str">
        <x:v>0</x:v>
      </x:c>
      <x:c r="X612" s="74" t="str">
        <x:v>10</x:v>
      </x:c>
      <x:c r="Y612" s="74" t="str">
        <x:v>3</x:v>
      </x:c>
      <x:c r="Z612" s="74" t="str">
        <x:v>5</x:v>
      </x:c>
      <x:c r="AA612" s="74" t="str">
        <x:v>0</x:v>
      </x:c>
      <x:c r="AB612" s="74" t="str">
        <x:v>0</x:v>
      </x:c>
      <x:c r="AC612" s="74" t="str">
        <x:v>0</x:v>
      </x:c>
      <x:c r="AD612" s="74" t="str">
        <x:v>0</x:v>
      </x:c>
      <x:c r="AE612" s="74" t="str">
        <x:v>0</x:v>
      </x:c>
      <x:c r="AF612" s="74" t="str"/>
      <x:c r="AG612" s="74" t="str">
        <x:v>0</x:v>
      </x:c>
      <x:c r="AH612" s="74" t="str">
        <x:v>0</x:v>
      </x:c>
      <x:c r="AI612" s="74" t="str">
        <x:v>0</x:v>
      </x:c>
      <x:c r="AJ612" s="74" t="str">
        <x:v>0</x:v>
      </x:c>
      <x:c r="AK612" s="74" t="str">
        <x:v>0</x:v>
      </x:c>
      <x:c r="AL612" s="74" t="str">
        <x:v>0</x:v>
      </x:c>
      <x:c r="AM612" s="74" t="str">
        <x:v>0</x:v>
      </x:c>
      <x:c r="AN612" s="74" t="str">
        <x:v>0</x:v>
      </x:c>
      <x:c r="AO612" s="60" t="str">
        <x:v>0</x:v>
      </x:c>
      <x:c r="AP612" s="76" t="str">
        <x:v>265 Google reviews; no embedded homepage video found</x:v>
      </x:c>
      <x:c r="AQ612" s="76" t="str">
        <x:v>no embedded homepage video detected</x:v>
      </x:c>
      <x:c r="AR612" s="76" t="str">
        <x:v>Roofing USA has 265 Google reviews—strong proof that could be turned into short-form ad concepts.</x:v>
      </x:c>
      <x:c r="AS612" s="76" t="str">
        <x:v>storm-to-inspection before/after ad</x:v>
      </x:c>
      <x:c r="AT612" s="76" t="str">
        <x:v>Roofing USA ad concept</x:v>
      </x:c>
      <x:c r="AU612" s="76" t="str">
        <x:v>Hi Roofing USA — Roofing USA has 265 Google reviews—strong proof that could be turned into short-form ad concepts. I mapped a private 15-second storm-to-inspection before/after ad for Roofing USA using only public brand context—not for publishing, just to show the angle. We build three client-approved video ad concepts in seven days, then turn the winners into fresh variations. No filming day required. Worth sending the private sample?</x:v>
      </x:c>
      <x:c r="AV612" s="76" t="str">
        <x:v>Quick follow-up: the sample angle is a storm-to-inspection before/after ad. If it misses the mark, no problem—I won't keep chasing. Should I send it?</x:v>
      </x:c>
      <x:c r="AW612" s="76" t="str">
        <x:v>Hi Roofing USA, Ryan here. I was looking at Roofing USA's public marketing and noticed: 265 google reviews; no embedded homepage video found. I mapped one private storm-to-inspection before/after ad as an example. Did I catch you with 30 seconds?</x:v>
      </x:c>
      <x:c r="AX612" s="60" t="str">
        <x:v>https://www.facebook.com/ads/library/?active_status=active&amp;ad_type=all&amp;country=US&amp;q=Roofing%20USA&amp;search_type=keyword_unordered</x:v>
      </x:c>
      <x:c r="AY612" s="60" t="str">
        <x:v>ok:200</x:v>
      </x:c>
      <x:c r="AZ612" s="60" t="n">
        <x:v>46232.722858796296</x:v>
      </x:c>
      <x:c r="BA612" s="60" t="str">
        <x:v>Google Maps home-services export</x:v>
      </x:c>
      <x:c r="BB612" s="60" t="str">
        <x:v>https://maps.google.com/?cid=11194974119846667121&amp;g_mp=Cidnb29nbGUubWFwcy5wbGFjZXMudjEuUGxhY2VzLlNlYXJjaFRleHQQAhgEIAA | https://roofingusa.com</x:v>
      </x:c>
      <x:c r="BC612" s="60" t="str"/>
    </x:row>
    <x:row r="613" ht="18" customHeight="1">
      <x:c r="A613" s="70" t="str">
        <x:v>612</x:v>
      </x:c>
      <x:c r="B613" s="70" t="str">
        <x:v>C - Verify</x:v>
      </x:c>
      <x:c r="C613" s="72" t="str">
        <x:v>48</x:v>
      </x:c>
      <x:c r="D613" s="60" t="str">
        <x:v>Just Nailed Construction &amp; Realty, LLC</x:v>
      </x:c>
      <x:c r="E613" s="60" t="str">
        <x:v>https://facebook.com</x:v>
      </x:c>
      <x:c r="F613" s="60" t="str">
        <x:v>https://facebook.com</x:v>
      </x:c>
      <x:c r="G613" s="60" t="str">
        <x:v>Fort Mill</x:v>
      </x:c>
      <x:c r="H613" s="60" t="str">
        <x:v>South Carolina</x:v>
      </x:c>
      <x:c r="I613" s="60" t="str">
        <x:v>Remodeling</x:v>
      </x:c>
      <x:c r="J613" s="60" t="str">
        <x:v>Jerod</x:v>
      </x:c>
      <x:c r="K613" s="60" t="str">
        <x:v>Cymbalisty</x:v>
      </x:c>
      <x:c r="L613" s="60" t="str">
        <x:v>Owner / Partner</x:v>
      </x:c>
      <x:c r="M613" s="60" t="str">
        <x:v>jc@facebook.com</x:v>
      </x:c>
      <x:c r="N613" s="60" t="str">
        <x:v>Verified with BounceBan on 08 Jun 26 12:08</x:v>
      </x:c>
      <x:c r="O613" s="60" t="str">
        <x:v>+1 704 323 9143, +1 704 572 5767</x:v>
      </x:c>
      <x:c r="P613" s="60" t="str">
        <x:v>https://www.linkedin.com/in/jerod-cymbalisty-a4692581</x:v>
      </x:c>
      <x:c r="Q613" s="60" t="str">
        <x:v>2-10</x:v>
      </x:c>
      <x:c r="R613" s="60" t="str">
        <x:v>100000-499999</x:v>
      </x:c>
      <x:c r="S613" s="60" t="str">
        <x:v>4.5</x:v>
      </x:c>
      <x:c r="T613" s="74" t="str">
        <x:v>35</x:v>
      </x:c>
      <x:c r="U613" s="60" t="str"/>
      <x:c r="V613" s="74" t="str">
        <x:v>29</x:v>
      </x:c>
      <x:c r="W613" s="74" t="str">
        <x:v>0</x:v>
      </x:c>
      <x:c r="X613" s="74" t="str">
        <x:v>10</x:v>
      </x:c>
      <x:c r="Y613" s="74" t="str">
        <x:v>2</x:v>
      </x:c>
      <x:c r="Z613" s="74" t="str">
        <x:v>10</x:v>
      </x:c>
      <x:c r="AA613" s="74" t="str">
        <x:v>0</x:v>
      </x:c>
      <x:c r="AB613" s="74" t="str">
        <x:v>0</x:v>
      </x:c>
      <x:c r="AC613" s="74" t="str">
        <x:v>0</x:v>
      </x:c>
      <x:c r="AD613" s="74" t="str">
        <x:v>0</x:v>
      </x:c>
      <x:c r="AE613" s="74" t="str">
        <x:v>0</x:v>
      </x:c>
      <x:c r="AF613" s="74" t="str"/>
      <x:c r="AG613" s="74" t="str">
        <x:v>0</x:v>
      </x:c>
      <x:c r="AH613" s="74" t="str">
        <x:v>0</x:v>
      </x:c>
      <x:c r="AI613" s="74" t="str">
        <x:v>0</x:v>
      </x:c>
      <x:c r="AJ613" s="74" t="str">
        <x:v>0</x:v>
      </x:c>
      <x:c r="AK613" s="74" t="str">
        <x:v>0</x:v>
      </x:c>
      <x:c r="AL613" s="74" t="str">
        <x:v>0</x:v>
      </x:c>
      <x:c r="AM613" s="74" t="str">
        <x:v>0</x:v>
      </x:c>
      <x:c r="AN613" s="74" t="str">
        <x:v>0</x:v>
      </x:c>
      <x:c r="AO613" s="60" t="str">
        <x:v>0</x:v>
      </x:c>
      <x:c r="AP613" s="76" t="str">
        <x:v>ICP fit; paid-demand need requires manual verification</x:v>
      </x:c>
      <x:c r="AQ613" s="76" t="str">
        <x:v>no embedded homepage video detected</x:v>
      </x:c>
      <x:c r="AR613" s="76" t="str">
        <x:v>I was reviewing remodeling companies in Fort Mill, South Carolina and Just Nailed Construction &amp; Realty, LLC looked like a strong fit for a creative test.</x:v>
      </x:c>
      <x:c r="AS613" s="76" t="str">
        <x:v>project reveal with budget-and-timeline proof</x:v>
      </x:c>
      <x:c r="AT613" s="76" t="str">
        <x:v>Just Nailed Construction &amp; Realty, LLC ad concept</x:v>
      </x:c>
      <x:c r="AU613" s="76" t="str">
        <x:v>Hi Jerod — I was reviewing remodeling companies in Fort Mill, South Carolina and Just Nailed Construction &amp; Realty, LLC looked like a strong fit for a creative test. I mapped a private 15-second project reveal with budget-and-timeline proof for Just Nailed Construction &amp; Realty, LLC using only public brand context—not for publishing, just to show the angle. We build three client-approved video ad concepts in seven days, then turn the winners into fresh variations. No filming day required. Worth sending the private sample?</x:v>
      </x:c>
      <x:c r="AV613" s="76" t="str">
        <x:v>Quick follow-up: the sample angle is a project reveal with budget-and-timeline proof. If it misses the mark, no problem—I won't keep chasing. Should I send it?</x:v>
      </x:c>
      <x:c r="AW613" s="76" t="str">
        <x:v>Hi Jerod, Ryan here. I was looking at Just Nailed Construction &amp; Realty, LLC's public marketing and noticed: icp fit; paid-demand need requires manual verification. I mapped one private project reveal with budget-and-timeline proof as an example. Did I catch you with 30 seconds?</x:v>
      </x:c>
      <x:c r="AX613" s="60" t="str">
        <x:v>https://www.facebook.com/ads/library/?active_status=active&amp;ad_type=all&amp;country=US&amp;q=Just%20Nailed%20Construction%20%26%20Realty%2C%20LLC&amp;search_type=keyword_unordered</x:v>
      </x:c>
      <x:c r="AY613" s="60" t="str">
        <x:v>http:400</x:v>
      </x:c>
      <x:c r="AZ613" s="60" t="n">
        <x:v>46232.722858796296</x:v>
      </x:c>
      <x:c r="BA613" s="60" t="str">
        <x:v>AI Ark SC trades export | Google Maps home-services export</x:v>
      </x:c>
      <x:c r="BB613" s="60" t="str">
        <x:v>https://facebook.com | https://maps.google.com/?cid=18046657764356993977&amp;g_mp=Cidnb29nbGUubWFwcy5wbGFjZXMudjEuUGxhY2VzLlNlYXJjaFRleHQQAhgEIAA | https://maps.google.com/?cid=9532987580640113900&amp;g_mp=Cidnb29nbGUubWFwcy5wbGFjZXMudjEuUGxhY2VzLlNlYXJjaFRleHQQAhgEIAA | https://www.linkedin.com/company/just-nailed-construction-realty-llc</x:v>
      </x:c>
      <x:c r="BC613" s="60" t="str"/>
    </x:row>
    <x:row r="614" ht="18" customHeight="1">
      <x:c r="A614" s="70" t="str">
        <x:v>613</x:v>
      </x:c>
      <x:c r="B614" s="70" t="str">
        <x:v>C - Verify</x:v>
      </x:c>
      <x:c r="C614" s="72" t="str">
        <x:v>48</x:v>
      </x:c>
      <x:c r="D614" s="60" t="str">
        <x:v>STEELE Solutions, LLC</x:v>
      </x:c>
      <x:c r="E614" s="60" t="str">
        <x:v>https://steelesolutionsus.com</x:v>
      </x:c>
      <x:c r="F614" s="60" t="str">
        <x:v>https://steelesolutionsus.com</x:v>
      </x:c>
      <x:c r="G614" s="60" t="str">
        <x:v>Greater Myrtle Beach Area</x:v>
      </x:c>
      <x:c r="H614" s="60" t="str"/>
      <x:c r="I614" s="60" t="str">
        <x:v>Remodeling</x:v>
      </x:c>
      <x:c r="J614" s="60" t="str">
        <x:v>Mike</x:v>
      </x:c>
      <x:c r="K614" s="60" t="str">
        <x:v>Steele</x:v>
      </x:c>
      <x:c r="L614" s="60" t="str">
        <x:v>Owner</x:v>
      </x:c>
      <x:c r="M614" s="60" t="str">
        <x:v>mike@steelesolutionsus.com</x:v>
      </x:c>
      <x:c r="N614" s="60" t="str">
        <x:v>Verified with BounceBan on 08 Jun 26 12:07</x:v>
      </x:c>
      <x:c r="O614" s="60" t="str">
        <x:v>+1 336 382 1162</x:v>
      </x:c>
      <x:c r="P614" s="60" t="str">
        <x:v>https://www.linkedin.com/in/mike-steele-96478315</x:v>
      </x:c>
      <x:c r="Q614" s="60" t="str">
        <x:v>2-10</x:v>
      </x:c>
      <x:c r="R614" s="60" t="str">
        <x:v>0-99999</x:v>
      </x:c>
      <x:c r="S614" s="60" t="str"/>
      <x:c r="T614" s="74" t="str">
        <x:v>0</x:v>
      </x:c>
      <x:c r="U614" s="60" t="str"/>
      <x:c r="V614" s="74" t="str">
        <x:v>25</x:v>
      </x:c>
      <x:c r="W614" s="74" t="str">
        <x:v>0</x:v>
      </x:c>
      <x:c r="X614" s="74" t="str">
        <x:v>13</x:v>
      </x:c>
      <x:c r="Y614" s="74" t="str">
        <x:v>0</x:v>
      </x:c>
      <x:c r="Z614" s="74" t="str">
        <x:v>10</x:v>
      </x:c>
      <x:c r="AA614" s="74" t="str">
        <x:v>0</x:v>
      </x:c>
      <x:c r="AB614" s="74" t="str">
        <x:v>0</x:v>
      </x:c>
      <x:c r="AC614" s="74" t="str">
        <x:v>0</x:v>
      </x:c>
      <x:c r="AD614" s="74" t="str">
        <x:v>0</x:v>
      </x:c>
      <x:c r="AE614" s="74" t="str">
        <x:v>0</x:v>
      </x:c>
      <x:c r="AF614" s="74" t="str"/>
      <x:c r="AG614" s="74" t="str">
        <x:v>0</x:v>
      </x:c>
      <x:c r="AH614" s="74" t="str">
        <x:v>0</x:v>
      </x:c>
      <x:c r="AI614" s="74" t="str">
        <x:v>0</x:v>
      </x:c>
      <x:c r="AJ614" s="74" t="str">
        <x:v>0</x:v>
      </x:c>
      <x:c r="AK614" s="74" t="str">
        <x:v>0</x:v>
      </x:c>
      <x:c r="AL614" s="74" t="str">
        <x:v>0</x:v>
      </x:c>
      <x:c r="AM614" s="74" t="str">
        <x:v>1</x:v>
      </x:c>
      <x:c r="AN614" s="74" t="str">
        <x:v>0</x:v>
      </x:c>
      <x:c r="AO614" s="60" t="str">
        <x:v>2020</x:v>
      </x:c>
      <x:c r="AP614" s="76" t="str">
        <x:v>ICP fit; paid-demand need requires manual verification</x:v>
      </x:c>
      <x:c r="AQ614" s="76" t="str">
        <x:v>no embedded homepage video detected</x:v>
      </x:c>
      <x:c r="AR614" s="76" t="str">
        <x:v>I was reviewing remodeling companies in Greater Myrtle Beach Area and STEELE Solutions, LLC looked like a strong fit for a creative test.</x:v>
      </x:c>
      <x:c r="AS614" s="76" t="str">
        <x:v>project reveal with budget-and-timeline proof</x:v>
      </x:c>
      <x:c r="AT614" s="76" t="str">
        <x:v>STEELE Solutions, LLC ad concept</x:v>
      </x:c>
      <x:c r="AU614" s="76" t="str">
        <x:v>Hi Mike — I was reviewing remodeling companies in Greater Myrtle Beach Area and STEELE Solutions, LLC looked like a strong fit for a creative test. I mapped a private 15-second project reveal with budget-and-timeline proof for STEELE Solutions, LLC using only public brand context—not for publishing, just to show the angle. We build three client-approved video ad concepts in seven days, then turn the winners into fresh variations. No filming day required. Worth sending the private sample?</x:v>
      </x:c>
      <x:c r="AV614" s="76" t="str">
        <x:v>Quick follow-up: the sample angle is a project reveal with budget-and-timeline proof. If it misses the mark, no problem—I won't keep chasing. Should I send it?</x:v>
      </x:c>
      <x:c r="AW614" s="76" t="str">
        <x:v>Hi Mike, Ryan here. I was looking at STEELE Solutions, LLC's public marketing and noticed: icp fit; paid-demand need requires manual verification. I mapped one private project reveal with budget-and-timeline proof as an example. Did I catch you with 30 seconds?</x:v>
      </x:c>
      <x:c r="AX614" s="60" t="str">
        <x:v>https://www.facebook.com/ads/library/?active_status=active&amp;ad_type=all&amp;country=US&amp;q=STEELE%20Solutions%2C%20LLC&amp;search_type=keyword_unordered</x:v>
      </x:c>
      <x:c r="AY614" s="60" t="str">
        <x:v>ok:200</x:v>
      </x:c>
      <x:c r="AZ614" s="60" t="n">
        <x:v>46232.722858796296</x:v>
      </x:c>
      <x:c r="BA614" s="60" t="str">
        <x:v>AI Ark SC trades export</x:v>
      </x:c>
      <x:c r="BB614" s="60" t="str">
        <x:v>https://steelesolutionsus.com | https://www.linkedin.com/company/steele-solutions-llc</x:v>
      </x:c>
      <x:c r="BC614" s="60" t="str"/>
    </x:row>
    <x:row r="615" ht="18" customHeight="1">
      <x:c r="A615" s="70" t="str">
        <x:v>614</x:v>
      </x:c>
      <x:c r="B615" s="70" t="str">
        <x:v>C - Verify</x:v>
      </x:c>
      <x:c r="C615" s="72" t="str">
        <x:v>48</x:v>
      </x:c>
      <x:c r="D615" s="60" t="str">
        <x:v>Reconology</x:v>
      </x:c>
      <x:c r="E615" s="60" t="str">
        <x:v>https://reconology.com</x:v>
      </x:c>
      <x:c r="F615" s="60" t="str">
        <x:v>https://www.reconology.com/</x:v>
      </x:c>
      <x:c r="G615" s="60" t="str">
        <x:v>Greenville</x:v>
      </x:c>
      <x:c r="H615" s="60" t="str">
        <x:v>South Carolina</x:v>
      </x:c>
      <x:c r="I615" s="60" t="str">
        <x:v>Restoration</x:v>
      </x:c>
      <x:c r="J615" s="60" t="str">
        <x:v>Jeff</x:v>
      </x:c>
      <x:c r="K615" s="60" t="str">
        <x:v>Hargett</x:v>
      </x:c>
      <x:c r="L615" s="60" t="str">
        <x:v>Owner</x:v>
      </x:c>
      <x:c r="M615" s="60" t="str">
        <x:v>jeff.hargett@reconology.com</x:v>
      </x:c>
      <x:c r="N615" s="60" t="str">
        <x:v>Verified with BounceBan on 08 Jun 26 12:06</x:v>
      </x:c>
      <x:c r="O615" s="60" t="str">
        <x:v>+1 864 395 6809</x:v>
      </x:c>
      <x:c r="P615" s="60" t="str">
        <x:v>https://www.linkedin.com/in/jeff-hargett-74383518</x:v>
      </x:c>
      <x:c r="Q615" s="60" t="str">
        <x:v>2-10</x:v>
      </x:c>
      <x:c r="R615" s="60" t="str">
        <x:v>0-99999</x:v>
      </x:c>
      <x:c r="S615" s="60" t="str"/>
      <x:c r="T615" s="74" t="str">
        <x:v>0</x:v>
      </x:c>
      <x:c r="U615" s="60" t="str"/>
      <x:c r="V615" s="74" t="str">
        <x:v>28</x:v>
      </x:c>
      <x:c r="W615" s="74" t="str">
        <x:v>0</x:v>
      </x:c>
      <x:c r="X615" s="74" t="str">
        <x:v>10</x:v>
      </x:c>
      <x:c r="Y615" s="74" t="str">
        <x:v>0</x:v>
      </x:c>
      <x:c r="Z615" s="74" t="str">
        <x:v>10</x:v>
      </x:c>
      <x:c r="AA615" s="74" t="str">
        <x:v>0</x:v>
      </x:c>
      <x:c r="AB615" s="74" t="str">
        <x:v>0</x:v>
      </x:c>
      <x:c r="AC615" s="74" t="str">
        <x:v>0</x:v>
      </x:c>
      <x:c r="AD615" s="74" t="str">
        <x:v>0</x:v>
      </x:c>
      <x:c r="AE615" s="74" t="str">
        <x:v>0</x:v>
      </x:c>
      <x:c r="AF615" s="74" t="str"/>
      <x:c r="AG615" s="74" t="str">
        <x:v>0</x:v>
      </x:c>
      <x:c r="AH615" s="74" t="str">
        <x:v>0</x:v>
      </x:c>
      <x:c r="AI615" s="74" t="str">
        <x:v>0</x:v>
      </x:c>
      <x:c r="AJ615" s="74" t="str">
        <x:v>0</x:v>
      </x:c>
      <x:c r="AK615" s="74" t="str">
        <x:v>0</x:v>
      </x:c>
      <x:c r="AL615" s="74" t="str">
        <x:v>0</x:v>
      </x:c>
      <x:c r="AM615" s="74" t="str">
        <x:v>1</x:v>
      </x:c>
      <x:c r="AN615" s="74" t="str">
        <x:v>0</x:v>
      </x:c>
      <x:c r="AO615" s="60" t="str">
        <x:v>0</x:v>
      </x:c>
      <x:c r="AP615" s="76" t="str">
        <x:v>ICP fit; paid-demand need requires manual verification</x:v>
      </x:c>
      <x:c r="AQ615" s="76" t="str">
        <x:v>no embedded homepage video detected</x:v>
      </x:c>
      <x:c r="AR615" s="76" t="str">
        <x:v>I was reviewing restoration companies in Greenville, South Carolina and Reconology looked like a strong fit for a creative test.</x:v>
      </x:c>
      <x:c r="AS615" s="76" t="str">
        <x:v>first-24-hours emergency-response ad</x:v>
      </x:c>
      <x:c r="AT615" s="76" t="str">
        <x:v>Reconology ad concept</x:v>
      </x:c>
      <x:c r="AU615" s="76" t="str">
        <x:v>Hi Jeff — I was reviewing restoration companies in Greenville, South Carolina and Reconology looked like a strong fit for a creative test. I mapped a private 15-second first-24-hours emergency-response ad for Reconology using only public brand context—not for publishing, just to show the angle. We build three client-approved video ad concepts in seven days, then turn the winners into fresh variations. No filming day required. Worth sending the private sample?</x:v>
      </x:c>
      <x:c r="AV615" s="76" t="str">
        <x:v>Quick follow-up: the sample angle is a first-24-hours emergency-response ad. If it misses the mark, no problem—I won't keep chasing. Should I send it?</x:v>
      </x:c>
      <x:c r="AW615" s="76" t="str">
        <x:v>Hi Jeff, Ryan here. I was looking at Reconology's public marketing and noticed: icp fit; paid-demand need requires manual verification. I mapped one private first-24-hours emergency-response ad as an example. Did I catch you with 30 seconds?</x:v>
      </x:c>
      <x:c r="AX615" s="60" t="str">
        <x:v>https://www.facebook.com/ads/library/?active_status=active&amp;ad_type=all&amp;country=US&amp;q=Reconology&amp;search_type=keyword_unordered</x:v>
      </x:c>
      <x:c r="AY615" s="60" t="str">
        <x:v>ok:200</x:v>
      </x:c>
      <x:c r="AZ615" s="60" t="n">
        <x:v>46232.722858796296</x:v>
      </x:c>
      <x:c r="BA615" s="60" t="str">
        <x:v>AI Ark SC trades export</x:v>
      </x:c>
      <x:c r="BB615" s="60" t="str">
        <x:v>https://reconology.com | https://www.linkedin.com/company/reconology</x:v>
      </x:c>
      <x:c r="BC615" s="60" t="str"/>
    </x:row>
    <x:row r="616" ht="18" customHeight="1">
      <x:c r="A616" s="70" t="str">
        <x:v>615</x:v>
      </x:c>
      <x:c r="B616" s="70" t="str">
        <x:v>C - Verify</x:v>
      </x:c>
      <x:c r="C616" s="72" t="str">
        <x:v>48</x:v>
      </x:c>
      <x:c r="D616" s="60" t="str">
        <x:v>DCS Corporation</x:v>
      </x:c>
      <x:c r="E616" s="60" t="str">
        <x:v>https://dcscorpus.com</x:v>
      </x:c>
      <x:c r="F616" s="60" t="str">
        <x:v>https://dcscorpus.com</x:v>
      </x:c>
      <x:c r="G616" s="60" t="str">
        <x:v>Beaufort</x:v>
      </x:c>
      <x:c r="H616" s="60" t="str">
        <x:v>South Carolina</x:v>
      </x:c>
      <x:c r="I616" s="60" t="str">
        <x:v>Remodeling</x:v>
      </x:c>
      <x:c r="J616" s="60" t="str">
        <x:v>Steve</x:v>
      </x:c>
      <x:c r="K616" s="60" t="str">
        <x:v>Lesiak</x:v>
      </x:c>
      <x:c r="L616" s="60" t="str">
        <x:v>Company Owner</x:v>
      </x:c>
      <x:c r="M616" s="60" t="str">
        <x:v>steve@dcscorpus.com</x:v>
      </x:c>
      <x:c r="N616" s="60" t="str">
        <x:v>Verified with BounceBan on 08 Jun 26 12:06</x:v>
      </x:c>
      <x:c r="O616" s="60" t="str">
        <x:v>+1 843 505 5505</x:v>
      </x:c>
      <x:c r="P616" s="60" t="str">
        <x:v>https://www.linkedin.com/in/steve-lesiak-02b6b1177</x:v>
      </x:c>
      <x:c r="Q616" s="60" t="str">
        <x:v>11-50</x:v>
      </x:c>
      <x:c r="R616" s="60" t="str">
        <x:v>100000-499999</x:v>
      </x:c>
      <x:c r="S616" s="60" t="str"/>
      <x:c r="T616" s="74" t="str">
        <x:v>0</x:v>
      </x:c>
      <x:c r="U616" s="60" t="str"/>
      <x:c r="V616" s="74" t="str">
        <x:v>28</x:v>
      </x:c>
      <x:c r="W616" s="74" t="str">
        <x:v>0</x:v>
      </x:c>
      <x:c r="X616" s="74" t="str">
        <x:v>10</x:v>
      </x:c>
      <x:c r="Y616" s="74" t="str">
        <x:v>0</x:v>
      </x:c>
      <x:c r="Z616" s="74" t="str">
        <x:v>10</x:v>
      </x:c>
      <x:c r="AA616" s="74" t="str">
        <x:v>0</x:v>
      </x:c>
      <x:c r="AB616" s="74" t="str">
        <x:v>0</x:v>
      </x:c>
      <x:c r="AC616" s="74" t="str">
        <x:v>0</x:v>
      </x:c>
      <x:c r="AD616" s="74" t="str">
        <x:v>0</x:v>
      </x:c>
      <x:c r="AE616" s="74" t="str">
        <x:v>0</x:v>
      </x:c>
      <x:c r="AF616" s="74" t="str"/>
      <x:c r="AG616" s="74" t="str">
        <x:v>0</x:v>
      </x:c>
      <x:c r="AH616" s="74" t="str">
        <x:v>0</x:v>
      </x:c>
      <x:c r="AI616" s="74" t="str">
        <x:v>0</x:v>
      </x:c>
      <x:c r="AJ616" s="74" t="str">
        <x:v>0</x:v>
      </x:c>
      <x:c r="AK616" s="74" t="str">
        <x:v>0</x:v>
      </x:c>
      <x:c r="AL616" s="74" t="str">
        <x:v>0</x:v>
      </x:c>
      <x:c r="AM616" s="74" t="str">
        <x:v>0</x:v>
      </x:c>
      <x:c r="AN616" s="74" t="str">
        <x:v>0</x:v>
      </x:c>
      <x:c r="AO616" s="60" t="str">
        <x:v>0</x:v>
      </x:c>
      <x:c r="AP616" s="76" t="str">
        <x:v>ICP fit; paid-demand need requires manual verification</x:v>
      </x:c>
      <x:c r="AQ616" s="76" t="str">
        <x:v>no embedded homepage video detected</x:v>
      </x:c>
      <x:c r="AR616" s="76" t="str">
        <x:v>I was reviewing remodeling companies in Beaufort, South Carolina and DCS Corporation looked like a strong fit for a creative test.</x:v>
      </x:c>
      <x:c r="AS616" s="76" t="str">
        <x:v>project reveal with budget-and-timeline proof</x:v>
      </x:c>
      <x:c r="AT616" s="76" t="str">
        <x:v>DCS Corporation ad concept</x:v>
      </x:c>
      <x:c r="AU616" s="76" t="str">
        <x:v>Hi Steve — I was reviewing remodeling companies in Beaufort, South Carolina and DCS Corporation looked like a strong fit for a creative test. I mapped a private 15-second project reveal with budget-and-timeline proof for DCS Corporation using only public brand context—not for publishing, just to show the angle. We build three client-approved video ad concepts in seven days, then turn the winners into fresh variations. No filming day required. Worth sending the private sample?</x:v>
      </x:c>
      <x:c r="AV616" s="76" t="str">
        <x:v>Quick follow-up: the sample angle is a project reveal with budget-and-timeline proof. If it misses the mark, no problem—I won't keep chasing. Should I send it?</x:v>
      </x:c>
      <x:c r="AW616" s="76" t="str">
        <x:v>Hi Steve, Ryan here. I was looking at DCS Corporation's public marketing and noticed: icp fit; paid-demand need requires manual verification. I mapped one private project reveal with budget-and-timeline proof as an example. Did I catch you with 30 seconds?</x:v>
      </x:c>
      <x:c r="AX616" s="60" t="str">
        <x:v>https://www.facebook.com/ads/library/?active_status=active&amp;ad_type=all&amp;country=US&amp;q=DCS%20Corporation&amp;search_type=keyword_unordered</x:v>
      </x:c>
      <x:c r="AY616" s="60" t="str">
        <x:v>ok:200</x:v>
      </x:c>
      <x:c r="AZ616" s="60" t="n">
        <x:v>46232.722858796296</x:v>
      </x:c>
      <x:c r="BA616" s="60" t="str">
        <x:v>AI Ark SC trades export</x:v>
      </x:c>
      <x:c r="BB616" s="60" t="str">
        <x:v>https://dcscorpus.com | https://www.linkedin.com/company/dcscorpus</x:v>
      </x:c>
      <x:c r="BC616" s="60" t="str"/>
    </x:row>
    <x:row r="617" ht="18" customHeight="1">
      <x:c r="A617" s="70" t="str">
        <x:v>616</x:v>
      </x:c>
      <x:c r="B617" s="70" t="str">
        <x:v>C - Verify</x:v>
      </x:c>
      <x:c r="C617" s="72" t="str">
        <x:v>48</x:v>
      </x:c>
      <x:c r="D617" s="60" t="str">
        <x:v>Image Resource Group</x:v>
      </x:c>
      <x:c r="E617" s="60" t="str">
        <x:v>https://imageresourcegroup.com</x:v>
      </x:c>
      <x:c r="F617" s="60" t="str">
        <x:v>https://imageresourcegroup.com</x:v>
      </x:c>
      <x:c r="G617" s="60" t="str">
        <x:v>Elgin</x:v>
      </x:c>
      <x:c r="H617" s="60" t="str">
        <x:v>South Carolina</x:v>
      </x:c>
      <x:c r="I617" s="60" t="str">
        <x:v>Restoration</x:v>
      </x:c>
      <x:c r="J617" s="60" t="str">
        <x:v>Timothy</x:v>
      </x:c>
      <x:c r="K617" s="60" t="str">
        <x:v>Gamble</x:v>
      </x:c>
      <x:c r="L617" s="60" t="str">
        <x:v>Owner</x:v>
      </x:c>
      <x:c r="M617" s="60" t="str"/>
      <x:c r="N617" s="60" t="str"/>
      <x:c r="O617" s="60" t="str">
        <x:v>+1 803 315 3843</x:v>
      </x:c>
      <x:c r="P617" s="60" t="str">
        <x:v>https://www.linkedin.com/in/timothy-gamble-7955b511</x:v>
      </x:c>
      <x:c r="Q617" s="60" t="str">
        <x:v>51-200</x:v>
      </x:c>
      <x:c r="R617" s="60" t="str">
        <x:v>1000000-4999999</x:v>
      </x:c>
      <x:c r="S617" s="60" t="str"/>
      <x:c r="T617" s="74" t="str">
        <x:v>0</x:v>
      </x:c>
      <x:c r="U617" s="60" t="str"/>
      <x:c r="V617" s="74" t="str">
        <x:v>30</x:v>
      </x:c>
      <x:c r="W617" s="74" t="str">
        <x:v>0</x:v>
      </x:c>
      <x:c r="X617" s="74" t="str">
        <x:v>13</x:v>
      </x:c>
      <x:c r="Y617" s="74" t="str">
        <x:v>0</x:v>
      </x:c>
      <x:c r="Z617" s="74" t="str">
        <x:v>5</x:v>
      </x:c>
      <x:c r="AA617" s="74" t="str">
        <x:v>0</x:v>
      </x:c>
      <x:c r="AB617" s="74" t="str">
        <x:v>0</x:v>
      </x:c>
      <x:c r="AC617" s="74" t="str">
        <x:v>0</x:v>
      </x:c>
      <x:c r="AD617" s="74" t="str">
        <x:v>0</x:v>
      </x:c>
      <x:c r="AE617" s="74" t="str">
        <x:v>0</x:v>
      </x:c>
      <x:c r="AF617" s="74" t="str"/>
      <x:c r="AG617" s="74" t="str">
        <x:v>0</x:v>
      </x:c>
      <x:c r="AH617" s="74" t="str">
        <x:v>0</x:v>
      </x:c>
      <x:c r="AI617" s="74" t="str">
        <x:v>0</x:v>
      </x:c>
      <x:c r="AJ617" s="74" t="str">
        <x:v>0</x:v>
      </x:c>
      <x:c r="AK617" s="74" t="str">
        <x:v>0</x:v>
      </x:c>
      <x:c r="AL617" s="74" t="str">
        <x:v>0</x:v>
      </x:c>
      <x:c r="AM617" s="74" t="str">
        <x:v>1</x:v>
      </x:c>
      <x:c r="AN617" s="74" t="str">
        <x:v>0</x:v>
      </x:c>
      <x:c r="AO617" s="60" t="str">
        <x:v>2024</x:v>
      </x:c>
      <x:c r="AP617" s="76" t="str">
        <x:v>ICP fit; paid-demand need requires manual verification</x:v>
      </x:c>
      <x:c r="AQ617" s="76" t="str">
        <x:v>no embedded homepage video detected</x:v>
      </x:c>
      <x:c r="AR617" s="76" t="str">
        <x:v>I was reviewing restoration companies in Elgin, South Carolina and Image Resource Group looked like a strong fit for a creative test.</x:v>
      </x:c>
      <x:c r="AS617" s="76" t="str">
        <x:v>first-24-hours emergency-response ad</x:v>
      </x:c>
      <x:c r="AT617" s="76" t="str">
        <x:v>Image Resource Group ad concept</x:v>
      </x:c>
      <x:c r="AU617" s="76" t="str">
        <x:v>Hi Timothy — I was reviewing restoration companies in Elgin, South Carolina and Image Resource Group looked like a strong fit for a creative test. I mapped a private 15-second first-24-hours emergency-response ad for Image Resource Group using only public brand context—not for publishing, just to show the angle. We build three client-approved video ad concepts in seven days, then turn the winners into fresh variations. No filming day required. Worth sending the private sample?</x:v>
      </x:c>
      <x:c r="AV617" s="76" t="str">
        <x:v>Quick follow-up: the sample angle is a first-24-hours emergency-response ad. If it misses the mark, no problem—I won't keep chasing. Should I send it?</x:v>
      </x:c>
      <x:c r="AW617" s="76" t="str">
        <x:v>Hi Timothy, Ryan here. I was looking at Image Resource Group's public marketing and noticed: icp fit; paid-demand need requires manual verification. I mapped one private first-24-hours emergency-response ad as an example. Did I catch you with 30 seconds?</x:v>
      </x:c>
      <x:c r="AX617" s="60" t="str">
        <x:v>https://www.facebook.com/ads/library/?active_status=active&amp;ad_type=all&amp;country=US&amp;q=Image%20Resource%20Group&amp;search_type=keyword_unordered</x:v>
      </x:c>
      <x:c r="AY617" s="60" t="str">
        <x:v>ok:200</x:v>
      </x:c>
      <x:c r="AZ617" s="60" t="n">
        <x:v>46232.722858796296</x:v>
      </x:c>
      <x:c r="BA617" s="60" t="str">
        <x:v>AI Ark SC trades export</x:v>
      </x:c>
      <x:c r="BB617" s="60" t="str">
        <x:v>https://imageresourcegroup.com | https://www.linkedin.com/company/image-resource-group</x:v>
      </x:c>
      <x:c r="BC617" s="60" t="str"/>
    </x:row>
    <x:row r="618" ht="18" customHeight="1">
      <x:c r="A618" s="70" t="str">
        <x:v>617</x:v>
      </x:c>
      <x:c r="B618" s="70" t="str">
        <x:v>C - Verify</x:v>
      </x:c>
      <x:c r="C618" s="72" t="str">
        <x:v>47</x:v>
      </x:c>
      <x:c r="D618" s="60" t="str">
        <x:v>AC Mechanical Construction</x:v>
      </x:c>
      <x:c r="E618" s="60" t="str">
        <x:v>https://acmechanicalsc.com</x:v>
      </x:c>
      <x:c r="F618" s="60" t="str">
        <x:v>https://acmechanicalsc.com</x:v>
      </x:c>
      <x:c r="G618" s="60" t="str">
        <x:v>Rock Hill</x:v>
      </x:c>
      <x:c r="H618" s="60" t="str">
        <x:v>South Carolina</x:v>
      </x:c>
      <x:c r="I618" s="60" t="str">
        <x:v>Electrical</x:v>
      </x:c>
      <x:c r="J618" s="60" t="str">
        <x:v>AC Mechanical Construction</x:v>
      </x:c>
      <x:c r="K618" s="60" t="str"/>
      <x:c r="L618" s="60" t="str">
        <x:v>Owner / decision maker to verify</x:v>
      </x:c>
      <x:c r="M618" s="60" t="str"/>
      <x:c r="N618" s="60" t="str"/>
      <x:c r="O618" s="60" t="str">
        <x:v>(803) 980-2323</x:v>
      </x:c>
      <x:c r="P618" s="60" t="str"/>
      <x:c r="Q618" s="60" t="str"/>
      <x:c r="R618" s="60" t="str"/>
      <x:c r="S618" s="60" t="str">
        <x:v>4.8</x:v>
      </x:c>
      <x:c r="T618" s="74" t="str">
        <x:v>69</x:v>
      </x:c>
      <x:c r="U618" s="60" t="str"/>
      <x:c r="V618" s="74" t="str">
        <x:v>21</x:v>
      </x:c>
      <x:c r="W618" s="74" t="str">
        <x:v>15</x:v>
      </x:c>
      <x:c r="X618" s="74" t="str">
        <x:v>0</x:v>
      </x:c>
      <x:c r="Y618" s="74" t="str">
        <x:v>6</x:v>
      </x:c>
      <x:c r="Z618" s="74" t="str">
        <x:v>5</x:v>
      </x:c>
      <x:c r="AA618" s="74" t="str">
        <x:v>1</x:v>
      </x:c>
      <x:c r="AB618" s="74" t="str">
        <x:v>0</x:v>
      </x:c>
      <x:c r="AC618" s="74" t="str">
        <x:v>1</x:v>
      </x:c>
      <x:c r="AD618" s="74" t="str">
        <x:v>0</x:v>
      </x:c>
      <x:c r="AE618" s="74" t="str">
        <x:v>0</x:v>
      </x:c>
      <x:c r="AF618" s="74" t="str"/>
      <x:c r="AG618" s="74" t="str">
        <x:v>1</x:v>
      </x:c>
      <x:c r="AH618" s="74" t="str">
        <x:v>0</x:v>
      </x:c>
      <x:c r="AI618" s="74" t="str">
        <x:v>1</x:v>
      </x:c>
      <x:c r="AJ618" s="74" t="str">
        <x:v>0</x:v>
      </x:c>
      <x:c r="AK618" s="74" t="str">
        <x:v>0</x:v>
      </x:c>
      <x:c r="AL618" s="74" t="str">
        <x:v>0</x:v>
      </x:c>
      <x:c r="AM618" s="74" t="str">
        <x:v>1</x:v>
      </x:c>
      <x:c r="AN618" s="74" t="str">
        <x:v>1</x:v>
      </x:c>
      <x:c r="AO618" s="60" t="str">
        <x:v>2026</x:v>
      </x:c>
      <x:c r="AP618" s="76" t="str">
        <x:v>Paid-demand technology detected; creative refresh hypothesis</x:v>
      </x:c>
      <x:c r="AQ618" s="76" t="str">
        <x:v>Meta Pixel; testimonials</x:v>
      </x:c>
      <x:c r="AR618" s="76" t="str">
        <x:v>I was reviewing electrical companies in Rock Hill, South Carolina and AC Mechanical Construction looked like a strong fit for a creative test.</x:v>
      </x:c>
      <x:c r="AS618" s="76" t="str">
        <x:v>safety inspection problem/solution ad</x:v>
      </x:c>
      <x:c r="AT618" s="76" t="str">
        <x:v>AC Mechanical Construction ad concept</x:v>
      </x:c>
      <x:c r="AU618" s="76" t="str">
        <x:v>Hi AC Mechanical Construction — I was reviewing electrical companies in Rock Hill, South Carolina and AC Mechanical Construction looked like a strong fit for a creative test. I mapped a private 15-second safety inspection problem/solution ad for AC Mechanical Construction using only public brand context—not for publishing, just to show the angle. We build three client-approved video ad concepts in seven days, then turn the winners into fresh variations. No filming day required. Worth sending the private sample?</x:v>
      </x:c>
      <x:c r="AV618" s="76" t="str">
        <x:v>Quick follow-up: the sample angle is a safety inspection problem/solution ad. If it misses the mark, no problem—I won't keep chasing. Should I send it?</x:v>
      </x:c>
      <x:c r="AW618" s="76" t="str">
        <x:v>Hi AC Mechanical Construction, Ryan here. I was looking at AC Mechanical Construction's public marketing and noticed: paid-demand technology detected; creative refresh hypothesis. I mapped one private safety inspection problem/solution ad as an example. Did I catch you with 30 seconds?</x:v>
      </x:c>
      <x:c r="AX618" s="60" t="str">
        <x:v>https://www.facebook.com/ads/library/?active_status=active&amp;ad_type=all&amp;country=US&amp;q=AC%20Mechanical%20Construction&amp;search_type=keyword_unordered</x:v>
      </x:c>
      <x:c r="AY618" s="60" t="str">
        <x:v>ok:200</x:v>
      </x:c>
      <x:c r="AZ618" s="60" t="n">
        <x:v>46232.722858796296</x:v>
      </x:c>
      <x:c r="BA618" s="60" t="str">
        <x:v>Google Maps home-services export</x:v>
      </x:c>
      <x:c r="BB618" s="60" t="str">
        <x:v>https://acmechanicalsc.com | https://maps.google.com/?cid=8401819396391370301&amp;g_mp=Cidnb29nbGUubWFwcy5wbGFjZXMudjEuUGxhY2VzLlNlYXJjaFRleHQQAhgEIAA</x:v>
      </x:c>
      <x:c r="BC618" s="60" t="str"/>
    </x:row>
    <x:row r="619" ht="18" customHeight="1">
      <x:c r="A619" s="70" t="str">
        <x:v>618</x:v>
      </x:c>
      <x:c r="B619" s="70" t="str">
        <x:v>C - Verify</x:v>
      </x:c>
      <x:c r="C619" s="72" t="str">
        <x:v>47</x:v>
      </x:c>
      <x:c r="D619" s="60" t="str">
        <x:v>Just Blast It, LLC</x:v>
      </x:c>
      <x:c r="E619" s="60" t="str">
        <x:v>https://justblastit.net</x:v>
      </x:c>
      <x:c r="F619" s="60" t="str">
        <x:v>https://justblastit.net</x:v>
      </x:c>
      <x:c r="G619" s="60" t="str">
        <x:v>Greater Myrtle Beach Area</x:v>
      </x:c>
      <x:c r="H619" s="60" t="str"/>
      <x:c r="I619" s="60" t="str">
        <x:v>General Contractor</x:v>
      </x:c>
      <x:c r="J619" s="60" t="str">
        <x:v>Austin</x:v>
      </x:c>
      <x:c r="K619" s="60" t="str">
        <x:v>Bischoff</x:v>
      </x:c>
      <x:c r="L619" s="60" t="str">
        <x:v>Company Owner</x:v>
      </x:c>
      <x:c r="M619" s="60" t="str"/>
      <x:c r="N619" s="60" t="str"/>
      <x:c r="O619" s="60" t="str">
        <x:v>+1 843 267 2498</x:v>
      </x:c>
      <x:c r="P619" s="60" t="str">
        <x:v>https://www.linkedin.com/in/austin-bischoff-9a954066</x:v>
      </x:c>
      <x:c r="Q619" s="60" t="str">
        <x:v>0-1</x:v>
      </x:c>
      <x:c r="R619" s="60" t="str">
        <x:v>0-99999</x:v>
      </x:c>
      <x:c r="S619" s="60" t="str"/>
      <x:c r="T619" s="74" t="str">
        <x:v>0</x:v>
      </x:c>
      <x:c r="U619" s="60" t="str"/>
      <x:c r="V619" s="74" t="str">
        <x:v>17</x:v>
      </x:c>
      <x:c r="W619" s="74" t="str">
        <x:v>13</x:v>
      </x:c>
      <x:c r="X619" s="74" t="str">
        <x:v>0</x:v>
      </x:c>
      <x:c r="Y619" s="74" t="str">
        <x:v>12</x:v>
      </x:c>
      <x:c r="Z619" s="74" t="str">
        <x:v>5</x:v>
      </x:c>
      <x:c r="AA619" s="74" t="str">
        <x:v>0</x:v>
      </x:c>
      <x:c r="AB619" s="74" t="str">
        <x:v>1</x:v>
      </x:c>
      <x:c r="AC619" s="74" t="str">
        <x:v>1</x:v>
      </x:c>
      <x:c r="AD619" s="74" t="str">
        <x:v>0</x:v>
      </x:c>
      <x:c r="AE619" s="74" t="str">
        <x:v>0</x:v>
      </x:c>
      <x:c r="AF619" s="74" t="str"/>
      <x:c r="AG619" s="74" t="str">
        <x:v>1</x:v>
      </x:c>
      <x:c r="AH619" s="74" t="str">
        <x:v>1</x:v>
      </x:c>
      <x:c r="AI619" s="74" t="str">
        <x:v>1</x:v>
      </x:c>
      <x:c r="AJ619" s="74" t="str">
        <x:v>0</x:v>
      </x:c>
      <x:c r="AK619" s="74" t="str">
        <x:v>1</x:v>
      </x:c>
      <x:c r="AL619" s="74" t="str">
        <x:v>1</x:v>
      </x:c>
      <x:c r="AM619" s="74" t="str">
        <x:v>1</x:v>
      </x:c>
      <x:c r="AN619" s="74" t="str">
        <x:v>0</x:v>
      </x:c>
      <x:c r="AO619" s="60" t="str">
        <x:v>2026</x:v>
      </x:c>
      <x:c r="AP619" s="76" t="str">
        <x:v>Paid-demand technology detected; creative refresh hypothesis</x:v>
      </x:c>
      <x:c r="AQ619" s="76" t="str">
        <x:v>Google Ads tag; project/gallery proof; testimonials; visible service offer</x:v>
      </x:c>
      <x:c r="AR619" s="76" t="str">
        <x:v>I was reviewing general contractor companies in Greater Myrtle Beach Area and Just Blast It, LLC looked like a strong fit for a creative test.</x:v>
      </x:c>
      <x:c r="AS619" s="76" t="str">
        <x:v>project walkthrough with proof milestones</x:v>
      </x:c>
      <x:c r="AT619" s="76" t="str">
        <x:v>Just Blast It, LLC ad concept</x:v>
      </x:c>
      <x:c r="AU619" s="76" t="str">
        <x:v>Hi Austin — I was reviewing general contractor companies in Greater Myrtle Beach Area and Just Blast It, LLC looked like a strong fit for a creative test. I mapped a private 15-second project walkthrough with proof milestones for Just Blast It, LLC using only public brand context—not for publishing, just to show the angle. We build three client-approved video ad concepts in seven days, then turn the winners into fresh variations. No filming day required. Worth sending the private sample?</x:v>
      </x:c>
      <x:c r="AV619" s="76" t="str">
        <x:v>Quick follow-up: the sample angle is a project walkthrough with proof milestones. If it misses the mark, no problem—I won't keep chasing. Should I send it?</x:v>
      </x:c>
      <x:c r="AW619" s="76" t="str">
        <x:v>Hi Austin, Ryan here. I was looking at Just Blast It, LLC's public marketing and noticed: paid-demand technology detected; creative refresh hypothesis. I mapped one private project walkthrough with proof milestones as an example. Did I catch you with 30 seconds?</x:v>
      </x:c>
      <x:c r="AX619" s="60" t="str">
        <x:v>https://www.facebook.com/ads/library/?active_status=active&amp;ad_type=all&amp;country=US&amp;q=Just%20Blast%20It%2C%20LLC&amp;search_type=keyword_unordered</x:v>
      </x:c>
      <x:c r="AY619" s="60" t="str">
        <x:v>ok:200</x:v>
      </x:c>
      <x:c r="AZ619" s="60" t="n">
        <x:v>46232.722858796296</x:v>
      </x:c>
      <x:c r="BA619" s="60" t="str">
        <x:v>AI Ark SC trades export</x:v>
      </x:c>
      <x:c r="BB619" s="60" t="str">
        <x:v>https://justblastit.net | https://www.linkedin.com/company/just-blast-it-llc</x:v>
      </x:c>
      <x:c r="BC619" s="60" t="str"/>
    </x:row>
    <x:row r="620" ht="18" customHeight="1">
      <x:c r="A620" s="70" t="str">
        <x:v>619</x:v>
      </x:c>
      <x:c r="B620" s="70" t="str">
        <x:v>C - Verify</x:v>
      </x:c>
      <x:c r="C620" s="72" t="str">
        <x:v>47</x:v>
      </x:c>
      <x:c r="D620" s="60" t="str">
        <x:v>JP Contractors - Roofing of All Types</x:v>
      </x:c>
      <x:c r="E620" s="60" t="str">
        <x:v>https://jpcontractorsroofing.com</x:v>
      </x:c>
      <x:c r="F620" s="60" t="str">
        <x:v>https://jpcontractorsroofing.com</x:v>
      </x:c>
      <x:c r="G620" s="60" t="str">
        <x:v>Hilton Head</x:v>
      </x:c>
      <x:c r="H620" s="60" t="str">
        <x:v>South Carolina</x:v>
      </x:c>
      <x:c r="I620" s="60" t="str">
        <x:v>Roofing</x:v>
      </x:c>
      <x:c r="J620" s="60" t="str">
        <x:v>JP Contractors - Roofing of All Types</x:v>
      </x:c>
      <x:c r="K620" s="60" t="str"/>
      <x:c r="L620" s="60" t="str">
        <x:v>Owner / decision maker to verify</x:v>
      </x:c>
      <x:c r="M620" s="60" t="str"/>
      <x:c r="N620" s="60" t="str"/>
      <x:c r="O620" s="60" t="str">
        <x:v>(843) 290-4753</x:v>
      </x:c>
      <x:c r="P620" s="60" t="str"/>
      <x:c r="Q620" s="60" t="str"/>
      <x:c r="R620" s="60" t="str"/>
      <x:c r="S620" s="60" t="str">
        <x:v>5</x:v>
      </x:c>
      <x:c r="T620" s="74" t="str">
        <x:v>77</x:v>
      </x:c>
      <x:c r="U620" s="60" t="str"/>
      <x:c r="V620" s="74" t="str">
        <x:v>27</x:v>
      </x:c>
      <x:c r="W620" s="74" t="str">
        <x:v>13</x:v>
      </x:c>
      <x:c r="X620" s="74" t="str">
        <x:v>0</x:v>
      </x:c>
      <x:c r="Y620" s="74" t="str">
        <x:v>2</x:v>
      </x:c>
      <x:c r="Z620" s="74" t="str">
        <x:v>5</x:v>
      </x:c>
      <x:c r="AA620" s="74" t="str">
        <x:v>0</x:v>
      </x:c>
      <x:c r="AB620" s="74" t="str">
        <x:v>1</x:v>
      </x:c>
      <x:c r="AC620" s="74" t="str">
        <x:v>1</x:v>
      </x:c>
      <x:c r="AD620" s="74" t="str">
        <x:v>0</x:v>
      </x:c>
      <x:c r="AE620" s="74" t="str">
        <x:v>0</x:v>
      </x:c>
      <x:c r="AF620" s="74" t="str"/>
      <x:c r="AG620" s="74" t="str">
        <x:v>1</x:v>
      </x:c>
      <x:c r="AH620" s="74" t="str">
        <x:v>0</x:v>
      </x:c>
      <x:c r="AI620" s="74" t="str">
        <x:v>0</x:v>
      </x:c>
      <x:c r="AJ620" s="74" t="str">
        <x:v>0</x:v>
      </x:c>
      <x:c r="AK620" s="74" t="str">
        <x:v>0</x:v>
      </x:c>
      <x:c r="AL620" s="74" t="str">
        <x:v>1</x:v>
      </x:c>
      <x:c r="AM620" s="74" t="str">
        <x:v>1</x:v>
      </x:c>
      <x:c r="AN620" s="74" t="str">
        <x:v>1</x:v>
      </x:c>
      <x:c r="AO620" s="60" t="str">
        <x:v>0</x:v>
      </x:c>
      <x:c r="AP620" s="76" t="str">
        <x:v>Paid-demand technology detected; creative refresh hypothesis</x:v>
      </x:c>
      <x:c r="AQ620" s="76" t="str">
        <x:v>Google Ads tag</x:v>
      </x:c>
      <x:c r="AR620" s="76" t="str">
        <x:v>I was reviewing roofing companies in Hilton Head, South Carolina and JP Contractors - Roofing of All Types looked like a strong fit for a creative test.</x:v>
      </x:c>
      <x:c r="AS620" s="76" t="str">
        <x:v>storm-to-inspection before/after ad</x:v>
      </x:c>
      <x:c r="AT620" s="76" t="str">
        <x:v>JP Contractors - Roofing of All Types ad concept</x:v>
      </x:c>
      <x:c r="AU620" s="76" t="str">
        <x:v>Hi JP Contractors - Roofing of All Types — I was reviewing roofing companies in Hilton Head, South Carolina and JP Contractors - Roofing of All Types looked like a strong fit for a creative test. I mapped a private 15-second storm-to-inspection before/after ad for JP Contractors - Roofing of All Types using only public brand context—not for publishing, just to show the angle. We build three client-approved video ad concepts in seven days, then turn the winners into fresh variations. No filming day required. Worth sending the private sample?</x:v>
      </x:c>
      <x:c r="AV620" s="76" t="str">
        <x:v>Quick follow-up: the sample angle is a storm-to-inspection before/after ad. If it misses the mark, no problem—I won't keep chasing. Should I send it?</x:v>
      </x:c>
      <x:c r="AW620" s="76" t="str">
        <x:v>Hi JP Contractors - Roofing of All Types, Ryan here. I was looking at JP Contractors - Roofing of All Types's public marketing and noticed: paid-demand technology detected; creative refresh hypothesis. I mapped one private storm-to-inspection before/after ad as an example. Did I catch you with 30 seconds?</x:v>
      </x:c>
      <x:c r="AX620" s="60" t="str">
        <x:v>https://www.facebook.com/ads/library/?active_status=active&amp;ad_type=all&amp;country=US&amp;q=JP%20Contractors%20-%20Roofing%20of%20All%20Types&amp;search_type=keyword_unordered</x:v>
      </x:c>
      <x:c r="AY620" s="60" t="str">
        <x:v>ok:200</x:v>
      </x:c>
      <x:c r="AZ620" s="60" t="n">
        <x:v>46232.722858796296</x:v>
      </x:c>
      <x:c r="BA620" s="60" t="str">
        <x:v>Google Maps home-services export</x:v>
      </x:c>
      <x:c r="BB620" s="60" t="str">
        <x:v>https://jpcontractorsroofing.com | https://maps.google.com/?cid=3725547969655391587&amp;g_mp=Cidnb29nbGUubWFwcy5wbGFjZXMudjEuUGxhY2VzLlNlYXJjaFRleHQQAhgEIAA</x:v>
      </x:c>
      <x:c r="BC620" s="60" t="str"/>
    </x:row>
    <x:row r="621" ht="18" customHeight="1">
      <x:c r="A621" s="70" t="str">
        <x:v>620</x:v>
      </x:c>
      <x:c r="B621" s="70" t="str">
        <x:v>C - Verify</x:v>
      </x:c>
      <x:c r="C621" s="72" t="str">
        <x:v>47</x:v>
      </x:c>
      <x:c r="D621" s="60" t="str">
        <x:v>ServiceWorks Mechanical Solutions LLC.</x:v>
      </x:c>
      <x:c r="E621" s="60" t="str">
        <x:v>https://serviceworksms.com</x:v>
      </x:c>
      <x:c r="F621" s="60" t="str">
        <x:v>https://www.serviceworksms.com/</x:v>
      </x:c>
      <x:c r="G621" s="60" t="str">
        <x:v>Myrtle Beach</x:v>
      </x:c>
      <x:c r="H621" s="60" t="str">
        <x:v>South Carolina</x:v>
      </x:c>
      <x:c r="I621" s="60" t="str">
        <x:v>Plumbing</x:v>
      </x:c>
      <x:c r="J621" s="60" t="str">
        <x:v>ServiceWorks Mechanical Solutions LLC.</x:v>
      </x:c>
      <x:c r="K621" s="60" t="str"/>
      <x:c r="L621" s="60" t="str">
        <x:v>Owner / decision maker to verify</x:v>
      </x:c>
      <x:c r="M621" s="60" t="str"/>
      <x:c r="N621" s="60" t="str"/>
      <x:c r="O621" s="60" t="str">
        <x:v>(843) 877-7554</x:v>
      </x:c>
      <x:c r="P621" s="60" t="str"/>
      <x:c r="Q621" s="60" t="str"/>
      <x:c r="R621" s="60" t="str"/>
      <x:c r="S621" s="60" t="str">
        <x:v>4.9</x:v>
      </x:c>
      <x:c r="T621" s="74" t="str">
        <x:v>230</x:v>
      </x:c>
      <x:c r="U621" s="60" t="str"/>
      <x:c r="V621" s="74" t="str">
        <x:v>24</x:v>
      </x:c>
      <x:c r="W621" s="74" t="str">
        <x:v>3</x:v>
      </x:c>
      <x:c r="X621" s="74" t="str">
        <x:v>0</x:v>
      </x:c>
      <x:c r="Y621" s="74" t="str">
        <x:v>15</x:v>
      </x:c>
      <x:c r="Z621" s="74" t="str">
        <x:v>5</x:v>
      </x:c>
      <x:c r="AA621" s="74" t="str">
        <x:v>0</x:v>
      </x:c>
      <x:c r="AB621" s="74" t="str">
        <x:v>0</x:v>
      </x:c>
      <x:c r="AC621" s="74" t="str">
        <x:v>1</x:v>
      </x:c>
      <x:c r="AD621" s="74" t="str">
        <x:v>0</x:v>
      </x:c>
      <x:c r="AE621" s="74" t="str">
        <x:v>0</x:v>
      </x:c>
      <x:c r="AF621" s="74" t="str"/>
      <x:c r="AG621" s="74" t="str">
        <x:v>1</x:v>
      </x:c>
      <x:c r="AH621" s="74" t="str">
        <x:v>1</x:v>
      </x:c>
      <x:c r="AI621" s="74" t="str">
        <x:v>1</x:v>
      </x:c>
      <x:c r="AJ621" s="74" t="str">
        <x:v>0</x:v>
      </x:c>
      <x:c r="AK621" s="74" t="str">
        <x:v>1</x:v>
      </x:c>
      <x:c r="AL621" s="74" t="str">
        <x:v>1</x:v>
      </x:c>
      <x:c r="AM621" s="74" t="str">
        <x:v>1</x:v>
      </x:c>
      <x:c r="AN621" s="74" t="str">
        <x:v>1</x:v>
      </x:c>
      <x:c r="AO621" s="60" t="str">
        <x:v>2025</x:v>
      </x:c>
      <x:c r="AP621" s="76" t="str">
        <x:v>ICP fit; paid-demand need requires manual verification</x:v>
      </x:c>
      <x:c r="AQ621" s="76" t="str">
        <x:v>project/gallery proof; testimonials; visible service offer</x:v>
      </x:c>
      <x:c r="AR621" s="76" t="str">
        <x:v>I was reviewing plumbing companies in Myrtle Beach, South Carolina and ServiceWorks Mechanical Solutions LLC. looked like a strong fit for a creative test.</x:v>
      </x:c>
      <x:c r="AS621" s="76" t="str">
        <x:v>small symptom to prevented-emergency ad</x:v>
      </x:c>
      <x:c r="AT621" s="76" t="str">
        <x:v>ServiceWorks Mechanical Solutions LLC. ad concept</x:v>
      </x:c>
      <x:c r="AU621" s="76" t="str">
        <x:v>Hi ServiceWorks Mechanical Solutions LLC. — I was reviewing plumbing companies in Myrtle Beach, South Carolina and ServiceWorks Mechanical Solutions LLC. looked like a strong fit for a creative test. I mapped a private 15-second small symptom to prevented-emergency ad for ServiceWorks Mechanical Solutions LLC. using only public brand context—not for publishing, just to show the angle. We build three client-approved video ad concepts in seven days, then turn the winners into fresh variations. No filming day required. Worth sending the private sample?</x:v>
      </x:c>
      <x:c r="AV621" s="76" t="str">
        <x:v>Quick follow-up: the sample angle is a small symptom to prevented-emergency ad. If it misses the mark, no problem—I won't keep chasing. Should I send it?</x:v>
      </x:c>
      <x:c r="AW621" s="76" t="str">
        <x:v>Hi ServiceWorks Mechanical Solutions LLC., Ryan here. I was looking at ServiceWorks Mechanical Solutions LLC.'s public marketing and noticed: icp fit; paid-demand need requires manual verification. I mapped one private small symptom to prevented-emergency ad as an example. Did I catch you with 30 seconds?</x:v>
      </x:c>
      <x:c r="AX621" s="60" t="str">
        <x:v>https://www.facebook.com/ads/library/?active_status=active&amp;ad_type=all&amp;country=US&amp;q=ServiceWorks%20Mechanical%20Solutions%20LLC.&amp;search_type=keyword_unordered</x:v>
      </x:c>
      <x:c r="AY621" s="60" t="str">
        <x:v>ok:200</x:v>
      </x:c>
      <x:c r="AZ621" s="60" t="n">
        <x:v>46232.722858796296</x:v>
      </x:c>
      <x:c r="BA621" s="60" t="str">
        <x:v>Google Maps home-services export</x:v>
      </x:c>
      <x:c r="BB621" s="60" t="str">
        <x:v>https://maps.google.com/?cid=12315279705076697200&amp;g_mp=Cidnb29nbGUubWFwcy5wbGFjZXMudjEuUGxhY2VzLlNlYXJjaFRleHQQAhgEIAA | https://serviceworksms.com</x:v>
      </x:c>
      <x:c r="BC621" s="60" t="str"/>
    </x:row>
    <x:row r="622" ht="18" customHeight="1">
      <x:c r="A622" s="70" t="str">
        <x:v>621</x:v>
      </x:c>
      <x:c r="B622" s="70" t="str">
        <x:v>C - Verify</x:v>
      </x:c>
      <x:c r="C622" s="72" t="str">
        <x:v>47</x:v>
      </x:c>
      <x:c r="D622" s="60" t="str">
        <x:v>HOTCO The Hot Water Heater Company Carolinas</x:v>
      </x:c>
      <x:c r="E622" s="60" t="str">
        <x:v>https://hotwatercocarolinas.com</x:v>
      </x:c>
      <x:c r="F622" s="60" t="str">
        <x:v>https://hotwatercocarolinas.com</x:v>
      </x:c>
      <x:c r="G622" s="60" t="str">
        <x:v>Rock Hill</x:v>
      </x:c>
      <x:c r="H622" s="60" t="str">
        <x:v>South Carolina</x:v>
      </x:c>
      <x:c r="I622" s="60" t="str">
        <x:v>Plumbing</x:v>
      </x:c>
      <x:c r="J622" s="60" t="str">
        <x:v>HOTCO The Hot Water Heater Company Carolinas</x:v>
      </x:c>
      <x:c r="K622" s="60" t="str"/>
      <x:c r="L622" s="60" t="str">
        <x:v>Owner / decision maker to verify</x:v>
      </x:c>
      <x:c r="M622" s="60" t="str"/>
      <x:c r="N622" s="60" t="str"/>
      <x:c r="O622" s="60" t="str">
        <x:v>(704) 452-4677</x:v>
      </x:c>
      <x:c r="P622" s="60" t="str"/>
      <x:c r="Q622" s="60" t="str"/>
      <x:c r="R622" s="60" t="str"/>
      <x:c r="S622" s="60" t="str">
        <x:v>5</x:v>
      </x:c>
      <x:c r="T622" s="74" t="str">
        <x:v>410</x:v>
      </x:c>
      <x:c r="U622" s="60" t="str"/>
      <x:c r="V622" s="74" t="str">
        <x:v>25</x:v>
      </x:c>
      <x:c r="W622" s="74" t="str">
        <x:v>3</x:v>
      </x:c>
      <x:c r="X622" s="74" t="str">
        <x:v>0</x:v>
      </x:c>
      <x:c r="Y622" s="74" t="str">
        <x:v>14</x:v>
      </x:c>
      <x:c r="Z622" s="74" t="str">
        <x:v>5</x:v>
      </x:c>
      <x:c r="AA622" s="74" t="str">
        <x:v>0</x:v>
      </x:c>
      <x:c r="AB622" s="74" t="str">
        <x:v>0</x:v>
      </x:c>
      <x:c r="AC622" s="74" t="str">
        <x:v>1</x:v>
      </x:c>
      <x:c r="AD622" s="74" t="str">
        <x:v>0</x:v>
      </x:c>
      <x:c r="AE622" s="74" t="str">
        <x:v>0</x:v>
      </x:c>
      <x:c r="AF622" s="74" t="str"/>
      <x:c r="AG622" s="74" t="str">
        <x:v>1</x:v>
      </x:c>
      <x:c r="AH622" s="74" t="str">
        <x:v>1</x:v>
      </x:c>
      <x:c r="AI622" s="74" t="str">
        <x:v>0</x:v>
      </x:c>
      <x:c r="AJ622" s="74" t="str">
        <x:v>1</x:v>
      </x:c>
      <x:c r="AK622" s="74" t="str">
        <x:v>1</x:v>
      </x:c>
      <x:c r="AL622" s="74" t="str">
        <x:v>0</x:v>
      </x:c>
      <x:c r="AM622" s="74" t="str">
        <x:v>1</x:v>
      </x:c>
      <x:c r="AN622" s="74" t="str">
        <x:v>1</x:v>
      </x:c>
      <x:c r="AO622" s="60" t="str">
        <x:v>2026</x:v>
      </x:c>
      <x:c r="AP622" s="76" t="str">
        <x:v>ICP fit; paid-demand need requires manual verification</x:v>
      </x:c>
      <x:c r="AQ622" s="76" t="str">
        <x:v>project/gallery proof; financing; visible service offer</x:v>
      </x:c>
      <x:c r="AR622" s="76" t="str">
        <x:v>I was reviewing plumbing companies in Rock Hill, South Carolina and HOTCO The Hot Water Heater Company Carolinas looked like a strong fit for a creative test.</x:v>
      </x:c>
      <x:c r="AS622" s="76" t="str">
        <x:v>small symptom to prevented-emergency ad</x:v>
      </x:c>
      <x:c r="AT622" s="76" t="str">
        <x:v>HOTCO The Hot Water Heater Company Carolinas ad concept</x:v>
      </x:c>
      <x:c r="AU622" s="76" t="str">
        <x:v>Hi HOTCO The Hot Water Heater Company Carolinas — I was reviewing plumbing companies in Rock Hill, South Carolina and HOTCO The Hot Water Heater Company Carolinas looked like a strong fit for a creative test. I mapped a private 15-second small symptom to prevented-emergency ad for HOTCO The Hot Water Heater Company Carolinas using only public brand context—not for publishing, just to show the angle. We build three client-approved video ad concepts in seven days, then turn the winners into fresh variations. No filming day required. Worth sending the private sample?</x:v>
      </x:c>
      <x:c r="AV622" s="76" t="str">
        <x:v>Quick follow-up: the sample angle is a small symptom to prevented-emergency ad. If it misses the mark, no problem—I won't keep chasing. Should I send it?</x:v>
      </x:c>
      <x:c r="AW622" s="76" t="str">
        <x:v>Hi HOTCO The Hot Water Heater Company Carolinas, Ryan here. I was looking at HOTCO The Hot Water Heater Company Carolinas's public marketing and noticed: icp fit; paid-demand need requires manual verification. I mapped one private small symptom to prevented-emergency ad as an example. Did I catch you with 30 seconds?</x:v>
      </x:c>
      <x:c r="AX622" s="60" t="str">
        <x:v>https://www.facebook.com/ads/library/?active_status=active&amp;ad_type=all&amp;country=US&amp;q=HOTCO%20The%20Hot%20Water%20Heater%20Company%20Carolinas&amp;search_type=keyword_unordered</x:v>
      </x:c>
      <x:c r="AY622" s="60" t="str">
        <x:v>ok:200</x:v>
      </x:c>
      <x:c r="AZ622" s="60" t="n">
        <x:v>46232.722858796296</x:v>
      </x:c>
      <x:c r="BA622" s="60" t="str">
        <x:v>Google Maps home-services export</x:v>
      </x:c>
      <x:c r="BB622" s="60" t="str">
        <x:v>https://hotwatercocarolinas.com | https://maps.google.com/?cid=434338402656287521&amp;g_mp=Cidnb29nbGUubWFwcy5wbGFjZXMudjEuUGxhY2VzLlNlYXJjaFRleHQQAhgEIAA</x:v>
      </x:c>
      <x:c r="BC622" s="60" t="str"/>
    </x:row>
    <x:row r="623" ht="18" customHeight="1">
      <x:c r="A623" s="70" t="str">
        <x:v>622</x:v>
      </x:c>
      <x:c r="B623" s="70" t="str">
        <x:v>C - Verify</x:v>
      </x:c>
      <x:c r="C623" s="72" t="str">
        <x:v>47</x:v>
      </x:c>
      <x:c r="D623" s="60" t="str">
        <x:v>Ocean Air Cooling, LLC</x:v>
      </x:c>
      <x:c r="E623" s="60" t="str">
        <x:v>https://oceanaircooling.com</x:v>
      </x:c>
      <x:c r="F623" s="60" t="str">
        <x:v>https://www.oceanaircooling.com/</x:v>
      </x:c>
      <x:c r="G623" s="60" t="str">
        <x:v>Myrtle Beach</x:v>
      </x:c>
      <x:c r="H623" s="60" t="str">
        <x:v>South Carolina</x:v>
      </x:c>
      <x:c r="I623" s="60" t="str">
        <x:v>HVAC</x:v>
      </x:c>
      <x:c r="J623" s="60" t="str">
        <x:v>Ocean Air Cooling, LLC</x:v>
      </x:c>
      <x:c r="K623" s="60" t="str"/>
      <x:c r="L623" s="60" t="str">
        <x:v>Owner / decision maker to verify</x:v>
      </x:c>
      <x:c r="M623" s="60" t="str"/>
      <x:c r="N623" s="60" t="str"/>
      <x:c r="O623" s="60" t="str">
        <x:v>(843) 585-3748</x:v>
      </x:c>
      <x:c r="P623" s="60" t="str"/>
      <x:c r="Q623" s="60" t="str"/>
      <x:c r="R623" s="60" t="str"/>
      <x:c r="S623" s="60" t="str">
        <x:v>5</x:v>
      </x:c>
      <x:c r="T623" s="74" t="str">
        <x:v>95</x:v>
      </x:c>
      <x:c r="U623" s="60" t="str"/>
      <x:c r="V623" s="74" t="str">
        <x:v>26</x:v>
      </x:c>
      <x:c r="W623" s="74" t="str">
        <x:v>3</x:v>
      </x:c>
      <x:c r="X623" s="74" t="str">
        <x:v>0</x:v>
      </x:c>
      <x:c r="Y623" s="74" t="str">
        <x:v>13</x:v>
      </x:c>
      <x:c r="Z623" s="74" t="str">
        <x:v>5</x:v>
      </x:c>
      <x:c r="AA623" s="74" t="str">
        <x:v>0</x:v>
      </x:c>
      <x:c r="AB623" s="74" t="str">
        <x:v>0</x:v>
      </x:c>
      <x:c r="AC623" s="74" t="str">
        <x:v>1</x:v>
      </x:c>
      <x:c r="AD623" s="74" t="str">
        <x:v>0</x:v>
      </x:c>
      <x:c r="AE623" s="74" t="str">
        <x:v>0</x:v>
      </x:c>
      <x:c r="AF623" s="74" t="str"/>
      <x:c r="AG623" s="74" t="str">
        <x:v>1</x:v>
      </x:c>
      <x:c r="AH623" s="74" t="str">
        <x:v>1</x:v>
      </x:c>
      <x:c r="AI623" s="74" t="str">
        <x:v>0</x:v>
      </x:c>
      <x:c r="AJ623" s="74" t="str">
        <x:v>1</x:v>
      </x:c>
      <x:c r="AK623" s="74" t="str">
        <x:v>1</x:v>
      </x:c>
      <x:c r="AL623" s="74" t="str">
        <x:v>0</x:v>
      </x:c>
      <x:c r="AM623" s="74" t="str">
        <x:v>1</x:v>
      </x:c>
      <x:c r="AN623" s="74" t="str">
        <x:v>1</x:v>
      </x:c>
      <x:c r="AO623" s="60" t="str">
        <x:v>2026</x:v>
      </x:c>
      <x:c r="AP623" s="76" t="str">
        <x:v>ICP fit; paid-demand need requires manual verification</x:v>
      </x:c>
      <x:c r="AQ623" s="76" t="str">
        <x:v>project/gallery proof; financing; visible service offer</x:v>
      </x:c>
      <x:c r="AR623" s="76" t="str">
        <x:v>I was reviewing hvac companies in Myrtle Beach, South Carolina and Ocean Air Cooling, LLC looked like a strong fit for a creative test.</x:v>
      </x:c>
      <x:c r="AS623" s="76" t="str">
        <x:v>no-cool-call to same-day comfort ad</x:v>
      </x:c>
      <x:c r="AT623" s="76" t="str">
        <x:v>Ocean Air Cooling, LLC ad concept</x:v>
      </x:c>
      <x:c r="AU623" s="76" t="str">
        <x:v>Hi Ocean Air Cooling, LLC — I was reviewing hvac companies in Myrtle Beach, South Carolina and Ocean Air Cooling, LLC looked like a strong fit for a creative test. I mapped a private 15-second no-cool-call to same-day comfort ad for Ocean Air Cooling, LLC using only public brand context—not for publishing, just to show the angle. We build three client-approved video ad concepts in seven days, then turn the winners into fresh variations. No filming day required. Worth sending the private sample?</x:v>
      </x:c>
      <x:c r="AV623" s="76" t="str">
        <x:v>Quick follow-up: the sample angle is a no-cool-call to same-day comfort ad. If it misses the mark, no problem—I won't keep chasing. Should I send it?</x:v>
      </x:c>
      <x:c r="AW623" s="76" t="str">
        <x:v>Hi Ocean Air Cooling, LLC, Ryan here. I was looking at Ocean Air Cooling, LLC's public marketing and noticed: icp fit; paid-demand need requires manual verification. I mapped one private no-cool-call to same-day comfort ad as an example. Did I catch you with 30 seconds?</x:v>
      </x:c>
      <x:c r="AX623" s="60" t="str">
        <x:v>https://www.facebook.com/ads/library/?active_status=active&amp;ad_type=all&amp;country=US&amp;q=Ocean%20Air%20Cooling%2C%20LLC&amp;search_type=keyword_unordered</x:v>
      </x:c>
      <x:c r="AY623" s="60" t="str">
        <x:v>ok:200</x:v>
      </x:c>
      <x:c r="AZ623" s="60" t="n">
        <x:v>46232.722858796296</x:v>
      </x:c>
      <x:c r="BA623" s="60" t="str">
        <x:v>Google Maps home-services export</x:v>
      </x:c>
      <x:c r="BB623" s="60" t="str">
        <x:v>https://maps.google.com/?cid=4418993757911287598&amp;g_mp=Cidnb29nbGUubWFwcy5wbGFjZXMudjEuUGxhY2VzLlNlYXJjaFRleHQQAhgEIAA | https://oceanaircooling.com</x:v>
      </x:c>
      <x:c r="BC623" s="60" t="str"/>
    </x:row>
    <x:row r="624" ht="18" customHeight="1">
      <x:c r="A624" s="70" t="str">
        <x:v>623</x:v>
      </x:c>
      <x:c r="B624" s="70" t="str">
        <x:v>C - Verify</x:v>
      </x:c>
      <x:c r="C624" s="72" t="str">
        <x:v>47</x:v>
      </x:c>
      <x:c r="D624" s="60" t="str">
        <x:v>Premier Pavement Solutions</x:v>
      </x:c>
      <x:c r="E624" s="60" t="str">
        <x:v>https://premierpavementsolutions.com</x:v>
      </x:c>
      <x:c r="F624" s="60" t="str">
        <x:v>https://www.premierpavementsolutions.com/</x:v>
      </x:c>
      <x:c r="G624" s="60" t="str">
        <x:v>Piedmont</x:v>
      </x:c>
      <x:c r="H624" s="60" t="str">
        <x:v>South Carolina</x:v>
      </x:c>
      <x:c r="I624" s="60" t="str">
        <x:v>General Contractor</x:v>
      </x:c>
      <x:c r="J624" s="60" t="str">
        <x:v>Jennifer</x:v>
      </x:c>
      <x:c r="K624" s="60" t="str">
        <x:v>Trull</x:v>
      </x:c>
      <x:c r="L624" s="60" t="str">
        <x:v>Small Business Owner</x:v>
      </x:c>
      <x:c r="M624" s="60" t="str"/>
      <x:c r="N624" s="60" t="str"/>
      <x:c r="O624" s="60" t="str">
        <x:v>+1 815 624 1144</x:v>
      </x:c>
      <x:c r="P624" s="60" t="str">
        <x:v>https://www.linkedin.com/in/jennifer-trull-7b47501b0</x:v>
      </x:c>
      <x:c r="Q624" s="60" t="str">
        <x:v>11-50</x:v>
      </x:c>
      <x:c r="R624" s="60" t="str">
        <x:v>100000-499999</x:v>
      </x:c>
      <x:c r="S624" s="60" t="str"/>
      <x:c r="T624" s="74" t="str">
        <x:v>0</x:v>
      </x:c>
      <x:c r="U624" s="60" t="str"/>
      <x:c r="V624" s="74" t="str">
        <x:v>23</x:v>
      </x:c>
      <x:c r="W624" s="74" t="str">
        <x:v>3</x:v>
      </x:c>
      <x:c r="X624" s="74" t="str">
        <x:v>4</x:v>
      </x:c>
      <x:c r="Y624" s="74" t="str">
        <x:v>12</x:v>
      </x:c>
      <x:c r="Z624" s="74" t="str">
        <x:v>5</x:v>
      </x:c>
      <x:c r="AA624" s="74" t="str">
        <x:v>0</x:v>
      </x:c>
      <x:c r="AB624" s="74" t="str">
        <x:v>0</x:v>
      </x:c>
      <x:c r="AC624" s="74" t="str">
        <x:v>1</x:v>
      </x:c>
      <x:c r="AD624" s="74" t="str">
        <x:v>0</x:v>
      </x:c>
      <x:c r="AE624" s="74" t="str">
        <x:v>0</x:v>
      </x:c>
      <x:c r="AF624" s="74" t="str"/>
      <x:c r="AG624" s="74" t="str">
        <x:v>1</x:v>
      </x:c>
      <x:c r="AH624" s="74" t="str">
        <x:v>1</x:v>
      </x:c>
      <x:c r="AI624" s="74" t="str">
        <x:v>1</x:v>
      </x:c>
      <x:c r="AJ624" s="74" t="str">
        <x:v>0</x:v>
      </x:c>
      <x:c r="AK624" s="74" t="str">
        <x:v>1</x:v>
      </x:c>
      <x:c r="AL624" s="74" t="str">
        <x:v>0</x:v>
      </x:c>
      <x:c r="AM624" s="74" t="str">
        <x:v>0</x:v>
      </x:c>
      <x:c r="AN624" s="74" t="str">
        <x:v>0</x:v>
      </x:c>
      <x:c r="AO624" s="60" t="str">
        <x:v>2026</x:v>
      </x:c>
      <x:c r="AP624" s="76" t="str">
        <x:v>ICP fit; paid-demand need requires manual verification</x:v>
      </x:c>
      <x:c r="AQ624" s="76" t="str">
        <x:v>project/gallery proof; testimonials; visible service offer</x:v>
      </x:c>
      <x:c r="AR624" s="76" t="str">
        <x:v>I was reviewing general contractor companies in Piedmont, South Carolina and Premier Pavement Solutions looked like a strong fit for a creative test.</x:v>
      </x:c>
      <x:c r="AS624" s="76" t="str">
        <x:v>project walkthrough with proof milestones</x:v>
      </x:c>
      <x:c r="AT624" s="76" t="str">
        <x:v>Premier Pavement Solutions ad concept</x:v>
      </x:c>
      <x:c r="AU624" s="76" t="str">
        <x:v>Hi Jennifer — I was reviewing general contractor companies in Piedmont, South Carolina and Premier Pavement Solutions looked like a strong fit for a creative test. I mapped a private 15-second project walkthrough with proof milestones for Premier Pavement Solutions using only public brand context—not for publishing, just to show the angle. We build three client-approved video ad concepts in seven days, then turn the winners into fresh variations. No filming day required. Worth sending the private sample?</x:v>
      </x:c>
      <x:c r="AV624" s="76" t="str">
        <x:v>Quick follow-up: the sample angle is a project walkthrough with proof milestones. If it misses the mark, no problem—I won't keep chasing. Should I send it?</x:v>
      </x:c>
      <x:c r="AW624" s="76" t="str">
        <x:v>Hi Jennifer, Ryan here. I was looking at Premier Pavement Solutions's public marketing and noticed: icp fit; paid-demand need requires manual verification. I mapped one private project walkthrough with proof milestones as an example. Did I catch you with 30 seconds?</x:v>
      </x:c>
      <x:c r="AX624" s="60" t="str">
        <x:v>https://www.facebook.com/ads/library/?active_status=active&amp;ad_type=all&amp;country=US&amp;q=Premier%20Pavement%20Solutions&amp;search_type=keyword_unordered</x:v>
      </x:c>
      <x:c r="AY624" s="60" t="str">
        <x:v>ok:200</x:v>
      </x:c>
      <x:c r="AZ624" s="60" t="n">
        <x:v>46232.722858796296</x:v>
      </x:c>
      <x:c r="BA624" s="60" t="str">
        <x:v>AI Ark SC trades export</x:v>
      </x:c>
      <x:c r="BB624" s="60" t="str">
        <x:v>https://premierpavementsolutions.com | https://www.linkedin.com/company/premier-pavement-solutions</x:v>
      </x:c>
      <x:c r="BC624" s="60" t="str"/>
    </x:row>
    <x:row r="625" ht="18" customHeight="1">
      <x:c r="A625" s="70" t="str">
        <x:v>624</x:v>
      </x:c>
      <x:c r="B625" s="70" t="str">
        <x:v>C - Verify</x:v>
      </x:c>
      <x:c r="C625" s="72" t="str">
        <x:v>47</x:v>
      </x:c>
      <x:c r="D625" s="60" t="str">
        <x:v>Champion Windows &amp; Home Exteriors</x:v>
      </x:c>
      <x:c r="E625" s="60" t="str">
        <x:v>https://championwindow.com</x:v>
      </x:c>
      <x:c r="F625" s="60" t="str">
        <x:v>https://www.championwindow.com/</x:v>
      </x:c>
      <x:c r="G625" s="60" t="str">
        <x:v>Lexington</x:v>
      </x:c>
      <x:c r="H625" s="60" t="str">
        <x:v>South Carolina</x:v>
      </x:c>
      <x:c r="I625" s="60" t="str">
        <x:v>Windows &amp; Doors</x:v>
      </x:c>
      <x:c r="J625" s="60" t="str">
        <x:v>Russell</x:v>
      </x:c>
      <x:c r="K625" s="60" t="str">
        <x:v>King</x:v>
      </x:c>
      <x:c r="L625" s="60" t="str">
        <x:v>Co-Owner</x:v>
      </x:c>
      <x:c r="M625" s="60" t="str"/>
      <x:c r="N625" s="60" t="str"/>
      <x:c r="O625" s="60" t="str">
        <x:v>+1 803 596 3398</x:v>
      </x:c>
      <x:c r="P625" s="60" t="str">
        <x:v>https://www.linkedin.com/in/russell-king-2209a5212</x:v>
      </x:c>
      <x:c r="Q625" s="60" t="str">
        <x:v>1001-5000</x:v>
      </x:c>
      <x:c r="R625" s="60" t="str">
        <x:v>50000000-99999999</x:v>
      </x:c>
      <x:c r="S625" s="60" t="str"/>
      <x:c r="T625" s="74" t="str">
        <x:v>0</x:v>
      </x:c>
      <x:c r="U625" s="60" t="str"/>
      <x:c r="V625" s="74" t="str">
        <x:v>28</x:v>
      </x:c>
      <x:c r="W625" s="74" t="str">
        <x:v>3</x:v>
      </x:c>
      <x:c r="X625" s="74" t="str">
        <x:v>0</x:v>
      </x:c>
      <x:c r="Y625" s="74" t="str">
        <x:v>11</x:v>
      </x:c>
      <x:c r="Z625" s="74" t="str">
        <x:v>5</x:v>
      </x:c>
      <x:c r="AA625" s="74" t="str">
        <x:v>0</x:v>
      </x:c>
      <x:c r="AB625" s="74" t="str">
        <x:v>0</x:v>
      </x:c>
      <x:c r="AC625" s="74" t="str">
        <x:v>1</x:v>
      </x:c>
      <x:c r="AD625" s="74" t="str">
        <x:v>0</x:v>
      </x:c>
      <x:c r="AE625" s="74" t="str">
        <x:v>0</x:v>
      </x:c>
      <x:c r="AF625" s="74" t="str"/>
      <x:c r="AG625" s="74" t="str">
        <x:v>1</x:v>
      </x:c>
      <x:c r="AH625" s="74" t="str">
        <x:v>1</x:v>
      </x:c>
      <x:c r="AI625" s="74" t="str">
        <x:v>0</x:v>
      </x:c>
      <x:c r="AJ625" s="74" t="str">
        <x:v>1</x:v>
      </x:c>
      <x:c r="AK625" s="74" t="str">
        <x:v>1</x:v>
      </x:c>
      <x:c r="AL625" s="74" t="str">
        <x:v>1</x:v>
      </x:c>
      <x:c r="AM625" s="74" t="str">
        <x:v>1</x:v>
      </x:c>
      <x:c r="AN625" s="74" t="str">
        <x:v>1</x:v>
      </x:c>
      <x:c r="AO625" s="60" t="str">
        <x:v>0</x:v>
      </x:c>
      <x:c r="AP625" s="76" t="str">
        <x:v>ICP fit; paid-demand need requires manual verification</x:v>
      </x:c>
      <x:c r="AQ625" s="76" t="str">
        <x:v>project/gallery proof; financing; visible service offer</x:v>
      </x:c>
      <x:c r="AR625" s="76" t="str">
        <x:v>I was reviewing windows &amp; doors companies in Lexington, South Carolina and Champion Windows &amp; Home Exteriors looked like a strong fit for a creative test.</x:v>
      </x:c>
      <x:c r="AS625" s="76" t="str">
        <x:v>energy-loss to installed-window transformation ad</x:v>
      </x:c>
      <x:c r="AT625" s="76" t="str">
        <x:v>Champion Windows &amp; Home Exteriors ad concept</x:v>
      </x:c>
      <x:c r="AU625" s="76" t="str">
        <x:v>Hi Russell — I was reviewing windows &amp; doors companies in Lexington, South Carolina and Champion Windows &amp; Home Exteriors looked like a strong fit for a creative test. I mapped a private 15-second energy-loss to installed-window transformation ad for Champion Windows &amp; Home Exteriors using only public brand context—not for publishing, just to show the angle. We build three client-approved video ad concepts in seven days, then turn the winners into fresh variations. No filming day required. Worth sending the private sample?</x:v>
      </x:c>
      <x:c r="AV625" s="76" t="str">
        <x:v>Quick follow-up: the sample angle is a energy-loss to installed-window transformation ad. If it misses the mark, no problem—I won't keep chasing. Should I send it?</x:v>
      </x:c>
      <x:c r="AW625" s="76" t="str">
        <x:v>Hi Russell, Ryan here. I was looking at Champion Windows &amp; Home Exteriors's public marketing and noticed: icp fit; paid-demand need requires manual verification. I mapped one private energy-loss to installed-window transformation ad as an example. Did I catch you with 30 seconds?</x:v>
      </x:c>
      <x:c r="AX625" s="60" t="str">
        <x:v>https://www.facebook.com/ads/library/?active_status=active&amp;ad_type=all&amp;country=US&amp;q=Champion%20Windows%20%26%20Home%20Exteriors&amp;search_type=keyword_unordered</x:v>
      </x:c>
      <x:c r="AY625" s="60" t="str">
        <x:v>ok:200</x:v>
      </x:c>
      <x:c r="AZ625" s="60" t="n">
        <x:v>46232.722858796296</x:v>
      </x:c>
      <x:c r="BA625" s="60" t="str">
        <x:v>AI Ark SC trades export</x:v>
      </x:c>
      <x:c r="BB625" s="60" t="str">
        <x:v>https://championwindow.com | https://www.linkedin.com/company/champion-window-mfg-</x:v>
      </x:c>
      <x:c r="BC625" s="60" t="str"/>
    </x:row>
    <x:row r="626" ht="18" customHeight="1">
      <x:c r="A626" s="70" t="str">
        <x:v>625</x:v>
      </x:c>
      <x:c r="B626" s="70" t="str">
        <x:v>C - Verify</x:v>
      </x:c>
      <x:c r="C626" s="72" t="str">
        <x:v>47</x:v>
      </x:c>
      <x:c r="D626" s="60" t="str">
        <x:v>Roofing Educators</x:v>
      </x:c>
      <x:c r="E626" s="60" t="str">
        <x:v>https://roofeducators.com</x:v>
      </x:c>
      <x:c r="F626" s="60" t="str">
        <x:v>https://www.roofeducators.com/</x:v>
      </x:c>
      <x:c r="G626" s="60" t="str">
        <x:v>Summerville</x:v>
      </x:c>
      <x:c r="H626" s="60" t="str">
        <x:v>South Carolina</x:v>
      </x:c>
      <x:c r="I626" s="60" t="str">
        <x:v>Roofing</x:v>
      </x:c>
      <x:c r="J626" s="60" t="str">
        <x:v>Roofing Educators</x:v>
      </x:c>
      <x:c r="K626" s="60" t="str"/>
      <x:c r="L626" s="60" t="str">
        <x:v>Owner / decision maker to verify</x:v>
      </x:c>
      <x:c r="M626" s="60" t="str"/>
      <x:c r="N626" s="60" t="str"/>
      <x:c r="O626" s="60" t="str">
        <x:v>(843) 996-6608</x:v>
      </x:c>
      <x:c r="P626" s="60" t="str"/>
      <x:c r="Q626" s="60" t="str"/>
      <x:c r="R626" s="60" t="str"/>
      <x:c r="S626" s="60" t="str">
        <x:v>4.7</x:v>
      </x:c>
      <x:c r="T626" s="74" t="str">
        <x:v>91</x:v>
      </x:c>
      <x:c r="U626" s="60" t="str">
        <x:v>missed_calls, slow_response</x:v>
      </x:c>
      <x:c r="V626" s="74" t="str">
        <x:v>27</x:v>
      </x:c>
      <x:c r="W626" s="74" t="str">
        <x:v>3</x:v>
      </x:c>
      <x:c r="X626" s="74" t="str">
        <x:v>2</x:v>
      </x:c>
      <x:c r="Y626" s="74" t="str">
        <x:v>10</x:v>
      </x:c>
      <x:c r="Z626" s="74" t="str">
        <x:v>5</x:v>
      </x:c>
      <x:c r="AA626" s="74" t="str">
        <x:v>0</x:v>
      </x:c>
      <x:c r="AB626" s="74" t="str">
        <x:v>0</x:v>
      </x:c>
      <x:c r="AC626" s="74" t="str">
        <x:v>1</x:v>
      </x:c>
      <x:c r="AD626" s="74" t="str">
        <x:v>0</x:v>
      </x:c>
      <x:c r="AE626" s="74" t="str">
        <x:v>0</x:v>
      </x:c>
      <x:c r="AF626" s="74" t="str"/>
      <x:c r="AG626" s="74" t="str">
        <x:v>1</x:v>
      </x:c>
      <x:c r="AH626" s="74" t="str">
        <x:v>1</x:v>
      </x:c>
      <x:c r="AI626" s="74" t="str">
        <x:v>0</x:v>
      </x:c>
      <x:c r="AJ626" s="74" t="str">
        <x:v>0</x:v>
      </x:c>
      <x:c r="AK626" s="74" t="str">
        <x:v>1</x:v>
      </x:c>
      <x:c r="AL626" s="74" t="str">
        <x:v>1</x:v>
      </x:c>
      <x:c r="AM626" s="74" t="str">
        <x:v>1</x:v>
      </x:c>
      <x:c r="AN626" s="74" t="str">
        <x:v>0</x:v>
      </x:c>
      <x:c r="AO626" s="60" t="str">
        <x:v>2026</x:v>
      </x:c>
      <x:c r="AP626" s="76" t="str">
        <x:v>ICP fit; paid-demand need requires manual verification</x:v>
      </x:c>
      <x:c r="AQ626" s="76" t="str">
        <x:v>project/gallery proof; visible service offer</x:v>
      </x:c>
      <x:c r="AR626" s="76" t="str">
        <x:v>I was reviewing roofing companies in Summerville, South Carolina and Roofing Educators looked like a strong fit for a creative test.</x:v>
      </x:c>
      <x:c r="AS626" s="76" t="str">
        <x:v>storm-to-inspection before/after ad</x:v>
      </x:c>
      <x:c r="AT626" s="76" t="str">
        <x:v>Roofing Educators ad concept</x:v>
      </x:c>
      <x:c r="AU626" s="76" t="str">
        <x:v>Hi Roofing Educators — I was reviewing roofing companies in Summerville, South Carolina and Roofing Educators looked like a strong fit for a creative test. I mapped a private 15-second storm-to-inspection before/after ad for Roofing Educators using only public brand context—not for publishing, just to show the angle. We build three client-approved video ad concepts in seven days, then turn the winners into fresh variations. No filming day required. Worth sending the private sample?</x:v>
      </x:c>
      <x:c r="AV626" s="76" t="str">
        <x:v>Quick follow-up: the sample angle is a storm-to-inspection before/after ad. If it misses the mark, no problem—I won't keep chasing. Should I send it?</x:v>
      </x:c>
      <x:c r="AW626" s="76" t="str">
        <x:v>Hi Roofing Educators, Ryan here. I was looking at Roofing Educators's public marketing and noticed: icp fit; paid-demand need requires manual verification. I mapped one private storm-to-inspection before/after ad as an example. Did I catch you with 30 seconds?</x:v>
      </x:c>
      <x:c r="AX626" s="60" t="str">
        <x:v>https://www.facebook.com/ads/library/?active_status=active&amp;ad_type=all&amp;country=US&amp;q=Roofing%20Educators&amp;search_type=keyword_unordered</x:v>
      </x:c>
      <x:c r="AY626" s="60" t="str">
        <x:v>ok:200</x:v>
      </x:c>
      <x:c r="AZ626" s="60" t="n">
        <x:v>46232.722858796296</x:v>
      </x:c>
      <x:c r="BA626" s="60" t="str">
        <x:v>Google Maps home-services export</x:v>
      </x:c>
      <x:c r="BB626" s="60" t="str">
        <x:v>https://maps.google.com/?cid=5596462355280772038&amp;g_mp=Cidnb29nbGUubWFwcy5wbGFjZXMudjEuUGxhY2VzLlNlYXJjaFRleHQQAhgEIAA | https://roofeducators.com</x:v>
      </x:c>
      <x:c r="BC626" s="60" t="str"/>
    </x:row>
    <x:row r="627" ht="18" customHeight="1">
      <x:c r="A627" s="70" t="str">
        <x:v>626</x:v>
      </x:c>
      <x:c r="B627" s="70" t="str">
        <x:v>C - Verify</x:v>
      </x:c>
      <x:c r="C627" s="72" t="str">
        <x:v>47</x:v>
      </x:c>
      <x:c r="D627" s="60" t="str">
        <x:v>Big Momma Box, LLC</x:v>
      </x:c>
      <x:c r="E627" s="60" t="str">
        <x:v>https://bigmommabox.com</x:v>
      </x:c>
      <x:c r="F627" s="60" t="str">
        <x:v>https://bigmommabox.com</x:v>
      </x:c>
      <x:c r="G627" s="60" t="str">
        <x:v>Columbia</x:v>
      </x:c>
      <x:c r="H627" s="60" t="str">
        <x:v>South Carolina</x:v>
      </x:c>
      <x:c r="I627" s="60" t="str">
        <x:v>General Contractor</x:v>
      </x:c>
      <x:c r="J627" s="60" t="str">
        <x:v>Elizabeth</x:v>
      </x:c>
      <x:c r="K627" s="60" t="str">
        <x:v>Moosbrugger</x:v>
      </x:c>
      <x:c r="L627" s="60" t="str">
        <x:v>Business Owner</x:v>
      </x:c>
      <x:c r="M627" s="60" t="str"/>
      <x:c r="N627" s="60" t="str"/>
      <x:c r="O627" s="60" t="str">
        <x:v>+1 216 906 2393</x:v>
      </x:c>
      <x:c r="P627" s="60" t="str">
        <x:v>https://www.linkedin.com/in/elizabeth-moosbrugger</x:v>
      </x:c>
      <x:c r="Q627" s="60" t="str">
        <x:v>2-10</x:v>
      </x:c>
      <x:c r="R627" s="60" t="str">
        <x:v>0-99999</x:v>
      </x:c>
      <x:c r="S627" s="60" t="str"/>
      <x:c r="T627" s="74" t="str">
        <x:v>0</x:v>
      </x:c>
      <x:c r="U627" s="60" t="str"/>
      <x:c r="V627" s="74" t="str">
        <x:v>20</x:v>
      </x:c>
      <x:c r="W627" s="74" t="str">
        <x:v>3</x:v>
      </x:c>
      <x:c r="X627" s="74" t="str">
        <x:v>10</x:v>
      </x:c>
      <x:c r="Y627" s="74" t="str">
        <x:v>9</x:v>
      </x:c>
      <x:c r="Z627" s="74" t="str">
        <x:v>5</x:v>
      </x:c>
      <x:c r="AA627" s="74" t="str">
        <x:v>0</x:v>
      </x:c>
      <x:c r="AB627" s="74" t="str">
        <x:v>0</x:v>
      </x:c>
      <x:c r="AC627" s="74" t="str">
        <x:v>1</x:v>
      </x:c>
      <x:c r="AD627" s="74" t="str">
        <x:v>0</x:v>
      </x:c>
      <x:c r="AE627" s="74" t="str">
        <x:v>0</x:v>
      </x:c>
      <x:c r="AF627" s="74" t="str"/>
      <x:c r="AG627" s="74" t="str">
        <x:v>0</x:v>
      </x:c>
      <x:c r="AH627" s="74" t="str">
        <x:v>1</x:v>
      </x:c>
      <x:c r="AI627" s="74" t="str">
        <x:v>1</x:v>
      </x:c>
      <x:c r="AJ627" s="74" t="str">
        <x:v>0</x:v>
      </x:c>
      <x:c r="AK627" s="74" t="str">
        <x:v>0</x:v>
      </x:c>
      <x:c r="AL627" s="74" t="str">
        <x:v>0</x:v>
      </x:c>
      <x:c r="AM627" s="74" t="str">
        <x:v>1</x:v>
      </x:c>
      <x:c r="AN627" s="74" t="str">
        <x:v>0</x:v>
      </x:c>
      <x:c r="AO627" s="60" t="str">
        <x:v>2026</x:v>
      </x:c>
      <x:c r="AP627" s="76" t="str">
        <x:v>Project/gallery proof found; no embedded homepage video found</x:v>
      </x:c>
      <x:c r="AQ627" s="76" t="str">
        <x:v>project/gallery proof; testimonials; no embedded homepage video detected</x:v>
      </x:c>
      <x:c r="AR627" s="76" t="str">
        <x:v>I found project/gallery proof on Big Momma Box, LLC's site that could be repackaged into short-form ad concepts.</x:v>
      </x:c>
      <x:c r="AS627" s="76" t="str">
        <x:v>project walkthrough with proof milestones</x:v>
      </x:c>
      <x:c r="AT627" s="76" t="str">
        <x:v>Big Momma Box, LLC ad concept</x:v>
      </x:c>
      <x:c r="AU627" s="76" t="str">
        <x:v>Hi Elizabeth — I found project/gallery proof on Big Momma Box, LLC's site that could be repackaged into short-form ad concepts. I mapped a private 15-second project walkthrough with proof milestones for Big Momma Box, LLC using only public brand context—not for publishing, just to show the angle. We build three client-approved video ad concepts in seven days, then turn the winners into fresh variations. No filming day required. Worth sending the private sample?</x:v>
      </x:c>
      <x:c r="AV627" s="76" t="str">
        <x:v>Quick follow-up: the sample angle is a project walkthrough with proof milestones. If it misses the mark, no problem—I won't keep chasing. Should I send it?</x:v>
      </x:c>
      <x:c r="AW627" s="76" t="str">
        <x:v>Hi Elizabeth, Ryan here. I was looking at Big Momma Box, LLC's public marketing and noticed: project/gallery proof found; no embedded homepage video found. I mapped one private project walkthrough with proof milestones as an example. Did I catch you with 30 seconds?</x:v>
      </x:c>
      <x:c r="AX627" s="60" t="str">
        <x:v>https://www.facebook.com/ads/library/?active_status=active&amp;ad_type=all&amp;country=US&amp;q=Big%20Momma%20Box%2C%20LLC&amp;search_type=keyword_unordered</x:v>
      </x:c>
      <x:c r="AY627" s="60" t="str">
        <x:v>ok:200</x:v>
      </x:c>
      <x:c r="AZ627" s="60" t="n">
        <x:v>46232.722858796296</x:v>
      </x:c>
      <x:c r="BA627" s="60" t="str">
        <x:v>AI Ark SC trades export</x:v>
      </x:c>
      <x:c r="BB627" s="60" t="str">
        <x:v>https://bigmommabox.com | https://www.linkedin.com/company/big-momma-box</x:v>
      </x:c>
      <x:c r="BC627" s="60" t="str"/>
    </x:row>
    <x:row r="628" ht="18" customHeight="1">
      <x:c r="A628" s="70" t="str">
        <x:v>627</x:v>
      </x:c>
      <x:c r="B628" s="70" t="str">
        <x:v>C - Verify</x:v>
      </x:c>
      <x:c r="C628" s="72" t="str">
        <x:v>47</x:v>
      </x:c>
      <x:c r="D628" s="60" t="str">
        <x:v>Southern Premier Roofing</x:v>
      </x:c>
      <x:c r="E628" s="60" t="str">
        <x:v>https://southernpremierroofing.com</x:v>
      </x:c>
      <x:c r="F628" s="60" t="str">
        <x:v>https://southernpremierroofing.com</x:v>
      </x:c>
      <x:c r="G628" s="60" t="str">
        <x:v>Mount Pleasant</x:v>
      </x:c>
      <x:c r="H628" s="60" t="str">
        <x:v>South Carolina</x:v>
      </x:c>
      <x:c r="I628" s="60" t="str">
        <x:v>Roofing</x:v>
      </x:c>
      <x:c r="J628" s="60" t="str">
        <x:v>Southern Premier Roofing</x:v>
      </x:c>
      <x:c r="K628" s="60" t="str"/>
      <x:c r="L628" s="60" t="str">
        <x:v>Owner / decision maker to verify</x:v>
      </x:c>
      <x:c r="M628" s="60" t="str"/>
      <x:c r="N628" s="60" t="str"/>
      <x:c r="O628" s="60" t="str">
        <x:v>(854) 800-3305</x:v>
      </x:c>
      <x:c r="P628" s="60" t="str"/>
      <x:c r="Q628" s="60" t="str"/>
      <x:c r="R628" s="60" t="str"/>
      <x:c r="S628" s="60" t="str">
        <x:v>5</x:v>
      </x:c>
      <x:c r="T628" s="74" t="str">
        <x:v>21</x:v>
      </x:c>
      <x:c r="U628" s="60" t="str"/>
      <x:c r="V628" s="74" t="str">
        <x:v>25</x:v>
      </x:c>
      <x:c r="W628" s="74" t="str">
        <x:v>3</x:v>
      </x:c>
      <x:c r="X628" s="74" t="str">
        <x:v>6</x:v>
      </x:c>
      <x:c r="Y628" s="74" t="str">
        <x:v>8</x:v>
      </x:c>
      <x:c r="Z628" s="74" t="str">
        <x:v>5</x:v>
      </x:c>
      <x:c r="AA628" s="74" t="str">
        <x:v>0</x:v>
      </x:c>
      <x:c r="AB628" s="74" t="str">
        <x:v>0</x:v>
      </x:c>
      <x:c r="AC628" s="74" t="str">
        <x:v>1</x:v>
      </x:c>
      <x:c r="AD628" s="74" t="str">
        <x:v>0</x:v>
      </x:c>
      <x:c r="AE628" s="74" t="str">
        <x:v>0</x:v>
      </x:c>
      <x:c r="AF628" s="74" t="str"/>
      <x:c r="AG628" s="74" t="str">
        <x:v>0</x:v>
      </x:c>
      <x:c r="AH628" s="74" t="str">
        <x:v>1</x:v>
      </x:c>
      <x:c r="AI628" s="74" t="str">
        <x:v>0</x:v>
      </x:c>
      <x:c r="AJ628" s="74" t="str">
        <x:v>0</x:v>
      </x:c>
      <x:c r="AK628" s="74" t="str">
        <x:v>1</x:v>
      </x:c>
      <x:c r="AL628" s="74" t="str">
        <x:v>1</x:v>
      </x:c>
      <x:c r="AM628" s="74" t="str">
        <x:v>1</x:v>
      </x:c>
      <x:c r="AN628" s="74" t="str">
        <x:v>0</x:v>
      </x:c>
      <x:c r="AO628" s="60" t="str">
        <x:v>2026</x:v>
      </x:c>
      <x:c r="AP628" s="76" t="str">
        <x:v>Project/gallery proof found; no embedded homepage video found</x:v>
      </x:c>
      <x:c r="AQ628" s="76" t="str">
        <x:v>project/gallery proof; visible service offer; no embedded homepage video detected</x:v>
      </x:c>
      <x:c r="AR628" s="76" t="str">
        <x:v>I found project/gallery proof on Southern Premier Roofing's site that could be repackaged into short-form ad concepts.</x:v>
      </x:c>
      <x:c r="AS628" s="76" t="str">
        <x:v>storm-to-inspection before/after ad</x:v>
      </x:c>
      <x:c r="AT628" s="76" t="str">
        <x:v>Southern Premier Roofing ad concept</x:v>
      </x:c>
      <x:c r="AU628" s="76" t="str">
        <x:v>Hi Southern Premier Roofing — I found project/gallery proof on Southern Premier Roofing's site that could be repackaged into short-form ad concepts. I mapped a private 15-second storm-to-inspection before/after ad for Southern Premier Roofing using only public brand context—not for publishing, just to show the angle. We build three client-approved video ad concepts in seven days, then turn the winners into fresh variations. No filming day required. Worth sending the private sample?</x:v>
      </x:c>
      <x:c r="AV628" s="76" t="str">
        <x:v>Quick follow-up: the sample angle is a storm-to-inspection before/after ad. If it misses the mark, no problem—I won't keep chasing. Should I send it?</x:v>
      </x:c>
      <x:c r="AW628" s="76" t="str">
        <x:v>Hi Southern Premier Roofing, Ryan here. I was looking at Southern Premier Roofing's public marketing and noticed: project/gallery proof found; no embedded homepage video found. I mapped one private storm-to-inspection before/after ad as an example. Did I catch you with 30 seconds?</x:v>
      </x:c>
      <x:c r="AX628" s="60" t="str">
        <x:v>https://www.facebook.com/ads/library/?active_status=active&amp;ad_type=all&amp;country=US&amp;q=Southern%20Premier%20Roofing&amp;search_type=keyword_unordered</x:v>
      </x:c>
      <x:c r="AY628" s="60" t="str">
        <x:v>ok:200</x:v>
      </x:c>
      <x:c r="AZ628" s="60" t="n">
        <x:v>46232.722858796296</x:v>
      </x:c>
      <x:c r="BA628" s="60" t="str">
        <x:v>Google Maps home-services export</x:v>
      </x:c>
      <x:c r="BB628" s="60" t="str">
        <x:v>https://maps.google.com/?cid=4970705185505401684&amp;g_mp=Cidnb29nbGUubWFwcy5wbGFjZXMudjEuUGxhY2VzLlNlYXJjaFRleHQQAhgEIAA | https://southernpremierroofing.com</x:v>
      </x:c>
      <x:c r="BC628" s="60" t="str"/>
    </x:row>
    <x:row r="629" ht="18" customHeight="1">
      <x:c r="A629" s="70" t="str">
        <x:v>628</x:v>
      </x:c>
      <x:c r="B629" s="70" t="str">
        <x:v>C - Verify</x:v>
      </x:c>
      <x:c r="C629" s="72" t="str">
        <x:v>47</x:v>
      </x:c>
      <x:c r="D629" s="60" t="str">
        <x:v>McGillicuddy Concrete LLC</x:v>
      </x:c>
      <x:c r="E629" s="60" t="str">
        <x:v>https://mcgconcrete.com</x:v>
      </x:c>
      <x:c r="F629" s="60" t="str">
        <x:v>https://www.mcgconcrete.com/</x:v>
      </x:c>
      <x:c r="G629" s="60" t="str">
        <x:v>Spartanburg</x:v>
      </x:c>
      <x:c r="H629" s="60" t="str">
        <x:v>South Carolina</x:v>
      </x:c>
      <x:c r="I629" s="60" t="str">
        <x:v>Foundation &amp; Waterproofing</x:v>
      </x:c>
      <x:c r="J629" s="60" t="str">
        <x:v>Sean</x:v>
      </x:c>
      <x:c r="K629" s="60" t="str">
        <x:v>McGillicuddy</x:v>
      </x:c>
      <x:c r="L629" s="60" t="str">
        <x:v>Owner</x:v>
      </x:c>
      <x:c r="M629" s="60" t="str">
        <x:v>sean@mcgconcrete.com</x:v>
      </x:c>
      <x:c r="N629" s="60" t="str">
        <x:v>Verified with BounceBan on 08 Jun 26 12:06</x:v>
      </x:c>
      <x:c r="O629" s="60" t="str">
        <x:v>+1 864 764 4501</x:v>
      </x:c>
      <x:c r="P629" s="60" t="str">
        <x:v>https://www.linkedin.com/in/sean-mcgillicuddy-b6235a5</x:v>
      </x:c>
      <x:c r="Q629" s="60" t="str">
        <x:v>11-50</x:v>
      </x:c>
      <x:c r="R629" s="60" t="str">
        <x:v>100000-499999</x:v>
      </x:c>
      <x:c r="S629" s="60" t="str"/>
      <x:c r="T629" s="74" t="str">
        <x:v>0</x:v>
      </x:c>
      <x:c r="U629" s="60" t="str"/>
      <x:c r="V629" s="74" t="str">
        <x:v>29</x:v>
      </x:c>
      <x:c r="W629" s="74" t="str">
        <x:v>3</x:v>
      </x:c>
      <x:c r="X629" s="74" t="str">
        <x:v>0</x:v>
      </x:c>
      <x:c r="Y629" s="74" t="str">
        <x:v>5</x:v>
      </x:c>
      <x:c r="Z629" s="74" t="str">
        <x:v>10</x:v>
      </x:c>
      <x:c r="AA629" s="74" t="str">
        <x:v>0</x:v>
      </x:c>
      <x:c r="AB629" s="74" t="str">
        <x:v>0</x:v>
      </x:c>
      <x:c r="AC629" s="74" t="str">
        <x:v>1</x:v>
      </x:c>
      <x:c r="AD629" s="74" t="str">
        <x:v>0</x:v>
      </x:c>
      <x:c r="AE629" s="74" t="str">
        <x:v>0</x:v>
      </x:c>
      <x:c r="AF629" s="74" t="str"/>
      <x:c r="AG629" s="74" t="str">
        <x:v>1</x:v>
      </x:c>
      <x:c r="AH629" s="74" t="str">
        <x:v>1</x:v>
      </x:c>
      <x:c r="AI629" s="74" t="str">
        <x:v>0</x:v>
      </x:c>
      <x:c r="AJ629" s="74" t="str">
        <x:v>0</x:v>
      </x:c>
      <x:c r="AK629" s="74" t="str">
        <x:v>0</x:v>
      </x:c>
      <x:c r="AL629" s="74" t="str">
        <x:v>1</x:v>
      </x:c>
      <x:c r="AM629" s="74" t="str">
        <x:v>1</x:v>
      </x:c>
      <x:c r="AN629" s="74" t="str">
        <x:v>0</x:v>
      </x:c>
      <x:c r="AO629" s="60" t="str">
        <x:v>2026</x:v>
      </x:c>
      <x:c r="AP629" s="76" t="str">
        <x:v>ICP fit; paid-demand need requires manual verification</x:v>
      </x:c>
      <x:c r="AQ629" s="76" t="str">
        <x:v>project/gallery proof</x:v>
      </x:c>
      <x:c r="AR629" s="76" t="str">
        <x:v>I was reviewing foundation &amp; waterproofing companies in Spartanburg, South Carolina and McGillicuddy Concrete LLC looked like a strong fit for a creative test.</x:v>
      </x:c>
      <x:c r="AS629" s="76" t="str">
        <x:v>visible-warning-signs inspection ad</x:v>
      </x:c>
      <x:c r="AT629" s="76" t="str">
        <x:v>McGillicuddy Concrete LLC ad concept</x:v>
      </x:c>
      <x:c r="AU629" s="76" t="str">
        <x:v>Hi Sean — I was reviewing foundation &amp; waterproofing companies in Spartanburg, South Carolina and McGillicuddy Concrete LLC looked like a strong fit for a creative test. I mapped a private 15-second visible-warning-signs inspection ad for McGillicuddy Concrete LLC using only public brand context—not for publishing, just to show the angle. We build three client-approved video ad concepts in seven days, then turn the winners into fresh variations. No filming day required. Worth sending the private sample?</x:v>
      </x:c>
      <x:c r="AV629" s="76" t="str">
        <x:v>Quick follow-up: the sample angle is a visible-warning-signs inspection ad. If it misses the mark, no problem—I won't keep chasing. Should I send it?</x:v>
      </x:c>
      <x:c r="AW629" s="76" t="str">
        <x:v>Hi Sean, Ryan here. I was looking at McGillicuddy Concrete LLC's public marketing and noticed: icp fit; paid-demand need requires manual verification. I mapped one private visible-warning-signs inspection ad as an example. Did I catch you with 30 seconds?</x:v>
      </x:c>
      <x:c r="AX629" s="60" t="str">
        <x:v>https://www.facebook.com/ads/library/?active_status=active&amp;ad_type=all&amp;country=US&amp;q=McGillicuddy%20Concrete%20LLC&amp;search_type=keyword_unordered</x:v>
      </x:c>
      <x:c r="AY629" s="60" t="str">
        <x:v>ok:200</x:v>
      </x:c>
      <x:c r="AZ629" s="60" t="n">
        <x:v>46232.722858796296</x:v>
      </x:c>
      <x:c r="BA629" s="60" t="str">
        <x:v>AI Ark SC trades export</x:v>
      </x:c>
      <x:c r="BB629" s="60" t="str">
        <x:v>https://mcgconcrete.com | https://www.linkedin.com/company/mcgillicuddy-concrete-llc</x:v>
      </x:c>
      <x:c r="BC629" s="60" t="str"/>
    </x:row>
    <x:row r="630" ht="18" customHeight="1">
      <x:c r="A630" s="70" t="str">
        <x:v>629</x:v>
      </x:c>
      <x:c r="B630" s="70" t="str">
        <x:v>C - Verify</x:v>
      </x:c>
      <x:c r="C630" s="72" t="str">
        <x:v>47</x:v>
      </x:c>
      <x:c r="D630" s="60" t="str">
        <x:v>Window Solutions</x:v>
      </x:c>
      <x:c r="E630" s="60" t="str">
        <x:v>https://glazing-solutions.com</x:v>
      </x:c>
      <x:c r="F630" s="60" t="str">
        <x:v>https://window-solutions.co.uk/</x:v>
      </x:c>
      <x:c r="G630" s="60" t="str">
        <x:v>North Myrtle Beach</x:v>
      </x:c>
      <x:c r="H630" s="60" t="str">
        <x:v>South Carolina</x:v>
      </x:c>
      <x:c r="I630" s="60" t="str">
        <x:v>Windows &amp; Doors</x:v>
      </x:c>
      <x:c r="J630" s="60" t="str">
        <x:v>Salvatore M.</x:v>
      </x:c>
      <x:c r="K630" s="60" t="str">
        <x:v>Baglione</x:v>
      </x:c>
      <x:c r="L630" s="60" t="str">
        <x:v>Co Owner</x:v>
      </x:c>
      <x:c r="M630" s="60" t="str"/>
      <x:c r="N630" s="60" t="str"/>
      <x:c r="O630" s="60" t="str">
        <x:v>+1 973 919 3997</x:v>
      </x:c>
      <x:c r="P630" s="60" t="str">
        <x:v>https://www.linkedin.com/in/salvatore-m-baglione-5b5a711a</x:v>
      </x:c>
      <x:c r="Q630" s="60" t="str">
        <x:v>2-10</x:v>
      </x:c>
      <x:c r="R630" s="60" t="str">
        <x:v>500000-999999</x:v>
      </x:c>
      <x:c r="S630" s="60" t="str"/>
      <x:c r="T630" s="74" t="str">
        <x:v>0</x:v>
      </x:c>
      <x:c r="U630" s="60" t="str"/>
      <x:c r="V630" s="74" t="str">
        <x:v>28</x:v>
      </x:c>
      <x:c r="W630" s="74" t="str">
        <x:v>3</x:v>
      </x:c>
      <x:c r="X630" s="74" t="str">
        <x:v>6</x:v>
      </x:c>
      <x:c r="Y630" s="74" t="str">
        <x:v>5</x:v>
      </x:c>
      <x:c r="Z630" s="74" t="str">
        <x:v>5</x:v>
      </x:c>
      <x:c r="AA630" s="74" t="str">
        <x:v>0</x:v>
      </x:c>
      <x:c r="AB630" s="74" t="str">
        <x:v>0</x:v>
      </x:c>
      <x:c r="AC630" s="74" t="str">
        <x:v>1</x:v>
      </x:c>
      <x:c r="AD630" s="74" t="str">
        <x:v>0</x:v>
      </x:c>
      <x:c r="AE630" s="74" t="str">
        <x:v>0</x:v>
      </x:c>
      <x:c r="AF630" s="74" t="str"/>
      <x:c r="AG630" s="74" t="str">
        <x:v>0</x:v>
      </x:c>
      <x:c r="AH630" s="74" t="str">
        <x:v>1</x:v>
      </x:c>
      <x:c r="AI630" s="74" t="str">
        <x:v>0</x:v>
      </x:c>
      <x:c r="AJ630" s="74" t="str">
        <x:v>0</x:v>
      </x:c>
      <x:c r="AK630" s="74" t="str">
        <x:v>0</x:v>
      </x:c>
      <x:c r="AL630" s="74" t="str">
        <x:v>1</x:v>
      </x:c>
      <x:c r="AM630" s="74" t="str">
        <x:v>1</x:v>
      </x:c>
      <x:c r="AN630" s="74" t="str">
        <x:v>0</x:v>
      </x:c>
      <x:c r="AO630" s="60" t="str">
        <x:v>0</x:v>
      </x:c>
      <x:c r="AP630" s="76" t="str">
        <x:v>Project/gallery proof found; no embedded homepage video found</x:v>
      </x:c>
      <x:c r="AQ630" s="76" t="str">
        <x:v>project/gallery proof; no embedded homepage video detected</x:v>
      </x:c>
      <x:c r="AR630" s="76" t="str">
        <x:v>I found project/gallery proof on Window Solutions's site that could be repackaged into short-form ad concepts.</x:v>
      </x:c>
      <x:c r="AS630" s="76" t="str">
        <x:v>energy-loss to installed-window transformation ad</x:v>
      </x:c>
      <x:c r="AT630" s="76" t="str">
        <x:v>Window Solutions ad concept</x:v>
      </x:c>
      <x:c r="AU630" s="76" t="str">
        <x:v>Hi Salvatore M. — I found project/gallery proof on Window Solutions's site that could be repackaged into short-form ad concepts. I mapped a private 15-second energy-loss to installed-window transformation ad for Window Solutions using only public brand context—not for publishing, just to show the angle. We build three client-approved video ad concepts in seven days, then turn the winners into fresh variations. No filming day required. Worth sending the private sample?</x:v>
      </x:c>
      <x:c r="AV630" s="76" t="str">
        <x:v>Quick follow-up: the sample angle is a energy-loss to installed-window transformation ad. If it misses the mark, no problem—I won't keep chasing. Should I send it?</x:v>
      </x:c>
      <x:c r="AW630" s="76" t="str">
        <x:v>Hi Salvatore M., Ryan here. I was looking at Window Solutions's public marketing and noticed: project/gallery proof found; no embedded homepage video found. I mapped one private energy-loss to installed-window transformation ad as an example. Did I catch you with 30 seconds?</x:v>
      </x:c>
      <x:c r="AX630" s="60" t="str">
        <x:v>https://www.facebook.com/ads/library/?active_status=active&amp;ad_type=all&amp;country=US&amp;q=Window%20Solutions&amp;search_type=keyword_unordered</x:v>
      </x:c>
      <x:c r="AY630" s="60" t="str">
        <x:v>ok:200</x:v>
      </x:c>
      <x:c r="AZ630" s="60" t="n">
        <x:v>46232.722858796296</x:v>
      </x:c>
      <x:c r="BA630" s="60" t="str">
        <x:v>AI Ark SC trades export</x:v>
      </x:c>
      <x:c r="BB630" s="60" t="str">
        <x:v>https://glazing-solutions.com | https://www.linkedin.com/company/window-solutions</x:v>
      </x:c>
      <x:c r="BC630" s="60" t="str"/>
    </x:row>
    <x:row r="631" ht="18" customHeight="1">
      <x:c r="A631" s="70" t="str">
        <x:v>630</x:v>
      </x:c>
      <x:c r="B631" s="70" t="str">
        <x:v>C - Verify</x:v>
      </x:c>
      <x:c r="C631" s="72" t="str">
        <x:v>47</x:v>
      </x:c>
      <x:c r="D631" s="60" t="str">
        <x:v>PuroClean of Hilton Head</x:v>
      </x:c>
      <x:c r="E631" s="60" t="str">
        <x:v>https://puroclean.com</x:v>
      </x:c>
      <x:c r="F631" s="60" t="str">
        <x:v>https://www.puroclean.com/</x:v>
      </x:c>
      <x:c r="G631" s="60" t="str">
        <x:v>Hilton Head Island</x:v>
      </x:c>
      <x:c r="H631" s="60" t="str">
        <x:v>South Carolina</x:v>
      </x:c>
      <x:c r="I631" s="60" t="str">
        <x:v>Restoration</x:v>
      </x:c>
      <x:c r="J631" s="60" t="str">
        <x:v>John</x:v>
      </x:c>
      <x:c r="K631" s="60" t="str">
        <x:v>Egan</x:v>
      </x:c>
      <x:c r="L631" s="60" t="str">
        <x:v>Owner, Operator</x:v>
      </x:c>
      <x:c r="M631" s="60" t="str">
        <x:v>john.egan@puroclean.com</x:v>
      </x:c>
      <x:c r="N631" s="60" t="str">
        <x:v>Verified with BounceBan on 08 Jun 26 12:06</x:v>
      </x:c>
      <x:c r="O631" s="60" t="str"/>
      <x:c r="P631" s="60" t="str">
        <x:v>https://www.linkedin.com/in/john-egan-34a3682</x:v>
      </x:c>
      <x:c r="Q631" s="60" t="str">
        <x:v>2-10</x:v>
      </x:c>
      <x:c r="R631" s="60" t="str">
        <x:v>0-99999</x:v>
      </x:c>
      <x:c r="S631" s="60" t="str"/>
      <x:c r="T631" s="74" t="str">
        <x:v>0</x:v>
      </x:c>
      <x:c r="U631" s="60" t="str"/>
      <x:c r="V631" s="74" t="str">
        <x:v>28</x:v>
      </x:c>
      <x:c r="W631" s="74" t="str">
        <x:v>3</x:v>
      </x:c>
      <x:c r="X631" s="74" t="str">
        <x:v>6</x:v>
      </x:c>
      <x:c r="Y631" s="74" t="str">
        <x:v>3</x:v>
      </x:c>
      <x:c r="Z631" s="74" t="str">
        <x:v>7</x:v>
      </x:c>
      <x:c r="AA631" s="74" t="str">
        <x:v>0</x:v>
      </x:c>
      <x:c r="AB631" s="74" t="str">
        <x:v>0</x:v>
      </x:c>
      <x:c r="AC631" s="74" t="str">
        <x:v>1</x:v>
      </x:c>
      <x:c r="AD631" s="74" t="str">
        <x:v>0</x:v>
      </x:c>
      <x:c r="AE631" s="74" t="str">
        <x:v>0</x:v>
      </x:c>
      <x:c r="AF631" s="74" t="str"/>
      <x:c r="AG631" s="74" t="str">
        <x:v>0</x:v>
      </x:c>
      <x:c r="AH631" s="74" t="str">
        <x:v>0</x:v>
      </x:c>
      <x:c r="AI631" s="74" t="str">
        <x:v>0</x:v>
      </x:c>
      <x:c r="AJ631" s="74" t="str">
        <x:v>0</x:v>
      </x:c>
      <x:c r="AK631" s="74" t="str">
        <x:v>1</x:v>
      </x:c>
      <x:c r="AL631" s="74" t="str">
        <x:v>1</x:v>
      </x:c>
      <x:c r="AM631" s="74" t="str">
        <x:v>1</x:v>
      </x:c>
      <x:c r="AN631" s="74" t="str">
        <x:v>1</x:v>
      </x:c>
      <x:c r="AO631" s="60" t="str">
        <x:v>2026</x:v>
      </x:c>
      <x:c r="AP631" s="76" t="str">
        <x:v>ICP fit; paid-demand need requires manual verification</x:v>
      </x:c>
      <x:c r="AQ631" s="76" t="str">
        <x:v>visible service offer; no embedded homepage video detected</x:v>
      </x:c>
      <x:c r="AR631" s="76" t="str">
        <x:v>I was reviewing restoration companies in Hilton Head Island, South Carolina and PuroClean of Hilton Head looked like a strong fit for a creative test.</x:v>
      </x:c>
      <x:c r="AS631" s="76" t="str">
        <x:v>first-24-hours emergency-response ad</x:v>
      </x:c>
      <x:c r="AT631" s="76" t="str">
        <x:v>PuroClean of Hilton Head ad concept</x:v>
      </x:c>
      <x:c r="AU631" s="76" t="str">
        <x:v>Hi John — I was reviewing restoration companies in Hilton Head Island, South Carolina and PuroClean of Hilton Head looked like a strong fit for a creative test. I mapped a private 15-second first-24-hours emergency-response ad for PuroClean of Hilton Head using only public brand context—not for publishing, just to show the angle. We build three client-approved video ad concepts in seven days, then turn the winners into fresh variations. No filming day required. Worth sending the private sample?</x:v>
      </x:c>
      <x:c r="AV631" s="76" t="str">
        <x:v>Quick follow-up: the sample angle is a first-24-hours emergency-response ad. If it misses the mark, no problem—I won't keep chasing. Should I send it?</x:v>
      </x:c>
      <x:c r="AW631" s="76" t="str">
        <x:v>Hi John, Ryan here. I was looking at PuroClean of Hilton Head's public marketing and noticed: icp fit; paid-demand need requires manual verification. I mapped one private first-24-hours emergency-response ad as an example. Did I catch you with 30 seconds?</x:v>
      </x:c>
      <x:c r="AX631" s="60" t="str">
        <x:v>https://www.facebook.com/ads/library/?active_status=active&amp;ad_type=all&amp;country=US&amp;q=PuroClean%20of%20Hilton%20Head&amp;search_type=keyword_unordered</x:v>
      </x:c>
      <x:c r="AY631" s="60" t="str">
        <x:v>ok:200</x:v>
      </x:c>
      <x:c r="AZ631" s="60" t="n">
        <x:v>46232.722858796296</x:v>
      </x:c>
      <x:c r="BA631" s="60" t="str">
        <x:v>AI Ark SC trades export</x:v>
      </x:c>
      <x:c r="BB631" s="60" t="str">
        <x:v>https://puroclean.com | https://www.linkedin.com/company/puroclean-of-hilton-head</x:v>
      </x:c>
      <x:c r="BC631" s="60" t="str"/>
    </x:row>
    <x:row r="632" ht="18" customHeight="1">
      <x:c r="A632" s="70" t="str">
        <x:v>631</x:v>
      </x:c>
      <x:c r="B632" s="70" t="str">
        <x:v>C - Verify</x:v>
      </x:c>
      <x:c r="C632" s="72" t="str">
        <x:v>47</x:v>
      </x:c>
      <x:c r="D632" s="60" t="str">
        <x:v>Mr. Roofer</x:v>
      </x:c>
      <x:c r="E632" s="60" t="str">
        <x:v>https://mrroofer.org</x:v>
      </x:c>
      <x:c r="F632" s="60" t="str">
        <x:v>https://www.mrroofer.org/</x:v>
      </x:c>
      <x:c r="G632" s="60" t="str">
        <x:v>Rock Hill</x:v>
      </x:c>
      <x:c r="H632" s="60" t="str">
        <x:v>South Carolina</x:v>
      </x:c>
      <x:c r="I632" s="60" t="str">
        <x:v>Roofing</x:v>
      </x:c>
      <x:c r="J632" s="60" t="str">
        <x:v>Mr. Roofer</x:v>
      </x:c>
      <x:c r="K632" s="60" t="str"/>
      <x:c r="L632" s="60" t="str">
        <x:v>Owner / decision maker to verify</x:v>
      </x:c>
      <x:c r="M632" s="60" t="str"/>
      <x:c r="N632" s="60" t="str"/>
      <x:c r="O632" s="60" t="str">
        <x:v>(803) 619-9115</x:v>
      </x:c>
      <x:c r="P632" s="60" t="str"/>
      <x:c r="Q632" s="60" t="str"/>
      <x:c r="R632" s="60" t="str"/>
      <x:c r="S632" s="60" t="str">
        <x:v>4.9</x:v>
      </x:c>
      <x:c r="T632" s="74" t="str">
        <x:v>40</x:v>
      </x:c>
      <x:c r="U632" s="60" t="str"/>
      <x:c r="V632" s="74" t="str">
        <x:v>27</x:v>
      </x:c>
      <x:c r="W632" s="74" t="str">
        <x:v>3</x:v>
      </x:c>
      <x:c r="X632" s="74" t="str">
        <x:v>10</x:v>
      </x:c>
      <x:c r="Y632" s="74" t="str">
        <x:v>2</x:v>
      </x:c>
      <x:c r="Z632" s="74" t="str">
        <x:v>5</x:v>
      </x:c>
      <x:c r="AA632" s="74" t="str">
        <x:v>0</x:v>
      </x:c>
      <x:c r="AB632" s="74" t="str">
        <x:v>0</x:v>
      </x:c>
      <x:c r="AC632" s="74" t="str">
        <x:v>1</x:v>
      </x:c>
      <x:c r="AD632" s="74" t="str">
        <x:v>0</x:v>
      </x:c>
      <x:c r="AE632" s="74" t="str">
        <x:v>0</x:v>
      </x:c>
      <x:c r="AF632" s="74" t="str"/>
      <x:c r="AG632" s="74" t="str">
        <x:v>0</x:v>
      </x:c>
      <x:c r="AH632" s="74" t="str">
        <x:v>0</x:v>
      </x:c>
      <x:c r="AI632" s="74" t="str">
        <x:v>0</x:v>
      </x:c>
      <x:c r="AJ632" s="74" t="str">
        <x:v>0</x:v>
      </x:c>
      <x:c r="AK632" s="74" t="str">
        <x:v>0</x:v>
      </x:c>
      <x:c r="AL632" s="74" t="str">
        <x:v>0</x:v>
      </x:c>
      <x:c r="AM632" s="74" t="str">
        <x:v>1</x:v>
      </x:c>
      <x:c r="AN632" s="74" t="str">
        <x:v>0</x:v>
      </x:c>
      <x:c r="AO632" s="60" t="str">
        <x:v>2026</x:v>
      </x:c>
      <x:c r="AP632" s="76" t="str">
        <x:v>ICP fit; paid-demand need requires manual verification</x:v>
      </x:c>
      <x:c r="AQ632" s="76" t="str">
        <x:v>no embedded homepage video detected</x:v>
      </x:c>
      <x:c r="AR632" s="76" t="str">
        <x:v>I was reviewing roofing companies in Rock Hill, South Carolina and Mr. Roofer looked like a strong fit for a creative test.</x:v>
      </x:c>
      <x:c r="AS632" s="76" t="str">
        <x:v>storm-to-inspection before/after ad</x:v>
      </x:c>
      <x:c r="AT632" s="76" t="str">
        <x:v>Mr. Roofer ad concept</x:v>
      </x:c>
      <x:c r="AU632" s="76" t="str">
        <x:v>Hi Mr. Roofer — I was reviewing roofing companies in Rock Hill, South Carolina and Mr. Roofer looked like a strong fit for a creative test. I mapped a private 15-second storm-to-inspection before/after ad for Mr. Roofer using only public brand context—not for publishing, just to show the angle. We build three client-approved video ad concepts in seven days, then turn the winners into fresh variations. No filming day required. Worth sending the private sample?</x:v>
      </x:c>
      <x:c r="AV632" s="76" t="str">
        <x:v>Quick follow-up: the sample angle is a storm-to-inspection before/after ad. If it misses the mark, no problem—I won't keep chasing. Should I send it?</x:v>
      </x:c>
      <x:c r="AW632" s="76" t="str">
        <x:v>Hi Mr. Roofer, Ryan here. I was looking at Mr. Roofer's public marketing and noticed: icp fit; paid-demand need requires manual verification. I mapped one private storm-to-inspection before/after ad as an example. Did I catch you with 30 seconds?</x:v>
      </x:c>
      <x:c r="AX632" s="60" t="str">
        <x:v>https://www.facebook.com/ads/library/?active_status=active&amp;ad_type=all&amp;country=US&amp;q=Mr.%20Roofer&amp;search_type=keyword_unordered</x:v>
      </x:c>
      <x:c r="AY632" s="60" t="str">
        <x:v>ok:200</x:v>
      </x:c>
      <x:c r="AZ632" s="60" t="n">
        <x:v>46232.722858796296</x:v>
      </x:c>
      <x:c r="BA632" s="60" t="str">
        <x:v>Google Maps home-services export</x:v>
      </x:c>
      <x:c r="BB632" s="60" t="str">
        <x:v>https://maps.google.com/?cid=4638758408389653524&amp;g_mp=Cidnb29nbGUubWFwcy5wbGFjZXMudjEuUGxhY2VzLlNlYXJjaFRleHQQAhgEIAA | https://mrroofer.org</x:v>
      </x:c>
      <x:c r="BC632" s="60" t="str"/>
    </x:row>
    <x:row r="633" ht="18" customHeight="1">
      <x:c r="A633" s="70" t="str">
        <x:v>632</x:v>
      </x:c>
      <x:c r="B633" s="70" t="str">
        <x:v>C - Verify</x:v>
      </x:c>
      <x:c r="C633" s="72" t="str">
        <x:v>47</x:v>
      </x:c>
      <x:c r="D633" s="60" t="str">
        <x:v>Upstate Demolition Services</x:v>
      </x:c>
      <x:c r="E633" s="60" t="str">
        <x:v>https://upstatedemolition.com</x:v>
      </x:c>
      <x:c r="F633" s="60" t="str">
        <x:v>https://www.upstatedemolition.com/</x:v>
      </x:c>
      <x:c r="G633" s="60" t="str">
        <x:v>Greenville</x:v>
      </x:c>
      <x:c r="H633" s="60" t="str">
        <x:v>South Carolina</x:v>
      </x:c>
      <x:c r="I633" s="60" t="str">
        <x:v>Pools &amp; Spas</x:v>
      </x:c>
      <x:c r="J633" s="60" t="str">
        <x:v>Ben</x:v>
      </x:c>
      <x:c r="K633" s="60" t="str">
        <x:v>Hallas</x:v>
      </x:c>
      <x:c r="L633" s="60" t="str">
        <x:v>Owner</x:v>
      </x:c>
      <x:c r="M633" s="60" t="str">
        <x:v>ben@upstatedemolition.com</x:v>
      </x:c>
      <x:c r="N633" s="60" t="str">
        <x:v>Verified with BounceBan on 08 Jun 26 12:06</x:v>
      </x:c>
      <x:c r="O633" s="60" t="str">
        <x:v>+1 860 712 1060, +1 864 609 0039</x:v>
      </x:c>
      <x:c r="P633" s="60" t="str">
        <x:v>https://www.linkedin.com/in/ben-hallas-324a0255</x:v>
      </x:c>
      <x:c r="Q633" s="60" t="str">
        <x:v>2-10</x:v>
      </x:c>
      <x:c r="R633" s="60" t="str">
        <x:v>0-99999</x:v>
      </x:c>
      <x:c r="S633" s="60" t="str"/>
      <x:c r="T633" s="74" t="str">
        <x:v>0</x:v>
      </x:c>
      <x:c r="U633" s="60" t="str"/>
      <x:c r="V633" s="74" t="str">
        <x:v>24</x:v>
      </x:c>
      <x:c r="W633" s="74" t="str">
        <x:v>3</x:v>
      </x:c>
      <x:c r="X633" s="74" t="str">
        <x:v>10</x:v>
      </x:c>
      <x:c r="Y633" s="74" t="str">
        <x:v>0</x:v>
      </x:c>
      <x:c r="Z633" s="74" t="str">
        <x:v>10</x:v>
      </x:c>
      <x:c r="AA633" s="74" t="str">
        <x:v>0</x:v>
      </x:c>
      <x:c r="AB633" s="74" t="str">
        <x:v>0</x:v>
      </x:c>
      <x:c r="AC633" s="74" t="str">
        <x:v>1</x:v>
      </x:c>
      <x:c r="AD633" s="74" t="str">
        <x:v>0</x:v>
      </x:c>
      <x:c r="AE633" s="74" t="str">
        <x:v>0</x:v>
      </x:c>
      <x:c r="AF633" s="74" t="str"/>
      <x:c r="AG633" s="74" t="str">
        <x:v>0</x:v>
      </x:c>
      <x:c r="AH633" s="74" t="str">
        <x:v>0</x:v>
      </x:c>
      <x:c r="AI633" s="74" t="str">
        <x:v>0</x:v>
      </x:c>
      <x:c r="AJ633" s="74" t="str">
        <x:v>0</x:v>
      </x:c>
      <x:c r="AK633" s="74" t="str">
        <x:v>0</x:v>
      </x:c>
      <x:c r="AL633" s="74" t="str">
        <x:v>0</x:v>
      </x:c>
      <x:c r="AM633" s="74" t="str">
        <x:v>1</x:v>
      </x:c>
      <x:c r="AN633" s="74" t="str">
        <x:v>0</x:v>
      </x:c>
      <x:c r="AO633" s="60" t="str">
        <x:v>2026</x:v>
      </x:c>
      <x:c r="AP633" s="76" t="str">
        <x:v>ICP fit; paid-demand need requires manual verification</x:v>
      </x:c>
      <x:c r="AQ633" s="76" t="str">
        <x:v>no embedded homepage video detected</x:v>
      </x:c>
      <x:c r="AR633" s="76" t="str">
        <x:v>I was reviewing pools &amp; spas companies in Greenville, South Carolina and Upstate Demolition Services looked like a strong fit for a creative test.</x:v>
      </x:c>
      <x:c r="AS633" s="76" t="str">
        <x:v>backyard-before to finished-project reveal</x:v>
      </x:c>
      <x:c r="AT633" s="76" t="str">
        <x:v>Upstate Demolition Services ad concept</x:v>
      </x:c>
      <x:c r="AU633" s="76" t="str">
        <x:v>Hi Ben — I was reviewing pools &amp; spas companies in Greenville, South Carolina and Upstate Demolition Services looked like a strong fit for a creative test. I mapped a private 15-second backyard-before to finished-project reveal for Upstate Demolition Services using only public brand context—not for publishing, just to show the angle. We build three client-approved video ad concepts in seven days, then turn the winners into fresh variations. No filming day required. Worth sending the private sample?</x:v>
      </x:c>
      <x:c r="AV633" s="76" t="str">
        <x:v>Quick follow-up: the sample angle is a backyard-before to finished-project reveal. If it misses the mark, no problem—I won't keep chasing. Should I send it?</x:v>
      </x:c>
      <x:c r="AW633" s="76" t="str">
        <x:v>Hi Ben, Ryan here. I was looking at Upstate Demolition Services's public marketing and noticed: icp fit; paid-demand need requires manual verification. I mapped one private backyard-before to finished-project reveal as an example. Did I catch you with 30 seconds?</x:v>
      </x:c>
      <x:c r="AX633" s="60" t="str">
        <x:v>https://www.facebook.com/ads/library/?active_status=active&amp;ad_type=all&amp;country=US&amp;q=Upstate%20Demolition%20Services&amp;search_type=keyword_unordered</x:v>
      </x:c>
      <x:c r="AY633" s="60" t="str">
        <x:v>ok:200</x:v>
      </x:c>
      <x:c r="AZ633" s="60" t="n">
        <x:v>46232.722858796296</x:v>
      </x:c>
      <x:c r="BA633" s="60" t="str">
        <x:v>AI Ark SC trades export</x:v>
      </x:c>
      <x:c r="BB633" s="60" t="str">
        <x:v>https://upstatedemolition.com | https://www.linkedin.com/company/upstate-demolition-services</x:v>
      </x:c>
      <x:c r="BC633" s="60" t="str"/>
    </x:row>
    <x:row r="634" ht="18" customHeight="1">
      <x:c r="A634" s="70" t="str">
        <x:v>633</x:v>
      </x:c>
      <x:c r="B634" s="70" t="str">
        <x:v>C - Verify</x:v>
      </x:c>
      <x:c r="C634" s="72" t="str">
        <x:v>47</x:v>
      </x:c>
      <x:c r="D634" s="60" t="str">
        <x:v>Superior Fence &amp; Rail of Charleston</x:v>
      </x:c>
      <x:c r="E634" s="60" t="str">
        <x:v>https://superiorfenceandrail.com</x:v>
      </x:c>
      <x:c r="F634" s="60" t="str">
        <x:v>https://www.superiorfenceandrail.com/</x:v>
      </x:c>
      <x:c r="G634" s="60" t="str">
        <x:v>Mount Pleasant</x:v>
      </x:c>
      <x:c r="H634" s="60" t="str">
        <x:v>South Carolina</x:v>
      </x:c>
      <x:c r="I634" s="60" t="str">
        <x:v>Fence &amp; Deck</x:v>
      </x:c>
      <x:c r="J634" s="60" t="str">
        <x:v>Patrick</x:v>
      </x:c>
      <x:c r="K634" s="60" t="str">
        <x:v>Monegan</x:v>
      </x:c>
      <x:c r="L634" s="60" t="str">
        <x:v>Business Owner</x:v>
      </x:c>
      <x:c r="M634" s="60" t="str">
        <x:v>patrick@superiorfenceandrail.com</x:v>
      </x:c>
      <x:c r="N634" s="60" t="str">
        <x:v>Verified with BounceBan on 08 Jun 26 12:06</x:v>
      </x:c>
      <x:c r="O634" s="60" t="str">
        <x:v>+1 727 278 5467, +1 419 569 2219</x:v>
      </x:c>
      <x:c r="P634" s="60" t="str">
        <x:v>https://www.linkedin.com/in/patmonegan</x:v>
      </x:c>
      <x:c r="Q634" s="60" t="str">
        <x:v>11-50</x:v>
      </x:c>
      <x:c r="R634" s="60" t="str">
        <x:v>0-99999</x:v>
      </x:c>
      <x:c r="S634" s="60" t="str"/>
      <x:c r="T634" s="74" t="str">
        <x:v>0</x:v>
      </x:c>
      <x:c r="U634" s="60" t="str"/>
      <x:c r="V634" s="74" t="str">
        <x:v>24</x:v>
      </x:c>
      <x:c r="W634" s="74" t="str">
        <x:v>3</x:v>
      </x:c>
      <x:c r="X634" s="74" t="str">
        <x:v>10</x:v>
      </x:c>
      <x:c r="Y634" s="74" t="str">
        <x:v>0</x:v>
      </x:c>
      <x:c r="Z634" s="74" t="str">
        <x:v>10</x:v>
      </x:c>
      <x:c r="AA634" s="74" t="str">
        <x:v>0</x:v>
      </x:c>
      <x:c r="AB634" s="74" t="str">
        <x:v>0</x:v>
      </x:c>
      <x:c r="AC634" s="74" t="str">
        <x:v>1</x:v>
      </x:c>
      <x:c r="AD634" s="74" t="str">
        <x:v>0</x:v>
      </x:c>
      <x:c r="AE634" s="74" t="str">
        <x:v>0</x:v>
      </x:c>
      <x:c r="AF634" s="74" t="str"/>
      <x:c r="AG634" s="74" t="str">
        <x:v>0</x:v>
      </x:c>
      <x:c r="AH634" s="74" t="str">
        <x:v>0</x:v>
      </x:c>
      <x:c r="AI634" s="74" t="str">
        <x:v>0</x:v>
      </x:c>
      <x:c r="AJ634" s="74" t="str">
        <x:v>0</x:v>
      </x:c>
      <x:c r="AK634" s="74" t="str">
        <x:v>0</x:v>
      </x:c>
      <x:c r="AL634" s="74" t="str">
        <x:v>0</x:v>
      </x:c>
      <x:c r="AM634" s="74" t="str">
        <x:v>0</x:v>
      </x:c>
      <x:c r="AN634" s="74" t="str">
        <x:v>0</x:v>
      </x:c>
      <x:c r="AO634" s="60" t="str">
        <x:v>0</x:v>
      </x:c>
      <x:c r="AP634" s="76" t="str">
        <x:v>ICP fit; paid-demand need requires manual verification</x:v>
      </x:c>
      <x:c r="AQ634" s="76" t="str">
        <x:v>no embedded homepage video detected</x:v>
      </x:c>
      <x:c r="AR634" s="76" t="str">
        <x:v>I was reviewing fence &amp; deck companies in Mount Pleasant, South Carolina and Superior Fence &amp; Rail of Charleston looked like a strong fit for a creative test.</x:v>
      </x:c>
      <x:c r="AS634" s="76" t="str">
        <x:v>yard privacy transformation ad</x:v>
      </x:c>
      <x:c r="AT634" s="76" t="str">
        <x:v>Superior Fence &amp; Rail of Charleston ad concept</x:v>
      </x:c>
      <x:c r="AU634" s="76" t="str">
        <x:v>Hi Patrick — I was reviewing fence &amp; deck companies in Mount Pleasant, South Carolina and Superior Fence &amp; Rail of Charleston looked like a strong fit for a creative test. I mapped a private 15-second yard privacy transformation ad for Superior Fence &amp; Rail of Charleston using only public brand context—not for publishing, just to show the angle. We build three client-approved video ad concepts in seven days, then turn the winners into fresh variations. No filming day required. Worth sending the private sample?</x:v>
      </x:c>
      <x:c r="AV634" s="76" t="str">
        <x:v>Quick follow-up: the sample angle is a yard privacy transformation ad. If it misses the mark, no problem—I won't keep chasing. Should I send it?</x:v>
      </x:c>
      <x:c r="AW634" s="76" t="str">
        <x:v>Hi Patrick, Ryan here. I was looking at Superior Fence &amp; Rail of Charleston's public marketing and noticed: icp fit; paid-demand need requires manual verification. I mapped one private yard privacy transformation ad as an example. Did I catch you with 30 seconds?</x:v>
      </x:c>
      <x:c r="AX634" s="60" t="str">
        <x:v>https://www.facebook.com/ads/library/?active_status=active&amp;ad_type=all&amp;country=US&amp;q=Superior%20Fence%20%26%20Rail%20of%20Charleston&amp;search_type=keyword_unordered</x:v>
      </x:c>
      <x:c r="AY634" s="60" t="str">
        <x:v>ok:200</x:v>
      </x:c>
      <x:c r="AZ634" s="60" t="n">
        <x:v>46232.722858796296</x:v>
      </x:c>
      <x:c r="BA634" s="60" t="str">
        <x:v>AI Ark SC trades export</x:v>
      </x:c>
      <x:c r="BB634" s="60" t="str">
        <x:v>https://superiorfenceandrail.com | https://www.linkedin.com/company/superior-fence-rail-of-charleston</x:v>
      </x:c>
      <x:c r="BC634" s="60" t="str"/>
    </x:row>
    <x:row r="635" ht="18" customHeight="1">
      <x:c r="A635" s="70" t="str">
        <x:v>634</x:v>
      </x:c>
      <x:c r="B635" s="70" t="str">
        <x:v>C - Verify</x:v>
      </x:c>
      <x:c r="C635" s="72" t="str">
        <x:v>47</x:v>
      </x:c>
      <x:c r="D635" s="60" t="str">
        <x:v>Campbell Construction</x:v>
      </x:c>
      <x:c r="E635" s="60" t="str">
        <x:v>https://campbellbuilding.ca</x:v>
      </x:c>
      <x:c r="F635" s="60" t="str">
        <x:v>https://campbellbuilding.ca</x:v>
      </x:c>
      <x:c r="G635" s="60" t="str">
        <x:v>Mount Pleasant</x:v>
      </x:c>
      <x:c r="H635" s="60" t="str">
        <x:v>South Carolina</x:v>
      </x:c>
      <x:c r="I635" s="60" t="str">
        <x:v>Remodeling</x:v>
      </x:c>
      <x:c r="J635" s="60" t="str">
        <x:v>Ian</x:v>
      </x:c>
      <x:c r="K635" s="60" t="str">
        <x:v>Campbell</x:v>
      </x:c>
      <x:c r="L635" s="60" t="str">
        <x:v>Business Owner</x:v>
      </x:c>
      <x:c r="M635" s="60" t="str"/>
      <x:c r="N635" s="60" t="str"/>
      <x:c r="O635" s="60" t="str">
        <x:v>+1 843 647 9308</x:v>
      </x:c>
      <x:c r="P635" s="60" t="str">
        <x:v>https://www.linkedin.com/in/ian-campbell-b208a5158</x:v>
      </x:c>
      <x:c r="Q635" s="60" t="str">
        <x:v>2-10</x:v>
      </x:c>
      <x:c r="R635" s="60" t="str">
        <x:v>1000000-4999999</x:v>
      </x:c>
      <x:c r="S635" s="60" t="str"/>
      <x:c r="T635" s="74" t="str">
        <x:v>0</x:v>
      </x:c>
      <x:c r="U635" s="60" t="str"/>
      <x:c r="V635" s="74" t="str">
        <x:v>29</x:v>
      </x:c>
      <x:c r="W635" s="74" t="str">
        <x:v>3</x:v>
      </x:c>
      <x:c r="X635" s="74" t="str">
        <x:v>10</x:v>
      </x:c>
      <x:c r="Y635" s="74" t="str">
        <x:v>0</x:v>
      </x:c>
      <x:c r="Z635" s="74" t="str">
        <x:v>5</x:v>
      </x:c>
      <x:c r="AA635" s="74" t="str">
        <x:v>0</x:v>
      </x:c>
      <x:c r="AB635" s="74" t="str">
        <x:v>0</x:v>
      </x:c>
      <x:c r="AC635" s="74" t="str">
        <x:v>1</x:v>
      </x:c>
      <x:c r="AD635" s="74" t="str">
        <x:v>0</x:v>
      </x:c>
      <x:c r="AE635" s="74" t="str">
        <x:v>0</x:v>
      </x:c>
      <x:c r="AF635" s="74" t="str"/>
      <x:c r="AG635" s="74" t="str">
        <x:v>0</x:v>
      </x:c>
      <x:c r="AH635" s="74" t="str">
        <x:v>0</x:v>
      </x:c>
      <x:c r="AI635" s="74" t="str">
        <x:v>0</x:v>
      </x:c>
      <x:c r="AJ635" s="74" t="str">
        <x:v>0</x:v>
      </x:c>
      <x:c r="AK635" s="74" t="str">
        <x:v>0</x:v>
      </x:c>
      <x:c r="AL635" s="74" t="str">
        <x:v>0</x:v>
      </x:c>
      <x:c r="AM635" s="74" t="str">
        <x:v>1</x:v>
      </x:c>
      <x:c r="AN635" s="74" t="str">
        <x:v>0</x:v>
      </x:c>
      <x:c r="AO635" s="60" t="str">
        <x:v>2026</x:v>
      </x:c>
      <x:c r="AP635" s="76" t="str">
        <x:v>ICP fit; paid-demand need requires manual verification</x:v>
      </x:c>
      <x:c r="AQ635" s="76" t="str">
        <x:v>no embedded homepage video detected</x:v>
      </x:c>
      <x:c r="AR635" s="76" t="str">
        <x:v>I was reviewing remodeling companies in Mount Pleasant, South Carolina and Campbell Construction looked like a strong fit for a creative test.</x:v>
      </x:c>
      <x:c r="AS635" s="76" t="str">
        <x:v>project reveal with budget-and-timeline proof</x:v>
      </x:c>
      <x:c r="AT635" s="76" t="str">
        <x:v>Campbell Construction ad concept</x:v>
      </x:c>
      <x:c r="AU635" s="76" t="str">
        <x:v>Hi Ian — I was reviewing remodeling companies in Mount Pleasant, South Carolina and Campbell Construction looked like a strong fit for a creative test. I mapped a private 15-second project reveal with budget-and-timeline proof for Campbell Construction using only public brand context—not for publishing, just to show the angle. We build three client-approved video ad concepts in seven days, then turn the winners into fresh variations. No filming day required. Worth sending the private sample?</x:v>
      </x:c>
      <x:c r="AV635" s="76" t="str">
        <x:v>Quick follow-up: the sample angle is a project reveal with budget-and-timeline proof. If it misses the mark, no problem—I won't keep chasing. Should I send it?</x:v>
      </x:c>
      <x:c r="AW635" s="76" t="str">
        <x:v>Hi Ian, Ryan here. I was looking at Campbell Construction's public marketing and noticed: icp fit; paid-demand need requires manual verification. I mapped one private project reveal with budget-and-timeline proof as an example. Did I catch you with 30 seconds?</x:v>
      </x:c>
      <x:c r="AX635" s="60" t="str">
        <x:v>https://www.facebook.com/ads/library/?active_status=active&amp;ad_type=all&amp;country=US&amp;q=Campbell%20Construction&amp;search_type=keyword_unordered</x:v>
      </x:c>
      <x:c r="AY635" s="60" t="str">
        <x:v>ok:200</x:v>
      </x:c>
      <x:c r="AZ635" s="60" t="n">
        <x:v>46232.722858796296</x:v>
      </x:c>
      <x:c r="BA635" s="60" t="str">
        <x:v>AI Ark SC trades export</x:v>
      </x:c>
      <x:c r="BB635" s="60" t="str">
        <x:v>https://campbellbuilding.ca | https://www.linkedin.com/company/campbell-building</x:v>
      </x:c>
      <x:c r="BC635" s="60" t="str"/>
    </x:row>
    <x:row r="636" ht="18" customHeight="1">
      <x:c r="A636" s="70" t="str">
        <x:v>635</x:v>
      </x:c>
      <x:c r="B636" s="70" t="str">
        <x:v>C - Verify</x:v>
      </x:c>
      <x:c r="C636" s="72" t="str">
        <x:v>47</x:v>
      </x:c>
      <x:c r="D636" s="60" t="str">
        <x:v>Archer Construction</x:v>
      </x:c>
      <x:c r="E636" s="60" t="str">
        <x:v>https://archerconstructionsc.com</x:v>
      </x:c>
      <x:c r="F636" s="60" t="str">
        <x:v>https://www.archerconstructionsc.com/</x:v>
      </x:c>
      <x:c r="G636" s="60" t="str">
        <x:v>Charleston</x:v>
      </x:c>
      <x:c r="H636" s="60" t="str">
        <x:v>South Carolina</x:v>
      </x:c>
      <x:c r="I636" s="60" t="str">
        <x:v>Restoration</x:v>
      </x:c>
      <x:c r="J636" s="60" t="str">
        <x:v>Joe</x:v>
      </x:c>
      <x:c r="K636" s="60" t="str">
        <x:v>Lobert</x:v>
      </x:c>
      <x:c r="L636" s="60" t="str">
        <x:v>Co- Owner</x:v>
      </x:c>
      <x:c r="M636" s="60" t="str"/>
      <x:c r="N636" s="60" t="str"/>
      <x:c r="O636" s="60" t="str">
        <x:v>+1 843 200 2540</x:v>
      </x:c>
      <x:c r="P636" s="60" t="str">
        <x:v>https://www.linkedin.com/in/joelobert</x:v>
      </x:c>
      <x:c r="Q636" s="60" t="str">
        <x:v>2-10</x:v>
      </x:c>
      <x:c r="R636" s="60" t="str">
        <x:v>1000000-4999999</x:v>
      </x:c>
      <x:c r="S636" s="60" t="str"/>
      <x:c r="T636" s="74" t="str">
        <x:v>0</x:v>
      </x:c>
      <x:c r="U636" s="60" t="str"/>
      <x:c r="V636" s="74" t="str">
        <x:v>30</x:v>
      </x:c>
      <x:c r="W636" s="74" t="str">
        <x:v>3</x:v>
      </x:c>
      <x:c r="X636" s="74" t="str">
        <x:v>9</x:v>
      </x:c>
      <x:c r="Y636" s="74" t="str">
        <x:v>0</x:v>
      </x:c>
      <x:c r="Z636" s="74" t="str">
        <x:v>5</x:v>
      </x:c>
      <x:c r="AA636" s="74" t="str">
        <x:v>0</x:v>
      </x:c>
      <x:c r="AB636" s="74" t="str">
        <x:v>0</x:v>
      </x:c>
      <x:c r="AC636" s="74" t="str">
        <x:v>1</x:v>
      </x:c>
      <x:c r="AD636" s="74" t="str">
        <x:v>0</x:v>
      </x:c>
      <x:c r="AE636" s="74" t="str">
        <x:v>0</x:v>
      </x:c>
      <x:c r="AF636" s="74" t="str"/>
      <x:c r="AG636" s="74" t="str">
        <x:v>0</x:v>
      </x:c>
      <x:c r="AH636" s="74" t="str">
        <x:v>0</x:v>
      </x:c>
      <x:c r="AI636" s="74" t="str">
        <x:v>0</x:v>
      </x:c>
      <x:c r="AJ636" s="74" t="str">
        <x:v>0</x:v>
      </x:c>
      <x:c r="AK636" s="74" t="str">
        <x:v>0</x:v>
      </x:c>
      <x:c r="AL636" s="74" t="str">
        <x:v>1</x:v>
      </x:c>
      <x:c r="AM636" s="74" t="str">
        <x:v>1</x:v>
      </x:c>
      <x:c r="AN636" s="74" t="str">
        <x:v>0</x:v>
      </x:c>
      <x:c r="AO636" s="60" t="str">
        <x:v>2024</x:v>
      </x:c>
      <x:c r="AP636" s="76" t="str">
        <x:v>ICP fit; paid-demand need requires manual verification</x:v>
      </x:c>
      <x:c r="AQ636" s="76" t="str">
        <x:v>no embedded homepage video detected</x:v>
      </x:c>
      <x:c r="AR636" s="76" t="str">
        <x:v>I was reviewing restoration companies in Charleston, South Carolina and Archer Construction looked like a strong fit for a creative test.</x:v>
      </x:c>
      <x:c r="AS636" s="76" t="str">
        <x:v>first-24-hours emergency-response ad</x:v>
      </x:c>
      <x:c r="AT636" s="76" t="str">
        <x:v>Archer Construction ad concept</x:v>
      </x:c>
      <x:c r="AU636" s="76" t="str">
        <x:v>Hi Joe — I was reviewing restoration companies in Charleston, South Carolina and Archer Construction looked like a strong fit for a creative test. I mapped a private 15-second first-24-hours emergency-response ad for Archer Construction using only public brand context—not for publishing, just to show the angle. We build three client-approved video ad concepts in seven days, then turn the winners into fresh variations. No filming day required. Worth sending the private sample?</x:v>
      </x:c>
      <x:c r="AV636" s="76" t="str">
        <x:v>Quick follow-up: the sample angle is a first-24-hours emergency-response ad. If it misses the mark, no problem—I won't keep chasing. Should I send it?</x:v>
      </x:c>
      <x:c r="AW636" s="76" t="str">
        <x:v>Hi Joe, Ryan here. I was looking at Archer Construction's public marketing and noticed: icp fit; paid-demand need requires manual verification. I mapped one private first-24-hours emergency-response ad as an example. Did I catch you with 30 seconds?</x:v>
      </x:c>
      <x:c r="AX636" s="60" t="str">
        <x:v>https://www.facebook.com/ads/library/?active_status=active&amp;ad_type=all&amp;country=US&amp;q=Archer%20Construction&amp;search_type=keyword_unordered</x:v>
      </x:c>
      <x:c r="AY636" s="60" t="str">
        <x:v>ok:200</x:v>
      </x:c>
      <x:c r="AZ636" s="60" t="n">
        <x:v>46232.722858796296</x:v>
      </x:c>
      <x:c r="BA636" s="60" t="str">
        <x:v>AI Ark SC trades export</x:v>
      </x:c>
      <x:c r="BB636" s="60" t="str">
        <x:v>https://archerconstructionsc.com | https://www.linkedin.com/company/archerconstructionsc</x:v>
      </x:c>
      <x:c r="BC636" s="60" t="str"/>
    </x:row>
    <x:row r="637" ht="18" customHeight="1">
      <x:c r="A637" s="70" t="str">
        <x:v>636</x:v>
      </x:c>
      <x:c r="B637" s="70" t="str">
        <x:v>C - Verify</x:v>
      </x:c>
      <x:c r="C637" s="72" t="str">
        <x:v>47</x:v>
      </x:c>
      <x:c r="D637" s="60" t="str">
        <x:v>Urquhart Plumbing Co. Inc,</x:v>
      </x:c>
      <x:c r="E637" s="60" t="str">
        <x:v>https://urquhartplumbing.com</x:v>
      </x:c>
      <x:c r="F637" s="60" t="str">
        <x:v>https://www.urquhartplumbing.com/</x:v>
      </x:c>
      <x:c r="G637" s="60" t="str">
        <x:v>Florence</x:v>
      </x:c>
      <x:c r="H637" s="60" t="str">
        <x:v>South Carolina</x:v>
      </x:c>
      <x:c r="I637" s="60" t="str">
        <x:v>Plumbing</x:v>
      </x:c>
      <x:c r="J637" s="60" t="str">
        <x:v>Urquhart Plumbing Co. Inc,</x:v>
      </x:c>
      <x:c r="K637" s="60" t="str"/>
      <x:c r="L637" s="60" t="str">
        <x:v>Owner / decision maker to verify</x:v>
      </x:c>
      <x:c r="M637" s="60" t="str"/>
      <x:c r="N637" s="60" t="str"/>
      <x:c r="O637" s="60" t="str">
        <x:v>(843) 662-2571</x:v>
      </x:c>
      <x:c r="P637" s="60" t="str"/>
      <x:c r="Q637" s="60" t="str"/>
      <x:c r="R637" s="60" t="str"/>
      <x:c r="S637" s="60" t="str">
        <x:v>4.4</x:v>
      </x:c>
      <x:c r="T637" s="74" t="str">
        <x:v>45</x:v>
      </x:c>
      <x:c r="U637" s="60" t="str">
        <x:v>scheduling, communication</x:v>
      </x:c>
      <x:c r="V637" s="74" t="str">
        <x:v>22</x:v>
      </x:c>
      <x:c r="W637" s="74" t="str">
        <x:v>0</x:v>
      </x:c>
      <x:c r="X637" s="74" t="str">
        <x:v>6</x:v>
      </x:c>
      <x:c r="Y637" s="74" t="str">
        <x:v>14</x:v>
      </x:c>
      <x:c r="Z637" s="74" t="str">
        <x:v>5</x:v>
      </x:c>
      <x:c r="AA637" s="74" t="str">
        <x:v>0</x:v>
      </x:c>
      <x:c r="AB637" s="74" t="str">
        <x:v>0</x:v>
      </x:c>
      <x:c r="AC637" s="74" t="str">
        <x:v>0</x:v>
      </x:c>
      <x:c r="AD637" s="74" t="str">
        <x:v>0</x:v>
      </x:c>
      <x:c r="AE637" s="74" t="str">
        <x:v>0</x:v>
      </x:c>
      <x:c r="AF637" s="74" t="str"/>
      <x:c r="AG637" s="74" t="str">
        <x:v>1</x:v>
      </x:c>
      <x:c r="AH637" s="74" t="str">
        <x:v>1</x:v>
      </x:c>
      <x:c r="AI637" s="74" t="str">
        <x:v>1</x:v>
      </x:c>
      <x:c r="AJ637" s="74" t="str">
        <x:v>0</x:v>
      </x:c>
      <x:c r="AK637" s="74" t="str">
        <x:v>1</x:v>
      </x:c>
      <x:c r="AL637" s="74" t="str">
        <x:v>0</x:v>
      </x:c>
      <x:c r="AM637" s="74" t="str">
        <x:v>1</x:v>
      </x:c>
      <x:c r="AN637" s="74" t="str">
        <x:v>0</x:v>
      </x:c>
      <x:c r="AO637" s="60" t="str">
        <x:v>0</x:v>
      </x:c>
      <x:c r="AP637" s="76" t="str">
        <x:v>ICP fit; paid-demand need requires manual verification</x:v>
      </x:c>
      <x:c r="AQ637" s="76" t="str">
        <x:v>project/gallery proof; testimonials; visible service offer</x:v>
      </x:c>
      <x:c r="AR637" s="76" t="str">
        <x:v>I was reviewing plumbing companies in Florence, South Carolina and Urquhart Plumbing Co. Inc, looked like a strong fit for a creative test.</x:v>
      </x:c>
      <x:c r="AS637" s="76" t="str">
        <x:v>small symptom to prevented-emergency ad</x:v>
      </x:c>
      <x:c r="AT637" s="76" t="str">
        <x:v>Urquhart Plumbing Co. Inc, ad concept</x:v>
      </x:c>
      <x:c r="AU637" s="76" t="str">
        <x:v>Hi Urquhart Plumbing Co. Inc, — I was reviewing plumbing companies in Florence, South Carolina and Urquhart Plumbing Co. Inc, looked like a strong fit for a creative test. I mapped a private 15-second small symptom to prevented-emergency ad for Urquhart Plumbing Co. Inc, using only public brand context—not for publishing, just to show the angle. We build three client-approved video ad concepts in seven days, then turn the winners into fresh variations. No filming day required. Worth sending the private sample?</x:v>
      </x:c>
      <x:c r="AV637" s="76" t="str">
        <x:v>Quick follow-up: the sample angle is a small symptom to prevented-emergency ad. If it misses the mark, no problem—I won't keep chasing. Should I send it?</x:v>
      </x:c>
      <x:c r="AW637" s="76" t="str">
        <x:v>Hi Urquhart Plumbing Co. Inc,, Ryan here. I was looking at Urquhart Plumbing Co. Inc,'s public marketing and noticed: icp fit; paid-demand need requires manual verification. I mapped one private small symptom to prevented-emergency ad as an example. Did I catch you with 30 seconds?</x:v>
      </x:c>
      <x:c r="AX637" s="60" t="str">
        <x:v>https://www.facebook.com/ads/library/?active_status=active&amp;ad_type=all&amp;country=US&amp;q=Urquhart%20Plumbing%20Co.%20Inc%2C&amp;search_type=keyword_unordered</x:v>
      </x:c>
      <x:c r="AY637" s="60" t="str">
        <x:v>ok:200</x:v>
      </x:c>
      <x:c r="AZ637" s="60" t="n">
        <x:v>46232.722858796296</x:v>
      </x:c>
      <x:c r="BA637" s="60" t="str">
        <x:v>Google Maps home-services export</x:v>
      </x:c>
      <x:c r="BB637" s="60" t="str">
        <x:v>https://maps.google.com/?cid=2213748838721685054&amp;g_mp=Cidnb29nbGUubWFwcy5wbGFjZXMudjEuUGxhY2VzLlNlYXJjaFRleHQQAhgEIAA | https://urquhartplumbing.com</x:v>
      </x:c>
      <x:c r="BC637" s="60" t="str"/>
    </x:row>
    <x:row r="638" ht="18" customHeight="1">
      <x:c r="A638" s="70" t="str">
        <x:v>637</x:v>
      </x:c>
      <x:c r="B638" s="70" t="str">
        <x:v>C - Verify</x:v>
      </x:c>
      <x:c r="C638" s="72" t="str">
        <x:v>47</x:v>
      </x:c>
      <x:c r="D638" s="60" t="str">
        <x:v>Harbor Contracting</x:v>
      </x:c>
      <x:c r="E638" s="60" t="str">
        <x:v>https://harborcontracting.net</x:v>
      </x:c>
      <x:c r="F638" s="60" t="str">
        <x:v>https://harborcontracting.net</x:v>
      </x:c>
      <x:c r="G638" s="60" t="str">
        <x:v>Mount Pleasant</x:v>
      </x:c>
      <x:c r="H638" s="60" t="str">
        <x:v>South Carolina</x:v>
      </x:c>
      <x:c r="I638" s="60" t="str">
        <x:v>General Contractor</x:v>
      </x:c>
      <x:c r="J638" s="60" t="str">
        <x:v>Pete</x:v>
      </x:c>
      <x:c r="K638" s="60" t="str">
        <x:v>McKellar, IV LEED AP</x:v>
      </x:c>
      <x:c r="L638" s="60" t="str">
        <x:v>Principal/Owner</x:v>
      </x:c>
      <x:c r="M638" s="60" t="str">
        <x:v>pmckellar@harborcontracting.net</x:v>
      </x:c>
      <x:c r="N638" s="60" t="str">
        <x:v>Verified with BounceBan on 08 Jun 26 12:06</x:v>
      </x:c>
      <x:c r="O638" s="60" t="str">
        <x:v>+1 843 906 7113</x:v>
      </x:c>
      <x:c r="P638" s="60" t="str">
        <x:v>https://www.linkedin.com/in/pete-mckellar-iv-leed-ap-a6831b2a</x:v>
      </x:c>
      <x:c r="Q638" s="60" t="str">
        <x:v>11-50</x:v>
      </x:c>
      <x:c r="R638" s="60" t="str">
        <x:v>500000-999999</x:v>
      </x:c>
      <x:c r="S638" s="60" t="str"/>
      <x:c r="T638" s="74" t="str">
        <x:v>0</x:v>
      </x:c>
      <x:c r="U638" s="60" t="str"/>
      <x:c r="V638" s="74" t="str">
        <x:v>25</x:v>
      </x:c>
      <x:c r="W638" s="74" t="str">
        <x:v>0</x:v>
      </x:c>
      <x:c r="X638" s="74" t="str">
        <x:v>0</x:v>
      </x:c>
      <x:c r="Y638" s="74" t="str">
        <x:v>12</x:v>
      </x:c>
      <x:c r="Z638" s="74" t="str">
        <x:v>10</x:v>
      </x:c>
      <x:c r="AA638" s="74" t="str">
        <x:v>0</x:v>
      </x:c>
      <x:c r="AB638" s="74" t="str">
        <x:v>0</x:v>
      </x:c>
      <x:c r="AC638" s="74" t="str">
        <x:v>0</x:v>
      </x:c>
      <x:c r="AD638" s="74" t="str">
        <x:v>0</x:v>
      </x:c>
      <x:c r="AE638" s="74" t="str">
        <x:v>0</x:v>
      </x:c>
      <x:c r="AF638" s="74" t="str"/>
      <x:c r="AG638" s="74" t="str">
        <x:v>1</x:v>
      </x:c>
      <x:c r="AH638" s="74" t="str">
        <x:v>1</x:v>
      </x:c>
      <x:c r="AI638" s="74" t="str">
        <x:v>1</x:v>
      </x:c>
      <x:c r="AJ638" s="74" t="str">
        <x:v>0</x:v>
      </x:c>
      <x:c r="AK638" s="74" t="str">
        <x:v>1</x:v>
      </x:c>
      <x:c r="AL638" s="74" t="str">
        <x:v>1</x:v>
      </x:c>
      <x:c r="AM638" s="74" t="str">
        <x:v>1</x:v>
      </x:c>
      <x:c r="AN638" s="74" t="str">
        <x:v>0</x:v>
      </x:c>
      <x:c r="AO638" s="60" t="str">
        <x:v>2026</x:v>
      </x:c>
      <x:c r="AP638" s="76" t="str">
        <x:v>ICP fit; paid-demand need requires manual verification</x:v>
      </x:c>
      <x:c r="AQ638" s="76" t="str">
        <x:v>project/gallery proof; testimonials; visible service offer</x:v>
      </x:c>
      <x:c r="AR638" s="76" t="str">
        <x:v>I was reviewing general contractor companies in Mount Pleasant, South Carolina and Harbor Contracting looked like a strong fit for a creative test.</x:v>
      </x:c>
      <x:c r="AS638" s="76" t="str">
        <x:v>project walkthrough with proof milestones</x:v>
      </x:c>
      <x:c r="AT638" s="76" t="str">
        <x:v>Harbor Contracting ad concept</x:v>
      </x:c>
      <x:c r="AU638" s="76" t="str">
        <x:v>Hi Pete — I was reviewing general contractor companies in Mount Pleasant, South Carolina and Harbor Contracting looked like a strong fit for a creative test. I mapped a private 15-second project walkthrough with proof milestones for Harbor Contracting using only public brand context—not for publishing, just to show the angle. We build three client-approved video ad concepts in seven days, then turn the winners into fresh variations. No filming day required. Worth sending the private sample?</x:v>
      </x:c>
      <x:c r="AV638" s="76" t="str">
        <x:v>Quick follow-up: the sample angle is a project walkthrough with proof milestones. If it misses the mark, no problem—I won't keep chasing. Should I send it?</x:v>
      </x:c>
      <x:c r="AW638" s="76" t="str">
        <x:v>Hi Pete, Ryan here. I was looking at Harbor Contracting's public marketing and noticed: icp fit; paid-demand need requires manual verification. I mapped one private project walkthrough with proof milestones as an example. Did I catch you with 30 seconds?</x:v>
      </x:c>
      <x:c r="AX638" s="60" t="str">
        <x:v>https://www.facebook.com/ads/library/?active_status=active&amp;ad_type=all&amp;country=US&amp;q=Harbor%20Contracting&amp;search_type=keyword_unordered</x:v>
      </x:c>
      <x:c r="AY638" s="60" t="str">
        <x:v>ok:200</x:v>
      </x:c>
      <x:c r="AZ638" s="60" t="n">
        <x:v>46232.722858796296</x:v>
      </x:c>
      <x:c r="BA638" s="60" t="str">
        <x:v>AI Ark SC trades export</x:v>
      </x:c>
      <x:c r="BB638" s="60" t="str">
        <x:v>https://harborcontracting.net | https://www.linkedin.com/company/harbor-contracting-llc</x:v>
      </x:c>
      <x:c r="BC638" s="60" t="str"/>
    </x:row>
    <x:row r="639" ht="18" customHeight="1">
      <x:c r="A639" s="70" t="str">
        <x:v>638</x:v>
      </x:c>
      <x:c r="B639" s="70" t="str">
        <x:v>C - Verify</x:v>
      </x:c>
      <x:c r="C639" s="72" t="str">
        <x:v>47</x:v>
      </x:c>
      <x:c r="D639" s="60" t="str">
        <x:v>First Choice Construction</x:v>
      </x:c>
      <x:c r="E639" s="60" t="str">
        <x:v>https://firstchoiceconstruction.com</x:v>
      </x:c>
      <x:c r="F639" s="60" t="str">
        <x:v>https://www.firstchoiceconstruction.com/</x:v>
      </x:c>
      <x:c r="G639" s="60" t="str">
        <x:v>Cayce</x:v>
      </x:c>
      <x:c r="H639" s="60" t="str">
        <x:v>South Carolina</x:v>
      </x:c>
      <x:c r="I639" s="60" t="str">
        <x:v>Roofing</x:v>
      </x:c>
      <x:c r="J639" s="60" t="str">
        <x:v>Beth</x:v>
      </x:c>
      <x:c r="K639" s="60" t="str">
        <x:v>Brown</x:v>
      </x:c>
      <x:c r="L639" s="60" t="str">
        <x:v>Owner</x:v>
      </x:c>
      <x:c r="M639" s="60" t="str"/>
      <x:c r="N639" s="60" t="str"/>
      <x:c r="O639" s="60" t="str">
        <x:v>+1 803 920 1484</x:v>
      </x:c>
      <x:c r="P639" s="60" t="str">
        <x:v>https://www.linkedin.com/in/beth-brown-42499315</x:v>
      </x:c>
      <x:c r="Q639" s="60" t="str">
        <x:v>2-10</x:v>
      </x:c>
      <x:c r="R639" s="60" t="str">
        <x:v>1000000-4999999</x:v>
      </x:c>
      <x:c r="S639" s="60" t="str"/>
      <x:c r="T639" s="74" t="str">
        <x:v>0</x:v>
      </x:c>
      <x:c r="U639" s="60" t="str"/>
      <x:c r="V639" s="74" t="str">
        <x:v>30</x:v>
      </x:c>
      <x:c r="W639" s="74" t="str">
        <x:v>0</x:v>
      </x:c>
      <x:c r="X639" s="74" t="str">
        <x:v>0</x:v>
      </x:c>
      <x:c r="Y639" s="74" t="str">
        <x:v>12</x:v>
      </x:c>
      <x:c r="Z639" s="74" t="str">
        <x:v>5</x:v>
      </x:c>
      <x:c r="AA639" s="74" t="str">
        <x:v>0</x:v>
      </x:c>
      <x:c r="AB639" s="74" t="str">
        <x:v>0</x:v>
      </x:c>
      <x:c r="AC639" s="74" t="str">
        <x:v>0</x:v>
      </x:c>
      <x:c r="AD639" s="74" t="str">
        <x:v>0</x:v>
      </x:c>
      <x:c r="AE639" s="74" t="str">
        <x:v>0</x:v>
      </x:c>
      <x:c r="AF639" s="74" t="str"/>
      <x:c r="AG639" s="74" t="str">
        <x:v>1</x:v>
      </x:c>
      <x:c r="AH639" s="74" t="str">
        <x:v>1</x:v>
      </x:c>
      <x:c r="AI639" s="74" t="str">
        <x:v>1</x:v>
      </x:c>
      <x:c r="AJ639" s="74" t="str">
        <x:v>0</x:v>
      </x:c>
      <x:c r="AK639" s="74" t="str">
        <x:v>1</x:v>
      </x:c>
      <x:c r="AL639" s="74" t="str">
        <x:v>1</x:v>
      </x:c>
      <x:c r="AM639" s="74" t="str">
        <x:v>1</x:v>
      </x:c>
      <x:c r="AN639" s="74" t="str">
        <x:v>1</x:v>
      </x:c>
      <x:c r="AO639" s="60" t="str">
        <x:v>0</x:v>
      </x:c>
      <x:c r="AP639" s="76" t="str">
        <x:v>ICP fit; paid-demand need requires manual verification</x:v>
      </x:c>
      <x:c r="AQ639" s="76" t="str">
        <x:v>project/gallery proof; testimonials; visible service offer</x:v>
      </x:c>
      <x:c r="AR639" s="76" t="str">
        <x:v>I was reviewing roofing companies in Cayce, South Carolina and First Choice Construction looked like a strong fit for a creative test.</x:v>
      </x:c>
      <x:c r="AS639" s="76" t="str">
        <x:v>storm-to-inspection before/after ad</x:v>
      </x:c>
      <x:c r="AT639" s="76" t="str">
        <x:v>First Choice Construction ad concept</x:v>
      </x:c>
      <x:c r="AU639" s="76" t="str">
        <x:v>Hi Beth — I was reviewing roofing companies in Cayce, South Carolina and First Choice Construction looked like a strong fit for a creative test. I mapped a private 15-second storm-to-inspection before/after ad for First Choice Construction using only public brand context—not for publishing, just to show the angle. We build three client-approved video ad concepts in seven days, then turn the winners into fresh variations. No filming day required. Worth sending the private sample?</x:v>
      </x:c>
      <x:c r="AV639" s="76" t="str">
        <x:v>Quick follow-up: the sample angle is a storm-to-inspection before/after ad. If it misses the mark, no problem—I won't keep chasing. Should I send it?</x:v>
      </x:c>
      <x:c r="AW639" s="76" t="str">
        <x:v>Hi Beth, Ryan here. I was looking at First Choice Construction's public marketing and noticed: icp fit; paid-demand need requires manual verification. I mapped one private storm-to-inspection before/after ad as an example. Did I catch you with 30 seconds?</x:v>
      </x:c>
      <x:c r="AX639" s="60" t="str">
        <x:v>https://www.facebook.com/ads/library/?active_status=active&amp;ad_type=all&amp;country=US&amp;q=First%20Choice%20Construction&amp;search_type=keyword_unordered</x:v>
      </x:c>
      <x:c r="AY639" s="60" t="str">
        <x:v>ok:200</x:v>
      </x:c>
      <x:c r="AZ639" s="60" t="n">
        <x:v>46232.722858796296</x:v>
      </x:c>
      <x:c r="BA639" s="60" t="str">
        <x:v>AI Ark SC trades export</x:v>
      </x:c>
      <x:c r="BB639" s="60" t="str">
        <x:v>https://firstchoiceconstruction.com | https://www.linkedin.com/company/first-choice-construction</x:v>
      </x:c>
      <x:c r="BC639" s="60" t="str"/>
    </x:row>
    <x:row r="640" ht="18" customHeight="1">
      <x:c r="A640" s="70" t="str">
        <x:v>639</x:v>
      </x:c>
      <x:c r="B640" s="70" t="str">
        <x:v>C - Verify</x:v>
      </x:c>
      <x:c r="C640" s="72" t="str">
        <x:v>47</x:v>
      </x:c>
      <x:c r="D640" s="60" t="str">
        <x:v>Brady Heating &amp; Air</x:v>
      </x:c>
      <x:c r="E640" s="60" t="str">
        <x:v>https://brady-hvac.com</x:v>
      </x:c>
      <x:c r="F640" s="60" t="str">
        <x:v>https://www.brady-hvac.com/</x:v>
      </x:c>
      <x:c r="G640" s="60" t="str">
        <x:v>Summerville</x:v>
      </x:c>
      <x:c r="H640" s="60" t="str">
        <x:v>South Carolina</x:v>
      </x:c>
      <x:c r="I640" s="60" t="str">
        <x:v>HVAC</x:v>
      </x:c>
      <x:c r="J640" s="60" t="str">
        <x:v>Brady Heating &amp; Air</x:v>
      </x:c>
      <x:c r="K640" s="60" t="str"/>
      <x:c r="L640" s="60" t="str">
        <x:v>Owner / decision maker to verify</x:v>
      </x:c>
      <x:c r="M640" s="60" t="str"/>
      <x:c r="N640" s="60" t="str"/>
      <x:c r="O640" s="60" t="str">
        <x:v>(843) 597-2009</x:v>
      </x:c>
      <x:c r="P640" s="60" t="str"/>
      <x:c r="Q640" s="60" t="str"/>
      <x:c r="R640" s="60" t="str"/>
      <x:c r="S640" s="60" t="str">
        <x:v>5</x:v>
      </x:c>
      <x:c r="T640" s="74" t="str">
        <x:v>166</x:v>
      </x:c>
      <x:c r="U640" s="60" t="str"/>
      <x:c r="V640" s="74" t="str">
        <x:v>28</x:v>
      </x:c>
      <x:c r="W640" s="74" t="str">
        <x:v>0</x:v>
      </x:c>
      <x:c r="X640" s="74" t="str">
        <x:v>3</x:v>
      </x:c>
      <x:c r="Y640" s="74" t="str">
        <x:v>11</x:v>
      </x:c>
      <x:c r="Z640" s="74" t="str">
        <x:v>5</x:v>
      </x:c>
      <x:c r="AA640" s="74" t="str">
        <x:v>0</x:v>
      </x:c>
      <x:c r="AB640" s="74" t="str">
        <x:v>0</x:v>
      </x:c>
      <x:c r="AC640" s="74" t="str">
        <x:v>0</x:v>
      </x:c>
      <x:c r="AD640" s="74" t="str">
        <x:v>0</x:v>
      </x:c>
      <x:c r="AE640" s="74" t="str">
        <x:v>0</x:v>
      </x:c>
      <x:c r="AF640" s="74" t="str"/>
      <x:c r="AG640" s="74" t="str">
        <x:v>1</x:v>
      </x:c>
      <x:c r="AH640" s="74" t="str">
        <x:v>1</x:v>
      </x:c>
      <x:c r="AI640" s="74" t="str">
        <x:v>0</x:v>
      </x:c>
      <x:c r="AJ640" s="74" t="str">
        <x:v>0</x:v>
      </x:c>
      <x:c r="AK640" s="74" t="str">
        <x:v>1</x:v>
      </x:c>
      <x:c r="AL640" s="74" t="str">
        <x:v>1</x:v>
      </x:c>
      <x:c r="AM640" s="74" t="str">
        <x:v>1</x:v>
      </x:c>
      <x:c r="AN640" s="74" t="str">
        <x:v>0</x:v>
      </x:c>
      <x:c r="AO640" s="60" t="str">
        <x:v>2021</x:v>
      </x:c>
      <x:c r="AP640" s="76" t="str">
        <x:v>ICP fit; paid-demand need requires manual verification</x:v>
      </x:c>
      <x:c r="AQ640" s="76" t="str">
        <x:v>project/gallery proof; visible service offer</x:v>
      </x:c>
      <x:c r="AR640" s="76" t="str">
        <x:v>I was reviewing hvac companies in Summerville, South Carolina and Brady Heating &amp; Air looked like a strong fit for a creative test.</x:v>
      </x:c>
      <x:c r="AS640" s="76" t="str">
        <x:v>no-cool-call to same-day comfort ad</x:v>
      </x:c>
      <x:c r="AT640" s="76" t="str">
        <x:v>Brady Heating &amp; Air ad concept</x:v>
      </x:c>
      <x:c r="AU640" s="76" t="str">
        <x:v>Hi Brady Heating &amp; Air — I was reviewing hvac companies in Summerville, South Carolina and Brady Heating &amp; Air looked like a strong fit for a creative test. I mapped a private 15-second no-cool-call to same-day comfort ad for Brady Heating &amp; Air using only public brand context—not for publishing, just to show the angle. We build three client-approved video ad concepts in seven days, then turn the winners into fresh variations. No filming day required. Worth sending the private sample?</x:v>
      </x:c>
      <x:c r="AV640" s="76" t="str">
        <x:v>Quick follow-up: the sample angle is a no-cool-call to same-day comfort ad. If it misses the mark, no problem—I won't keep chasing. Should I send it?</x:v>
      </x:c>
      <x:c r="AW640" s="76" t="str">
        <x:v>Hi Brady Heating &amp; Air, Ryan here. I was looking at Brady Heating &amp; Air's public marketing and noticed: icp fit; paid-demand need requires manual verification. I mapped one private no-cool-call to same-day comfort ad as an example. Did I catch you with 30 seconds?</x:v>
      </x:c>
      <x:c r="AX640" s="60" t="str">
        <x:v>https://www.facebook.com/ads/library/?active_status=active&amp;ad_type=all&amp;country=US&amp;q=Brady%20Heating%20%26%20Air&amp;search_type=keyword_unordered</x:v>
      </x:c>
      <x:c r="AY640" s="60" t="str">
        <x:v>ok:200</x:v>
      </x:c>
      <x:c r="AZ640" s="60" t="n">
        <x:v>46232.722858796296</x:v>
      </x:c>
      <x:c r="BA640" s="60" t="str">
        <x:v>Google Maps home-services export</x:v>
      </x:c>
      <x:c r="BB640" s="60" t="str">
        <x:v>https://brady-hvac.com | https://maps.google.com/?cid=6753399594194573300&amp;g_mp=Cidnb29nbGUubWFwcy5wbGFjZXMudjEuUGxhY2VzLlNlYXJjaFRleHQQAhgEIAA</x:v>
      </x:c>
      <x:c r="BC640" s="60" t="str"/>
    </x:row>
    <x:row r="641" ht="18" customHeight="1">
      <x:c r="A641" s="70" t="str">
        <x:v>640</x:v>
      </x:c>
      <x:c r="B641" s="70" t="str">
        <x:v>C - Verify</x:v>
      </x:c>
      <x:c r="C641" s="72" t="str">
        <x:v>47</x:v>
      </x:c>
      <x:c r="D641" s="60" t="str">
        <x:v>L.A. Roofing, LLC</x:v>
      </x:c>
      <x:c r="E641" s="60" t="str">
        <x:v>https://laroofingllc.com</x:v>
      </x:c>
      <x:c r="F641" s="60" t="str">
        <x:v>https://laroofingllc.com</x:v>
      </x:c>
      <x:c r="G641" s="60" t="str">
        <x:v>Columbia</x:v>
      </x:c>
      <x:c r="H641" s="60" t="str">
        <x:v>South Carolina</x:v>
      </x:c>
      <x:c r="I641" s="60" t="str">
        <x:v>Roofing</x:v>
      </x:c>
      <x:c r="J641" s="60" t="str">
        <x:v>L.A. Roofing, LLC</x:v>
      </x:c>
      <x:c r="K641" s="60" t="str"/>
      <x:c r="L641" s="60" t="str">
        <x:v>Owner / decision maker to verify</x:v>
      </x:c>
      <x:c r="M641" s="60" t="str"/>
      <x:c r="N641" s="60" t="str"/>
      <x:c r="O641" s="60" t="str">
        <x:v>(844) 505-7663</x:v>
      </x:c>
      <x:c r="P641" s="60" t="str"/>
      <x:c r="Q641" s="60" t="str"/>
      <x:c r="R641" s="60" t="str"/>
      <x:c r="S641" s="60" t="str">
        <x:v>4.9</x:v>
      </x:c>
      <x:c r="T641" s="74" t="str">
        <x:v>167</x:v>
      </x:c>
      <x:c r="U641" s="60" t="str"/>
      <x:c r="V641" s="74" t="str">
        <x:v>29</x:v>
      </x:c>
      <x:c r="W641" s="74" t="str">
        <x:v>0</x:v>
      </x:c>
      <x:c r="X641" s="74" t="str">
        <x:v>3</x:v>
      </x:c>
      <x:c r="Y641" s="74" t="str">
        <x:v>10</x:v>
      </x:c>
      <x:c r="Z641" s="74" t="str">
        <x:v>5</x:v>
      </x:c>
      <x:c r="AA641" s="74" t="str">
        <x:v>0</x:v>
      </x:c>
      <x:c r="AB641" s="74" t="str">
        <x:v>0</x:v>
      </x:c>
      <x:c r="AC641" s="74" t="str">
        <x:v>0</x:v>
      </x:c>
      <x:c r="AD641" s="74" t="str">
        <x:v>0</x:v>
      </x:c>
      <x:c r="AE641" s="74" t="str">
        <x:v>0</x:v>
      </x:c>
      <x:c r="AF641" s="74" t="str"/>
      <x:c r="AG641" s="74" t="str">
        <x:v>1</x:v>
      </x:c>
      <x:c r="AH641" s="74" t="str">
        <x:v>0</x:v>
      </x:c>
      <x:c r="AI641" s="74" t="str">
        <x:v>1</x:v>
      </x:c>
      <x:c r="AJ641" s="74" t="str">
        <x:v>0</x:v>
      </x:c>
      <x:c r="AK641" s="74" t="str">
        <x:v>1</x:v>
      </x:c>
      <x:c r="AL641" s="74" t="str">
        <x:v>0</x:v>
      </x:c>
      <x:c r="AM641" s="74" t="str">
        <x:v>1</x:v>
      </x:c>
      <x:c r="AN641" s="74" t="str">
        <x:v>1</x:v>
      </x:c>
      <x:c r="AO641" s="60" t="str">
        <x:v>2015</x:v>
      </x:c>
      <x:c r="AP641" s="76" t="str">
        <x:v>ICP fit; paid-demand need requires manual verification</x:v>
      </x:c>
      <x:c r="AQ641" s="76" t="str">
        <x:v>testimonials; visible service offer</x:v>
      </x:c>
      <x:c r="AR641" s="76" t="str">
        <x:v>I was reviewing roofing companies in Columbia, South Carolina and L.A. Roofing, LLC looked like a strong fit for a creative test.</x:v>
      </x:c>
      <x:c r="AS641" s="76" t="str">
        <x:v>storm-to-inspection before/after ad</x:v>
      </x:c>
      <x:c r="AT641" s="76" t="str">
        <x:v>L.A. Roofing, LLC ad concept</x:v>
      </x:c>
      <x:c r="AU641" s="76" t="str">
        <x:v>Hi L.A. Roofing, LLC — I was reviewing roofing companies in Columbia, South Carolina and L.A. Roofing, LLC looked like a strong fit for a creative test. I mapped a private 15-second storm-to-inspection before/after ad for L.A. Roofing, LLC using only public brand context—not for publishing, just to show the angle. We build three client-approved video ad concepts in seven days, then turn the winners into fresh variations. No filming day required. Worth sending the private sample?</x:v>
      </x:c>
      <x:c r="AV641" s="76" t="str">
        <x:v>Quick follow-up: the sample angle is a storm-to-inspection before/after ad. If it misses the mark, no problem—I won't keep chasing. Should I send it?</x:v>
      </x:c>
      <x:c r="AW641" s="76" t="str">
        <x:v>Hi L.A. Roofing, LLC, Ryan here. I was looking at L.A. Roofing, LLC's public marketing and noticed: icp fit; paid-demand need requires manual verification. I mapped one private storm-to-inspection before/after ad as an example. Did I catch you with 30 seconds?</x:v>
      </x:c>
      <x:c r="AX641" s="60" t="str">
        <x:v>https://www.facebook.com/ads/library/?active_status=active&amp;ad_type=all&amp;country=US&amp;q=L.A.%20Roofing%2C%20LLC&amp;search_type=keyword_unordered</x:v>
      </x:c>
      <x:c r="AY641" s="60" t="str">
        <x:v>ok:200</x:v>
      </x:c>
      <x:c r="AZ641" s="60" t="n">
        <x:v>46232.722858796296</x:v>
      </x:c>
      <x:c r="BA641" s="60" t="str">
        <x:v>Google Maps home-services export</x:v>
      </x:c>
      <x:c r="BB641" s="60" t="str">
        <x:v>https://laroofingllc.com | https://maps.google.com/?cid=8431858620558833392&amp;g_mp=Cidnb29nbGUubWFwcy5wbGFjZXMudjEuUGxhY2VzLlNlYXJjaFRleHQQAhgEIAA</x:v>
      </x:c>
      <x:c r="BC641" s="60" t="str"/>
    </x:row>
    <x:row r="642" ht="18" customHeight="1">
      <x:c r="A642" s="70" t="str">
        <x:v>641</x:v>
      </x:c>
      <x:c r="B642" s="70" t="str">
        <x:v>C - Verify</x:v>
      </x:c>
      <x:c r="C642" s="72" t="str">
        <x:v>47</x:v>
      </x:c>
      <x:c r="D642" s="60" t="str">
        <x:v>All Day Heating and Cooling llc</x:v>
      </x:c>
      <x:c r="E642" s="60" t="str">
        <x:v>https://alldayheatingandcoolingllc.com</x:v>
      </x:c>
      <x:c r="F642" s="60" t="str">
        <x:v>https://www.alldayheatingandcoolingllc.com/</x:v>
      </x:c>
      <x:c r="G642" s="60" t="str">
        <x:v>Rock Hill</x:v>
      </x:c>
      <x:c r="H642" s="60" t="str">
        <x:v>South Carolina</x:v>
      </x:c>
      <x:c r="I642" s="60" t="str">
        <x:v>HVAC</x:v>
      </x:c>
      <x:c r="J642" s="60" t="str">
        <x:v>All Day Heating and Cooling llc</x:v>
      </x:c>
      <x:c r="K642" s="60" t="str"/>
      <x:c r="L642" s="60" t="str">
        <x:v>Owner / decision maker to verify</x:v>
      </x:c>
      <x:c r="M642" s="60" t="str"/>
      <x:c r="N642" s="60" t="str"/>
      <x:c r="O642" s="60" t="str">
        <x:v>(803) 367-7931</x:v>
      </x:c>
      <x:c r="P642" s="60" t="str"/>
      <x:c r="Q642" s="60" t="str"/>
      <x:c r="R642" s="60" t="str"/>
      <x:c r="S642" s="60" t="str">
        <x:v>4.9</x:v>
      </x:c>
      <x:c r="T642" s="74" t="str">
        <x:v>76</x:v>
      </x:c>
      <x:c r="U642" s="60" t="str"/>
      <x:c r="V642" s="74" t="str">
        <x:v>26</x:v>
      </x:c>
      <x:c r="W642" s="74" t="str">
        <x:v>0</x:v>
      </x:c>
      <x:c r="X642" s="74" t="str">
        <x:v>6</x:v>
      </x:c>
      <x:c r="Y642" s="74" t="str">
        <x:v>10</x:v>
      </x:c>
      <x:c r="Z642" s="74" t="str">
        <x:v>5</x:v>
      </x:c>
      <x:c r="AA642" s="74" t="str">
        <x:v>0</x:v>
      </x:c>
      <x:c r="AB642" s="74" t="str">
        <x:v>0</x:v>
      </x:c>
      <x:c r="AC642" s="74" t="str">
        <x:v>0</x:v>
      </x:c>
      <x:c r="AD642" s="74" t="str">
        <x:v>0</x:v>
      </x:c>
      <x:c r="AE642" s="74" t="str">
        <x:v>0</x:v>
      </x:c>
      <x:c r="AF642" s="74" t="str"/>
      <x:c r="AG642" s="74" t="str">
        <x:v>0</x:v>
      </x:c>
      <x:c r="AH642" s="74" t="str">
        <x:v>1</x:v>
      </x:c>
      <x:c r="AI642" s="74" t="str">
        <x:v>0</x:v>
      </x:c>
      <x:c r="AJ642" s="74" t="str">
        <x:v>0</x:v>
      </x:c>
      <x:c r="AK642" s="74" t="str">
        <x:v>1</x:v>
      </x:c>
      <x:c r="AL642" s="74" t="str">
        <x:v>1</x:v>
      </x:c>
      <x:c r="AM642" s="74" t="str">
        <x:v>1</x:v>
      </x:c>
      <x:c r="AN642" s="74" t="str">
        <x:v>0</x:v>
      </x:c>
      <x:c r="AO642" s="60" t="str">
        <x:v>2026</x:v>
      </x:c>
      <x:c r="AP642" s="76" t="str">
        <x:v>Project/gallery proof found; no embedded homepage video found</x:v>
      </x:c>
      <x:c r="AQ642" s="76" t="str">
        <x:v>project/gallery proof; visible service offer; no embedded homepage video detected</x:v>
      </x:c>
      <x:c r="AR642" s="76" t="str">
        <x:v>I found project/gallery proof on All Day Heating and Cooling llc's site that could be repackaged into short-form ad concepts.</x:v>
      </x:c>
      <x:c r="AS642" s="76" t="str">
        <x:v>no-cool-call to same-day comfort ad</x:v>
      </x:c>
      <x:c r="AT642" s="76" t="str">
        <x:v>All Day Heating and Cooling llc ad concept</x:v>
      </x:c>
      <x:c r="AU642" s="76" t="str">
        <x:v>Hi All Day Heating and Cooling llc — I found project/gallery proof on All Day Heating and Cooling llc's site that could be repackaged into short-form ad concepts. I mapped a private 15-second no-cool-call to same-day comfort ad for All Day Heating and Cooling llc using only public brand context—not for publishing, just to show the angle. We build three client-approved video ad concepts in seven days, then turn the winners into fresh variations. No filming day required. Worth sending the private sample?</x:v>
      </x:c>
      <x:c r="AV642" s="76" t="str">
        <x:v>Quick follow-up: the sample angle is a no-cool-call to same-day comfort ad. If it misses the mark, no problem—I won't keep chasing. Should I send it?</x:v>
      </x:c>
      <x:c r="AW642" s="76" t="str">
        <x:v>Hi All Day Heating and Cooling llc, Ryan here. I was looking at All Day Heating and Cooling llc's public marketing and noticed: project/gallery proof found; no embedded homepage video found. I mapped one private no-cool-call to same-day comfort ad as an example. Did I catch you with 30 seconds?</x:v>
      </x:c>
      <x:c r="AX642" s="60" t="str">
        <x:v>https://www.facebook.com/ads/library/?active_status=active&amp;ad_type=all&amp;country=US&amp;q=All%20Day%20Heating%20and%20Cooling%20llc&amp;search_type=keyword_unordered</x:v>
      </x:c>
      <x:c r="AY642" s="60" t="str">
        <x:v>ok:200</x:v>
      </x:c>
      <x:c r="AZ642" s="60" t="n">
        <x:v>46232.722858796296</x:v>
      </x:c>
      <x:c r="BA642" s="60" t="str">
        <x:v>Google Maps home-services export</x:v>
      </x:c>
      <x:c r="BB642" s="60" t="str">
        <x:v>https://alldayheatingandcoolingllc.com | https://maps.google.com/?cid=9929300546363037962&amp;g_mp=Cidnb29nbGUubWFwcy5wbGFjZXMudjEuUGxhY2VzLlNlYXJjaFRleHQQAhgEIAA</x:v>
      </x:c>
      <x:c r="BC642" s="60" t="str"/>
    </x:row>
    <x:row r="643" ht="18" customHeight="1">
      <x:c r="A643" s="70" t="str">
        <x:v>642</x:v>
      </x:c>
      <x:c r="B643" s="70" t="str">
        <x:v>C - Verify</x:v>
      </x:c>
      <x:c r="C643" s="72" t="str">
        <x:v>47</x:v>
      </x:c>
      <x:c r="D643" s="60" t="str">
        <x:v>Wright Electrical LLC</x:v>
      </x:c>
      <x:c r="E643" s="60" t="str">
        <x:v>https://wrightelectricalllc.net</x:v>
      </x:c>
      <x:c r="F643" s="60" t="str">
        <x:v>https://wrightelectricalllc.net</x:v>
      </x:c>
      <x:c r="G643" s="60" t="str">
        <x:v>Greenville</x:v>
      </x:c>
      <x:c r="H643" s="60" t="str">
        <x:v>South Carolina</x:v>
      </x:c>
      <x:c r="I643" s="60" t="str">
        <x:v>Electrical</x:v>
      </x:c>
      <x:c r="J643" s="60" t="str">
        <x:v>Wright Electrical LLC</x:v>
      </x:c>
      <x:c r="K643" s="60" t="str"/>
      <x:c r="L643" s="60" t="str">
        <x:v>Owner / decision maker to verify</x:v>
      </x:c>
      <x:c r="M643" s="60" t="str"/>
      <x:c r="N643" s="60" t="str"/>
      <x:c r="O643" s="60" t="str">
        <x:v>(864) 430-1928</x:v>
      </x:c>
      <x:c r="P643" s="60" t="str"/>
      <x:c r="Q643" s="60" t="str"/>
      <x:c r="R643" s="60" t="str"/>
      <x:c r="S643" s="60" t="str">
        <x:v>4.5</x:v>
      </x:c>
      <x:c r="T643" s="74" t="str">
        <x:v>30</x:v>
      </x:c>
      <x:c r="U643" s="60" t="str">
        <x:v>no_show</x:v>
      </x:c>
      <x:c r="V643" s="74" t="str">
        <x:v>21</x:v>
      </x:c>
      <x:c r="W643" s="74" t="str">
        <x:v>0</x:v>
      </x:c>
      <x:c r="X643" s="74" t="str">
        <x:v>12</x:v>
      </x:c>
      <x:c r="Y643" s="74" t="str">
        <x:v>9</x:v>
      </x:c>
      <x:c r="Z643" s="74" t="str">
        <x:v>5</x:v>
      </x:c>
      <x:c r="AA643" s="74" t="str">
        <x:v>0</x:v>
      </x:c>
      <x:c r="AB643" s="74" t="str">
        <x:v>0</x:v>
      </x:c>
      <x:c r="AC643" s="74" t="str">
        <x:v>0</x:v>
      </x:c>
      <x:c r="AD643" s="74" t="str">
        <x:v>0</x:v>
      </x:c>
      <x:c r="AE643" s="74" t="str">
        <x:v>0</x:v>
      </x:c>
      <x:c r="AF643" s="74" t="str"/>
      <x:c r="AG643" s="74" t="str">
        <x:v>0</x:v>
      </x:c>
      <x:c r="AH643" s="74" t="str">
        <x:v>0</x:v>
      </x:c>
      <x:c r="AI643" s="74" t="str">
        <x:v>1</x:v>
      </x:c>
      <x:c r="AJ643" s="74" t="str">
        <x:v>0</x:v>
      </x:c>
      <x:c r="AK643" s="74" t="str">
        <x:v>1</x:v>
      </x:c>
      <x:c r="AL643" s="74" t="str">
        <x:v>0</x:v>
      </x:c>
      <x:c r="AM643" s="74" t="str">
        <x:v>0</x:v>
      </x:c>
      <x:c r="AN643" s="74" t="str">
        <x:v>0</x:v>
      </x:c>
      <x:c r="AO643" s="60" t="str">
        <x:v>0</x:v>
      </x:c>
      <x:c r="AP643" s="76" t="str">
        <x:v>ICP fit; paid-demand need requires manual verification</x:v>
      </x:c>
      <x:c r="AQ643" s="76" t="str">
        <x:v>testimonials; visible service offer; no embedded homepage video detected</x:v>
      </x:c>
      <x:c r="AR643" s="76" t="str">
        <x:v>I was reviewing electrical companies in Greenville, South Carolina and Wright Electrical LLC looked like a strong fit for a creative test.</x:v>
      </x:c>
      <x:c r="AS643" s="76" t="str">
        <x:v>safety inspection problem/solution ad</x:v>
      </x:c>
      <x:c r="AT643" s="76" t="str">
        <x:v>Wright Electrical LLC ad concept</x:v>
      </x:c>
      <x:c r="AU643" s="76" t="str">
        <x:v>Hi Wright Electrical LLC — I was reviewing electrical companies in Greenville, South Carolina and Wright Electrical LLC looked like a strong fit for a creative test. I mapped a private 15-second safety inspection problem/solution ad for Wright Electrical LLC using only public brand context—not for publishing, just to show the angle. We build three client-approved video ad concepts in seven days, then turn the winners into fresh variations. No filming day required. Worth sending the private sample?</x:v>
      </x:c>
      <x:c r="AV643" s="76" t="str">
        <x:v>Quick follow-up: the sample angle is a safety inspection problem/solution ad. If it misses the mark, no problem—I won't keep chasing. Should I send it?</x:v>
      </x:c>
      <x:c r="AW643" s="76" t="str">
        <x:v>Hi Wright Electrical LLC, Ryan here. I was looking at Wright Electrical LLC's public marketing and noticed: icp fit; paid-demand need requires manual verification. I mapped one private safety inspection problem/solution ad as an example. Did I catch you with 30 seconds?</x:v>
      </x:c>
      <x:c r="AX643" s="60" t="str">
        <x:v>https://www.facebook.com/ads/library/?active_status=active&amp;ad_type=all&amp;country=US&amp;q=Wright%20Electrical%20LLC&amp;search_type=keyword_unordered</x:v>
      </x:c>
      <x:c r="AY643" s="60" t="str">
        <x:v>ok:200</x:v>
      </x:c>
      <x:c r="AZ643" s="60" t="n">
        <x:v>46232.722858796296</x:v>
      </x:c>
      <x:c r="BA643" s="60" t="str">
        <x:v>Google Maps home-services export</x:v>
      </x:c>
      <x:c r="BB643" s="60" t="str">
        <x:v>https://maps.google.com/?cid=8479500500634138766&amp;g_mp=Cidnb29nbGUubWFwcy5wbGFjZXMudjEuUGxhY2VzLlNlYXJjaFRleHQQAhgEIAA | https://wrightelectricalllc.net</x:v>
      </x:c>
      <x:c r="BC643" s="60" t="str"/>
    </x:row>
    <x:row r="644" ht="18" customHeight="1">
      <x:c r="A644" s="70" t="str">
        <x:v>643</x:v>
      </x:c>
      <x:c r="B644" s="70" t="str">
        <x:v>C - Verify</x:v>
      </x:c>
      <x:c r="C644" s="72" t="str">
        <x:v>47</x:v>
      </x:c>
      <x:c r="D644" s="60" t="str">
        <x:v>Marshall Home Construction, LLC</x:v>
      </x:c>
      <x:c r="E644" s="60" t="str">
        <x:v>https://marshallhomeconstruction.com</x:v>
      </x:c>
      <x:c r="F644" s="60" t="str">
        <x:v>http://www.marshallhomeconstruction.com/</x:v>
      </x:c>
      <x:c r="G644" s="60" t="str">
        <x:v>Charleston</x:v>
      </x:c>
      <x:c r="H644" s="60" t="str">
        <x:v>South Carolina Metropolitan Area</x:v>
      </x:c>
      <x:c r="I644" s="60" t="str">
        <x:v>General Contractor</x:v>
      </x:c>
      <x:c r="J644" s="60" t="str">
        <x:v>Marshall</x:v>
      </x:c>
      <x:c r="K644" s="60" t="str">
        <x:v>Davis</x:v>
      </x:c>
      <x:c r="L644" s="60" t="str">
        <x:v>Business Owner</x:v>
      </x:c>
      <x:c r="M644" s="60" t="str"/>
      <x:c r="N644" s="60" t="str"/>
      <x:c r="O644" s="60" t="str">
        <x:v>+1 843 909 3112</x:v>
      </x:c>
      <x:c r="P644" s="60" t="str">
        <x:v>https://www.linkedin.com/in/marshall-davis-3b4ab918b</x:v>
      </x:c>
      <x:c r="Q644" s="60" t="str">
        <x:v>2-10</x:v>
      </x:c>
      <x:c r="R644" s="60" t="str">
        <x:v>100000-499999</x:v>
      </x:c>
      <x:c r="S644" s="60" t="str"/>
      <x:c r="T644" s="74" t="str">
        <x:v>0</x:v>
      </x:c>
      <x:c r="U644" s="60" t="str"/>
      <x:c r="V644" s="74" t="str">
        <x:v>20</x:v>
      </x:c>
      <x:c r="W644" s="74" t="str">
        <x:v>0</x:v>
      </x:c>
      <x:c r="X644" s="74" t="str">
        <x:v>13</x:v>
      </x:c>
      <x:c r="Y644" s="74" t="str">
        <x:v>9</x:v>
      </x:c>
      <x:c r="Z644" s="74" t="str">
        <x:v>5</x:v>
      </x:c>
      <x:c r="AA644" s="74" t="str">
        <x:v>0</x:v>
      </x:c>
      <x:c r="AB644" s="74" t="str">
        <x:v>0</x:v>
      </x:c>
      <x:c r="AC644" s="74" t="str">
        <x:v>0</x:v>
      </x:c>
      <x:c r="AD644" s="74" t="str">
        <x:v>0</x:v>
      </x:c>
      <x:c r="AE644" s="74" t="str">
        <x:v>0</x:v>
      </x:c>
      <x:c r="AF644" s="74" t="str"/>
      <x:c r="AG644" s="74" t="str">
        <x:v>0</x:v>
      </x:c>
      <x:c r="AH644" s="74" t="str">
        <x:v>1</x:v>
      </x:c>
      <x:c r="AI644" s="74" t="str">
        <x:v>1</x:v>
      </x:c>
      <x:c r="AJ644" s="74" t="str">
        <x:v>0</x:v>
      </x:c>
      <x:c r="AK644" s="74" t="str">
        <x:v>0</x:v>
      </x:c>
      <x:c r="AL644" s="74" t="str">
        <x:v>0</x:v>
      </x:c>
      <x:c r="AM644" s="74" t="str">
        <x:v>0</x:v>
      </x:c>
      <x:c r="AN644" s="74" t="str">
        <x:v>0</x:v>
      </x:c>
      <x:c r="AO644" s="60" t="str">
        <x:v>2013</x:v>
      </x:c>
      <x:c r="AP644" s="76" t="str">
        <x:v>Project/gallery proof found; no embedded homepage video found</x:v>
      </x:c>
      <x:c r="AQ644" s="76" t="str">
        <x:v>project/gallery proof; testimonials; no embedded homepage video detected</x:v>
      </x:c>
      <x:c r="AR644" s="76" t="str">
        <x:v>I found project/gallery proof on Marshall Home Construction, LLC's site that could be repackaged into short-form ad concepts.</x:v>
      </x:c>
      <x:c r="AS644" s="76" t="str">
        <x:v>project walkthrough with proof milestones</x:v>
      </x:c>
      <x:c r="AT644" s="76" t="str">
        <x:v>Marshall Home Construction, LLC ad concept</x:v>
      </x:c>
      <x:c r="AU644" s="76" t="str">
        <x:v>Hi Marshall — I found project/gallery proof on Marshall Home Construction, LLC's site that could be repackaged into short-form ad concepts. I mapped a private 15-second project walkthrough with proof milestones for Marshall Home Construction, LLC using only public brand context—not for publishing, just to show the angle. We build three client-approved video ad concepts in seven days, then turn the winners into fresh variations. No filming day required. Worth sending the private sample?</x:v>
      </x:c>
      <x:c r="AV644" s="76" t="str">
        <x:v>Quick follow-up: the sample angle is a project walkthrough with proof milestones. If it misses the mark, no problem—I won't keep chasing. Should I send it?</x:v>
      </x:c>
      <x:c r="AW644" s="76" t="str">
        <x:v>Hi Marshall, Ryan here. I was looking at Marshall Home Construction, LLC's public marketing and noticed: project/gallery proof found; no embedded homepage video found. I mapped one private project walkthrough with proof milestones as an example. Did I catch you with 30 seconds?</x:v>
      </x:c>
      <x:c r="AX644" s="60" t="str">
        <x:v>https://www.facebook.com/ads/library/?active_status=active&amp;ad_type=all&amp;country=US&amp;q=Marshall%20Home%20Construction%2C%20LLC&amp;search_type=keyword_unordered</x:v>
      </x:c>
      <x:c r="AY644" s="60" t="str">
        <x:v>ok:200</x:v>
      </x:c>
      <x:c r="AZ644" s="60" t="n">
        <x:v>46232.722858796296</x:v>
      </x:c>
      <x:c r="BA644" s="60" t="str">
        <x:v>AI Ark SC trades export</x:v>
      </x:c>
      <x:c r="BB644" s="60" t="str">
        <x:v>https://marshallhomeconstruction.com | https://www.linkedin.com/company/marshall-home-construction-llc</x:v>
      </x:c>
      <x:c r="BC644" s="60" t="str"/>
    </x:row>
    <x:row r="645" ht="18" customHeight="1">
      <x:c r="A645" s="70" t="str">
        <x:v>644</x:v>
      </x:c>
      <x:c r="B645" s="70" t="str">
        <x:v>C - Verify</x:v>
      </x:c>
      <x:c r="C645" s="72" t="str">
        <x:v>47</x:v>
      </x:c>
      <x:c r="D645" s="60" t="str">
        <x:v>Ace Garage Door Technology</x:v>
      </x:c>
      <x:c r="E645" s="60" t="str">
        <x:v>https://acegaragedoortechnology.com</x:v>
      </x:c>
      <x:c r="F645" s="60" t="str">
        <x:v>https://www.acegaragedoortechnology.com/</x:v>
      </x:c>
      <x:c r="G645" s="60" t="str">
        <x:v>Spartanburg</x:v>
      </x:c>
      <x:c r="H645" s="60" t="str">
        <x:v>South Carolina</x:v>
      </x:c>
      <x:c r="I645" s="60" t="str">
        <x:v>Garage Doors</x:v>
      </x:c>
      <x:c r="J645" s="60" t="str">
        <x:v>Ace Garage Door Technology</x:v>
      </x:c>
      <x:c r="K645" s="60" t="str"/>
      <x:c r="L645" s="60" t="str">
        <x:v>Owner / decision maker to verify</x:v>
      </x:c>
      <x:c r="M645" s="60" t="str"/>
      <x:c r="N645" s="60" t="str"/>
      <x:c r="O645" s="60" t="str">
        <x:v>(864) 478-0665</x:v>
      </x:c>
      <x:c r="P645" s="60" t="str"/>
      <x:c r="Q645" s="60" t="str"/>
      <x:c r="R645" s="60" t="str"/>
      <x:c r="S645" s="60" t="str">
        <x:v>4.9</x:v>
      </x:c>
      <x:c r="T645" s="74" t="str">
        <x:v>159</x:v>
      </x:c>
      <x:c r="U645" s="60" t="str"/>
      <x:c r="V645" s="74" t="str">
        <x:v>24</x:v>
      </x:c>
      <x:c r="W645" s="74" t="str">
        <x:v>0</x:v>
      </x:c>
      <x:c r="X645" s="74" t="str">
        <x:v>10</x:v>
      </x:c>
      <x:c r="Y645" s="74" t="str">
        <x:v>8</x:v>
      </x:c>
      <x:c r="Z645" s="74" t="str">
        <x:v>5</x:v>
      </x:c>
      <x:c r="AA645" s="74" t="str">
        <x:v>0</x:v>
      </x:c>
      <x:c r="AB645" s="74" t="str">
        <x:v>0</x:v>
      </x:c>
      <x:c r="AC645" s="74" t="str">
        <x:v>0</x:v>
      </x:c>
      <x:c r="AD645" s="74" t="str">
        <x:v>0</x:v>
      </x:c>
      <x:c r="AE645" s="74" t="str">
        <x:v>0</x:v>
      </x:c>
      <x:c r="AF645" s="74" t="str"/>
      <x:c r="AG645" s="74" t="str">
        <x:v>0</x:v>
      </x:c>
      <x:c r="AH645" s="74" t="str">
        <x:v>1</x:v>
      </x:c>
      <x:c r="AI645" s="74" t="str">
        <x:v>0</x:v>
      </x:c>
      <x:c r="AJ645" s="74" t="str">
        <x:v>0</x:v>
      </x:c>
      <x:c r="AK645" s="74" t="str">
        <x:v>0</x:v>
      </x:c>
      <x:c r="AL645" s="74" t="str">
        <x:v>0</x:v>
      </x:c>
      <x:c r="AM645" s="74" t="str">
        <x:v>1</x:v>
      </x:c>
      <x:c r="AN645" s="74" t="str">
        <x:v>0</x:v>
      </x:c>
      <x:c r="AO645" s="60" t="str">
        <x:v>0</x:v>
      </x:c>
      <x:c r="AP645" s="76" t="str">
        <x:v>Project/gallery proof found; no embedded homepage video found</x:v>
      </x:c>
      <x:c r="AQ645" s="76" t="str">
        <x:v>project/gallery proof; no embedded homepage video detected</x:v>
      </x:c>
      <x:c r="AR645" s="76" t="str">
        <x:v>I found project/gallery proof on Ace Garage Door Technology's site that could be repackaged into short-form ad concepts.</x:v>
      </x:c>
      <x:c r="AS645" s="76" t="str">
        <x:v>curb-appeal transformation ad</x:v>
      </x:c>
      <x:c r="AT645" s="76" t="str">
        <x:v>Ace Garage Door Technology ad concept</x:v>
      </x:c>
      <x:c r="AU645" s="76" t="str">
        <x:v>Hi Ace Garage Door Technology — I found project/gallery proof on Ace Garage Door Technology's site that could be repackaged into short-form ad concepts. I mapped a private 15-second curb-appeal transformation ad for Ace Garage Door Technology using only public brand context—not for publishing, just to show the angle. We build three client-approved video ad concepts in seven days, then turn the winners into fresh variations. No filming day required. Worth sending the private sample?</x:v>
      </x:c>
      <x:c r="AV645" s="76" t="str">
        <x:v>Quick follow-up: the sample angle is a curb-appeal transformation ad. If it misses the mark, no problem—I won't keep chasing. Should I send it?</x:v>
      </x:c>
      <x:c r="AW645" s="76" t="str">
        <x:v>Hi Ace Garage Door Technology, Ryan here. I was looking at Ace Garage Door Technology's public marketing and noticed: project/gallery proof found; no embedded homepage video found. I mapped one private curb-appeal transformation ad as an example. Did I catch you with 30 seconds?</x:v>
      </x:c>
      <x:c r="AX645" s="60" t="str">
        <x:v>https://www.facebook.com/ads/library/?active_status=active&amp;ad_type=all&amp;country=US&amp;q=Ace%20Garage%20Door%20Technology&amp;search_type=keyword_unordered</x:v>
      </x:c>
      <x:c r="AY645" s="60" t="str">
        <x:v>ok:200</x:v>
      </x:c>
      <x:c r="AZ645" s="60" t="n">
        <x:v>46232.722858796296</x:v>
      </x:c>
      <x:c r="BA645" s="60" t="str">
        <x:v>Google Maps home-services export</x:v>
      </x:c>
      <x:c r="BB645" s="60" t="str">
        <x:v>https://acegaragedoortechnology.com | https://maps.google.com/?cid=12211147401784192019&amp;g_mp=Cidnb29nbGUubWFwcy5wbGFjZXMudjEuUGxhY2VzLlNlYXJjaFRleHQQAhgEIAA</x:v>
      </x:c>
      <x:c r="BC645" s="60" t="str"/>
    </x:row>
    <x:row r="646" ht="18" customHeight="1">
      <x:c r="A646" s="70" t="str">
        <x:v>645</x:v>
      </x:c>
      <x:c r="B646" s="70" t="str">
        <x:v>C - Verify</x:v>
      </x:c>
      <x:c r="C646" s="72" t="str">
        <x:v>47</x:v>
      </x:c>
      <x:c r="D646" s="60" t="str">
        <x:v>Casco General Contracting LLC</x:v>
      </x:c>
      <x:c r="E646" s="60" t="str">
        <x:v>https://cascogeneralcontracting.com</x:v>
      </x:c>
      <x:c r="F646" s="60" t="str">
        <x:v>https://www.cascogeneralcontracting.com/</x:v>
      </x:c>
      <x:c r="G646" s="60" t="str">
        <x:v>Lyman</x:v>
      </x:c>
      <x:c r="H646" s="60" t="str">
        <x:v>South Carolina</x:v>
      </x:c>
      <x:c r="I646" s="60" t="str">
        <x:v>Remodeling</x:v>
      </x:c>
      <x:c r="J646" s="60" t="str">
        <x:v>Fernando</x:v>
      </x:c>
      <x:c r="K646" s="60" t="str">
        <x:v>Enriquez</x:v>
      </x:c>
      <x:c r="L646" s="60" t="str">
        <x:v>Owner/Project Development Manager</x:v>
      </x:c>
      <x:c r="M646" s="60" t="str"/>
      <x:c r="N646" s="60" t="str"/>
      <x:c r="O646" s="60" t="str">
        <x:v>+1 864 735 2616</x:v>
      </x:c>
      <x:c r="P646" s="60" t="str">
        <x:v>https://www.linkedin.com/in/fernando-enriquez-64005849</x:v>
      </x:c>
      <x:c r="Q646" s="60" t="str">
        <x:v>2-10</x:v>
      </x:c>
      <x:c r="R646" s="60" t="str">
        <x:v>0-99999</x:v>
      </x:c>
      <x:c r="S646" s="60" t="str"/>
      <x:c r="T646" s="74" t="str">
        <x:v>0</x:v>
      </x:c>
      <x:c r="U646" s="60" t="str"/>
      <x:c r="V646" s="74" t="str">
        <x:v>25</x:v>
      </x:c>
      <x:c r="W646" s="74" t="str">
        <x:v>0</x:v>
      </x:c>
      <x:c r="X646" s="74" t="str">
        <x:v>10</x:v>
      </x:c>
      <x:c r="Y646" s="74" t="str">
        <x:v>7</x:v>
      </x:c>
      <x:c r="Z646" s="74" t="str">
        <x:v>5</x:v>
      </x:c>
      <x:c r="AA646" s="74" t="str">
        <x:v>0</x:v>
      </x:c>
      <x:c r="AB646" s="74" t="str">
        <x:v>0</x:v>
      </x:c>
      <x:c r="AC646" s="74" t="str">
        <x:v>0</x:v>
      </x:c>
      <x:c r="AD646" s="74" t="str">
        <x:v>0</x:v>
      </x:c>
      <x:c r="AE646" s="74" t="str">
        <x:v>0</x:v>
      </x:c>
      <x:c r="AF646" s="74" t="str"/>
      <x:c r="AG646" s="74" t="str">
        <x:v>0</x:v>
      </x:c>
      <x:c r="AH646" s="74" t="str">
        <x:v>0</x:v>
      </x:c>
      <x:c r="AI646" s="74" t="str">
        <x:v>1</x:v>
      </x:c>
      <x:c r="AJ646" s="74" t="str">
        <x:v>0</x:v>
      </x:c>
      <x:c r="AK646" s="74" t="str">
        <x:v>1</x:v>
      </x:c>
      <x:c r="AL646" s="74" t="str">
        <x:v>0</x:v>
      </x:c>
      <x:c r="AM646" s="74" t="str">
        <x:v>1</x:v>
      </x:c>
      <x:c r="AN646" s="74" t="str">
        <x:v>0</x:v>
      </x:c>
      <x:c r="AO646" s="60" t="str">
        <x:v>0</x:v>
      </x:c>
      <x:c r="AP646" s="76" t="str">
        <x:v>ICP fit; paid-demand need requires manual verification</x:v>
      </x:c>
      <x:c r="AQ646" s="76" t="str">
        <x:v>testimonials; visible service offer; no embedded homepage video detected</x:v>
      </x:c>
      <x:c r="AR646" s="76" t="str">
        <x:v>I was reviewing remodeling companies in Lyman, South Carolina and Casco General Contracting LLC looked like a strong fit for a creative test.</x:v>
      </x:c>
      <x:c r="AS646" s="76" t="str">
        <x:v>project reveal with budget-and-timeline proof</x:v>
      </x:c>
      <x:c r="AT646" s="76" t="str">
        <x:v>Casco General Contracting LLC ad concept</x:v>
      </x:c>
      <x:c r="AU646" s="76" t="str">
        <x:v>Hi Fernando — I was reviewing remodeling companies in Lyman, South Carolina and Casco General Contracting LLC looked like a strong fit for a creative test. I mapped a private 15-second project reveal with budget-and-timeline proof for Casco General Contracting LLC using only public brand context—not for publishing, just to show the angle. We build three client-approved video ad concepts in seven days, then turn the winners into fresh variations. No filming day required. Worth sending the private sample?</x:v>
      </x:c>
      <x:c r="AV646" s="76" t="str">
        <x:v>Quick follow-up: the sample angle is a project reveal with budget-and-timeline proof. If it misses the mark, no problem—I won't keep chasing. Should I send it?</x:v>
      </x:c>
      <x:c r="AW646" s="76" t="str">
        <x:v>Hi Fernando, Ryan here. I was looking at Casco General Contracting LLC's public marketing and noticed: icp fit; paid-demand need requires manual verification. I mapped one private project reveal with budget-and-timeline proof as an example. Did I catch you with 30 seconds?</x:v>
      </x:c>
      <x:c r="AX646" s="60" t="str">
        <x:v>https://www.facebook.com/ads/library/?active_status=active&amp;ad_type=all&amp;country=US&amp;q=Casco%20General%20Contracting%20LLC&amp;search_type=keyword_unordered</x:v>
      </x:c>
      <x:c r="AY646" s="60" t="str">
        <x:v>ok:200</x:v>
      </x:c>
      <x:c r="AZ646" s="60" t="n">
        <x:v>46232.722858796296</x:v>
      </x:c>
      <x:c r="BA646" s="60" t="str">
        <x:v>AI Ark SC trades export</x:v>
      </x:c>
      <x:c r="BB646" s="60" t="str">
        <x:v>https://cascogeneralcontracting.com | https://www.linkedin.com/company/casco-general-contracting-llc</x:v>
      </x:c>
      <x:c r="BC646" s="60" t="str"/>
    </x:row>
    <x:row r="647" ht="18" customHeight="1">
      <x:c r="A647" s="70" t="str">
        <x:v>646</x:v>
      </x:c>
      <x:c r="B647" s="70" t="str">
        <x:v>C - Verify</x:v>
      </x:c>
      <x:c r="C647" s="72" t="str">
        <x:v>47</x:v>
      </x:c>
      <x:c r="D647" s="60" t="str">
        <x:v>Swift Cleaning Services, LLC</x:v>
      </x:c>
      <x:c r="E647" s="60" t="str">
        <x:v>https://swiftcleaningsc.com</x:v>
      </x:c>
      <x:c r="F647" s="60" t="str">
        <x:v>https://swiftcleaningsc.com</x:v>
      </x:c>
      <x:c r="G647" s="60" t="str">
        <x:v>Lexington</x:v>
      </x:c>
      <x:c r="H647" s="60" t="str">
        <x:v>South Carolina</x:v>
      </x:c>
      <x:c r="I647" s="60" t="str">
        <x:v>General Contractor</x:v>
      </x:c>
      <x:c r="J647" s="60" t="str">
        <x:v>Bree</x:v>
      </x:c>
      <x:c r="K647" s="60" t="str">
        <x:v>Sanquintin</x:v>
      </x:c>
      <x:c r="L647" s="60" t="str">
        <x:v>Business Owner</x:v>
      </x:c>
      <x:c r="M647" s="60" t="str">
        <x:v>bree@swiftcleaningsc.com</x:v>
      </x:c>
      <x:c r="N647" s="60" t="str">
        <x:v>Verified with BounceBan on 08 Jun 26 12:06</x:v>
      </x:c>
      <x:c r="O647" s="60" t="str">
        <x:v>+1 803 518 6830</x:v>
      </x:c>
      <x:c r="P647" s="60" t="str">
        <x:v>https://www.linkedin.com/in/bree-sanquintin-96212852</x:v>
      </x:c>
      <x:c r="Q647" s="60" t="str">
        <x:v>2-10</x:v>
      </x:c>
      <x:c r="R647" s="60" t="str">
        <x:v>500000-999999</x:v>
      </x:c>
      <x:c r="S647" s="60" t="str"/>
      <x:c r="T647" s="74" t="str">
        <x:v>0</x:v>
      </x:c>
      <x:c r="U647" s="60" t="str"/>
      <x:c r="V647" s="74" t="str">
        <x:v>22</x:v>
      </x:c>
      <x:c r="W647" s="74" t="str">
        <x:v>0</x:v>
      </x:c>
      <x:c r="X647" s="74" t="str">
        <x:v>10</x:v>
      </x:c>
      <x:c r="Y647" s="74" t="str">
        <x:v>5</x:v>
      </x:c>
      <x:c r="Z647" s="74" t="str">
        <x:v>10</x:v>
      </x:c>
      <x:c r="AA647" s="74" t="str">
        <x:v>0</x:v>
      </x:c>
      <x:c r="AB647" s="74" t="str">
        <x:v>0</x:v>
      </x:c>
      <x:c r="AC647" s="74" t="str">
        <x:v>0</x:v>
      </x:c>
      <x:c r="AD647" s="74" t="str">
        <x:v>0</x:v>
      </x:c>
      <x:c r="AE647" s="74" t="str">
        <x:v>0</x:v>
      </x:c>
      <x:c r="AF647" s="74" t="str"/>
      <x:c r="AG647" s="74" t="str">
        <x:v>0</x:v>
      </x:c>
      <x:c r="AH647" s="74" t="str">
        <x:v>1</x:v>
      </x:c>
      <x:c r="AI647" s="74" t="str">
        <x:v>0</x:v>
      </x:c>
      <x:c r="AJ647" s="74" t="str">
        <x:v>0</x:v>
      </x:c>
      <x:c r="AK647" s="74" t="str">
        <x:v>0</x:v>
      </x:c>
      <x:c r="AL647" s="74" t="str">
        <x:v>0</x:v>
      </x:c>
      <x:c r="AM647" s="74" t="str">
        <x:v>0</x:v>
      </x:c>
      <x:c r="AN647" s="74" t="str">
        <x:v>0</x:v>
      </x:c>
      <x:c r="AO647" s="60" t="str">
        <x:v>0</x:v>
      </x:c>
      <x:c r="AP647" s="76" t="str">
        <x:v>Project/gallery proof found; no embedded homepage video found</x:v>
      </x:c>
      <x:c r="AQ647" s="76" t="str">
        <x:v>project/gallery proof; no embedded homepage video detected</x:v>
      </x:c>
      <x:c r="AR647" s="76" t="str">
        <x:v>I found project/gallery proof on Swift Cleaning Services, LLC's site that could be repackaged into short-form ad concepts.</x:v>
      </x:c>
      <x:c r="AS647" s="76" t="str">
        <x:v>project walkthrough with proof milestones</x:v>
      </x:c>
      <x:c r="AT647" s="76" t="str">
        <x:v>Swift Cleaning Services, LLC ad concept</x:v>
      </x:c>
      <x:c r="AU647" s="76" t="str">
        <x:v>Hi Bree — I found project/gallery proof on Swift Cleaning Services, LLC's site that could be repackaged into short-form ad concepts. I mapped a private 15-second project walkthrough with proof milestones for Swift Cleaning Services, LLC using only public brand context—not for publishing, just to show the angle. We build three client-approved video ad concepts in seven days, then turn the winners into fresh variations. No filming day required. Worth sending the private sample?</x:v>
      </x:c>
      <x:c r="AV647" s="76" t="str">
        <x:v>Quick follow-up: the sample angle is a project walkthrough with proof milestones. If it misses the mark, no problem—I won't keep chasing. Should I send it?</x:v>
      </x:c>
      <x:c r="AW647" s="76" t="str">
        <x:v>Hi Bree, Ryan here. I was looking at Swift Cleaning Services, LLC's public marketing and noticed: project/gallery proof found; no embedded homepage video found. I mapped one private project walkthrough with proof milestones as an example. Did I catch you with 30 seconds?</x:v>
      </x:c>
      <x:c r="AX647" s="60" t="str">
        <x:v>https://www.facebook.com/ads/library/?active_status=active&amp;ad_type=all&amp;country=US&amp;q=Swift%20Cleaning%20Services%2C%20LLC&amp;search_type=keyword_unordered</x:v>
      </x:c>
      <x:c r="AY647" s="60" t="str">
        <x:v>ok:200</x:v>
      </x:c>
      <x:c r="AZ647" s="60" t="n">
        <x:v>46232.722858796296</x:v>
      </x:c>
      <x:c r="BA647" s="60" t="str">
        <x:v>AI Ark SC trades export</x:v>
      </x:c>
      <x:c r="BB647" s="60" t="str">
        <x:v>https://swiftcleaningsc.com | https://www.linkedin.com/company/swift-cleaning-services-llc</x:v>
      </x:c>
      <x:c r="BC647" s="60" t="str"/>
    </x:row>
    <x:row r="648" ht="18" customHeight="1">
      <x:c r="A648" s="70" t="str">
        <x:v>647</x:v>
      </x:c>
      <x:c r="B648" s="70" t="str">
        <x:v>C - Verify</x:v>
      </x:c>
      <x:c r="C648" s="72" t="str">
        <x:v>47</x:v>
      </x:c>
      <x:c r="D648" s="60" t="str">
        <x:v>Ed Wallace Construction, Inc.</x:v>
      </x:c>
      <x:c r="E648" s="60" t="str">
        <x:v>https://ewcpipe.com</x:v>
      </x:c>
      <x:c r="F648" s="60" t="str">
        <x:v>https://www.ewcpipe.com/</x:v>
      </x:c>
      <x:c r="G648" s="60" t="str">
        <x:v>Clover</x:v>
      </x:c>
      <x:c r="H648" s="60" t="str">
        <x:v>South Carolina</x:v>
      </x:c>
      <x:c r="I648" s="60" t="str">
        <x:v>General Contractor</x:v>
      </x:c>
      <x:c r="J648" s="60" t="str">
        <x:v>Clay</x:v>
      </x:c>
      <x:c r="K648" s="60" t="str">
        <x:v>Wallace</x:v>
      </x:c>
      <x:c r="L648" s="60" t="str">
        <x:v>Owner/President</x:v>
      </x:c>
      <x:c r="M648" s="60" t="str">
        <x:v>cwallace@ewcpipe.com</x:v>
      </x:c>
      <x:c r="N648" s="60" t="str">
        <x:v>Verified with BounceBan on 08 Jun 26 12:06</x:v>
      </x:c>
      <x:c r="O648" s="60" t="str">
        <x:v>+1 704 400 1839</x:v>
      </x:c>
      <x:c r="P648" s="60" t="str">
        <x:v>https://www.linkedin.com/in/clay-wallace-61748a125</x:v>
      </x:c>
      <x:c r="Q648" s="60" t="str">
        <x:v>51-200</x:v>
      </x:c>
      <x:c r="R648" s="60" t="str">
        <x:v>500000-999999</x:v>
      </x:c>
      <x:c r="S648" s="60" t="str"/>
      <x:c r="T648" s="74" t="str">
        <x:v>0</x:v>
      </x:c>
      <x:c r="U648" s="60" t="str"/>
      <x:c r="V648" s="74" t="str">
        <x:v>25</x:v>
      </x:c>
      <x:c r="W648" s="74" t="str">
        <x:v>0</x:v>
      </x:c>
      <x:c r="X648" s="74" t="str">
        <x:v>7</x:v>
      </x:c>
      <x:c r="Y648" s="74" t="str">
        <x:v>5</x:v>
      </x:c>
      <x:c r="Z648" s="74" t="str">
        <x:v>10</x:v>
      </x:c>
      <x:c r="AA648" s="74" t="str">
        <x:v>0</x:v>
      </x:c>
      <x:c r="AB648" s="74" t="str">
        <x:v>0</x:v>
      </x:c>
      <x:c r="AC648" s="74" t="str">
        <x:v>0</x:v>
      </x:c>
      <x:c r="AD648" s="74" t="str">
        <x:v>0</x:v>
      </x:c>
      <x:c r="AE648" s="74" t="str">
        <x:v>0</x:v>
      </x:c>
      <x:c r="AF648" s="74" t="str"/>
      <x:c r="AG648" s="74" t="str">
        <x:v>1</x:v>
      </x:c>
      <x:c r="AH648" s="74" t="str">
        <x:v>1</x:v>
      </x:c>
      <x:c r="AI648" s="74" t="str">
        <x:v>0</x:v>
      </x:c>
      <x:c r="AJ648" s="74" t="str">
        <x:v>0</x:v>
      </x:c>
      <x:c r="AK648" s="74" t="str">
        <x:v>0</x:v>
      </x:c>
      <x:c r="AL648" s="74" t="str">
        <x:v>0</x:v>
      </x:c>
      <x:c r="AM648" s="74" t="str">
        <x:v>1</x:v>
      </x:c>
      <x:c r="AN648" s="74" t="str">
        <x:v>0</x:v>
      </x:c>
      <x:c r="AO648" s="60" t="str">
        <x:v>2020</x:v>
      </x:c>
      <x:c r="AP648" s="76" t="str">
        <x:v>ICP fit; paid-demand need requires manual verification</x:v>
      </x:c>
      <x:c r="AQ648" s="76" t="str">
        <x:v>project/gallery proof</x:v>
      </x:c>
      <x:c r="AR648" s="76" t="str">
        <x:v>I was reviewing general contractor companies in Clover, South Carolina and Ed Wallace Construction, Inc. looked like a strong fit for a creative test.</x:v>
      </x:c>
      <x:c r="AS648" s="76" t="str">
        <x:v>project walkthrough with proof milestones</x:v>
      </x:c>
      <x:c r="AT648" s="76" t="str">
        <x:v>Ed Wallace Construction, Inc. ad concept</x:v>
      </x:c>
      <x:c r="AU648" s="76" t="str">
        <x:v>Hi Clay — I was reviewing general contractor companies in Clover, South Carolina and Ed Wallace Construction, Inc. looked like a strong fit for a creative test. I mapped a private 15-second project walkthrough with proof milestones for Ed Wallace Construction, Inc. using only public brand context—not for publishing, just to show the angle. We build three client-approved video ad concepts in seven days, then turn the winners into fresh variations. No filming day required. Worth sending the private sample?</x:v>
      </x:c>
      <x:c r="AV648" s="76" t="str">
        <x:v>Quick follow-up: the sample angle is a project walkthrough with proof milestones. If it misses the mark, no problem—I won't keep chasing. Should I send it?</x:v>
      </x:c>
      <x:c r="AW648" s="76" t="str">
        <x:v>Hi Clay, Ryan here. I was looking at Ed Wallace Construction, Inc.'s public marketing and noticed: icp fit; paid-demand need requires manual verification. I mapped one private project walkthrough with proof milestones as an example. Did I catch you with 30 seconds?</x:v>
      </x:c>
      <x:c r="AX648" s="60" t="str">
        <x:v>https://www.facebook.com/ads/library/?active_status=active&amp;ad_type=all&amp;country=US&amp;q=Ed%20Wallace%20Construction%2C%20Inc.&amp;search_type=keyword_unordered</x:v>
      </x:c>
      <x:c r="AY648" s="60" t="str">
        <x:v>ok:200</x:v>
      </x:c>
      <x:c r="AZ648" s="60" t="n">
        <x:v>46232.722858796296</x:v>
      </x:c>
      <x:c r="BA648" s="60" t="str">
        <x:v>AI Ark SC trades export</x:v>
      </x:c>
      <x:c r="BB648" s="60" t="str">
        <x:v>https://ewcpipe.com | https://www.linkedin.com/company/ed-wallace-construction</x:v>
      </x:c>
      <x:c r="BC648" s="60" t="str"/>
    </x:row>
    <x:row r="649" ht="18" customHeight="1">
      <x:c r="A649" s="70" t="str">
        <x:v>648</x:v>
      </x:c>
      <x:c r="B649" s="70" t="str">
        <x:v>C - Verify</x:v>
      </x:c>
      <x:c r="C649" s="72" t="str">
        <x:v>47</x:v>
      </x:c>
      <x:c r="D649" s="60" t="str">
        <x:v>Crawford Sprinkler Company of South Carolina</x:v>
      </x:c>
      <x:c r="E649" s="60" t="str">
        <x:v>https://crawfordsprinkler-sc.com</x:v>
      </x:c>
      <x:c r="F649" s="60" t="str">
        <x:v>https://www.crawfordsprinkler-sc.com/</x:v>
      </x:c>
      <x:c r="G649" s="60" t="str">
        <x:v>Lugoff</x:v>
      </x:c>
      <x:c r="H649" s="60" t="str">
        <x:v>South Carolina</x:v>
      </x:c>
      <x:c r="I649" s="60" t="str">
        <x:v>General Contractor</x:v>
      </x:c>
      <x:c r="J649" s="60" t="str">
        <x:v>Jeff</x:v>
      </x:c>
      <x:c r="K649" s="60" t="str">
        <x:v>Phifer</x:v>
      </x:c>
      <x:c r="L649" s="60" t="str">
        <x:v>Owner</x:v>
      </x:c>
      <x:c r="M649" s="60" t="str">
        <x:v>jeffp@crawfordsprinkler-sc.com</x:v>
      </x:c>
      <x:c r="N649" s="60" t="str">
        <x:v>Verified with BounceBan on 07 Jun 26 04:16</x:v>
      </x:c>
      <x:c r="O649" s="60" t="str"/>
      <x:c r="P649" s="60" t="str">
        <x:v>https://www.linkedin.com/in/jeff-phifer-1164372a2</x:v>
      </x:c>
      <x:c r="Q649" s="60" t="str">
        <x:v>11-50</x:v>
      </x:c>
      <x:c r="R649" s="60" t="str">
        <x:v>500000-999999</x:v>
      </x:c>
      <x:c r="S649" s="60" t="str"/>
      <x:c r="T649" s="74" t="str">
        <x:v>0</x:v>
      </x:c>
      <x:c r="U649" s="60" t="str"/>
      <x:c r="V649" s="74" t="str">
        <x:v>25</x:v>
      </x:c>
      <x:c r="W649" s="74" t="str">
        <x:v>0</x:v>
      </x:c>
      <x:c r="X649" s="74" t="str">
        <x:v>10</x:v>
      </x:c>
      <x:c r="Y649" s="74" t="str">
        <x:v>5</x:v>
      </x:c>
      <x:c r="Z649" s="74" t="str">
        <x:v>7</x:v>
      </x:c>
      <x:c r="AA649" s="74" t="str">
        <x:v>0</x:v>
      </x:c>
      <x:c r="AB649" s="74" t="str">
        <x:v>0</x:v>
      </x:c>
      <x:c r="AC649" s="74" t="str">
        <x:v>0</x:v>
      </x:c>
      <x:c r="AD649" s="74" t="str">
        <x:v>0</x:v>
      </x:c>
      <x:c r="AE649" s="74" t="str">
        <x:v>0</x:v>
      </x:c>
      <x:c r="AF649" s="74" t="str"/>
      <x:c r="AG649" s="74" t="str">
        <x:v>0</x:v>
      </x:c>
      <x:c r="AH649" s="74" t="str">
        <x:v>1</x:v>
      </x:c>
      <x:c r="AI649" s="74" t="str">
        <x:v>0</x:v>
      </x:c>
      <x:c r="AJ649" s="74" t="str">
        <x:v>0</x:v>
      </x:c>
      <x:c r="AK649" s="74" t="str">
        <x:v>0</x:v>
      </x:c>
      <x:c r="AL649" s="74" t="str">
        <x:v>0</x:v>
      </x:c>
      <x:c r="AM649" s="74" t="str">
        <x:v>1</x:v>
      </x:c>
      <x:c r="AN649" s="74" t="str">
        <x:v>0</x:v>
      </x:c>
      <x:c r="AO649" s="60" t="str">
        <x:v>0</x:v>
      </x:c>
      <x:c r="AP649" s="76" t="str">
        <x:v>Project/gallery proof found; no embedded homepage video found</x:v>
      </x:c>
      <x:c r="AQ649" s="76" t="str">
        <x:v>project/gallery proof; no embedded homepage video detected</x:v>
      </x:c>
      <x:c r="AR649" s="76" t="str">
        <x:v>I found project/gallery proof on Crawford Sprinkler Company of South Carolina's site that could be repackaged into short-form ad concepts.</x:v>
      </x:c>
      <x:c r="AS649" s="76" t="str">
        <x:v>project walkthrough with proof milestones</x:v>
      </x:c>
      <x:c r="AT649" s="76" t="str">
        <x:v>Crawford Sprinkler Company of South Carolina ad concept</x:v>
      </x:c>
      <x:c r="AU649" s="76" t="str">
        <x:v>Hi Jeff — I found project/gallery proof on Crawford Sprinkler Company of South Carolina's site that could be repackaged into short-form ad concepts. I mapped a private 15-second project walkthrough with proof milestones for Crawford Sprinkler Company of South Carolina using only public brand context—not for publishing, just to show the angle. We build three client-approved video ad concepts in seven days, then turn the winners into fresh variations. No filming day required. Worth sending the private sample?</x:v>
      </x:c>
      <x:c r="AV649" s="76" t="str">
        <x:v>Quick follow-up: the sample angle is a project walkthrough with proof milestones. If it misses the mark, no problem—I won't keep chasing. Should I send it?</x:v>
      </x:c>
      <x:c r="AW649" s="76" t="str">
        <x:v>Hi Jeff, Ryan here. I was looking at Crawford Sprinkler Company of South Carolina's public marketing and noticed: project/gallery proof found; no embedded homepage video found. I mapped one private project walkthrough with proof milestones as an example. Did I catch you with 30 seconds?</x:v>
      </x:c>
      <x:c r="AX649" s="60" t="str">
        <x:v>https://www.facebook.com/ads/library/?active_status=active&amp;ad_type=all&amp;country=US&amp;q=Crawford%20Sprinkler%20Company%20of%20South%20Carolina&amp;search_type=keyword_unordered</x:v>
      </x:c>
      <x:c r="AY649" s="60" t="str">
        <x:v>ok:200</x:v>
      </x:c>
      <x:c r="AZ649" s="60" t="n">
        <x:v>46232.722858796296</x:v>
      </x:c>
      <x:c r="BA649" s="60" t="str">
        <x:v>AI Ark SC trades export</x:v>
      </x:c>
      <x:c r="BB649" s="60" t="str">
        <x:v>https://crawfordsprinkler-sc.com | https://www.linkedin.com/company/crawford-sprinkler-company-of-south-carolina</x:v>
      </x:c>
      <x:c r="BC649" s="60" t="str"/>
    </x:row>
    <x:row r="650" ht="18" customHeight="1">
      <x:c r="A650" s="70" t="str">
        <x:v>649</x:v>
      </x:c>
      <x:c r="B650" s="70" t="str">
        <x:v>C - Verify</x:v>
      </x:c>
      <x:c r="C650" s="72" t="str">
        <x:v>47</x:v>
      </x:c>
      <x:c r="D650" s="60" t="str">
        <x:v>Stag Development LLC</x:v>
      </x:c>
      <x:c r="E650" s="60" t="str">
        <x:v>https://stagdevelopment.com</x:v>
      </x:c>
      <x:c r="F650" s="60" t="str">
        <x:v>https://stagdevelopment.com</x:v>
      </x:c>
      <x:c r="G650" s="60" t="str">
        <x:v>Charleston</x:v>
      </x:c>
      <x:c r="H650" s="60" t="str">
        <x:v>South Carolina</x:v>
      </x:c>
      <x:c r="I650" s="60" t="str">
        <x:v>Restoration</x:v>
      </x:c>
      <x:c r="J650" s="60" t="str">
        <x:v>Brett</x:v>
      </x:c>
      <x:c r="K650" s="60" t="str">
        <x:v>Schleifer</x:v>
      </x:c>
      <x:c r="L650" s="60" t="str">
        <x:v>Owner</x:v>
      </x:c>
      <x:c r="M650" s="60" t="str"/>
      <x:c r="N650" s="60" t="str"/>
      <x:c r="O650" s="60" t="str">
        <x:v>+1 203 260 0785</x:v>
      </x:c>
      <x:c r="P650" s="60" t="str">
        <x:v>https://www.linkedin.com/in/brett-schleifer-b7589018</x:v>
      </x:c>
      <x:c r="Q650" s="60" t="str">
        <x:v>2-10</x:v>
      </x:c>
      <x:c r="R650" s="60" t="str">
        <x:v>0-99999</x:v>
      </x:c>
      <x:c r="S650" s="60" t="str"/>
      <x:c r="T650" s="74" t="str">
        <x:v>0</x:v>
      </x:c>
      <x:c r="U650" s="60" t="str"/>
      <x:c r="V650" s="74" t="str">
        <x:v>28</x:v>
      </x:c>
      <x:c r="W650" s="74" t="str">
        <x:v>0</x:v>
      </x:c>
      <x:c r="X650" s="74" t="str">
        <x:v>9</x:v>
      </x:c>
      <x:c r="Y650" s="74" t="str">
        <x:v>5</x:v>
      </x:c>
      <x:c r="Z650" s="74" t="str">
        <x:v>5</x:v>
      </x:c>
      <x:c r="AA650" s="74" t="str">
        <x:v>0</x:v>
      </x:c>
      <x:c r="AB650" s="74" t="str">
        <x:v>0</x:v>
      </x:c>
      <x:c r="AC650" s="74" t="str">
        <x:v>0</x:v>
      </x:c>
      <x:c r="AD650" s="74" t="str">
        <x:v>0</x:v>
      </x:c>
      <x:c r="AE650" s="74" t="str">
        <x:v>0</x:v>
      </x:c>
      <x:c r="AF650" s="74" t="str"/>
      <x:c r="AG650" s="74" t="str">
        <x:v>0</x:v>
      </x:c>
      <x:c r="AH650" s="74" t="str">
        <x:v>1</x:v>
      </x:c>
      <x:c r="AI650" s="74" t="str">
        <x:v>0</x:v>
      </x:c>
      <x:c r="AJ650" s="74" t="str">
        <x:v>0</x:v>
      </x:c>
      <x:c r="AK650" s="74" t="str">
        <x:v>0</x:v>
      </x:c>
      <x:c r="AL650" s="74" t="str">
        <x:v>1</x:v>
      </x:c>
      <x:c r="AM650" s="74" t="str">
        <x:v>1</x:v>
      </x:c>
      <x:c r="AN650" s="74" t="str">
        <x:v>0</x:v>
      </x:c>
      <x:c r="AO650" s="60" t="str">
        <x:v>2023</x:v>
      </x:c>
      <x:c r="AP650" s="76" t="str">
        <x:v>Project/gallery proof found; no embedded homepage video found</x:v>
      </x:c>
      <x:c r="AQ650" s="76" t="str">
        <x:v>project/gallery proof; no embedded homepage video detected</x:v>
      </x:c>
      <x:c r="AR650" s="76" t="str">
        <x:v>I found project/gallery proof on Stag Development LLC's site that could be repackaged into short-form ad concepts.</x:v>
      </x:c>
      <x:c r="AS650" s="76" t="str">
        <x:v>first-24-hours emergency-response ad</x:v>
      </x:c>
      <x:c r="AT650" s="76" t="str">
        <x:v>Stag Development LLC ad concept</x:v>
      </x:c>
      <x:c r="AU650" s="76" t="str">
        <x:v>Hi Brett — I found project/gallery proof on Stag Development LLC's site that could be repackaged into short-form ad concepts. I mapped a private 15-second first-24-hours emergency-response ad for Stag Development LLC using only public brand context—not for publishing, just to show the angle. We build three client-approved video ad concepts in seven days, then turn the winners into fresh variations. No filming day required. Worth sending the private sample?</x:v>
      </x:c>
      <x:c r="AV650" s="76" t="str">
        <x:v>Quick follow-up: the sample angle is a first-24-hours emergency-response ad. If it misses the mark, no problem—I won't keep chasing. Should I send it?</x:v>
      </x:c>
      <x:c r="AW650" s="76" t="str">
        <x:v>Hi Brett, Ryan here. I was looking at Stag Development LLC's public marketing and noticed: project/gallery proof found; no embedded homepage video found. I mapped one private first-24-hours emergency-response ad as an example. Did I catch you with 30 seconds?</x:v>
      </x:c>
      <x:c r="AX650" s="60" t="str">
        <x:v>https://www.facebook.com/ads/library/?active_status=active&amp;ad_type=all&amp;country=US&amp;q=Stag%20Development%20LLC&amp;search_type=keyword_unordered</x:v>
      </x:c>
      <x:c r="AY650" s="60" t="str">
        <x:v>ok:200</x:v>
      </x:c>
      <x:c r="AZ650" s="60" t="n">
        <x:v>46232.722858796296</x:v>
      </x:c>
      <x:c r="BA650" s="60" t="str">
        <x:v>AI Ark SC trades export</x:v>
      </x:c>
      <x:c r="BB650" s="60" t="str">
        <x:v>https://stagdevelopment.com | https://www.linkedin.com/company/stag-development-llc</x:v>
      </x:c>
      <x:c r="BC650" s="60" t="str"/>
    </x:row>
    <x:row r="651" ht="18" customHeight="1">
      <x:c r="A651" s="70" t="str">
        <x:v>650</x:v>
      </x:c>
      <x:c r="B651" s="70" t="str">
        <x:v>C - Verify</x:v>
      </x:c>
      <x:c r="C651" s="72" t="str">
        <x:v>47</x:v>
      </x:c>
      <x:c r="D651" s="60" t="str">
        <x:v>D&amp;L, Inc -Sheet Metal &amp; HVAC</x:v>
      </x:c>
      <x:c r="E651" s="60" t="str">
        <x:v>https://dlinc.net</x:v>
      </x:c>
      <x:c r="F651" s="60" t="str">
        <x:v>https://dlinc.net</x:v>
      </x:c>
      <x:c r="G651" s="60" t="str">
        <x:v>Florence</x:v>
      </x:c>
      <x:c r="H651" s="60" t="str">
        <x:v>South Carolina</x:v>
      </x:c>
      <x:c r="I651" s="60" t="str">
        <x:v>HVAC</x:v>
      </x:c>
      <x:c r="J651" s="60" t="str">
        <x:v>D&amp;L, Inc -Sheet Metal &amp; HVAC</x:v>
      </x:c>
      <x:c r="K651" s="60" t="str"/>
      <x:c r="L651" s="60" t="str">
        <x:v>Owner / decision maker to verify</x:v>
      </x:c>
      <x:c r="M651" s="60" t="str"/>
      <x:c r="N651" s="60" t="str"/>
      <x:c r="O651" s="60" t="str">
        <x:v>(843) 393-6523</x:v>
      </x:c>
      <x:c r="P651" s="60" t="str"/>
      <x:c r="Q651" s="60" t="str"/>
      <x:c r="R651" s="60" t="str"/>
      <x:c r="S651" s="60" t="str">
        <x:v>5</x:v>
      </x:c>
      <x:c r="T651" s="74" t="str">
        <x:v>12</x:v>
      </x:c>
      <x:c r="U651" s="60" t="str"/>
      <x:c r="V651" s="74" t="str">
        <x:v>24</x:v>
      </x:c>
      <x:c r="W651" s="74" t="str">
        <x:v>0</x:v>
      </x:c>
      <x:c r="X651" s="74" t="str">
        <x:v>13</x:v>
      </x:c>
      <x:c r="Y651" s="74" t="str">
        <x:v>5</x:v>
      </x:c>
      <x:c r="Z651" s="74" t="str">
        <x:v>5</x:v>
      </x:c>
      <x:c r="AA651" s="74" t="str">
        <x:v>0</x:v>
      </x:c>
      <x:c r="AB651" s="74" t="str">
        <x:v>0</x:v>
      </x:c>
      <x:c r="AC651" s="74" t="str">
        <x:v>0</x:v>
      </x:c>
      <x:c r="AD651" s="74" t="str">
        <x:v>0</x:v>
      </x:c>
      <x:c r="AE651" s="74" t="str">
        <x:v>0</x:v>
      </x:c>
      <x:c r="AF651" s="74" t="str"/>
      <x:c r="AG651" s="74" t="str">
        <x:v>0</x:v>
      </x:c>
      <x:c r="AH651" s="74" t="str">
        <x:v>1</x:v>
      </x:c>
      <x:c r="AI651" s="74" t="str">
        <x:v>0</x:v>
      </x:c>
      <x:c r="AJ651" s="74" t="str">
        <x:v>0</x:v>
      </x:c>
      <x:c r="AK651" s="74" t="str">
        <x:v>0</x:v>
      </x:c>
      <x:c r="AL651" s="74" t="str">
        <x:v>0</x:v>
      </x:c>
      <x:c r="AM651" s="74" t="str">
        <x:v>0</x:v>
      </x:c>
      <x:c r="AN651" s="74" t="str">
        <x:v>0</x:v>
      </x:c>
      <x:c r="AO651" s="60" t="str">
        <x:v>2023</x:v>
      </x:c>
      <x:c r="AP651" s="76" t="str">
        <x:v>Project/gallery proof found; no embedded homepage video found</x:v>
      </x:c>
      <x:c r="AQ651" s="76" t="str">
        <x:v>project/gallery proof; no embedded homepage video detected</x:v>
      </x:c>
      <x:c r="AR651" s="76" t="str">
        <x:v>I found project/gallery proof on D&amp;L, Inc -Sheet Metal &amp; HVAC's site that could be repackaged into short-form ad concepts.</x:v>
      </x:c>
      <x:c r="AS651" s="76" t="str">
        <x:v>no-cool-call to same-day comfort ad</x:v>
      </x:c>
      <x:c r="AT651" s="76" t="str">
        <x:v>D&amp;L, Inc -Sheet Metal &amp; HVAC ad concept</x:v>
      </x:c>
      <x:c r="AU651" s="76" t="str">
        <x:v>Hi D&amp;L, Inc -Sheet Metal &amp; HVAC — I found project/gallery proof on D&amp;L, Inc -Sheet Metal &amp; HVAC's site that could be repackaged into short-form ad concepts. I mapped a private 15-second no-cool-call to same-day comfort ad for D&amp;L, Inc -Sheet Metal &amp; HVAC using only public brand context—not for publishing, just to show the angle. We build three client-approved video ad concepts in seven days, then turn the winners into fresh variations. No filming day required. Worth sending the private sample?</x:v>
      </x:c>
      <x:c r="AV651" s="76" t="str">
        <x:v>Quick follow-up: the sample angle is a no-cool-call to same-day comfort ad. If it misses the mark, no problem—I won't keep chasing. Should I send it?</x:v>
      </x:c>
      <x:c r="AW651" s="76" t="str">
        <x:v>Hi D&amp;L, Inc -Sheet Metal &amp; HVAC, Ryan here. I was looking at D&amp;L, Inc -Sheet Metal &amp; HVAC's public marketing and noticed: project/gallery proof found; no embedded homepage video found. I mapped one private no-cool-call to same-day comfort ad as an example. Did I catch you with 30 seconds?</x:v>
      </x:c>
      <x:c r="AX651" s="60" t="str">
        <x:v>https://www.facebook.com/ads/library/?active_status=active&amp;ad_type=all&amp;country=US&amp;q=D%26L%2C%20Inc%20-Sheet%20Metal%20%26%20HVAC&amp;search_type=keyword_unordered</x:v>
      </x:c>
      <x:c r="AY651" s="60" t="str">
        <x:v>ok:200</x:v>
      </x:c>
      <x:c r="AZ651" s="60" t="n">
        <x:v>46232.722858796296</x:v>
      </x:c>
      <x:c r="BA651" s="60" t="str">
        <x:v>Google Maps home-services export</x:v>
      </x:c>
      <x:c r="BB651" s="60" t="str">
        <x:v>https://dlinc.net | https://maps.google.com/?cid=14415428518787457178&amp;g_mp=Cidnb29nbGUubWFwcy5wbGFjZXMudjEuUGxhY2VzLlNlYXJjaFRleHQQAhgEIAA</x:v>
      </x:c>
      <x:c r="BC651" s="60" t="str"/>
    </x:row>
    <x:row r="652" ht="18" customHeight="1">
      <x:c r="A652" s="70" t="str">
        <x:v>651</x:v>
      </x:c>
      <x:c r="B652" s="70" t="str">
        <x:v>C - Verify</x:v>
      </x:c>
      <x:c r="C652" s="72" t="str">
        <x:v>47</x:v>
      </x:c>
      <x:c r="D652" s="60" t="str">
        <x:v>RoofMeister</x:v>
      </x:c>
      <x:c r="E652" s="60" t="str">
        <x:v>https://roofmeister.com</x:v>
      </x:c>
      <x:c r="F652" s="60" t="str">
        <x:v>https://roofmeister.com</x:v>
      </x:c>
      <x:c r="G652" s="60" t="str">
        <x:v>Goose Creek</x:v>
      </x:c>
      <x:c r="H652" s="60" t="str">
        <x:v>South Carolina</x:v>
      </x:c>
      <x:c r="I652" s="60" t="str">
        <x:v>Roofing</x:v>
      </x:c>
      <x:c r="J652" s="60" t="str">
        <x:v>RoofMeister</x:v>
      </x:c>
      <x:c r="K652" s="60" t="str"/>
      <x:c r="L652" s="60" t="str">
        <x:v>Owner / decision maker to verify</x:v>
      </x:c>
      <x:c r="M652" s="60" t="str"/>
      <x:c r="N652" s="60" t="str"/>
      <x:c r="O652" s="60" t="str">
        <x:v>(843) 955-0554</x:v>
      </x:c>
      <x:c r="P652" s="60" t="str"/>
      <x:c r="Q652" s="60" t="str"/>
      <x:c r="R652" s="60" t="str"/>
      <x:c r="S652" s="60" t="str">
        <x:v>5</x:v>
      </x:c>
      <x:c r="T652" s="74" t="str">
        <x:v>119</x:v>
      </x:c>
      <x:c r="U652" s="60" t="str"/>
      <x:c r="V652" s="74" t="str">
        <x:v>29</x:v>
      </x:c>
      <x:c r="W652" s="74" t="str">
        <x:v>0</x:v>
      </x:c>
      <x:c r="X652" s="74" t="str">
        <x:v>10</x:v>
      </x:c>
      <x:c r="Y652" s="74" t="str">
        <x:v>3</x:v>
      </x:c>
      <x:c r="Z652" s="74" t="str">
        <x:v>5</x:v>
      </x:c>
      <x:c r="AA652" s="74" t="str">
        <x:v>0</x:v>
      </x:c>
      <x:c r="AB652" s="74" t="str">
        <x:v>0</x:v>
      </x:c>
      <x:c r="AC652" s="74" t="str">
        <x:v>0</x:v>
      </x:c>
      <x:c r="AD652" s="74" t="str">
        <x:v>0</x:v>
      </x:c>
      <x:c r="AE652" s="74" t="str">
        <x:v>0</x:v>
      </x:c>
      <x:c r="AF652" s="74" t="str"/>
      <x:c r="AG652" s="74" t="str">
        <x:v>0</x:v>
      </x:c>
      <x:c r="AH652" s="74" t="str">
        <x:v>0</x:v>
      </x:c>
      <x:c r="AI652" s="74" t="str">
        <x:v>0</x:v>
      </x:c>
      <x:c r="AJ652" s="74" t="str">
        <x:v>0</x:v>
      </x:c>
      <x:c r="AK652" s="74" t="str">
        <x:v>0</x:v>
      </x:c>
      <x:c r="AL652" s="74" t="str">
        <x:v>0</x:v>
      </x:c>
      <x:c r="AM652" s="74" t="str">
        <x:v>0</x:v>
      </x:c>
      <x:c r="AN652" s="74" t="str">
        <x:v>0</x:v>
      </x:c>
      <x:c r="AO652" s="60" t="str">
        <x:v>0</x:v>
      </x:c>
      <x:c r="AP652" s="76" t="str">
        <x:v>119 Google reviews; no embedded homepage video found</x:v>
      </x:c>
      <x:c r="AQ652" s="76" t="str">
        <x:v>no embedded homepage video detected</x:v>
      </x:c>
      <x:c r="AR652" s="76" t="str">
        <x:v>RoofMeister has 119 Google reviews—strong proof that could be turned into short-form ad concepts.</x:v>
      </x:c>
      <x:c r="AS652" s="76" t="str">
        <x:v>storm-to-inspection before/after ad</x:v>
      </x:c>
      <x:c r="AT652" s="76" t="str">
        <x:v>RoofMeister ad concept</x:v>
      </x:c>
      <x:c r="AU652" s="76" t="str">
        <x:v>Hi RoofMeister — RoofMeister has 119 Google reviews—strong proof that could be turned into short-form ad concepts. I mapped a private 15-second storm-to-inspection before/after ad for RoofMeister using only public brand context—not for publishing, just to show the angle. We build three client-approved video ad concepts in seven days, then turn the winners into fresh variations. No filming day required. Worth sending the private sample?</x:v>
      </x:c>
      <x:c r="AV652" s="76" t="str">
        <x:v>Quick follow-up: the sample angle is a storm-to-inspection before/after ad. If it misses the mark, no problem—I won't keep chasing. Should I send it?</x:v>
      </x:c>
      <x:c r="AW652" s="76" t="str">
        <x:v>Hi RoofMeister, Ryan here. I was looking at RoofMeister's public marketing and noticed: 119 google reviews; no embedded homepage video found. I mapped one private storm-to-inspection before/after ad as an example. Did I catch you with 30 seconds?</x:v>
      </x:c>
      <x:c r="AX652" s="60" t="str">
        <x:v>https://www.facebook.com/ads/library/?active_status=active&amp;ad_type=all&amp;country=US&amp;q=RoofMeister&amp;search_type=keyword_unordered</x:v>
      </x:c>
      <x:c r="AY652" s="60" t="str">
        <x:v>ok:200</x:v>
      </x:c>
      <x:c r="AZ652" s="60" t="n">
        <x:v>46232.722858796296</x:v>
      </x:c>
      <x:c r="BA652" s="60" t="str">
        <x:v>Google Maps home-services export</x:v>
      </x:c>
      <x:c r="BB652" s="60" t="str">
        <x:v>https://maps.google.com/?cid=7921919366708479945&amp;g_mp=Cidnb29nbGUubWFwcy5wbGFjZXMudjEuUGxhY2VzLlNlYXJjaFRleHQQAhgEIAA | https://roofmeister.com</x:v>
      </x:c>
      <x:c r="BC652" s="60" t="str"/>
    </x:row>
    <x:row r="653" ht="18" customHeight="1">
      <x:c r="A653" s="70" t="str">
        <x:v>652</x:v>
      </x:c>
      <x:c r="B653" s="70" t="str">
        <x:v>C - Verify</x:v>
      </x:c>
      <x:c r="C653" s="72" t="str">
        <x:v>47</x:v>
      </x:c>
      <x:c r="D653" s="60" t="str">
        <x:v>MCA Construction &amp; Roofing</x:v>
      </x:c>
      <x:c r="E653" s="60" t="str">
        <x:v>https://mcaupstate.com</x:v>
      </x:c>
      <x:c r="F653" s="60" t="str">
        <x:v>https://mcaupstate.com</x:v>
      </x:c>
      <x:c r="G653" s="60" t="str">
        <x:v>Spartanburg</x:v>
      </x:c>
      <x:c r="H653" s="60" t="str">
        <x:v>South Carolina</x:v>
      </x:c>
      <x:c r="I653" s="60" t="str">
        <x:v>Roofing</x:v>
      </x:c>
      <x:c r="J653" s="60" t="str">
        <x:v>MCA Construction &amp; Roofing</x:v>
      </x:c>
      <x:c r="K653" s="60" t="str"/>
      <x:c r="L653" s="60" t="str">
        <x:v>Owner / decision maker to verify</x:v>
      </x:c>
      <x:c r="M653" s="60" t="str"/>
      <x:c r="N653" s="60" t="str"/>
      <x:c r="O653" s="60" t="str">
        <x:v>(864) 589-4929</x:v>
      </x:c>
      <x:c r="P653" s="60" t="str"/>
      <x:c r="Q653" s="60" t="str"/>
      <x:c r="R653" s="60" t="str"/>
      <x:c r="S653" s="60" t="str">
        <x:v>4.9</x:v>
      </x:c>
      <x:c r="T653" s="74" t="str">
        <x:v>153</x:v>
      </x:c>
      <x:c r="U653" s="60" t="str"/>
      <x:c r="V653" s="74" t="str">
        <x:v>29</x:v>
      </x:c>
      <x:c r="W653" s="74" t="str">
        <x:v>0</x:v>
      </x:c>
      <x:c r="X653" s="74" t="str">
        <x:v>10</x:v>
      </x:c>
      <x:c r="Y653" s="74" t="str">
        <x:v>3</x:v>
      </x:c>
      <x:c r="Z653" s="74" t="str">
        <x:v>5</x:v>
      </x:c>
      <x:c r="AA653" s="74" t="str">
        <x:v>0</x:v>
      </x:c>
      <x:c r="AB653" s="74" t="str">
        <x:v>0</x:v>
      </x:c>
      <x:c r="AC653" s="74" t="str">
        <x:v>0</x:v>
      </x:c>
      <x:c r="AD653" s="74" t="str">
        <x:v>0</x:v>
      </x:c>
      <x:c r="AE653" s="74" t="str">
        <x:v>0</x:v>
      </x:c>
      <x:c r="AF653" s="74" t="str"/>
      <x:c r="AG653" s="74" t="str">
        <x:v>0</x:v>
      </x:c>
      <x:c r="AH653" s="74" t="str">
        <x:v>0</x:v>
      </x:c>
      <x:c r="AI653" s="74" t="str">
        <x:v>0</x:v>
      </x:c>
      <x:c r="AJ653" s="74" t="str">
        <x:v>0</x:v>
      </x:c>
      <x:c r="AK653" s="74" t="str">
        <x:v>0</x:v>
      </x:c>
      <x:c r="AL653" s="74" t="str">
        <x:v>0</x:v>
      </x:c>
      <x:c r="AM653" s="74" t="str">
        <x:v>0</x:v>
      </x:c>
      <x:c r="AN653" s="74" t="str">
        <x:v>0</x:v>
      </x:c>
      <x:c r="AO653" s="60" t="str">
        <x:v>0</x:v>
      </x:c>
      <x:c r="AP653" s="76" t="str">
        <x:v>153 Google reviews; no embedded homepage video found</x:v>
      </x:c>
      <x:c r="AQ653" s="76" t="str">
        <x:v>no embedded homepage video detected</x:v>
      </x:c>
      <x:c r="AR653" s="76" t="str">
        <x:v>MCA Construction &amp; Roofing has 153 Google reviews—strong proof that could be turned into short-form ad concepts.</x:v>
      </x:c>
      <x:c r="AS653" s="76" t="str">
        <x:v>storm-to-inspection before/after ad</x:v>
      </x:c>
      <x:c r="AT653" s="76" t="str">
        <x:v>MCA Construction &amp; Roofing ad concept</x:v>
      </x:c>
      <x:c r="AU653" s="76" t="str">
        <x:v>Hi MCA Construction &amp; Roofing — MCA Construction &amp; Roofing has 153 Google reviews—strong proof that could be turned into short-form ad concepts. I mapped a private 15-second storm-to-inspection before/after ad for MCA Construction &amp; Roofing using only public brand context—not for publishing, just to show the angle. We build three client-approved video ad concepts in seven days, then turn the winners into fresh variations. No filming day required. Worth sending the private sample?</x:v>
      </x:c>
      <x:c r="AV653" s="76" t="str">
        <x:v>Quick follow-up: the sample angle is a storm-to-inspection before/after ad. If it misses the mark, no problem—I won't keep chasing. Should I send it?</x:v>
      </x:c>
      <x:c r="AW653" s="76" t="str">
        <x:v>Hi MCA Construction &amp; Roofing, Ryan here. I was looking at MCA Construction &amp; Roofing's public marketing and noticed: 153 google reviews; no embedded homepage video found. I mapped one private storm-to-inspection before/after ad as an example. Did I catch you with 30 seconds?</x:v>
      </x:c>
      <x:c r="AX653" s="60" t="str">
        <x:v>https://www.facebook.com/ads/library/?active_status=active&amp;ad_type=all&amp;country=US&amp;q=MCA%20Construction%20%26%20Roofing&amp;search_type=keyword_unordered</x:v>
      </x:c>
      <x:c r="AY653" s="60" t="str">
        <x:v>ok:200</x:v>
      </x:c>
      <x:c r="AZ653" s="60" t="n">
        <x:v>46232.722858796296</x:v>
      </x:c>
      <x:c r="BA653" s="60" t="str">
        <x:v>Google Maps home-services export</x:v>
      </x:c>
      <x:c r="BB653" s="60" t="str">
        <x:v>https://maps.google.com/?cid=2106893631981262931&amp;g_mp=Cidnb29nbGUubWFwcy5wbGFjZXMudjEuUGxhY2VzLlNlYXJjaFRleHQQAhgEIAA | https://mcaupstate.com</x:v>
      </x:c>
      <x:c r="BC653" s="60" t="str"/>
    </x:row>
    <x:row r="654" ht="18" customHeight="1">
      <x:c r="A654" s="70" t="str">
        <x:v>653</x:v>
      </x:c>
      <x:c r="B654" s="70" t="str">
        <x:v>C - Verify</x:v>
      </x:c>
      <x:c r="C654" s="72" t="str">
        <x:v>47</x:v>
      </x:c>
      <x:c r="D654" s="60" t="str">
        <x:v>KEE Roofing &amp; Solar</x:v>
      </x:c>
      <x:c r="E654" s="60" t="str">
        <x:v>https://keeroofingandsolar.com</x:v>
      </x:c>
      <x:c r="F654" s="60" t="str">
        <x:v>https://keeroofingandsolar.com</x:v>
      </x:c>
      <x:c r="G654" s="60" t="str">
        <x:v>Greenville</x:v>
      </x:c>
      <x:c r="H654" s="60" t="str">
        <x:v>South Carolina</x:v>
      </x:c>
      <x:c r="I654" s="60" t="str">
        <x:v>Roofing</x:v>
      </x:c>
      <x:c r="J654" s="60" t="str">
        <x:v>KEE Roofing &amp; Solar</x:v>
      </x:c>
      <x:c r="K654" s="60" t="str"/>
      <x:c r="L654" s="60" t="str">
        <x:v>Owner / decision maker to verify</x:v>
      </x:c>
      <x:c r="M654" s="60" t="str"/>
      <x:c r="N654" s="60" t="str"/>
      <x:c r="O654" s="60" t="str">
        <x:v>(864) 763-5927</x:v>
      </x:c>
      <x:c r="P654" s="60" t="str"/>
      <x:c r="Q654" s="60" t="str"/>
      <x:c r="R654" s="60" t="str"/>
      <x:c r="S654" s="60" t="str">
        <x:v>4.9</x:v>
      </x:c>
      <x:c r="T654" s="74" t="str">
        <x:v>105</x:v>
      </x:c>
      <x:c r="U654" s="60" t="str"/>
      <x:c r="V654" s="74" t="str">
        <x:v>29</x:v>
      </x:c>
      <x:c r="W654" s="74" t="str">
        <x:v>0</x:v>
      </x:c>
      <x:c r="X654" s="74" t="str">
        <x:v>10</x:v>
      </x:c>
      <x:c r="Y654" s="74" t="str">
        <x:v>3</x:v>
      </x:c>
      <x:c r="Z654" s="74" t="str">
        <x:v>5</x:v>
      </x:c>
      <x:c r="AA654" s="74" t="str">
        <x:v>0</x:v>
      </x:c>
      <x:c r="AB654" s="74" t="str">
        <x:v>0</x:v>
      </x:c>
      <x:c r="AC654" s="74" t="str">
        <x:v>0</x:v>
      </x:c>
      <x:c r="AD654" s="74" t="str">
        <x:v>0</x:v>
      </x:c>
      <x:c r="AE654" s="74" t="str">
        <x:v>0</x:v>
      </x:c>
      <x:c r="AF654" s="74" t="str"/>
      <x:c r="AG654" s="74" t="str">
        <x:v>0</x:v>
      </x:c>
      <x:c r="AH654" s="74" t="str">
        <x:v>0</x:v>
      </x:c>
      <x:c r="AI654" s="74" t="str">
        <x:v>0</x:v>
      </x:c>
      <x:c r="AJ654" s="74" t="str">
        <x:v>0</x:v>
      </x:c>
      <x:c r="AK654" s="74" t="str">
        <x:v>0</x:v>
      </x:c>
      <x:c r="AL654" s="74" t="str">
        <x:v>0</x:v>
      </x:c>
      <x:c r="AM654" s="74" t="str">
        <x:v>0</x:v>
      </x:c>
      <x:c r="AN654" s="74" t="str">
        <x:v>0</x:v>
      </x:c>
      <x:c r="AO654" s="60" t="str">
        <x:v>0</x:v>
      </x:c>
      <x:c r="AP654" s="76" t="str">
        <x:v>105 Google reviews; no embedded homepage video found</x:v>
      </x:c>
      <x:c r="AQ654" s="76" t="str">
        <x:v>no embedded homepage video detected</x:v>
      </x:c>
      <x:c r="AR654" s="76" t="str">
        <x:v>KEE Roofing &amp; Solar has 105 Google reviews—strong proof that could be turned into short-form ad concepts.</x:v>
      </x:c>
      <x:c r="AS654" s="76" t="str">
        <x:v>storm-to-inspection before/after ad</x:v>
      </x:c>
      <x:c r="AT654" s="76" t="str">
        <x:v>KEE Roofing &amp; Solar ad concept</x:v>
      </x:c>
      <x:c r="AU654" s="76" t="str">
        <x:v>Hi KEE Roofing &amp; Solar — KEE Roofing &amp; Solar has 105 Google reviews—strong proof that could be turned into short-form ad concepts. I mapped a private 15-second storm-to-inspection before/after ad for KEE Roofing &amp; Solar using only public brand context—not for publishing, just to show the angle. We build three client-approved video ad concepts in seven days, then turn the winners into fresh variations. No filming day required. Worth sending the private sample?</x:v>
      </x:c>
      <x:c r="AV654" s="76" t="str">
        <x:v>Quick follow-up: the sample angle is a storm-to-inspection before/after ad. If it misses the mark, no problem—I won't keep chasing. Should I send it?</x:v>
      </x:c>
      <x:c r="AW654" s="76" t="str">
        <x:v>Hi KEE Roofing &amp; Solar, Ryan here. I was looking at KEE Roofing &amp; Solar's public marketing and noticed: 105 google reviews; no embedded homepage video found. I mapped one private storm-to-inspection before/after ad as an example. Did I catch you with 30 seconds?</x:v>
      </x:c>
      <x:c r="AX654" s="60" t="str">
        <x:v>https://www.facebook.com/ads/library/?active_status=active&amp;ad_type=all&amp;country=US&amp;q=KEE%20Roofing%20%26%20Solar&amp;search_type=keyword_unordered</x:v>
      </x:c>
      <x:c r="AY654" s="60" t="str">
        <x:v>ok:200</x:v>
      </x:c>
      <x:c r="AZ654" s="60" t="n">
        <x:v>46232.722858796296</x:v>
      </x:c>
      <x:c r="BA654" s="60" t="str">
        <x:v>Google Maps home-services export</x:v>
      </x:c>
      <x:c r="BB654" s="60" t="str">
        <x:v>https://keeroofingandsolar.com | https://maps.google.com/?cid=1252995552277198830&amp;g_mp=Cidnb29nbGUubWFwcy5wbGFjZXMudjEuUGxhY2VzLlNlYXJjaFRleHQQAhgEIAA</x:v>
      </x:c>
      <x:c r="BC654" s="60" t="str"/>
    </x:row>
    <x:row r="655" ht="18" customHeight="1">
      <x:c r="A655" s="70" t="str">
        <x:v>654</x:v>
      </x:c>
      <x:c r="B655" s="70" t="str">
        <x:v>C - Verify</x:v>
      </x:c>
      <x:c r="C655" s="72" t="str">
        <x:v>47</x:v>
      </x:c>
      <x:c r="D655" s="60" t="str">
        <x:v>Dynamic Electric, Inc.</x:v>
      </x:c>
      <x:c r="E655" s="60" t="str">
        <x:v>https://dynamicelectric.com</x:v>
      </x:c>
      <x:c r="F655" s="60" t="str">
        <x:v>https://dynamicelectric.com</x:v>
      </x:c>
      <x:c r="G655" s="60" t="str">
        <x:v>Greenville</x:v>
      </x:c>
      <x:c r="H655" s="60" t="str">
        <x:v>South Carolina</x:v>
      </x:c>
      <x:c r="I655" s="60" t="str">
        <x:v>Electrical</x:v>
      </x:c>
      <x:c r="J655" s="60" t="str">
        <x:v>Joseph</x:v>
      </x:c>
      <x:c r="K655" s="60" t="str">
        <x:v>Bartram</x:v>
      </x:c>
      <x:c r="L655" s="60" t="str">
        <x:v>Owner/Operator</x:v>
      </x:c>
      <x:c r="M655" s="60" t="str"/>
      <x:c r="N655" s="60" t="str"/>
      <x:c r="O655" s="60" t="str">
        <x:v>+1 864 395 6925</x:v>
      </x:c>
      <x:c r="P655" s="60" t="str">
        <x:v>https://www.linkedin.com/in/joseph-bartram-83a9871b6</x:v>
      </x:c>
      <x:c r="Q655" s="60" t="str">
        <x:v>51-200</x:v>
      </x:c>
      <x:c r="R655" s="60" t="str">
        <x:v>1000000-4999999</x:v>
      </x:c>
      <x:c r="S655" s="60" t="str"/>
      <x:c r="T655" s="74" t="str">
        <x:v>0</x:v>
      </x:c>
      <x:c r="U655" s="60" t="str"/>
      <x:c r="V655" s="74" t="str">
        <x:v>29</x:v>
      </x:c>
      <x:c r="W655" s="74" t="str">
        <x:v>0</x:v>
      </x:c>
      <x:c r="X655" s="74" t="str">
        <x:v>10</x:v>
      </x:c>
      <x:c r="Y655" s="74" t="str">
        <x:v>3</x:v>
      </x:c>
      <x:c r="Z655" s="74" t="str">
        <x:v>5</x:v>
      </x:c>
      <x:c r="AA655" s="74" t="str">
        <x:v>0</x:v>
      </x:c>
      <x:c r="AB655" s="74" t="str">
        <x:v>0</x:v>
      </x:c>
      <x:c r="AC655" s="74" t="str">
        <x:v>0</x:v>
      </x:c>
      <x:c r="AD655" s="74" t="str">
        <x:v>0</x:v>
      </x:c>
      <x:c r="AE655" s="74" t="str">
        <x:v>0</x:v>
      </x:c>
      <x:c r="AF655" s="74" t="str"/>
      <x:c r="AG655" s="74" t="str">
        <x:v>0</x:v>
      </x:c>
      <x:c r="AH655" s="74" t="str">
        <x:v>0</x:v>
      </x:c>
      <x:c r="AI655" s="74" t="str">
        <x:v>0</x:v>
      </x:c>
      <x:c r="AJ655" s="74" t="str">
        <x:v>0</x:v>
      </x:c>
      <x:c r="AK655" s="74" t="str">
        <x:v>1</x:v>
      </x:c>
      <x:c r="AL655" s="74" t="str">
        <x:v>0</x:v>
      </x:c>
      <x:c r="AM655" s="74" t="str">
        <x:v>0</x:v>
      </x:c>
      <x:c r="AN655" s="74" t="str">
        <x:v>0</x:v>
      </x:c>
      <x:c r="AO655" s="60" t="str">
        <x:v>2026</x:v>
      </x:c>
      <x:c r="AP655" s="76" t="str">
        <x:v>ICP fit; paid-demand need requires manual verification</x:v>
      </x:c>
      <x:c r="AQ655" s="76" t="str">
        <x:v>visible service offer; no embedded homepage video detected</x:v>
      </x:c>
      <x:c r="AR655" s="76" t="str">
        <x:v>I was reviewing electrical companies in Greenville, South Carolina and Dynamic Electric, Inc. looked like a strong fit for a creative test.</x:v>
      </x:c>
      <x:c r="AS655" s="76" t="str">
        <x:v>safety inspection problem/solution ad</x:v>
      </x:c>
      <x:c r="AT655" s="76" t="str">
        <x:v>Dynamic Electric, Inc. ad concept</x:v>
      </x:c>
      <x:c r="AU655" s="76" t="str">
        <x:v>Hi Joseph — I was reviewing electrical companies in Greenville, South Carolina and Dynamic Electric, Inc. looked like a strong fit for a creative test. I mapped a private 15-second safety inspection problem/solution ad for Dynamic Electric, Inc. using only public brand context—not for publishing, just to show the angle. We build three client-approved video ad concepts in seven days, then turn the winners into fresh variations. No filming day required. Worth sending the private sample?</x:v>
      </x:c>
      <x:c r="AV655" s="76" t="str">
        <x:v>Quick follow-up: the sample angle is a safety inspection problem/solution ad. If it misses the mark, no problem—I won't keep chasing. Should I send it?</x:v>
      </x:c>
      <x:c r="AW655" s="76" t="str">
        <x:v>Hi Joseph, Ryan here. I was looking at Dynamic Electric, Inc.'s public marketing and noticed: icp fit; paid-demand need requires manual verification. I mapped one private safety inspection problem/solution ad as an example. Did I catch you with 30 seconds?</x:v>
      </x:c>
      <x:c r="AX655" s="60" t="str">
        <x:v>https://www.facebook.com/ads/library/?active_status=active&amp;ad_type=all&amp;country=US&amp;q=Dynamic%20Electric%2C%20Inc.&amp;search_type=keyword_unordered</x:v>
      </x:c>
      <x:c r="AY655" s="60" t="str">
        <x:v>ok:200</x:v>
      </x:c>
      <x:c r="AZ655" s="60" t="n">
        <x:v>46232.722858796296</x:v>
      </x:c>
      <x:c r="BA655" s="60" t="str">
        <x:v>AI Ark SC trades export</x:v>
      </x:c>
      <x:c r="BB655" s="60" t="str">
        <x:v>https://dynamicelectric.com | https://www.linkedin.com/company/dynamic-electric-inc.</x:v>
      </x:c>
      <x:c r="BC655" s="60" t="str"/>
    </x:row>
    <x:row r="656" ht="18" customHeight="1">
      <x:c r="A656" s="70" t="str">
        <x:v>655</x:v>
      </x:c>
      <x:c r="B656" s="70" t="str">
        <x:v>C - Verify</x:v>
      </x:c>
      <x:c r="C656" s="72" t="str">
        <x:v>47</x:v>
      </x:c>
      <x:c r="D656" s="60" t="str">
        <x:v>Cottrell &amp; Co., Inc Plumbing Heating And Air</x:v>
      </x:c>
      <x:c r="E656" s="60" t="str">
        <x:v>https://cottrellplumbingheatingandair.com</x:v>
      </x:c>
      <x:c r="F656" s="60" t="str">
        <x:v>https://cottrellplumbingheatingandair.com</x:v>
      </x:c>
      <x:c r="G656" s="60" t="str">
        <x:v>Columbia</x:v>
      </x:c>
      <x:c r="H656" s="60" t="str">
        <x:v>South Carolina</x:v>
      </x:c>
      <x:c r="I656" s="60" t="str">
        <x:v>HVAC</x:v>
      </x:c>
      <x:c r="J656" s="60" t="str">
        <x:v>Cottrell &amp; Co., Inc Plumbing Heating And Air</x:v>
      </x:c>
      <x:c r="K656" s="60" t="str"/>
      <x:c r="L656" s="60" t="str">
        <x:v>Owner / decision maker to verify</x:v>
      </x:c>
      <x:c r="M656" s="60" t="str"/>
      <x:c r="N656" s="60" t="str"/>
      <x:c r="O656" s="60" t="str">
        <x:v>(803) 336-6989</x:v>
      </x:c>
      <x:c r="P656" s="60" t="str"/>
      <x:c r="Q656" s="60" t="str"/>
      <x:c r="R656" s="60" t="str"/>
      <x:c r="S656" s="60" t="str">
        <x:v>4.9</x:v>
      </x:c>
      <x:c r="T656" s="74" t="str">
        <x:v>598</x:v>
      </x:c>
      <x:c r="U656" s="60" t="str"/>
      <x:c r="V656" s="74" t="str">
        <x:v>29</x:v>
      </x:c>
      <x:c r="W656" s="74" t="str">
        <x:v>0</x:v>
      </x:c>
      <x:c r="X656" s="74" t="str">
        <x:v>10</x:v>
      </x:c>
      <x:c r="Y656" s="74" t="str">
        <x:v>3</x:v>
      </x:c>
      <x:c r="Z656" s="74" t="str">
        <x:v>5</x:v>
      </x:c>
      <x:c r="AA656" s="74" t="str">
        <x:v>0</x:v>
      </x:c>
      <x:c r="AB656" s="74" t="str">
        <x:v>0</x:v>
      </x:c>
      <x:c r="AC656" s="74" t="str">
        <x:v>0</x:v>
      </x:c>
      <x:c r="AD656" s="74" t="str">
        <x:v>0</x:v>
      </x:c>
      <x:c r="AE656" s="74" t="str">
        <x:v>0</x:v>
      </x:c>
      <x:c r="AF656" s="74" t="str"/>
      <x:c r="AG656" s="74" t="str">
        <x:v>0</x:v>
      </x:c>
      <x:c r="AH656" s="74" t="str">
        <x:v>0</x:v>
      </x:c>
      <x:c r="AI656" s="74" t="str">
        <x:v>0</x:v>
      </x:c>
      <x:c r="AJ656" s="74" t="str">
        <x:v>0</x:v>
      </x:c>
      <x:c r="AK656" s="74" t="str">
        <x:v>0</x:v>
      </x:c>
      <x:c r="AL656" s="74" t="str">
        <x:v>0</x:v>
      </x:c>
      <x:c r="AM656" s="74" t="str">
        <x:v>0</x:v>
      </x:c>
      <x:c r="AN656" s="74" t="str">
        <x:v>0</x:v>
      </x:c>
      <x:c r="AO656" s="60" t="str">
        <x:v>0</x:v>
      </x:c>
      <x:c r="AP656" s="76" t="str">
        <x:v>598 Google reviews; no embedded homepage video found</x:v>
      </x:c>
      <x:c r="AQ656" s="76" t="str">
        <x:v>no embedded homepage video detected</x:v>
      </x:c>
      <x:c r="AR656" s="76" t="str">
        <x:v>Cottrell &amp; Co., Inc Plumbing Heating And Air has 598 Google reviews—strong proof that could be turned into short-form ad concepts.</x:v>
      </x:c>
      <x:c r="AS656" s="76" t="str">
        <x:v>no-cool-call to same-day comfort ad</x:v>
      </x:c>
      <x:c r="AT656" s="76" t="str">
        <x:v>Cottrell &amp; Co., Inc Plumbing Heating And Air ad concept</x:v>
      </x:c>
      <x:c r="AU656" s="76" t="str">
        <x:v>Hi Cottrell &amp; Co., Inc Plumbing Heating And Air — Cottrell &amp; Co., Inc Plumbing Heating And Air has 598 Google reviews—strong proof that could be turned into short-form ad concepts. I mapped a private 15-second no-cool-call to same-day comfort ad for Cottrell &amp; Co., Inc Plumbing Heating And Air using only public brand context—not for publishing, just to show the angle. We build three client-approved video ad concepts in seven days, then turn the winners into fresh variations. No filming day required. Worth sending the private sample?</x:v>
      </x:c>
      <x:c r="AV656" s="76" t="str">
        <x:v>Quick follow-up: the sample angle is a no-cool-call to same-day comfort ad. If it misses the mark, no problem—I won't keep chasing. Should I send it?</x:v>
      </x:c>
      <x:c r="AW656" s="76" t="str">
        <x:v>Hi Cottrell &amp; Co., Inc Plumbing Heating And Air, Ryan here. I was looking at Cottrell &amp; Co., Inc Plumbing Heating And Air's public marketing and noticed: 598 google reviews; no embedded homepage video found. I mapped one private no-cool-call to same-day comfort ad as an example. Did I catch you with 30 seconds?</x:v>
      </x:c>
      <x:c r="AX656" s="60" t="str">
        <x:v>https://www.facebook.com/ads/library/?active_status=active&amp;ad_type=all&amp;country=US&amp;q=Cottrell%20%26%20Co.%2C%20Inc%20Plumbing%20Heating%20And%20Air&amp;search_type=keyword_unordered</x:v>
      </x:c>
      <x:c r="AY656" s="60" t="str">
        <x:v>ok:200</x:v>
      </x:c>
      <x:c r="AZ656" s="60" t="n">
        <x:v>46232.722858796296</x:v>
      </x:c>
      <x:c r="BA656" s="60" t="str">
        <x:v>Google Maps home-services export</x:v>
      </x:c>
      <x:c r="BB656" s="60" t="str">
        <x:v>https://cottrellplumbingheatingandair.com | https://maps.google.com/?cid=4425401840935007782&amp;g_mp=Cidnb29nbGUubWFwcy5wbGFjZXMudjEuUGxhY2VzLlNlYXJjaFRleHQQAhgEIAA</x:v>
      </x:c>
      <x:c r="BC656" s="60" t="str"/>
    </x:row>
    <x:row r="657" ht="18" customHeight="1">
      <x:c r="A657" s="70" t="str">
        <x:v>656</x:v>
      </x:c>
      <x:c r="B657" s="70" t="str">
        <x:v>C - Verify</x:v>
      </x:c>
      <x:c r="C657" s="72" t="str">
        <x:v>47</x:v>
      </x:c>
      <x:c r="D657" s="60" t="str">
        <x:v>TURNKEY SERVICES</x:v>
      </x:c>
      <x:c r="E657" s="60" t="str">
        <x:v>https://turnkeyinc.us</x:v>
      </x:c>
      <x:c r="F657" s="60" t="str">
        <x:v>https://turnkeyinc.us</x:v>
      </x:c>
      <x:c r="G657" s="60" t="str">
        <x:v>Hilton Head Island</x:v>
      </x:c>
      <x:c r="H657" s="60" t="str">
        <x:v>South Carolina</x:v>
      </x:c>
      <x:c r="I657" s="60" t="str">
        <x:v>Foundation &amp; Waterproofing</x:v>
      </x:c>
      <x:c r="J657" s="60" t="str">
        <x:v>Todd</x:v>
      </x:c>
      <x:c r="K657" s="60" t="str">
        <x:v>Rieger</x:v>
      </x:c>
      <x:c r="L657" s="60" t="str">
        <x:v>Owner</x:v>
      </x:c>
      <x:c r="M657" s="60" t="str">
        <x:v>trieger@turnkeyinc.us</x:v>
      </x:c>
      <x:c r="N657" s="60" t="str">
        <x:v>Verified with BounceBan on 08 Jun 26 12:06</x:v>
      </x:c>
      <x:c r="O657" s="60" t="str">
        <x:v>+1 843 247 4040</x:v>
      </x:c>
      <x:c r="P657" s="60" t="str">
        <x:v>https://www.linkedin.com/in/todd-rieger-95760046</x:v>
      </x:c>
      <x:c r="Q657" s="60" t="str">
        <x:v>11-50</x:v>
      </x:c>
      <x:c r="R657" s="60" t="str">
        <x:v>1000000-4999999</x:v>
      </x:c>
      <x:c r="S657" s="60" t="str"/>
      <x:c r="T657" s="74" t="str">
        <x:v>0</x:v>
      </x:c>
      <x:c r="U657" s="60" t="str"/>
      <x:c r="V657" s="74" t="str">
        <x:v>30</x:v>
      </x:c>
      <x:c r="W657" s="74" t="str">
        <x:v>0</x:v>
      </x:c>
      <x:c r="X657" s="74" t="str">
        <x:v>10</x:v>
      </x:c>
      <x:c r="Y657" s="74" t="str">
        <x:v>0</x:v>
      </x:c>
      <x:c r="Z657" s="74" t="str">
        <x:v>10</x:v>
      </x:c>
      <x:c r="AA657" s="74" t="str">
        <x:v>0</x:v>
      </x:c>
      <x:c r="AB657" s="74" t="str">
        <x:v>0</x:v>
      </x:c>
      <x:c r="AC657" s="74" t="str">
        <x:v>0</x:v>
      </x:c>
      <x:c r="AD657" s="74" t="str">
        <x:v>0</x:v>
      </x:c>
      <x:c r="AE657" s="74" t="str">
        <x:v>0</x:v>
      </x:c>
      <x:c r="AF657" s="74" t="str"/>
      <x:c r="AG657" s="74" t="str">
        <x:v>0</x:v>
      </x:c>
      <x:c r="AH657" s="74" t="str">
        <x:v>0</x:v>
      </x:c>
      <x:c r="AI657" s="74" t="str">
        <x:v>0</x:v>
      </x:c>
      <x:c r="AJ657" s="74" t="str">
        <x:v>0</x:v>
      </x:c>
      <x:c r="AK657" s="74" t="str">
        <x:v>0</x:v>
      </x:c>
      <x:c r="AL657" s="74" t="str">
        <x:v>0</x:v>
      </x:c>
      <x:c r="AM657" s="74" t="str">
        <x:v>0</x:v>
      </x:c>
      <x:c r="AN657" s="74" t="str">
        <x:v>0</x:v>
      </x:c>
      <x:c r="AO657" s="60" t="str">
        <x:v>0</x:v>
      </x:c>
      <x:c r="AP657" s="76" t="str">
        <x:v>ICP fit; paid-demand need requires manual verification</x:v>
      </x:c>
      <x:c r="AQ657" s="76" t="str">
        <x:v>no embedded homepage video detected</x:v>
      </x:c>
      <x:c r="AR657" s="76" t="str">
        <x:v>I was reviewing foundation &amp; waterproofing companies in Hilton Head Island, South Carolina and TURNKEY SERVICES looked like a strong fit for a creative test.</x:v>
      </x:c>
      <x:c r="AS657" s="76" t="str">
        <x:v>visible-warning-signs inspection ad</x:v>
      </x:c>
      <x:c r="AT657" s="76" t="str">
        <x:v>TURNKEY SERVICES ad concept</x:v>
      </x:c>
      <x:c r="AU657" s="76" t="str">
        <x:v>Hi Todd — I was reviewing foundation &amp; waterproofing companies in Hilton Head Island, South Carolina and TURNKEY SERVICES looked like a strong fit for a creative test. I mapped a private 15-second visible-warning-signs inspection ad for TURNKEY SERVICES using only public brand context—not for publishing, just to show the angle. We build three client-approved video ad concepts in seven days, then turn the winners into fresh variations. No filming day required. Worth sending the private sample?</x:v>
      </x:c>
      <x:c r="AV657" s="76" t="str">
        <x:v>Quick follow-up: the sample angle is a visible-warning-signs inspection ad. If it misses the mark, no problem—I won't keep chasing. Should I send it?</x:v>
      </x:c>
      <x:c r="AW657" s="76" t="str">
        <x:v>Hi Todd, Ryan here. I was looking at TURNKEY SERVICES's public marketing and noticed: icp fit; paid-demand need requires manual verification. I mapped one private visible-warning-signs inspection ad as an example. Did I catch you with 30 seconds?</x:v>
      </x:c>
      <x:c r="AX657" s="60" t="str">
        <x:v>https://www.facebook.com/ads/library/?active_status=active&amp;ad_type=all&amp;country=US&amp;q=TURNKEY%20SERVICES&amp;search_type=keyword_unordered</x:v>
      </x:c>
      <x:c r="AY657" s="60" t="str">
        <x:v>url_error:TimeoutError</x:v>
      </x:c>
      <x:c r="AZ657" s="60" t="n">
        <x:v>46232.722858796296</x:v>
      </x:c>
      <x:c r="BA657" s="60" t="str">
        <x:v>AI Ark SC trades export</x:v>
      </x:c>
      <x:c r="BB657" s="60" t="str">
        <x:v>https://turnkeyinc.us | https://www.linkedin.com/company/turnkey-services</x:v>
      </x:c>
      <x:c r="BC657" s="60" t="str"/>
    </x:row>
    <x:row r="658" ht="18" customHeight="1">
      <x:c r="A658" s="70" t="str">
        <x:v>657</x:v>
      </x:c>
      <x:c r="B658" s="70" t="str">
        <x:v>C - Verify</x:v>
      </x:c>
      <x:c r="C658" s="72" t="str">
        <x:v>47</x:v>
      </x:c>
      <x:c r="D658" s="60" t="str">
        <x:v>Staten Plumbing, Inc.</x:v>
      </x:c>
      <x:c r="E658" s="60" t="str">
        <x:v>https://statenplumbing.com</x:v>
      </x:c>
      <x:c r="F658" s="60" t="str">
        <x:v>https://statenplumbing.com</x:v>
      </x:c>
      <x:c r="G658" s="60" t="str">
        <x:v>Mauldin</x:v>
      </x:c>
      <x:c r="H658" s="60" t="str">
        <x:v>South Carolina</x:v>
      </x:c>
      <x:c r="I658" s="60" t="str">
        <x:v>HVAC</x:v>
      </x:c>
      <x:c r="J658" s="60" t="str">
        <x:v>Dean</x:v>
      </x:c>
      <x:c r="K658" s="60" t="str">
        <x:v>Mathis</x:v>
      </x:c>
      <x:c r="L658" s="60" t="str">
        <x:v>Business Owner</x:v>
      </x:c>
      <x:c r="M658" s="60" t="str">
        <x:v>dean@statenplumbing.com</x:v>
      </x:c>
      <x:c r="N658" s="60" t="str">
        <x:v>Verified with BounceBan on 07 Jun 26 06:59</x:v>
      </x:c>
      <x:c r="O658" s="60" t="str">
        <x:v>+1 864 520 1138</x:v>
      </x:c>
      <x:c r="P658" s="60" t="str">
        <x:v>https://www.linkedin.com/in/dean-mathis-807037277</x:v>
      </x:c>
      <x:c r="Q658" s="60" t="str">
        <x:v>11-50</x:v>
      </x:c>
      <x:c r="R658" s="60" t="str">
        <x:v>500000-999999</x:v>
      </x:c>
      <x:c r="S658" s="60" t="str"/>
      <x:c r="T658" s="74" t="str">
        <x:v>0</x:v>
      </x:c>
      <x:c r="U658" s="60" t="str"/>
      <x:c r="V658" s="74" t="str">
        <x:v>30</x:v>
      </x:c>
      <x:c r="W658" s="74" t="str">
        <x:v>0</x:v>
      </x:c>
      <x:c r="X658" s="74" t="str">
        <x:v>10</x:v>
      </x:c>
      <x:c r="Y658" s="74" t="str">
        <x:v>0</x:v>
      </x:c>
      <x:c r="Z658" s="74" t="str">
        <x:v>10</x:v>
      </x:c>
      <x:c r="AA658" s="74" t="str">
        <x:v>0</x:v>
      </x:c>
      <x:c r="AB658" s="74" t="str">
        <x:v>0</x:v>
      </x:c>
      <x:c r="AC658" s="74" t="str">
        <x:v>0</x:v>
      </x:c>
      <x:c r="AD658" s="74" t="str">
        <x:v>0</x:v>
      </x:c>
      <x:c r="AE658" s="74" t="str">
        <x:v>0</x:v>
      </x:c>
      <x:c r="AF658" s="74" t="str"/>
      <x:c r="AG658" s="74" t="str">
        <x:v>0</x:v>
      </x:c>
      <x:c r="AH658" s="74" t="str">
        <x:v>0</x:v>
      </x:c>
      <x:c r="AI658" s="74" t="str">
        <x:v>0</x:v>
      </x:c>
      <x:c r="AJ658" s="74" t="str">
        <x:v>0</x:v>
      </x:c>
      <x:c r="AK658" s="74" t="str">
        <x:v>0</x:v>
      </x:c>
      <x:c r="AL658" s="74" t="str">
        <x:v>0</x:v>
      </x:c>
      <x:c r="AM658" s="74" t="str">
        <x:v>0</x:v>
      </x:c>
      <x:c r="AN658" s="74" t="str">
        <x:v>0</x:v>
      </x:c>
      <x:c r="AO658" s="60" t="str">
        <x:v>0</x:v>
      </x:c>
      <x:c r="AP658" s="76" t="str">
        <x:v>ICP fit; paid-demand need requires manual verification</x:v>
      </x:c>
      <x:c r="AQ658" s="76" t="str">
        <x:v>no embedded homepage video detected</x:v>
      </x:c>
      <x:c r="AR658" s="76" t="str">
        <x:v>I was reviewing hvac companies in Mauldin, South Carolina and Staten Plumbing, Inc. looked like a strong fit for a creative test.</x:v>
      </x:c>
      <x:c r="AS658" s="76" t="str">
        <x:v>no-cool-call to same-day comfort ad</x:v>
      </x:c>
      <x:c r="AT658" s="76" t="str">
        <x:v>Staten Plumbing, Inc. ad concept</x:v>
      </x:c>
      <x:c r="AU658" s="76" t="str">
        <x:v>Hi Dean — I was reviewing hvac companies in Mauldin, South Carolina and Staten Plumbing, Inc. looked like a strong fit for a creative test. I mapped a private 15-second no-cool-call to same-day comfort ad for Staten Plumbing, Inc. using only public brand context—not for publishing, just to show the angle. We build three client-approved video ad concepts in seven days, then turn the winners into fresh variations. No filming day required. Worth sending the private sample?</x:v>
      </x:c>
      <x:c r="AV658" s="76" t="str">
        <x:v>Quick follow-up: the sample angle is a no-cool-call to same-day comfort ad. If it misses the mark, no problem—I won't keep chasing. Should I send it?</x:v>
      </x:c>
      <x:c r="AW658" s="76" t="str">
        <x:v>Hi Dean, Ryan here. I was looking at Staten Plumbing, Inc.'s public marketing and noticed: icp fit; paid-demand need requires manual verification. I mapped one private no-cool-call to same-day comfort ad as an example. Did I catch you with 30 seconds?</x:v>
      </x:c>
      <x:c r="AX658" s="60" t="str">
        <x:v>https://www.facebook.com/ads/library/?active_status=active&amp;ad_type=all&amp;country=US&amp;q=Staten%20Plumbing%2C%20Inc.&amp;search_type=keyword_unordered</x:v>
      </x:c>
      <x:c r="AY658" s="60" t="str">
        <x:v>url_error:SSLCertVerificationError</x:v>
      </x:c>
      <x:c r="AZ658" s="60" t="n">
        <x:v>46232.722858796296</x:v>
      </x:c>
      <x:c r="BA658" s="60" t="str">
        <x:v>AI Ark SC trades export</x:v>
      </x:c>
      <x:c r="BB658" s="60" t="str">
        <x:v>https://statenplumbing.com | https://www.linkedin.com/company/staten-plumbing-inc-</x:v>
      </x:c>
      <x:c r="BC658" s="60" t="str"/>
    </x:row>
    <x:row r="659" ht="18" customHeight="1">
      <x:c r="A659" s="70" t="str">
        <x:v>658</x:v>
      </x:c>
      <x:c r="B659" s="70" t="str">
        <x:v>C - Verify</x:v>
      </x:c>
      <x:c r="C659" s="72" t="str">
        <x:v>47</x:v>
      </x:c>
      <x:c r="D659" s="60" t="str">
        <x:v>Great Southern Homes</x:v>
      </x:c>
      <x:c r="E659" s="60" t="str">
        <x:v>https://greatsouthernhomes.com</x:v>
      </x:c>
      <x:c r="F659" s="60" t="str">
        <x:v>https://www.greatsouthernhomes.com/</x:v>
      </x:c>
      <x:c r="G659" s="60" t="str">
        <x:v>Chapin</x:v>
      </x:c>
      <x:c r="H659" s="60" t="str">
        <x:v>South Carolina</x:v>
      </x:c>
      <x:c r="I659" s="60" t="str">
        <x:v>General Contractor</x:v>
      </x:c>
      <x:c r="J659" s="60" t="str">
        <x:v>michael</x:v>
      </x:c>
      <x:c r="K659" s="60" t="str">
        <x:v>nieri</x:v>
      </x:c>
      <x:c r="L659" s="60" t="str">
        <x:v>Business Owner</x:v>
      </x:c>
      <x:c r="M659" s="60" t="str">
        <x:v>michaelnieri@greatsouthernhomes.com</x:v>
      </x:c>
      <x:c r="N659" s="60" t="str">
        <x:v>Verified with BounceBan on 07 Jun 26 21:17</x:v>
      </x:c>
      <x:c r="O659" s="60" t="str">
        <x:v>+1 704 564 9766</x:v>
      </x:c>
      <x:c r="P659" s="60" t="str">
        <x:v>https://www.linkedin.com/in/michael-nieri-509637114</x:v>
      </x:c>
      <x:c r="Q659" s="60" t="str">
        <x:v>51-200</x:v>
      </x:c>
      <x:c r="R659" s="60" t="str">
        <x:v>5000000-9999999</x:v>
      </x:c>
      <x:c r="S659" s="60" t="str"/>
      <x:c r="T659" s="74" t="str">
        <x:v>0</x:v>
      </x:c>
      <x:c r="U659" s="60" t="str"/>
      <x:c r="V659" s="74" t="str">
        <x:v>27</x:v>
      </x:c>
      <x:c r="W659" s="74" t="str">
        <x:v>0</x:v>
      </x:c>
      <x:c r="X659" s="74" t="str">
        <x:v>10</x:v>
      </x:c>
      <x:c r="Y659" s="74" t="str">
        <x:v>0</x:v>
      </x:c>
      <x:c r="Z659" s="74" t="str">
        <x:v>10</x:v>
      </x:c>
      <x:c r="AA659" s="74" t="str">
        <x:v>0</x:v>
      </x:c>
      <x:c r="AB659" s="74" t="str">
        <x:v>0</x:v>
      </x:c>
      <x:c r="AC659" s="74" t="str">
        <x:v>0</x:v>
      </x:c>
      <x:c r="AD659" s="74" t="str">
        <x:v>0</x:v>
      </x:c>
      <x:c r="AE659" s="74" t="str">
        <x:v>0</x:v>
      </x:c>
      <x:c r="AF659" s="74" t="str"/>
      <x:c r="AG659" s="74" t="str">
        <x:v>0</x:v>
      </x:c>
      <x:c r="AH659" s="74" t="str">
        <x:v>0</x:v>
      </x:c>
      <x:c r="AI659" s="74" t="str">
        <x:v>0</x:v>
      </x:c>
      <x:c r="AJ659" s="74" t="str">
        <x:v>0</x:v>
      </x:c>
      <x:c r="AK659" s="74" t="str">
        <x:v>0</x:v>
      </x:c>
      <x:c r="AL659" s="74" t="str">
        <x:v>0</x:v>
      </x:c>
      <x:c r="AM659" s="74" t="str">
        <x:v>0</x:v>
      </x:c>
      <x:c r="AN659" s="74" t="str">
        <x:v>0</x:v>
      </x:c>
      <x:c r="AO659" s="60" t="str">
        <x:v>0</x:v>
      </x:c>
      <x:c r="AP659" s="76" t="str">
        <x:v>ICP fit; paid-demand need requires manual verification</x:v>
      </x:c>
      <x:c r="AQ659" s="76" t="str">
        <x:v>no embedded homepage video detected</x:v>
      </x:c>
      <x:c r="AR659" s="76" t="str">
        <x:v>I was reviewing general contractor companies in Chapin, South Carolina and Great Southern Homes looked like a strong fit for a creative test.</x:v>
      </x:c>
      <x:c r="AS659" s="76" t="str">
        <x:v>project walkthrough with proof milestones</x:v>
      </x:c>
      <x:c r="AT659" s="76" t="str">
        <x:v>Great Southern Homes ad concept</x:v>
      </x:c>
      <x:c r="AU659" s="76" t="str">
        <x:v>Hi michael — I was reviewing general contractor companies in Chapin, South Carolina and Great Southern Homes looked like a strong fit for a creative test. I mapped a private 15-second project walkthrough with proof milestones for Great Southern Homes using only public brand context—not for publishing, just to show the angle. We build three client-approved video ad concepts in seven days, then turn the winners into fresh variations. No filming day required. Worth sending the private sample?</x:v>
      </x:c>
      <x:c r="AV659" s="76" t="str">
        <x:v>Quick follow-up: the sample angle is a project walkthrough with proof milestones. If it misses the mark, no problem—I won't keep chasing. Should I send it?</x:v>
      </x:c>
      <x:c r="AW659" s="76" t="str">
        <x:v>Hi michael, Ryan here. I was looking at Great Southern Homes's public marketing and noticed: icp fit; paid-demand need requires manual verification. I mapped one private project walkthrough with proof milestones as an example. Did I catch you with 30 seconds?</x:v>
      </x:c>
      <x:c r="AX659" s="60" t="str">
        <x:v>https://www.facebook.com/ads/library/?active_status=active&amp;ad_type=all&amp;country=US&amp;q=Great%20Southern%20Homes&amp;search_type=keyword_unordered</x:v>
      </x:c>
      <x:c r="AY659" s="60" t="str">
        <x:v>ok:200</x:v>
      </x:c>
      <x:c r="AZ659" s="60" t="n">
        <x:v>46232.722858796296</x:v>
      </x:c>
      <x:c r="BA659" s="60" t="str">
        <x:v>AI Ark SC trades export</x:v>
      </x:c>
      <x:c r="BB659" s="60" t="str">
        <x:v>https://greatsouthernhomes.com | https://www.linkedin.com/company/great-southern-homes</x:v>
      </x:c>
      <x:c r="BC659" s="60" t="str"/>
    </x:row>
    <x:row r="660" ht="18" customHeight="1">
      <x:c r="A660" s="70" t="str">
        <x:v>659</x:v>
      </x:c>
      <x:c r="B660" s="70" t="str">
        <x:v>C - Verify</x:v>
      </x:c>
      <x:c r="C660" s="72" t="str">
        <x:v>47</x:v>
      </x:c>
      <x:c r="D660" s="60" t="str">
        <x:v>Boyd Electric</x:v>
      </x:c>
      <x:c r="E660" s="60" t="str">
        <x:v>https://boydelectric.com</x:v>
      </x:c>
      <x:c r="F660" s="60" t="str">
        <x:v>http://boydelectric.com</x:v>
      </x:c>
      <x:c r="G660" s="60" t="str">
        <x:v>Kingstree</x:v>
      </x:c>
      <x:c r="H660" s="60" t="str">
        <x:v>South Carolina</x:v>
      </x:c>
      <x:c r="I660" s="60" t="str">
        <x:v>General Contractor</x:v>
      </x:c>
      <x:c r="J660" s="60" t="str">
        <x:v>Jamie</x:v>
      </x:c>
      <x:c r="K660" s="60" t="str">
        <x:v>Boyd</x:v>
      </x:c>
      <x:c r="L660" s="60" t="str">
        <x:v>Owner</x:v>
      </x:c>
      <x:c r="M660" s="60" t="str">
        <x:v>jboyd@boydelectric.com</x:v>
      </x:c>
      <x:c r="N660" s="60" t="str">
        <x:v>Verified with BounceBan on 08 Jun 26 12:06</x:v>
      </x:c>
      <x:c r="O660" s="60" t="str">
        <x:v>+1 708 952 4500</x:v>
      </x:c>
      <x:c r="P660" s="60" t="str">
        <x:v>https://www.linkedin.com/in/jamie-boyd-82868864</x:v>
      </x:c>
      <x:c r="Q660" s="60" t="str">
        <x:v>11-50</x:v>
      </x:c>
      <x:c r="R660" s="60" t="str">
        <x:v>1000000-4999999</x:v>
      </x:c>
      <x:c r="S660" s="60" t="str"/>
      <x:c r="T660" s="74" t="str">
        <x:v>0</x:v>
      </x:c>
      <x:c r="U660" s="60" t="str"/>
      <x:c r="V660" s="74" t="str">
        <x:v>27</x:v>
      </x:c>
      <x:c r="W660" s="74" t="str">
        <x:v>0</x:v>
      </x:c>
      <x:c r="X660" s="74" t="str">
        <x:v>10</x:v>
      </x:c>
      <x:c r="Y660" s="74" t="str">
        <x:v>0</x:v>
      </x:c>
      <x:c r="Z660" s="74" t="str">
        <x:v>10</x:v>
      </x:c>
      <x:c r="AA660" s="74" t="str">
        <x:v>0</x:v>
      </x:c>
      <x:c r="AB660" s="74" t="str">
        <x:v>0</x:v>
      </x:c>
      <x:c r="AC660" s="74" t="str">
        <x:v>0</x:v>
      </x:c>
      <x:c r="AD660" s="74" t="str">
        <x:v>0</x:v>
      </x:c>
      <x:c r="AE660" s="74" t="str">
        <x:v>0</x:v>
      </x:c>
      <x:c r="AF660" s="74" t="str"/>
      <x:c r="AG660" s="74" t="str">
        <x:v>0</x:v>
      </x:c>
      <x:c r="AH660" s="74" t="str">
        <x:v>0</x:v>
      </x:c>
      <x:c r="AI660" s="74" t="str">
        <x:v>0</x:v>
      </x:c>
      <x:c r="AJ660" s="74" t="str">
        <x:v>0</x:v>
      </x:c>
      <x:c r="AK660" s="74" t="str">
        <x:v>0</x:v>
      </x:c>
      <x:c r="AL660" s="74" t="str">
        <x:v>0</x:v>
      </x:c>
      <x:c r="AM660" s="74" t="str">
        <x:v>0</x:v>
      </x:c>
      <x:c r="AN660" s="74" t="str">
        <x:v>0</x:v>
      </x:c>
      <x:c r="AO660" s="60" t="str">
        <x:v>0</x:v>
      </x:c>
      <x:c r="AP660" s="76" t="str">
        <x:v>ICP fit; paid-demand need requires manual verification</x:v>
      </x:c>
      <x:c r="AQ660" s="76" t="str">
        <x:v>no embedded homepage video detected</x:v>
      </x:c>
      <x:c r="AR660" s="76" t="str">
        <x:v>I was reviewing general contractor companies in Kingstree, South Carolina and Boyd Electric looked like a strong fit for a creative test.</x:v>
      </x:c>
      <x:c r="AS660" s="76" t="str">
        <x:v>project walkthrough with proof milestones</x:v>
      </x:c>
      <x:c r="AT660" s="76" t="str">
        <x:v>Boyd Electric ad concept</x:v>
      </x:c>
      <x:c r="AU660" s="76" t="str">
        <x:v>Hi Jamie — I was reviewing general contractor companies in Kingstree, South Carolina and Boyd Electric looked like a strong fit for a creative test. I mapped a private 15-second project walkthrough with proof milestones for Boyd Electric using only public brand context—not for publishing, just to show the angle. We build three client-approved video ad concepts in seven days, then turn the winners into fresh variations. No filming day required. Worth sending the private sample?</x:v>
      </x:c>
      <x:c r="AV660" s="76" t="str">
        <x:v>Quick follow-up: the sample angle is a project walkthrough with proof milestones. If it misses the mark, no problem—I won't keep chasing. Should I send it?</x:v>
      </x:c>
      <x:c r="AW660" s="76" t="str">
        <x:v>Hi Jamie, Ryan here. I was looking at Boyd Electric's public marketing and noticed: icp fit; paid-demand need requires manual verification. I mapped one private project walkthrough with proof milestones as an example. Did I catch you with 30 seconds?</x:v>
      </x:c>
      <x:c r="AX660" s="60" t="str">
        <x:v>https://www.facebook.com/ads/library/?active_status=active&amp;ad_type=all&amp;country=US&amp;q=Boyd%20Electric&amp;search_type=keyword_unordered</x:v>
      </x:c>
      <x:c r="AY660" s="60" t="str">
        <x:v>ok:200</x:v>
      </x:c>
      <x:c r="AZ660" s="60" t="n">
        <x:v>46232.722858796296</x:v>
      </x:c>
      <x:c r="BA660" s="60" t="str">
        <x:v>AI Ark SC trades export</x:v>
      </x:c>
      <x:c r="BB660" s="60" t="str">
        <x:v>https://boydelectric.com | https://www.linkedin.com/company/boyd-electric</x:v>
      </x:c>
      <x:c r="BC660" s="60" t="str"/>
    </x:row>
    <x:row r="661" ht="18" customHeight="1">
      <x:c r="A661" s="70" t="str">
        <x:v>660</x:v>
      </x:c>
      <x:c r="B661" s="70" t="str">
        <x:v>C - Verify</x:v>
      </x:c>
      <x:c r="C661" s="72" t="str">
        <x:v>46</x:v>
      </x:c>
      <x:c r="D661" s="60" t="str">
        <x:v>Dalton Electrical Solutions</x:v>
      </x:c>
      <x:c r="E661" s="60" t="str">
        <x:v>https://daltonelectricalsolutions.com</x:v>
      </x:c>
      <x:c r="F661" s="60" t="str">
        <x:v>https://daltonelectricalsolutions.com</x:v>
      </x:c>
      <x:c r="G661" s="60" t="str">
        <x:v>Florence</x:v>
      </x:c>
      <x:c r="H661" s="60" t="str">
        <x:v>South Carolina</x:v>
      </x:c>
      <x:c r="I661" s="60" t="str">
        <x:v>Electrical</x:v>
      </x:c>
      <x:c r="J661" s="60" t="str">
        <x:v>Dalton Electrical Solutions</x:v>
      </x:c>
      <x:c r="K661" s="60" t="str"/>
      <x:c r="L661" s="60" t="str">
        <x:v>Owner / decision maker to verify</x:v>
      </x:c>
      <x:c r="M661" s="60" t="str"/>
      <x:c r="N661" s="60" t="str"/>
      <x:c r="O661" s="60" t="str">
        <x:v>(843) 610-5884</x:v>
      </x:c>
      <x:c r="P661" s="60" t="str"/>
      <x:c r="Q661" s="60" t="str"/>
      <x:c r="R661" s="60" t="str"/>
      <x:c r="S661" s="60" t="str">
        <x:v>5</x:v>
      </x:c>
      <x:c r="T661" s="74" t="str">
        <x:v>19</x:v>
      </x:c>
      <x:c r="U661" s="60" t="str"/>
      <x:c r="V661" s="74" t="str">
        <x:v>19</x:v>
      </x:c>
      <x:c r="W661" s="74" t="str">
        <x:v>15</x:v>
      </x:c>
      <x:c r="X661" s="74" t="str">
        <x:v>7</x:v>
      </x:c>
      <x:c r="Y661" s="74" t="str">
        <x:v>0</x:v>
      </x:c>
      <x:c r="Z661" s="74" t="str">
        <x:v>5</x:v>
      </x:c>
      <x:c r="AA661" s="74" t="str">
        <x:v>1</x:v>
      </x:c>
      <x:c r="AB661" s="74" t="str">
        <x:v>0</x:v>
      </x:c>
      <x:c r="AC661" s="74" t="str">
        <x:v>1</x:v>
      </x:c>
      <x:c r="AD661" s="74" t="str">
        <x:v>0</x:v>
      </x:c>
      <x:c r="AE661" s="74" t="str">
        <x:v>0</x:v>
      </x:c>
      <x:c r="AF661" s="74" t="str"/>
      <x:c r="AG661" s="74" t="str">
        <x:v>1</x:v>
      </x:c>
      <x:c r="AH661" s="74" t="str">
        <x:v>0</x:v>
      </x:c>
      <x:c r="AI661" s="74" t="str">
        <x:v>0</x:v>
      </x:c>
      <x:c r="AJ661" s="74" t="str">
        <x:v>0</x:v>
      </x:c>
      <x:c r="AK661" s="74" t="str">
        <x:v>0</x:v>
      </x:c>
      <x:c r="AL661" s="74" t="str">
        <x:v>0</x:v>
      </x:c>
      <x:c r="AM661" s="74" t="str">
        <x:v>0</x:v>
      </x:c>
      <x:c r="AN661" s="74" t="str">
        <x:v>0</x:v>
      </x:c>
      <x:c r="AO661" s="60" t="str">
        <x:v>2023</x:v>
      </x:c>
      <x:c r="AP661" s="76" t="str">
        <x:v>Paid-demand technology detected; creative refresh hypothesis</x:v>
      </x:c>
      <x:c r="AQ661" s="76" t="str">
        <x:v>Meta Pixel</x:v>
      </x:c>
      <x:c r="AR661" s="76" t="str">
        <x:v>I was reviewing electrical companies in Florence, South Carolina and Dalton Electrical Solutions looked like a strong fit for a creative test.</x:v>
      </x:c>
      <x:c r="AS661" s="76" t="str">
        <x:v>safety inspection problem/solution ad</x:v>
      </x:c>
      <x:c r="AT661" s="76" t="str">
        <x:v>Dalton Electrical Solutions ad concept</x:v>
      </x:c>
      <x:c r="AU661" s="76" t="str">
        <x:v>Hi Dalton Electrical Solutions — I was reviewing electrical companies in Florence, South Carolina and Dalton Electrical Solutions looked like a strong fit for a creative test. I mapped a private 15-second safety inspection problem/solution ad for Dalton Electrical Solutions using only public brand context—not for publishing, just to show the angle. We build three client-approved video ad concepts in seven days, then turn the winners into fresh variations. No filming day required. Worth sending the private sample?</x:v>
      </x:c>
      <x:c r="AV661" s="76" t="str">
        <x:v>Quick follow-up: the sample angle is a safety inspection problem/solution ad. If it misses the mark, no problem—I won't keep chasing. Should I send it?</x:v>
      </x:c>
      <x:c r="AW661" s="76" t="str">
        <x:v>Hi Dalton Electrical Solutions, Ryan here. I was looking at Dalton Electrical Solutions's public marketing and noticed: paid-demand technology detected; creative refresh hypothesis. I mapped one private safety inspection problem/solution ad as an example. Did I catch you with 30 seconds?</x:v>
      </x:c>
      <x:c r="AX661" s="60" t="str">
        <x:v>https://www.facebook.com/ads/library/?active_status=active&amp;ad_type=all&amp;country=US&amp;q=Dalton%20Electrical%20Solutions&amp;search_type=keyword_unordered</x:v>
      </x:c>
      <x:c r="AY661" s="60" t="str">
        <x:v>ok:200</x:v>
      </x:c>
      <x:c r="AZ661" s="60" t="n">
        <x:v>46232.722858796296</x:v>
      </x:c>
      <x:c r="BA661" s="60" t="str">
        <x:v>Google Maps home-services export</x:v>
      </x:c>
      <x:c r="BB661" s="60" t="str">
        <x:v>https://daltonelectricalsolutions.com | https://maps.google.com/?cid=5687986457708352557&amp;g_mp=Cidnb29nbGUubWFwcy5wbGFjZXMudjEuUGxhY2VzLlNlYXJjaFRleHQQAhgEIAA</x:v>
      </x:c>
      <x:c r="BC661" s="60" t="str"/>
    </x:row>
    <x:row r="662" ht="18" customHeight="1">
      <x:c r="A662" s="70" t="str">
        <x:v>661</x:v>
      </x:c>
      <x:c r="B662" s="70" t="str">
        <x:v>C - Verify</x:v>
      </x:c>
      <x:c r="C662" s="72" t="str">
        <x:v>46</x:v>
      </x:c>
      <x:c r="D662" s="60" t="str">
        <x:v>Surfside Realty Company</x:v>
      </x:c>
      <x:c r="E662" s="60" t="str">
        <x:v>https://surfsiderealty.com</x:v>
      </x:c>
      <x:c r="F662" s="60" t="str">
        <x:v>https://www.surfsiderealty.com/</x:v>
      </x:c>
      <x:c r="G662" s="60" t="str">
        <x:v>Greater Myrtle Beach Area</x:v>
      </x:c>
      <x:c r="H662" s="60" t="str"/>
      <x:c r="I662" s="60" t="str">
        <x:v>Remodeling</x:v>
      </x:c>
      <x:c r="J662" s="60" t="str">
        <x:v>Keshia</x:v>
      </x:c>
      <x:c r="K662" s="60" t="str">
        <x:v>Rutledge</x:v>
      </x:c>
      <x:c r="L662" s="60" t="str">
        <x:v>Guest &amp; Owner Services</x:v>
      </x:c>
      <x:c r="M662" s="60" t="str"/>
      <x:c r="N662" s="60" t="str"/>
      <x:c r="O662" s="60" t="str"/>
      <x:c r="P662" s="60" t="str">
        <x:v>https://www.linkedin.com/in/keshia-rutledge-88b86416a</x:v>
      </x:c>
      <x:c r="Q662" s="60" t="str">
        <x:v>51-200</x:v>
      </x:c>
      <x:c r="R662" s="60" t="str">
        <x:v>1000000-4999999</x:v>
      </x:c>
      <x:c r="S662" s="60" t="str"/>
      <x:c r="T662" s="74" t="str">
        <x:v>0</x:v>
      </x:c>
      <x:c r="U662" s="60" t="str"/>
      <x:c r="V662" s="74" t="str">
        <x:v>30</x:v>
      </x:c>
      <x:c r="W662" s="74" t="str">
        <x:v>14</x:v>
      </x:c>
      <x:c r="X662" s="74" t="str">
        <x:v>0</x:v>
      </x:c>
      <x:c r="Y662" s="74" t="str">
        <x:v>0</x:v>
      </x:c>
      <x:c r="Z662" s="74" t="str">
        <x:v>2</x:v>
      </x:c>
      <x:c r="AA662" s="74" t="str">
        <x:v>0</x:v>
      </x:c>
      <x:c r="AB662" s="74" t="str">
        <x:v>0</x:v>
      </x:c>
      <x:c r="AC662" s="74" t="str">
        <x:v>1</x:v>
      </x:c>
      <x:c r="AD662" s="74" t="str">
        <x:v>0</x:v>
      </x:c>
      <x:c r="AE662" s="74" t="str">
        <x:v>1</x:v>
      </x:c>
      <x:c r="AF662" s="74" t="str">
        <x:v>birdeye</x:v>
      </x:c>
      <x:c r="AG662" s="74" t="str">
        <x:v>1</x:v>
      </x:c>
      <x:c r="AH662" s="74" t="str">
        <x:v>0</x:v>
      </x:c>
      <x:c r="AI662" s="74" t="str">
        <x:v>0</x:v>
      </x:c>
      <x:c r="AJ662" s="74" t="str">
        <x:v>0</x:v>
      </x:c>
      <x:c r="AK662" s="74" t="str">
        <x:v>0</x:v>
      </x:c>
      <x:c r="AL662" s="74" t="str">
        <x:v>1</x:v>
      </x:c>
      <x:c r="AM662" s="74" t="str">
        <x:v>1</x:v>
      </x:c>
      <x:c r="AN662" s="74" t="str">
        <x:v>1</x:v>
      </x:c>
      <x:c r="AO662" s="60" t="str">
        <x:v>2026</x:v>
      </x:c>
      <x:c r="AP662" s="76" t="str">
        <x:v>Paid-demand technology detected; creative refresh hypothesis</x:v>
      </x:c>
      <x:c r="AQ662" s="76" t="str">
        <x:v>call tracking</x:v>
      </x:c>
      <x:c r="AR662" s="76" t="str">
        <x:v>I was reviewing remodeling companies in Greater Myrtle Beach Area and Surfside Realty Company looked like a strong fit for a creative test.</x:v>
      </x:c>
      <x:c r="AS662" s="76" t="str">
        <x:v>project reveal with budget-and-timeline proof</x:v>
      </x:c>
      <x:c r="AT662" s="76" t="str">
        <x:v>Surfside Realty Company ad concept</x:v>
      </x:c>
      <x:c r="AU662" s="76" t="str">
        <x:v>Hi Keshia — I was reviewing remodeling companies in Greater Myrtle Beach Area and Surfside Realty Company looked like a strong fit for a creative test. I mapped a private 15-second project reveal with budget-and-timeline proof for Surfside Realty Company using only public brand context—not for publishing, just to show the angle. We build three client-approved video ad concepts in seven days, then turn the winners into fresh variations. No filming day required. Worth sending the private sample?</x:v>
      </x:c>
      <x:c r="AV662" s="76" t="str">
        <x:v>Quick follow-up: the sample angle is a project reveal with budget-and-timeline proof. If it misses the mark, no problem—I won't keep chasing. Should I send it?</x:v>
      </x:c>
      <x:c r="AW662" s="76" t="str">
        <x:v>Hi Keshia, Ryan here. I was looking at Surfside Realty Company's public marketing and noticed: paid-demand technology detected; creative refresh hypothesis. I mapped one private project reveal with budget-and-timeline proof as an example. Did I catch you with 30 seconds?</x:v>
      </x:c>
      <x:c r="AX662" s="60" t="str">
        <x:v>https://www.facebook.com/ads/library/?active_status=active&amp;ad_type=all&amp;country=US&amp;q=Surfside%20Realty%20Company&amp;search_type=keyword_unordered</x:v>
      </x:c>
      <x:c r="AY662" s="60" t="str">
        <x:v>ok:200</x:v>
      </x:c>
      <x:c r="AZ662" s="60" t="n">
        <x:v>46232.722858796296</x:v>
      </x:c>
      <x:c r="BA662" s="60" t="str">
        <x:v>AI Ark SC trades export</x:v>
      </x:c>
      <x:c r="BB662" s="60" t="str">
        <x:v>https://surfsiderealty.com | https://www.linkedin.com/company/surfside-realty</x:v>
      </x:c>
      <x:c r="BC662" s="60" t="str"/>
    </x:row>
    <x:row r="663" ht="18" customHeight="1">
      <x:c r="A663" s="70" t="str">
        <x:v>662</x:v>
      </x:c>
      <x:c r="B663" s="70" t="str">
        <x:v>C - Verify</x:v>
      </x:c>
      <x:c r="C663" s="72" t="str">
        <x:v>46</x:v>
      </x:c>
      <x:c r="D663" s="60" t="str">
        <x:v>A Plus Custom Painting</x:v>
      </x:c>
      <x:c r="E663" s="60" t="str">
        <x:v>https://a-pluscustompainting.com</x:v>
      </x:c>
      <x:c r="F663" s="60" t="str">
        <x:v>https://a-pluscustompainting.com</x:v>
      </x:c>
      <x:c r="G663" s="60" t="str">
        <x:v>Summerville</x:v>
      </x:c>
      <x:c r="H663" s="60" t="str">
        <x:v>South Carolina</x:v>
      </x:c>
      <x:c r="I663" s="60" t="str">
        <x:v>General Contractor</x:v>
      </x:c>
      <x:c r="J663" s="60" t="str">
        <x:v>J L</x:v>
      </x:c>
      <x:c r="K663" s="60" t="str">
        <x:v>Brown</x:v>
      </x:c>
      <x:c r="L663" s="60" t="str">
        <x:v>Owner</x:v>
      </x:c>
      <x:c r="M663" s="60" t="str"/>
      <x:c r="N663" s="60" t="str"/>
      <x:c r="O663" s="60" t="str">
        <x:v>+1 559 733 3618</x:v>
      </x:c>
      <x:c r="P663" s="60" t="str">
        <x:v>https://www.linkedin.com/in/j-l-brown-68363910b</x:v>
      </x:c>
      <x:c r="Q663" s="60" t="str">
        <x:v>2-10</x:v>
      </x:c>
      <x:c r="R663" s="60" t="str">
        <x:v>100000-499999</x:v>
      </x:c>
      <x:c r="S663" s="60" t="str"/>
      <x:c r="T663" s="74" t="str">
        <x:v>0</x:v>
      </x:c>
      <x:c r="U663" s="60" t="str"/>
      <x:c r="V663" s="74" t="str">
        <x:v>20</x:v>
      </x:c>
      <x:c r="W663" s="74" t="str">
        <x:v>13</x:v>
      </x:c>
      <x:c r="X663" s="74" t="str">
        <x:v>0</x:v>
      </x:c>
      <x:c r="Y663" s="74" t="str">
        <x:v>8</x:v>
      </x:c>
      <x:c r="Z663" s="74" t="str">
        <x:v>5</x:v>
      </x:c>
      <x:c r="AA663" s="74" t="str">
        <x:v>0</x:v>
      </x:c>
      <x:c r="AB663" s="74" t="str">
        <x:v>1</x:v>
      </x:c>
      <x:c r="AC663" s="74" t="str">
        <x:v>1</x:v>
      </x:c>
      <x:c r="AD663" s="74" t="str">
        <x:v>0</x:v>
      </x:c>
      <x:c r="AE663" s="74" t="str">
        <x:v>0</x:v>
      </x:c>
      <x:c r="AF663" s="74" t="str"/>
      <x:c r="AG663" s="74" t="str">
        <x:v>1</x:v>
      </x:c>
      <x:c r="AH663" s="74" t="str">
        <x:v>1</x:v>
      </x:c>
      <x:c r="AI663" s="74" t="str">
        <x:v>0</x:v>
      </x:c>
      <x:c r="AJ663" s="74" t="str">
        <x:v>0</x:v>
      </x:c>
      <x:c r="AK663" s="74" t="str">
        <x:v>1</x:v>
      </x:c>
      <x:c r="AL663" s="74" t="str">
        <x:v>1</x:v>
      </x:c>
      <x:c r="AM663" s="74" t="str">
        <x:v>1</x:v>
      </x:c>
      <x:c r="AN663" s="74" t="str">
        <x:v>0</x:v>
      </x:c>
      <x:c r="AO663" s="60" t="str">
        <x:v>2026</x:v>
      </x:c>
      <x:c r="AP663" s="76" t="str">
        <x:v>Paid-demand technology detected; creative refresh hypothesis</x:v>
      </x:c>
      <x:c r="AQ663" s="76" t="str">
        <x:v>Google Ads tag; project/gallery proof; visible service offer</x:v>
      </x:c>
      <x:c r="AR663" s="76" t="str">
        <x:v>I was reviewing general contractor companies in Summerville, South Carolina and A Plus Custom Painting looked like a strong fit for a creative test.</x:v>
      </x:c>
      <x:c r="AS663" s="76" t="str">
        <x:v>project walkthrough with proof milestones</x:v>
      </x:c>
      <x:c r="AT663" s="76" t="str">
        <x:v>A Plus Custom Painting ad concept</x:v>
      </x:c>
      <x:c r="AU663" s="76" t="str">
        <x:v>Hi J L — I was reviewing general contractor companies in Summerville, South Carolina and A Plus Custom Painting looked like a strong fit for a creative test. I mapped a private 15-second project walkthrough with proof milestones for A Plus Custom Painting using only public brand context—not for publishing, just to show the angle. We build three client-approved video ad concepts in seven days, then turn the winners into fresh variations. No filming day required. Worth sending the private sample?</x:v>
      </x:c>
      <x:c r="AV663" s="76" t="str">
        <x:v>Quick follow-up: the sample angle is a project walkthrough with proof milestones. If it misses the mark, no problem—I won't keep chasing. Should I send it?</x:v>
      </x:c>
      <x:c r="AW663" s="76" t="str">
        <x:v>Hi J L, Ryan here. I was looking at A Plus Custom Painting's public marketing and noticed: paid-demand technology detected; creative refresh hypothesis. I mapped one private project walkthrough with proof milestones as an example. Did I catch you with 30 seconds?</x:v>
      </x:c>
      <x:c r="AX663" s="60" t="str">
        <x:v>https://www.facebook.com/ads/library/?active_status=active&amp;ad_type=all&amp;country=US&amp;q=A%20Plus%20Custom%20Painting&amp;search_type=keyword_unordered</x:v>
      </x:c>
      <x:c r="AY663" s="60" t="str">
        <x:v>ok:200</x:v>
      </x:c>
      <x:c r="AZ663" s="60" t="n">
        <x:v>46232.722858796296</x:v>
      </x:c>
      <x:c r="BA663" s="60" t="str">
        <x:v>AI Ark SC trades export</x:v>
      </x:c>
      <x:c r="BB663" s="60" t="str">
        <x:v>https://a-pluscustompainting.com | https://www.linkedin.com/company/a-plus-custom-painting</x:v>
      </x:c>
      <x:c r="BC663" s="60" t="str"/>
    </x:row>
    <x:row r="664" ht="18" customHeight="1">
      <x:c r="A664" s="70" t="str">
        <x:v>663</x:v>
      </x:c>
      <x:c r="B664" s="70" t="str">
        <x:v>C - Verify</x:v>
      </x:c>
      <x:c r="C664" s="72" t="str">
        <x:v>46</x:v>
      </x:c>
      <x:c r="D664" s="60" t="str">
        <x:v>Anchor Heating and Air LLC</x:v>
      </x:c>
      <x:c r="E664" s="60" t="str">
        <x:v>https://anchorheatingandair.com</x:v>
      </x:c>
      <x:c r="F664" s="60" t="str">
        <x:v>https://anchorheatingandair.com</x:v>
      </x:c>
      <x:c r="G664" s="60" t="str">
        <x:v>Hollywood</x:v>
      </x:c>
      <x:c r="H664" s="60" t="str">
        <x:v>South Carolina</x:v>
      </x:c>
      <x:c r="I664" s="60" t="str">
        <x:v>HVAC</x:v>
      </x:c>
      <x:c r="J664" s="60" t="str">
        <x:v>Stephanie</x:v>
      </x:c>
      <x:c r="K664" s="60" t="str">
        <x:v>Postell</x:v>
      </x:c>
      <x:c r="L664" s="60" t="str">
        <x:v>Co-Owner/COO</x:v>
      </x:c>
      <x:c r="M664" s="60" t="str">
        <x:v>spostell@anchorheatingandair.com</x:v>
      </x:c>
      <x:c r="N664" s="60" t="str">
        <x:v>Verified with BounceBan on 07 Jun 26 18:10</x:v>
      </x:c>
      <x:c r="O664" s="60" t="str"/>
      <x:c r="P664" s="60" t="str">
        <x:v>https://www.linkedin.com/in/stephaniepostell</x:v>
      </x:c>
      <x:c r="Q664" s="60" t="str">
        <x:v>2-10</x:v>
      </x:c>
      <x:c r="R664" s="60" t="str">
        <x:v>100000-499999</x:v>
      </x:c>
      <x:c r="S664" s="60" t="str"/>
      <x:c r="T664" s="74" t="str">
        <x:v>0</x:v>
      </x:c>
      <x:c r="U664" s="60" t="str"/>
      <x:c r="V664" s="74" t="str">
        <x:v>27</x:v>
      </x:c>
      <x:c r="W664" s="74" t="str">
        <x:v>6</x:v>
      </x:c>
      <x:c r="X664" s="74" t="str">
        <x:v>0</x:v>
      </x:c>
      <x:c r="Y664" s="74" t="str">
        <x:v>6</x:v>
      </x:c>
      <x:c r="Z664" s="74" t="str">
        <x:v>7</x:v>
      </x:c>
      <x:c r="AA664" s="74" t="str">
        <x:v>0</x:v>
      </x:c>
      <x:c r="AB664" s="74" t="str">
        <x:v>0</x:v>
      </x:c>
      <x:c r="AC664" s="74" t="str">
        <x:v>1</x:v>
      </x:c>
      <x:c r="AD664" s="74" t="str">
        <x:v>0</x:v>
      </x:c>
      <x:c r="AE664" s="74" t="str">
        <x:v>0</x:v>
      </x:c>
      <x:c r="AF664" s="74" t="str">
        <x:v>servicetitan</x:v>
      </x:c>
      <x:c r="AG664" s="74" t="str">
        <x:v>1</x:v>
      </x:c>
      <x:c r="AH664" s="74" t="str">
        <x:v>0</x:v>
      </x:c>
      <x:c r="AI664" s="74" t="str">
        <x:v>0</x:v>
      </x:c>
      <x:c r="AJ664" s="74" t="str">
        <x:v>1</x:v>
      </x:c>
      <x:c r="AK664" s="74" t="str">
        <x:v>1</x:v>
      </x:c>
      <x:c r="AL664" s="74" t="str">
        <x:v>1</x:v>
      </x:c>
      <x:c r="AM664" s="74" t="str">
        <x:v>1</x:v>
      </x:c>
      <x:c r="AN664" s="74" t="str">
        <x:v>0</x:v>
      </x:c>
      <x:c r="AO664" s="60" t="str">
        <x:v>0</x:v>
      </x:c>
      <x:c r="AP664" s="76" t="str">
        <x:v>ICP fit; paid-demand need requires manual verification</x:v>
      </x:c>
      <x:c r="AQ664" s="76" t="str">
        <x:v>financing; visible service offer</x:v>
      </x:c>
      <x:c r="AR664" s="76" t="str">
        <x:v>I was reviewing hvac companies in Hollywood, South Carolina and Anchor Heating and Air LLC looked like a strong fit for a creative test.</x:v>
      </x:c>
      <x:c r="AS664" s="76" t="str">
        <x:v>no-cool-call to same-day comfort ad</x:v>
      </x:c>
      <x:c r="AT664" s="76" t="str">
        <x:v>Anchor Heating and Air LLC ad concept</x:v>
      </x:c>
      <x:c r="AU664" s="76" t="str">
        <x:v>Hi Stephanie — I was reviewing hvac companies in Hollywood, South Carolina and Anchor Heating and Air LLC looked like a strong fit for a creative test. I mapped a private 15-second no-cool-call to same-day comfort ad for Anchor Heating and Air LLC using only public brand context—not for publishing, just to show the angle. We build three client-approved video ad concepts in seven days, then turn the winners into fresh variations. No filming day required. Worth sending the private sample?</x:v>
      </x:c>
      <x:c r="AV664" s="76" t="str">
        <x:v>Quick follow-up: the sample angle is a no-cool-call to same-day comfort ad. If it misses the mark, no problem—I won't keep chasing. Should I send it?</x:v>
      </x:c>
      <x:c r="AW664" s="76" t="str">
        <x:v>Hi Stephanie, Ryan here. I was looking at Anchor Heating and Air LLC's public marketing and noticed: icp fit; paid-demand need requires manual verification. I mapped one private no-cool-call to same-day comfort ad as an example. Did I catch you with 30 seconds?</x:v>
      </x:c>
      <x:c r="AX664" s="60" t="str">
        <x:v>https://www.facebook.com/ads/library/?active_status=active&amp;ad_type=all&amp;country=US&amp;q=Anchor%20Heating%20and%20Air%20LLC&amp;search_type=keyword_unordered</x:v>
      </x:c>
      <x:c r="AY664" s="60" t="str">
        <x:v>ok:200</x:v>
      </x:c>
      <x:c r="AZ664" s="60" t="n">
        <x:v>46232.722858796296</x:v>
      </x:c>
      <x:c r="BA664" s="60" t="str">
        <x:v>AI Ark SC trades export</x:v>
      </x:c>
      <x:c r="BB664" s="60" t="str">
        <x:v>https://anchorheatingandair.com | https://www.linkedin.com/company/anchor-heating-and-air-llc</x:v>
      </x:c>
      <x:c r="BC664" s="60" t="str"/>
    </x:row>
    <x:row r="665" ht="18" customHeight="1">
      <x:c r="A665" s="70" t="str">
        <x:v>664</x:v>
      </x:c>
      <x:c r="B665" s="70" t="str">
        <x:v>C - Verify</x:v>
      </x:c>
      <x:c r="C665" s="72" t="str">
        <x:v>46</x:v>
      </x:c>
      <x:c r="D665" s="60" t="str">
        <x:v>Brian's Mechanical, LLC</x:v>
      </x:c>
      <x:c r="E665" s="60" t="str">
        <x:v>https://briansmech.com</x:v>
      </x:c>
      <x:c r="F665" s="60" t="str">
        <x:v>https://briansmech.com</x:v>
      </x:c>
      <x:c r="G665" s="60" t="str">
        <x:v>Summerville</x:v>
      </x:c>
      <x:c r="H665" s="60" t="str">
        <x:v>South Carolina</x:v>
      </x:c>
      <x:c r="I665" s="60" t="str">
        <x:v>HVAC</x:v>
      </x:c>
      <x:c r="J665" s="60" t="str">
        <x:v>Brian's Mechanical, LLC</x:v>
      </x:c>
      <x:c r="K665" s="60" t="str"/>
      <x:c r="L665" s="60" t="str">
        <x:v>Owner / decision maker to verify</x:v>
      </x:c>
      <x:c r="M665" s="60" t="str"/>
      <x:c r="N665" s="60" t="str"/>
      <x:c r="O665" s="60" t="str">
        <x:v>(843) 200-0741</x:v>
      </x:c>
      <x:c r="P665" s="60" t="str"/>
      <x:c r="Q665" s="60" t="str"/>
      <x:c r="R665" s="60" t="str"/>
      <x:c r="S665" s="60" t="str">
        <x:v>4.9</x:v>
      </x:c>
      <x:c r="T665" s="74" t="str">
        <x:v>286</x:v>
      </x:c>
      <x:c r="U665" s="60" t="str"/>
      <x:c r="V665" s="74" t="str">
        <x:v>29</x:v>
      </x:c>
      <x:c r="W665" s="74" t="str">
        <x:v>6</x:v>
      </x:c>
      <x:c r="X665" s="74" t="str">
        <x:v>0</x:v>
      </x:c>
      <x:c r="Y665" s="74" t="str">
        <x:v>6</x:v>
      </x:c>
      <x:c r="Z665" s="74" t="str">
        <x:v>5</x:v>
      </x:c>
      <x:c r="AA665" s="74" t="str">
        <x:v>0</x:v>
      </x:c>
      <x:c r="AB665" s="74" t="str">
        <x:v>0</x:v>
      </x:c>
      <x:c r="AC665" s="74" t="str">
        <x:v>1</x:v>
      </x:c>
      <x:c r="AD665" s="74" t="str">
        <x:v>0</x:v>
      </x:c>
      <x:c r="AE665" s="74" t="str">
        <x:v>0</x:v>
      </x:c>
      <x:c r="AF665" s="74" t="str">
        <x:v>housecallpro</x:v>
      </x:c>
      <x:c r="AG665" s="74" t="str">
        <x:v>1</x:v>
      </x:c>
      <x:c r="AH665" s="74" t="str">
        <x:v>0</x:v>
      </x:c>
      <x:c r="AI665" s="74" t="str">
        <x:v>0</x:v>
      </x:c>
      <x:c r="AJ665" s="74" t="str">
        <x:v>1</x:v>
      </x:c>
      <x:c r="AK665" s="74" t="str">
        <x:v>0</x:v>
      </x:c>
      <x:c r="AL665" s="74" t="str">
        <x:v>0</x:v>
      </x:c>
      <x:c r="AM665" s="74" t="str">
        <x:v>1</x:v>
      </x:c>
      <x:c r="AN665" s="74" t="str">
        <x:v>1</x:v>
      </x:c>
      <x:c r="AO665" s="60" t="str">
        <x:v>2026</x:v>
      </x:c>
      <x:c r="AP665" s="76" t="str">
        <x:v>ICP fit; paid-demand need requires manual verification</x:v>
      </x:c>
      <x:c r="AQ665" s="76" t="str">
        <x:v>financing</x:v>
      </x:c>
      <x:c r="AR665" s="76" t="str">
        <x:v>I was reviewing hvac companies in Summerville, South Carolina and Brian's Mechanical, LLC looked like a strong fit for a creative test.</x:v>
      </x:c>
      <x:c r="AS665" s="76" t="str">
        <x:v>no-cool-call to same-day comfort ad</x:v>
      </x:c>
      <x:c r="AT665" s="76" t="str">
        <x:v>Brian's Mechanical, LLC ad concept</x:v>
      </x:c>
      <x:c r="AU665" s="76" t="str">
        <x:v>Hi Brian's Mechanical, LLC — I was reviewing hvac companies in Summerville, South Carolina and Brian's Mechanical, LLC looked like a strong fit for a creative test. I mapped a private 15-second no-cool-call to same-day comfort ad for Brian's Mechanical, LLC using only public brand context—not for publishing, just to show the angle. We build three client-approved video ad concepts in seven days, then turn the winners into fresh variations. No filming day required. Worth sending the private sample?</x:v>
      </x:c>
      <x:c r="AV665" s="76" t="str">
        <x:v>Quick follow-up: the sample angle is a no-cool-call to same-day comfort ad. If it misses the mark, no problem—I won't keep chasing. Should I send it?</x:v>
      </x:c>
      <x:c r="AW665" s="76" t="str">
        <x:v>Hi Brian's Mechanical, LLC, Ryan here. I was looking at Brian's Mechanical, LLC's public marketing and noticed: icp fit; paid-demand need requires manual verification. I mapped one private no-cool-call to same-day comfort ad as an example. Did I catch you with 30 seconds?</x:v>
      </x:c>
      <x:c r="AX665" s="60" t="str">
        <x:v>https://www.facebook.com/ads/library/?active_status=active&amp;ad_type=all&amp;country=US&amp;q=Brian%27s%20Mechanical%2C%20LLC&amp;search_type=keyword_unordered</x:v>
      </x:c>
      <x:c r="AY665" s="60" t="str">
        <x:v>ok:200</x:v>
      </x:c>
      <x:c r="AZ665" s="60" t="n">
        <x:v>46232.722858796296</x:v>
      </x:c>
      <x:c r="BA665" s="60" t="str">
        <x:v>Google Maps home-services export</x:v>
      </x:c>
      <x:c r="BB665" s="60" t="str">
        <x:v>https://briansmech.com | https://maps.google.com/?cid=8142100829528484913&amp;g_mp=Cidnb29nbGUubWFwcy5wbGFjZXMudjEuUGxhY2VzLlNlYXJjaFRleHQQAhgEIAA</x:v>
      </x:c>
      <x:c r="BC665" s="60" t="str"/>
    </x:row>
    <x:row r="666" ht="18" customHeight="1">
      <x:c r="A666" s="70" t="str">
        <x:v>665</x:v>
      </x:c>
      <x:c r="B666" s="70" t="str">
        <x:v>C - Verify</x:v>
      </x:c>
      <x:c r="C666" s="72" t="str">
        <x:v>46</x:v>
      </x:c>
      <x:c r="D666" s="60" t="str">
        <x:v>WeCo Rooter</x:v>
      </x:c>
      <x:c r="E666" s="60" t="str">
        <x:v>https://wecorooter.com</x:v>
      </x:c>
      <x:c r="F666" s="60" t="str">
        <x:v>https://wecorooter.com</x:v>
      </x:c>
      <x:c r="G666" s="60" t="str">
        <x:v>Columbia</x:v>
      </x:c>
      <x:c r="H666" s="60" t="str">
        <x:v>South Carolina</x:v>
      </x:c>
      <x:c r="I666" s="60" t="str">
        <x:v>Plumbing</x:v>
      </x:c>
      <x:c r="J666" s="60" t="str">
        <x:v>WeCo Rooter</x:v>
      </x:c>
      <x:c r="K666" s="60" t="str"/>
      <x:c r="L666" s="60" t="str">
        <x:v>Owner / decision maker to verify</x:v>
      </x:c>
      <x:c r="M666" s="60" t="str"/>
      <x:c r="N666" s="60" t="str"/>
      <x:c r="O666" s="60" t="str">
        <x:v>(803) 999-9326</x:v>
      </x:c>
      <x:c r="P666" s="60" t="str"/>
      <x:c r="Q666" s="60" t="str"/>
      <x:c r="R666" s="60" t="str"/>
      <x:c r="S666" s="60" t="str">
        <x:v>4.8</x:v>
      </x:c>
      <x:c r="T666" s="74" t="str">
        <x:v>399</x:v>
      </x:c>
      <x:c r="U666" s="60" t="str"/>
      <x:c r="V666" s="74" t="str">
        <x:v>25</x:v>
      </x:c>
      <x:c r="W666" s="74" t="str">
        <x:v>3</x:v>
      </x:c>
      <x:c r="X666" s="74" t="str">
        <x:v>0</x:v>
      </x:c>
      <x:c r="Y666" s="74" t="str">
        <x:v>13</x:v>
      </x:c>
      <x:c r="Z666" s="74" t="str">
        <x:v>5</x:v>
      </x:c>
      <x:c r="AA666" s="74" t="str">
        <x:v>0</x:v>
      </x:c>
      <x:c r="AB666" s="74" t="str">
        <x:v>0</x:v>
      </x:c>
      <x:c r="AC666" s="74" t="str">
        <x:v>1</x:v>
      </x:c>
      <x:c r="AD666" s="74" t="str">
        <x:v>0</x:v>
      </x:c>
      <x:c r="AE666" s="74" t="str">
        <x:v>0</x:v>
      </x:c>
      <x:c r="AF666" s="74" t="str"/>
      <x:c r="AG666" s="74" t="str">
        <x:v>1</x:v>
      </x:c>
      <x:c r="AH666" s="74" t="str">
        <x:v>0</x:v>
      </x:c>
      <x:c r="AI666" s="74" t="str">
        <x:v>1</x:v>
      </x:c>
      <x:c r="AJ666" s="74" t="str">
        <x:v>1</x:v>
      </x:c>
      <x:c r="AK666" s="74" t="str">
        <x:v>1</x:v>
      </x:c>
      <x:c r="AL666" s="74" t="str">
        <x:v>1</x:v>
      </x:c>
      <x:c r="AM666" s="74" t="str">
        <x:v>1</x:v>
      </x:c>
      <x:c r="AN666" s="74" t="str">
        <x:v>0</x:v>
      </x:c>
      <x:c r="AO666" s="60" t="str">
        <x:v>0</x:v>
      </x:c>
      <x:c r="AP666" s="76" t="str">
        <x:v>ICP fit; paid-demand need requires manual verification</x:v>
      </x:c>
      <x:c r="AQ666" s="76" t="str">
        <x:v>testimonials; financing; visible service offer</x:v>
      </x:c>
      <x:c r="AR666" s="76" t="str">
        <x:v>I was reviewing plumbing companies in Columbia, South Carolina and WeCo Rooter looked like a strong fit for a creative test.</x:v>
      </x:c>
      <x:c r="AS666" s="76" t="str">
        <x:v>small symptom to prevented-emergency ad</x:v>
      </x:c>
      <x:c r="AT666" s="76" t="str">
        <x:v>WeCo Rooter ad concept</x:v>
      </x:c>
      <x:c r="AU666" s="76" t="str">
        <x:v>Hi WeCo Rooter — I was reviewing plumbing companies in Columbia, South Carolina and WeCo Rooter looked like a strong fit for a creative test. I mapped a private 15-second small symptom to prevented-emergency ad for WeCo Rooter using only public brand context—not for publishing, just to show the angle. We build three client-approved video ad concepts in seven days, then turn the winners into fresh variations. No filming day required. Worth sending the private sample?</x:v>
      </x:c>
      <x:c r="AV666" s="76" t="str">
        <x:v>Quick follow-up: the sample angle is a small symptom to prevented-emergency ad. If it misses the mark, no problem—I won't keep chasing. Should I send it?</x:v>
      </x:c>
      <x:c r="AW666" s="76" t="str">
        <x:v>Hi WeCo Rooter, Ryan here. I was looking at WeCo Rooter's public marketing and noticed: icp fit; paid-demand need requires manual verification. I mapped one private small symptom to prevented-emergency ad as an example. Did I catch you with 30 seconds?</x:v>
      </x:c>
      <x:c r="AX666" s="60" t="str">
        <x:v>https://www.facebook.com/ads/library/?active_status=active&amp;ad_type=all&amp;country=US&amp;q=WeCo%20Rooter&amp;search_type=keyword_unordered</x:v>
      </x:c>
      <x:c r="AY666" s="60" t="str">
        <x:v>ok:200</x:v>
      </x:c>
      <x:c r="AZ666" s="60" t="n">
        <x:v>46232.722858796296</x:v>
      </x:c>
      <x:c r="BA666" s="60" t="str">
        <x:v>Google Maps home-services export</x:v>
      </x:c>
      <x:c r="BB666" s="60" t="str">
        <x:v>https://maps.google.com/?cid=17455804453016511472&amp;g_mp=Cidnb29nbGUubWFwcy5wbGFjZXMudjEuUGxhY2VzLlNlYXJjaFRleHQQAhgEIAA | https://wecorooter.com</x:v>
      </x:c>
      <x:c r="BC666" s="60" t="str"/>
    </x:row>
    <x:row r="667" ht="18" customHeight="1">
      <x:c r="A667" s="70" t="str">
        <x:v>666</x:v>
      </x:c>
      <x:c r="B667" s="70" t="str">
        <x:v>C - Verify</x:v>
      </x:c>
      <x:c r="C667" s="72" t="str">
        <x:v>46</x:v>
      </x:c>
      <x:c r="D667" s="60" t="str">
        <x:v>Summit Services</x:v>
      </x:c>
      <x:c r="E667" s="60" t="str">
        <x:v>https://callsummitservices.com</x:v>
      </x:c>
      <x:c r="F667" s="60" t="str">
        <x:v>https://callsummitservices.com</x:v>
      </x:c>
      <x:c r="G667" s="60" t="str">
        <x:v>Hilton Head</x:v>
      </x:c>
      <x:c r="H667" s="60" t="str">
        <x:v>South Carolina</x:v>
      </x:c>
      <x:c r="I667" s="60" t="str">
        <x:v>Plumbing</x:v>
      </x:c>
      <x:c r="J667" s="60" t="str">
        <x:v>Summit Services</x:v>
      </x:c>
      <x:c r="K667" s="60" t="str"/>
      <x:c r="L667" s="60" t="str">
        <x:v>Owner / decision maker to verify</x:v>
      </x:c>
      <x:c r="M667" s="60" t="str"/>
      <x:c r="N667" s="60" t="str"/>
      <x:c r="O667" s="60" t="str">
        <x:v>(843) 836-2653</x:v>
      </x:c>
      <x:c r="P667" s="60" t="str"/>
      <x:c r="Q667" s="60" t="str"/>
      <x:c r="R667" s="60" t="str"/>
      <x:c r="S667" s="60" t="str">
        <x:v>4.9</x:v>
      </x:c>
      <x:c r="T667" s="74" t="str">
        <x:v>321</x:v>
      </x:c>
      <x:c r="U667" s="60" t="str"/>
      <x:c r="V667" s="74" t="str">
        <x:v>25</x:v>
      </x:c>
      <x:c r="W667" s="74" t="str">
        <x:v>3</x:v>
      </x:c>
      <x:c r="X667" s="74" t="str">
        <x:v>0</x:v>
      </x:c>
      <x:c r="Y667" s="74" t="str">
        <x:v>13</x:v>
      </x:c>
      <x:c r="Z667" s="74" t="str">
        <x:v>5</x:v>
      </x:c>
      <x:c r="AA667" s="74" t="str">
        <x:v>0</x:v>
      </x:c>
      <x:c r="AB667" s="74" t="str">
        <x:v>0</x:v>
      </x:c>
      <x:c r="AC667" s="74" t="str">
        <x:v>1</x:v>
      </x:c>
      <x:c r="AD667" s="74" t="str">
        <x:v>0</x:v>
      </x:c>
      <x:c r="AE667" s="74" t="str">
        <x:v>0</x:v>
      </x:c>
      <x:c r="AF667" s="74" t="str"/>
      <x:c r="AG667" s="74" t="str">
        <x:v>1</x:v>
      </x:c>
      <x:c r="AH667" s="74" t="str">
        <x:v>0</x:v>
      </x:c>
      <x:c r="AI667" s="74" t="str">
        <x:v>1</x:v>
      </x:c>
      <x:c r="AJ667" s="74" t="str">
        <x:v>1</x:v>
      </x:c>
      <x:c r="AK667" s="74" t="str">
        <x:v>1</x:v>
      </x:c>
      <x:c r="AL667" s="74" t="str">
        <x:v>1</x:v>
      </x:c>
      <x:c r="AM667" s="74" t="str">
        <x:v>1</x:v>
      </x:c>
      <x:c r="AN667" s="74" t="str">
        <x:v>1</x:v>
      </x:c>
      <x:c r="AO667" s="60" t="str">
        <x:v>2026</x:v>
      </x:c>
      <x:c r="AP667" s="76" t="str">
        <x:v>ICP fit; paid-demand need requires manual verification</x:v>
      </x:c>
      <x:c r="AQ667" s="76" t="str">
        <x:v>testimonials; financing; visible service offer</x:v>
      </x:c>
      <x:c r="AR667" s="76" t="str">
        <x:v>I was reviewing plumbing companies in Hilton Head, South Carolina and Summit Services looked like a strong fit for a creative test.</x:v>
      </x:c>
      <x:c r="AS667" s="76" t="str">
        <x:v>small symptom to prevented-emergency ad</x:v>
      </x:c>
      <x:c r="AT667" s="76" t="str">
        <x:v>Summit Services ad concept</x:v>
      </x:c>
      <x:c r="AU667" s="76" t="str">
        <x:v>Hi Summit Services — I was reviewing plumbing companies in Hilton Head, South Carolina and Summit Services looked like a strong fit for a creative test. I mapped a private 15-second small symptom to prevented-emergency ad for Summit Services using only public brand context—not for publishing, just to show the angle. We build three client-approved video ad concepts in seven days, then turn the winners into fresh variations. No filming day required. Worth sending the private sample?</x:v>
      </x:c>
      <x:c r="AV667" s="76" t="str">
        <x:v>Quick follow-up: the sample angle is a small symptom to prevented-emergency ad. If it misses the mark, no problem—I won't keep chasing. Should I send it?</x:v>
      </x:c>
      <x:c r="AW667" s="76" t="str">
        <x:v>Hi Summit Services, Ryan here. I was looking at Summit Services's public marketing and noticed: icp fit; paid-demand need requires manual verification. I mapped one private small symptom to prevented-emergency ad as an example. Did I catch you with 30 seconds?</x:v>
      </x:c>
      <x:c r="AX667" s="60" t="str">
        <x:v>https://www.facebook.com/ads/library/?active_status=active&amp;ad_type=all&amp;country=US&amp;q=Summit%20Services&amp;search_type=keyword_unordered</x:v>
      </x:c>
      <x:c r="AY667" s="60" t="str">
        <x:v>ok:200</x:v>
      </x:c>
      <x:c r="AZ667" s="60" t="n">
        <x:v>46232.722858796296</x:v>
      </x:c>
      <x:c r="BA667" s="60" t="str">
        <x:v>Google Maps home-services export</x:v>
      </x:c>
      <x:c r="BB667" s="60" t="str">
        <x:v>https://callsummitservices.com | https://maps.google.com/?cid=17704591404331728247&amp;g_mp=Cidnb29nbGUubWFwcy5wbGFjZXMudjEuUGxhY2VzLlNlYXJjaFRleHQQAhgEIAA</x:v>
      </x:c>
      <x:c r="BC667" s="60" t="str"/>
    </x:row>
    <x:row r="668" ht="18" customHeight="1">
      <x:c r="A668" s="70" t="str">
        <x:v>667</x:v>
      </x:c>
      <x:c r="B668" s="70" t="str">
        <x:v>C - Verify</x:v>
      </x:c>
      <x:c r="C668" s="72" t="str">
        <x:v>46</x:v>
      </x:c>
      <x:c r="D668" s="60" t="str">
        <x:v>Yohe Plumbing Inc of Aiken</x:v>
      </x:c>
      <x:c r="E668" s="60" t="str">
        <x:v>https://yoheplumbing.com</x:v>
      </x:c>
      <x:c r="F668" s="60" t="str">
        <x:v>https://www.yoheplumbing.com/</x:v>
      </x:c>
      <x:c r="G668" s="60" t="str">
        <x:v>Aiken</x:v>
      </x:c>
      <x:c r="H668" s="60" t="str">
        <x:v>South Carolina</x:v>
      </x:c>
      <x:c r="I668" s="60" t="str">
        <x:v>Plumbing</x:v>
      </x:c>
      <x:c r="J668" s="60" t="str">
        <x:v>Yohe Plumbing Inc of Aiken</x:v>
      </x:c>
      <x:c r="K668" s="60" t="str"/>
      <x:c r="L668" s="60" t="str">
        <x:v>Owner / decision maker to verify</x:v>
      </x:c>
      <x:c r="M668" s="60" t="str"/>
      <x:c r="N668" s="60" t="str"/>
      <x:c r="O668" s="60" t="str">
        <x:v>(803) 642-8900</x:v>
      </x:c>
      <x:c r="P668" s="60" t="str"/>
      <x:c r="Q668" s="60" t="str"/>
      <x:c r="R668" s="60" t="str"/>
      <x:c r="S668" s="60" t="str">
        <x:v>4.1</x:v>
      </x:c>
      <x:c r="T668" s="74" t="str">
        <x:v>33</x:v>
      </x:c>
      <x:c r="U668" s="60" t="str"/>
      <x:c r="V668" s="74" t="str">
        <x:v>22</x:v>
      </x:c>
      <x:c r="W668" s="74" t="str">
        <x:v>3</x:v>
      </x:c>
      <x:c r="X668" s="74" t="str">
        <x:v>4</x:v>
      </x:c>
      <x:c r="Y668" s="74" t="str">
        <x:v>12</x:v>
      </x:c>
      <x:c r="Z668" s="74" t="str">
        <x:v>5</x:v>
      </x:c>
      <x:c r="AA668" s="74" t="str">
        <x:v>0</x:v>
      </x:c>
      <x:c r="AB668" s="74" t="str">
        <x:v>0</x:v>
      </x:c>
      <x:c r="AC668" s="74" t="str">
        <x:v>0</x:v>
      </x:c>
      <x:c r="AD668" s="74" t="str">
        <x:v>0</x:v>
      </x:c>
      <x:c r="AE668" s="74" t="str">
        <x:v>0</x:v>
      </x:c>
      <x:c r="AF668" s="74" t="str">
        <x:v>podium</x:v>
      </x:c>
      <x:c r="AG668" s="74" t="str">
        <x:v>1</x:v>
      </x:c>
      <x:c r="AH668" s="74" t="str">
        <x:v>0</x:v>
      </x:c>
      <x:c r="AI668" s="74" t="str">
        <x:v>1</x:v>
      </x:c>
      <x:c r="AJ668" s="74" t="str">
        <x:v>1</x:v>
      </x:c>
      <x:c r="AK668" s="74" t="str">
        <x:v>1</x:v>
      </x:c>
      <x:c r="AL668" s="74" t="str">
        <x:v>0</x:v>
      </x:c>
      <x:c r="AM668" s="74" t="str">
        <x:v>1</x:v>
      </x:c>
      <x:c r="AN668" s="74" t="str">
        <x:v>0</x:v>
      </x:c>
      <x:c r="AO668" s="60" t="str">
        <x:v>2026</x:v>
      </x:c>
      <x:c r="AP668" s="76" t="str">
        <x:v>ICP fit; paid-demand need requires manual verification</x:v>
      </x:c>
      <x:c r="AQ668" s="76" t="str">
        <x:v>testimonials; financing; visible service offer</x:v>
      </x:c>
      <x:c r="AR668" s="76" t="str">
        <x:v>I was reviewing plumbing companies in Aiken, South Carolina and Yohe Plumbing Inc of Aiken looked like a strong fit for a creative test.</x:v>
      </x:c>
      <x:c r="AS668" s="76" t="str">
        <x:v>small symptom to prevented-emergency ad</x:v>
      </x:c>
      <x:c r="AT668" s="76" t="str">
        <x:v>Yohe Plumbing Inc of Aiken ad concept</x:v>
      </x:c>
      <x:c r="AU668" s="76" t="str">
        <x:v>Hi Yohe Plumbing Inc of Aiken — I was reviewing plumbing companies in Aiken, South Carolina and Yohe Plumbing Inc of Aiken looked like a strong fit for a creative test. I mapped a private 15-second small symptom to prevented-emergency ad for Yohe Plumbing Inc of Aiken using only public brand context—not for publishing, just to show the angle. We build three client-approved video ad concepts in seven days, then turn the winners into fresh variations. No filming day required. Worth sending the private sample?</x:v>
      </x:c>
      <x:c r="AV668" s="76" t="str">
        <x:v>Quick follow-up: the sample angle is a small symptom to prevented-emergency ad. If it misses the mark, no problem—I won't keep chasing. Should I send it?</x:v>
      </x:c>
      <x:c r="AW668" s="76" t="str">
        <x:v>Hi Yohe Plumbing Inc of Aiken, Ryan here. I was looking at Yohe Plumbing Inc of Aiken's public marketing and noticed: icp fit; paid-demand need requires manual verification. I mapped one private small symptom to prevented-emergency ad as an example. Did I catch you with 30 seconds?</x:v>
      </x:c>
      <x:c r="AX668" s="60" t="str">
        <x:v>https://www.facebook.com/ads/library/?active_status=active&amp;ad_type=all&amp;country=US&amp;q=Yohe%20Plumbing%20Inc%20of%20Aiken&amp;search_type=keyword_unordered</x:v>
      </x:c>
      <x:c r="AY668" s="60" t="str">
        <x:v>ok:200</x:v>
      </x:c>
      <x:c r="AZ668" s="60" t="n">
        <x:v>46232.722858796296</x:v>
      </x:c>
      <x:c r="BA668" s="60" t="str">
        <x:v>Google Maps home-services export</x:v>
      </x:c>
      <x:c r="BB668" s="60" t="str">
        <x:v>https://maps.google.com/?cid=17063693916731032649&amp;g_mp=Cidnb29nbGUubWFwcy5wbGFjZXMudjEuUGxhY2VzLlNlYXJjaFRleHQQAhgEIAA | https://yoheplumbing.com</x:v>
      </x:c>
      <x:c r="BC668" s="60" t="str"/>
    </x:row>
    <x:row r="669" ht="18" customHeight="1">
      <x:c r="A669" s="70" t="str">
        <x:v>668</x:v>
      </x:c>
      <x:c r="B669" s="70" t="str">
        <x:v>C - Verify</x:v>
      </x:c>
      <x:c r="C669" s="72" t="str">
        <x:v>46</x:v>
      </x:c>
      <x:c r="D669" s="60" t="str">
        <x:v>Premier Roofing</x:v>
      </x:c>
      <x:c r="E669" s="60" t="str">
        <x:v>https://premierroofingsc.com</x:v>
      </x:c>
      <x:c r="F669" s="60" t="str">
        <x:v>https://premierroofingsc.com</x:v>
      </x:c>
      <x:c r="G669" s="60" t="str">
        <x:v>Hilton Head</x:v>
      </x:c>
      <x:c r="H669" s="60" t="str">
        <x:v>South Carolina</x:v>
      </x:c>
      <x:c r="I669" s="60" t="str">
        <x:v>Roofing</x:v>
      </x:c>
      <x:c r="J669" s="60" t="str">
        <x:v>Premier Roofing</x:v>
      </x:c>
      <x:c r="K669" s="60" t="str"/>
      <x:c r="L669" s="60" t="str">
        <x:v>Owner / decision maker to verify</x:v>
      </x:c>
      <x:c r="M669" s="60" t="str"/>
      <x:c r="N669" s="60" t="str"/>
      <x:c r="O669" s="60" t="str">
        <x:v>(843) 757-7744</x:v>
      </x:c>
      <x:c r="P669" s="60" t="str"/>
      <x:c r="Q669" s="60" t="str"/>
      <x:c r="R669" s="60" t="str"/>
      <x:c r="S669" s="60" t="str">
        <x:v>4.9</x:v>
      </x:c>
      <x:c r="T669" s="74" t="str">
        <x:v>51</x:v>
      </x:c>
      <x:c r="U669" s="60" t="str"/>
      <x:c r="V669" s="74" t="str">
        <x:v>27</x:v>
      </x:c>
      <x:c r="W669" s="74" t="str">
        <x:v>3</x:v>
      </x:c>
      <x:c r="X669" s="74" t="str">
        <x:v>0</x:v>
      </x:c>
      <x:c r="Y669" s="74" t="str">
        <x:v>11</x:v>
      </x:c>
      <x:c r="Z669" s="74" t="str">
        <x:v>5</x:v>
      </x:c>
      <x:c r="AA669" s="74" t="str">
        <x:v>0</x:v>
      </x:c>
      <x:c r="AB669" s="74" t="str">
        <x:v>0</x:v>
      </x:c>
      <x:c r="AC669" s="74" t="str">
        <x:v>1</x:v>
      </x:c>
      <x:c r="AD669" s="74" t="str">
        <x:v>0</x:v>
      </x:c>
      <x:c r="AE669" s="74" t="str">
        <x:v>0</x:v>
      </x:c>
      <x:c r="AF669" s="74" t="str"/>
      <x:c r="AG669" s="74" t="str">
        <x:v>1</x:v>
      </x:c>
      <x:c r="AH669" s="74" t="str">
        <x:v>1</x:v>
      </x:c>
      <x:c r="AI669" s="74" t="str">
        <x:v>1</x:v>
      </x:c>
      <x:c r="AJ669" s="74" t="str">
        <x:v>0</x:v>
      </x:c>
      <x:c r="AK669" s="74" t="str">
        <x:v>0</x:v>
      </x:c>
      <x:c r="AL669" s="74" t="str">
        <x:v>0</x:v>
      </x:c>
      <x:c r="AM669" s="74" t="str">
        <x:v>1</x:v>
      </x:c>
      <x:c r="AN669" s="74" t="str">
        <x:v>1</x:v>
      </x:c>
      <x:c r="AO669" s="60" t="str">
        <x:v>2026</x:v>
      </x:c>
      <x:c r="AP669" s="76" t="str">
        <x:v>ICP fit; paid-demand need requires manual verification</x:v>
      </x:c>
      <x:c r="AQ669" s="76" t="str">
        <x:v>project/gallery proof; testimonials</x:v>
      </x:c>
      <x:c r="AR669" s="76" t="str">
        <x:v>I was reviewing roofing companies in Hilton Head, South Carolina and Premier Roofing looked like a strong fit for a creative test.</x:v>
      </x:c>
      <x:c r="AS669" s="76" t="str">
        <x:v>storm-to-inspection before/after ad</x:v>
      </x:c>
      <x:c r="AT669" s="76" t="str">
        <x:v>Premier Roofing ad concept</x:v>
      </x:c>
      <x:c r="AU669" s="76" t="str">
        <x:v>Hi Premier Roofing — I was reviewing roofing companies in Hilton Head, South Carolina and Premier Roofing looked like a strong fit for a creative test. I mapped a private 15-second storm-to-inspection before/after ad for Premier Roofing using only public brand context—not for publishing, just to show the angle. We build three client-approved video ad concepts in seven days, then turn the winners into fresh variations. No filming day required. Worth sending the private sample?</x:v>
      </x:c>
      <x:c r="AV669" s="76" t="str">
        <x:v>Quick follow-up: the sample angle is a storm-to-inspection before/after ad. If it misses the mark, no problem—I won't keep chasing. Should I send it?</x:v>
      </x:c>
      <x:c r="AW669" s="76" t="str">
        <x:v>Hi Premier Roofing, Ryan here. I was looking at Premier Roofing's public marketing and noticed: icp fit; paid-demand need requires manual verification. I mapped one private storm-to-inspection before/after ad as an example. Did I catch you with 30 seconds?</x:v>
      </x:c>
      <x:c r="AX669" s="60" t="str">
        <x:v>https://www.facebook.com/ads/library/?active_status=active&amp;ad_type=all&amp;country=US&amp;q=Premier%20Roofing&amp;search_type=keyword_unordered</x:v>
      </x:c>
      <x:c r="AY669" s="60" t="str">
        <x:v>ok:200</x:v>
      </x:c>
      <x:c r="AZ669" s="60" t="n">
        <x:v>46232.722858796296</x:v>
      </x:c>
      <x:c r="BA669" s="60" t="str">
        <x:v>Google Maps home-services export</x:v>
      </x:c>
      <x:c r="BB669" s="60" t="str">
        <x:v>https://maps.google.com/?cid=12677207291748256604&amp;g_mp=Cidnb29nbGUubWFwcy5wbGFjZXMudjEuUGxhY2VzLlNlYXJjaFRleHQQAhgEIAA | https://premierroofingsc.com</x:v>
      </x:c>
      <x:c r="BC669" s="60" t="str"/>
    </x:row>
    <x:row r="670" ht="18" customHeight="1">
      <x:c r="A670" s="70" t="str">
        <x:v>669</x:v>
      </x:c>
      <x:c r="B670" s="70" t="str">
        <x:v>C - Verify</x:v>
      </x:c>
      <x:c r="C670" s="72" t="str">
        <x:v>46</x:v>
      </x:c>
      <x:c r="D670" s="60" t="str">
        <x:v>Copper Branch LLC</x:v>
      </x:c>
      <x:c r="E670" s="60" t="str">
        <x:v>https://copperbranchllc.com</x:v>
      </x:c>
      <x:c r="F670" s="60" t="str">
        <x:v>https://copperbranchllc.com</x:v>
      </x:c>
      <x:c r="G670" s="60" t="str">
        <x:v>Easley</x:v>
      </x:c>
      <x:c r="H670" s="60" t="str">
        <x:v>South Carolina</x:v>
      </x:c>
      <x:c r="I670" s="60" t="str">
        <x:v>General Contractor</x:v>
      </x:c>
      <x:c r="J670" s="60" t="str">
        <x:v>Taze</x:v>
      </x:c>
      <x:c r="K670" s="60" t="str">
        <x:v>Hedrick</x:v>
      </x:c>
      <x:c r="L670" s="60" t="str">
        <x:v>Owner</x:v>
      </x:c>
      <x:c r="M670" s="60" t="str">
        <x:v>taze@copperbranchllc.com</x:v>
      </x:c>
      <x:c r="N670" s="60" t="str">
        <x:v>Verified with BounceBan on 08 Jun 26 12:06</x:v>
      </x:c>
      <x:c r="O670" s="60" t="str"/>
      <x:c r="P670" s="60" t="str">
        <x:v>https://www.linkedin.com/in/taze-hedrick-4a588b49</x:v>
      </x:c>
      <x:c r="Q670" s="60" t="str">
        <x:v>2-10</x:v>
      </x:c>
      <x:c r="R670" s="60" t="str">
        <x:v>0-99999</x:v>
      </x:c>
      <x:c r="S670" s="60" t="str"/>
      <x:c r="T670" s="74" t="str">
        <x:v>0</x:v>
      </x:c>
      <x:c r="U670" s="60" t="str"/>
      <x:c r="V670" s="74" t="str">
        <x:v>20</x:v>
      </x:c>
      <x:c r="W670" s="74" t="str">
        <x:v>3</x:v>
      </x:c>
      <x:c r="X670" s="74" t="str">
        <x:v>6</x:v>
      </x:c>
      <x:c r="Y670" s="74" t="str">
        <x:v>10</x:v>
      </x:c>
      <x:c r="Z670" s="74" t="str">
        <x:v>7</x:v>
      </x:c>
      <x:c r="AA670" s="74" t="str">
        <x:v>0</x:v>
      </x:c>
      <x:c r="AB670" s="74" t="str">
        <x:v>0</x:v>
      </x:c>
      <x:c r="AC670" s="74" t="str">
        <x:v>0</x:v>
      </x:c>
      <x:c r="AD670" s="74" t="str">
        <x:v>0</x:v>
      </x:c>
      <x:c r="AE670" s="74" t="str">
        <x:v>0</x:v>
      </x:c>
      <x:c r="AF670" s="74" t="str">
        <x:v>housecallpro</x:v>
      </x:c>
      <x:c r="AG670" s="74" t="str">
        <x:v>0</x:v>
      </x:c>
      <x:c r="AH670" s="74" t="str">
        <x:v>0</x:v>
      </x:c>
      <x:c r="AI670" s="74" t="str">
        <x:v>1</x:v>
      </x:c>
      <x:c r="AJ670" s="74" t="str">
        <x:v>1</x:v>
      </x:c>
      <x:c r="AK670" s="74" t="str">
        <x:v>1</x:v>
      </x:c>
      <x:c r="AL670" s="74" t="str">
        <x:v>1</x:v>
      </x:c>
      <x:c r="AM670" s="74" t="str">
        <x:v>1</x:v>
      </x:c>
      <x:c r="AN670" s="74" t="str">
        <x:v>1</x:v>
      </x:c>
      <x:c r="AO670" s="60" t="str">
        <x:v>2026</x:v>
      </x:c>
      <x:c r="AP670" s="76" t="str">
        <x:v>Financing language found; no embedded homepage video found</x:v>
      </x:c>
      <x:c r="AQ670" s="76" t="str">
        <x:v>testimonials; financing; visible service offer; no embedded homepage video detected</x:v>
      </x:c>
      <x:c r="AR670" s="76" t="str">
        <x:v>I found financing language on Copper Branch LLC's site that could make a strong short-form offer angle.</x:v>
      </x:c>
      <x:c r="AS670" s="76" t="str">
        <x:v>project walkthrough with proof milestones</x:v>
      </x:c>
      <x:c r="AT670" s="76" t="str">
        <x:v>Copper Branch LLC ad concept</x:v>
      </x:c>
      <x:c r="AU670" s="76" t="str">
        <x:v>Hi Taze — I found financing language on Copper Branch LLC's site that could make a strong short-form offer angle. I mapped a private 15-second project walkthrough with proof milestones for Copper Branch LLC using only public brand context—not for publishing, just to show the angle. We build three client-approved video ad concepts in seven days, then turn the winners into fresh variations. No filming day required. Worth sending the private sample?</x:v>
      </x:c>
      <x:c r="AV670" s="76" t="str">
        <x:v>Quick follow-up: the sample angle is a project walkthrough with proof milestones. If it misses the mark, no problem—I won't keep chasing. Should I send it?</x:v>
      </x:c>
      <x:c r="AW670" s="76" t="str">
        <x:v>Hi Taze, Ryan here. I was looking at Copper Branch LLC's public marketing and noticed: financing language found; no embedded homepage video found. I mapped one private project walkthrough with proof milestones as an example. Did I catch you with 30 seconds?</x:v>
      </x:c>
      <x:c r="AX670" s="60" t="str">
        <x:v>https://www.facebook.com/ads/library/?active_status=active&amp;ad_type=all&amp;country=US&amp;q=Copper%20Branch%20LLC&amp;search_type=keyword_unordered</x:v>
      </x:c>
      <x:c r="AY670" s="60" t="str">
        <x:v>ok:200</x:v>
      </x:c>
      <x:c r="AZ670" s="60" t="n">
        <x:v>46232.722858796296</x:v>
      </x:c>
      <x:c r="BA670" s="60" t="str">
        <x:v>AI Ark SC trades export</x:v>
      </x:c>
      <x:c r="BB670" s="60" t="str">
        <x:v>https://copperbranchllc.com | https://www.linkedin.com/company/copper-branch-llc</x:v>
      </x:c>
      <x:c r="BC670" s="60" t="str"/>
    </x:row>
    <x:row r="671" ht="18" customHeight="1">
      <x:c r="A671" s="70" t="str">
        <x:v>670</x:v>
      </x:c>
      <x:c r="B671" s="70" t="str">
        <x:v>C - Verify</x:v>
      </x:c>
      <x:c r="C671" s="72" t="str">
        <x:v>46</x:v>
      </x:c>
      <x:c r="D671" s="60" t="str">
        <x:v>Innovative Bath Solutions</x:v>
      </x:c>
      <x:c r="E671" s="60" t="str">
        <x:v>https://innovativebathsolutions.com</x:v>
      </x:c>
      <x:c r="F671" s="60" t="str">
        <x:v>https://innovativebathsolutions.com</x:v>
      </x:c>
      <x:c r="G671" s="60" t="str">
        <x:v>Fort Mill</x:v>
      </x:c>
      <x:c r="H671" s="60" t="str">
        <x:v>South Carolina</x:v>
      </x:c>
      <x:c r="I671" s="60" t="str">
        <x:v>General Contractor</x:v>
      </x:c>
      <x:c r="J671" s="60" t="str">
        <x:v>Jason</x:v>
      </x:c>
      <x:c r="K671" s="60" t="str">
        <x:v>Fisher</x:v>
      </x:c>
      <x:c r="L671" s="60" t="str">
        <x:v>Owner</x:v>
      </x:c>
      <x:c r="M671" s="60" t="str">
        <x:v>jason@innovativebathsolutions.com</x:v>
      </x:c>
      <x:c r="N671" s="60" t="str">
        <x:v>Verified with BounceBan on 08 Jun 26 12:06</x:v>
      </x:c>
      <x:c r="O671" s="60" t="str"/>
      <x:c r="P671" s="60" t="str">
        <x:v>https://www.linkedin.com/in/jason-fisher-526b39275</x:v>
      </x:c>
      <x:c r="Q671" s="60" t="str">
        <x:v>null+</x:v>
      </x:c>
      <x:c r="R671" s="60" t="str">
        <x:v>0-99999</x:v>
      </x:c>
      <x:c r="S671" s="60" t="str"/>
      <x:c r="T671" s="74" t="str">
        <x:v>0</x:v>
      </x:c>
      <x:c r="U671" s="60" t="str"/>
      <x:c r="V671" s="74" t="str">
        <x:v>17</x:v>
      </x:c>
      <x:c r="W671" s="74" t="str">
        <x:v>3</x:v>
      </x:c>
      <x:c r="X671" s="74" t="str">
        <x:v>10</x:v>
      </x:c>
      <x:c r="Y671" s="74" t="str">
        <x:v>9</x:v>
      </x:c>
      <x:c r="Z671" s="74" t="str">
        <x:v>7</x:v>
      </x:c>
      <x:c r="AA671" s="74" t="str">
        <x:v>0</x:v>
      </x:c>
      <x:c r="AB671" s="74" t="str">
        <x:v>0</x:v>
      </x:c>
      <x:c r="AC671" s="74" t="str">
        <x:v>1</x:v>
      </x:c>
      <x:c r="AD671" s="74" t="str">
        <x:v>0</x:v>
      </x:c>
      <x:c r="AE671" s="74" t="str">
        <x:v>0</x:v>
      </x:c>
      <x:c r="AF671" s="74" t="str"/>
      <x:c r="AG671" s="74" t="str">
        <x:v>0</x:v>
      </x:c>
      <x:c r="AH671" s="74" t="str">
        <x:v>1</x:v>
      </x:c>
      <x:c r="AI671" s="74" t="str">
        <x:v>1</x:v>
      </x:c>
      <x:c r="AJ671" s="74" t="str">
        <x:v>0</x:v>
      </x:c>
      <x:c r="AK671" s="74" t="str">
        <x:v>0</x:v>
      </x:c>
      <x:c r="AL671" s="74" t="str">
        <x:v>0</x:v>
      </x:c>
      <x:c r="AM671" s="74" t="str">
        <x:v>1</x:v>
      </x:c>
      <x:c r="AN671" s="74" t="str">
        <x:v>0</x:v>
      </x:c>
      <x:c r="AO671" s="60" t="str">
        <x:v>2026</x:v>
      </x:c>
      <x:c r="AP671" s="76" t="str">
        <x:v>Project/gallery proof found; no embedded homepage video found</x:v>
      </x:c>
      <x:c r="AQ671" s="76" t="str">
        <x:v>project/gallery proof; testimonials; no embedded homepage video detected</x:v>
      </x:c>
      <x:c r="AR671" s="76" t="str">
        <x:v>I found project/gallery proof on Innovative Bath Solutions's site that could be repackaged into short-form ad concepts.</x:v>
      </x:c>
      <x:c r="AS671" s="76" t="str">
        <x:v>project walkthrough with proof milestones</x:v>
      </x:c>
      <x:c r="AT671" s="76" t="str">
        <x:v>Innovative Bath Solutions ad concept</x:v>
      </x:c>
      <x:c r="AU671" s="76" t="str">
        <x:v>Hi Jason — I found project/gallery proof on Innovative Bath Solutions's site that could be repackaged into short-form ad concepts. I mapped a private 15-second project walkthrough with proof milestones for Innovative Bath Solutions using only public brand context—not for publishing, just to show the angle. We build three client-approved video ad concepts in seven days, then turn the winners into fresh variations. No filming day required. Worth sending the private sample?</x:v>
      </x:c>
      <x:c r="AV671" s="76" t="str">
        <x:v>Quick follow-up: the sample angle is a project walkthrough with proof milestones. If it misses the mark, no problem—I won't keep chasing. Should I send it?</x:v>
      </x:c>
      <x:c r="AW671" s="76" t="str">
        <x:v>Hi Jason, Ryan here. I was looking at Innovative Bath Solutions's public marketing and noticed: project/gallery proof found; no embedded homepage video found. I mapped one private project walkthrough with proof milestones as an example. Did I catch you with 30 seconds?</x:v>
      </x:c>
      <x:c r="AX671" s="60" t="str">
        <x:v>https://www.facebook.com/ads/library/?active_status=active&amp;ad_type=all&amp;country=US&amp;q=Innovative%20Bath%20Solutions&amp;search_type=keyword_unordered</x:v>
      </x:c>
      <x:c r="AY671" s="60" t="str">
        <x:v>ok:200</x:v>
      </x:c>
      <x:c r="AZ671" s="60" t="n">
        <x:v>46232.722858796296</x:v>
      </x:c>
      <x:c r="BA671" s="60" t="str">
        <x:v>AI Ark SC trades export</x:v>
      </x:c>
      <x:c r="BB671" s="60" t="str">
        <x:v>https://innovativebathsolutions.com | https://www.linkedin.com/company/innovative-bath-solutions</x:v>
      </x:c>
      <x:c r="BC671" s="60" t="str"/>
    </x:row>
    <x:row r="672" ht="18" customHeight="1">
      <x:c r="A672" s="70" t="str">
        <x:v>671</x:v>
      </x:c>
      <x:c r="B672" s="70" t="str">
        <x:v>C - Verify</x:v>
      </x:c>
      <x:c r="C672" s="72" t="str">
        <x:v>46</x:v>
      </x:c>
      <x:c r="D672" s="60" t="str">
        <x:v>New Tech Electric Inc</x:v>
      </x:c>
      <x:c r="E672" s="60" t="str">
        <x:v>https://newtechelectric.co</x:v>
      </x:c>
      <x:c r="F672" s="60" t="str">
        <x:v>https://newtechelectric.co</x:v>
      </x:c>
      <x:c r="G672" s="60" t="str">
        <x:v>Spartanburg</x:v>
      </x:c>
      <x:c r="H672" s="60" t="str">
        <x:v>South Carolina</x:v>
      </x:c>
      <x:c r="I672" s="60" t="str">
        <x:v>Electrical</x:v>
      </x:c>
      <x:c r="J672" s="60" t="str">
        <x:v>New Tech Electric Inc</x:v>
      </x:c>
      <x:c r="K672" s="60" t="str"/>
      <x:c r="L672" s="60" t="str">
        <x:v>Owner / decision maker to verify</x:v>
      </x:c>
      <x:c r="M672" s="60" t="str"/>
      <x:c r="N672" s="60" t="str"/>
      <x:c r="O672" s="60" t="str">
        <x:v>(864) 359-4488</x:v>
      </x:c>
      <x:c r="P672" s="60" t="str"/>
      <x:c r="Q672" s="60" t="str"/>
      <x:c r="R672" s="60" t="str"/>
      <x:c r="S672" s="60" t="str">
        <x:v>5</x:v>
      </x:c>
      <x:c r="T672" s="74" t="str">
        <x:v>13</x:v>
      </x:c>
      <x:c r="U672" s="60" t="str"/>
      <x:c r="V672" s="74" t="str">
        <x:v>19</x:v>
      </x:c>
      <x:c r="W672" s="74" t="str">
        <x:v>3</x:v>
      </x:c>
      <x:c r="X672" s="74" t="str">
        <x:v>10</x:v>
      </x:c>
      <x:c r="Y672" s="74" t="str">
        <x:v>9</x:v>
      </x:c>
      <x:c r="Z672" s="74" t="str">
        <x:v>5</x:v>
      </x:c>
      <x:c r="AA672" s="74" t="str">
        <x:v>0</x:v>
      </x:c>
      <x:c r="AB672" s="74" t="str">
        <x:v>0</x:v>
      </x:c>
      <x:c r="AC672" s="74" t="str">
        <x:v>1</x:v>
      </x:c>
      <x:c r="AD672" s="74" t="str">
        <x:v>0</x:v>
      </x:c>
      <x:c r="AE672" s="74" t="str">
        <x:v>0</x:v>
      </x:c>
      <x:c r="AF672" s="74" t="str"/>
      <x:c r="AG672" s="74" t="str">
        <x:v>0</x:v>
      </x:c>
      <x:c r="AH672" s="74" t="str">
        <x:v>1</x:v>
      </x:c>
      <x:c r="AI672" s="74" t="str">
        <x:v>1</x:v>
      </x:c>
      <x:c r="AJ672" s="74" t="str">
        <x:v>0</x:v>
      </x:c>
      <x:c r="AK672" s="74" t="str">
        <x:v>0</x:v>
      </x:c>
      <x:c r="AL672" s="74" t="str">
        <x:v>0</x:v>
      </x:c>
      <x:c r="AM672" s="74" t="str">
        <x:v>0</x:v>
      </x:c>
      <x:c r="AN672" s="74" t="str">
        <x:v>0</x:v>
      </x:c>
      <x:c r="AO672" s="60" t="str">
        <x:v>2025</x:v>
      </x:c>
      <x:c r="AP672" s="76" t="str">
        <x:v>Project/gallery proof found; no embedded homepage video found</x:v>
      </x:c>
      <x:c r="AQ672" s="76" t="str">
        <x:v>project/gallery proof; testimonials; no embedded homepage video detected</x:v>
      </x:c>
      <x:c r="AR672" s="76" t="str">
        <x:v>I found project/gallery proof on New Tech Electric Inc's site that could be repackaged into short-form ad concepts.</x:v>
      </x:c>
      <x:c r="AS672" s="76" t="str">
        <x:v>safety inspection problem/solution ad</x:v>
      </x:c>
      <x:c r="AT672" s="76" t="str">
        <x:v>New Tech Electric Inc ad concept</x:v>
      </x:c>
      <x:c r="AU672" s="76" t="str">
        <x:v>Hi New Tech Electric Inc — I found project/gallery proof on New Tech Electric Inc's site that could be repackaged into short-form ad concepts. I mapped a private 15-second safety inspection problem/solution ad for New Tech Electric Inc using only public brand context—not for publishing, just to show the angle. We build three client-approved video ad concepts in seven days, then turn the winners into fresh variations. No filming day required. Worth sending the private sample?</x:v>
      </x:c>
      <x:c r="AV672" s="76" t="str">
        <x:v>Quick follow-up: the sample angle is a safety inspection problem/solution ad. If it misses the mark, no problem—I won't keep chasing. Should I send it?</x:v>
      </x:c>
      <x:c r="AW672" s="76" t="str">
        <x:v>Hi New Tech Electric Inc, Ryan here. I was looking at New Tech Electric Inc's public marketing and noticed: project/gallery proof found; no embedded homepage video found. I mapped one private safety inspection problem/solution ad as an example. Did I catch you with 30 seconds?</x:v>
      </x:c>
      <x:c r="AX672" s="60" t="str">
        <x:v>https://www.facebook.com/ads/library/?active_status=active&amp;ad_type=all&amp;country=US&amp;q=New%20Tech%20Electric%20Inc&amp;search_type=keyword_unordered</x:v>
      </x:c>
      <x:c r="AY672" s="60" t="str">
        <x:v>ok:200</x:v>
      </x:c>
      <x:c r="AZ672" s="60" t="n">
        <x:v>46232.722858796296</x:v>
      </x:c>
      <x:c r="BA672" s="60" t="str">
        <x:v>Google Maps home-services export</x:v>
      </x:c>
      <x:c r="BB672" s="60" t="str">
        <x:v>https://maps.google.com/?cid=3919906286077995949&amp;g_mp=Cidnb29nbGUubWFwcy5wbGFjZXMudjEuUGxhY2VzLlNlYXJjaFRleHQQAhgEIAA | https://newtechelectric.co</x:v>
      </x:c>
      <x:c r="BC672" s="60" t="str"/>
    </x:row>
    <x:row r="673" ht="18" customHeight="1">
      <x:c r="A673" s="70" t="str">
        <x:v>672</x:v>
      </x:c>
      <x:c r="B673" s="70" t="str">
        <x:v>C - Verify</x:v>
      </x:c>
      <x:c r="C673" s="72" t="str">
        <x:v>46</x:v>
      </x:c>
      <x:c r="D673" s="60" t="str">
        <x:v>Consumer First Roofing</x:v>
      </x:c>
      <x:c r="E673" s="60" t="str">
        <x:v>https://consumerfirstroofingsc.com</x:v>
      </x:c>
      <x:c r="F673" s="60" t="str">
        <x:v>https://consumerfirstroofingsc.com</x:v>
      </x:c>
      <x:c r="G673" s="60" t="str">
        <x:v>Spartanburg</x:v>
      </x:c>
      <x:c r="H673" s="60" t="str">
        <x:v>South Carolina</x:v>
      </x:c>
      <x:c r="I673" s="60" t="str">
        <x:v>Roofing</x:v>
      </x:c>
      <x:c r="J673" s="60" t="str">
        <x:v>Consumer First Roofing</x:v>
      </x:c>
      <x:c r="K673" s="60" t="str"/>
      <x:c r="L673" s="60" t="str">
        <x:v>Owner / decision maker to verify</x:v>
      </x:c>
      <x:c r="M673" s="60" t="str"/>
      <x:c r="N673" s="60" t="str"/>
      <x:c r="O673" s="60" t="str">
        <x:v>(864) 398-1805</x:v>
      </x:c>
      <x:c r="P673" s="60" t="str"/>
      <x:c r="Q673" s="60" t="str"/>
      <x:c r="R673" s="60" t="str"/>
      <x:c r="S673" s="60" t="str">
        <x:v>4.9</x:v>
      </x:c>
      <x:c r="T673" s="74" t="str">
        <x:v>111</x:v>
      </x:c>
      <x:c r="U673" s="60" t="str"/>
      <x:c r="V673" s="74" t="str">
        <x:v>29</x:v>
      </x:c>
      <x:c r="W673" s="74" t="str">
        <x:v>3</x:v>
      </x:c>
      <x:c r="X673" s="74" t="str">
        <x:v>0</x:v>
      </x:c>
      <x:c r="Y673" s="74" t="str">
        <x:v>9</x:v>
      </x:c>
      <x:c r="Z673" s="74" t="str">
        <x:v>5</x:v>
      </x:c>
      <x:c r="AA673" s="74" t="str">
        <x:v>0</x:v>
      </x:c>
      <x:c r="AB673" s="74" t="str">
        <x:v>0</x:v>
      </x:c>
      <x:c r="AC673" s="74" t="str">
        <x:v>1</x:v>
      </x:c>
      <x:c r="AD673" s="74" t="str">
        <x:v>0</x:v>
      </x:c>
      <x:c r="AE673" s="74" t="str">
        <x:v>0</x:v>
      </x:c>
      <x:c r="AF673" s="74" t="str"/>
      <x:c r="AG673" s="74" t="str">
        <x:v>1</x:v>
      </x:c>
      <x:c r="AH673" s="74" t="str">
        <x:v>0</x:v>
      </x:c>
      <x:c r="AI673" s="74" t="str">
        <x:v>0</x:v>
      </x:c>
      <x:c r="AJ673" s="74" t="str">
        <x:v>1</x:v>
      </x:c>
      <x:c r="AK673" s="74" t="str">
        <x:v>1</x:v>
      </x:c>
      <x:c r="AL673" s="74" t="str">
        <x:v>1</x:v>
      </x:c>
      <x:c r="AM673" s="74" t="str">
        <x:v>1</x:v>
      </x:c>
      <x:c r="AN673" s="74" t="str">
        <x:v>1</x:v>
      </x:c>
      <x:c r="AO673" s="60" t="str">
        <x:v>2026</x:v>
      </x:c>
      <x:c r="AP673" s="76" t="str">
        <x:v>ICP fit; paid-demand need requires manual verification</x:v>
      </x:c>
      <x:c r="AQ673" s="76" t="str">
        <x:v>financing; visible service offer</x:v>
      </x:c>
      <x:c r="AR673" s="76" t="str">
        <x:v>I was reviewing roofing companies in Spartanburg, South Carolina and Consumer First Roofing looked like a strong fit for a creative test.</x:v>
      </x:c>
      <x:c r="AS673" s="76" t="str">
        <x:v>storm-to-inspection before/after ad</x:v>
      </x:c>
      <x:c r="AT673" s="76" t="str">
        <x:v>Consumer First Roofing ad concept</x:v>
      </x:c>
      <x:c r="AU673" s="76" t="str">
        <x:v>Hi Consumer First Roofing — I was reviewing roofing companies in Spartanburg, South Carolina and Consumer First Roofing looked like a strong fit for a creative test. I mapped a private 15-second storm-to-inspection before/after ad for Consumer First Roofing using only public brand context—not for publishing, just to show the angle. We build three client-approved video ad concepts in seven days, then turn the winners into fresh variations. No filming day required. Worth sending the private sample?</x:v>
      </x:c>
      <x:c r="AV673" s="76" t="str">
        <x:v>Quick follow-up: the sample angle is a storm-to-inspection before/after ad. If it misses the mark, no problem—I won't keep chasing. Should I send it?</x:v>
      </x:c>
      <x:c r="AW673" s="76" t="str">
        <x:v>Hi Consumer First Roofing, Ryan here. I was looking at Consumer First Roofing's public marketing and noticed: icp fit; paid-demand need requires manual verification. I mapped one private storm-to-inspection before/after ad as an example. Did I catch you with 30 seconds?</x:v>
      </x:c>
      <x:c r="AX673" s="60" t="str">
        <x:v>https://www.facebook.com/ads/library/?active_status=active&amp;ad_type=all&amp;country=US&amp;q=Consumer%20First%20Roofing&amp;search_type=keyword_unordered</x:v>
      </x:c>
      <x:c r="AY673" s="60" t="str">
        <x:v>ok:200</x:v>
      </x:c>
      <x:c r="AZ673" s="60" t="n">
        <x:v>46232.722858796296</x:v>
      </x:c>
      <x:c r="BA673" s="60" t="str">
        <x:v>Google Maps home-services export</x:v>
      </x:c>
      <x:c r="BB673" s="60" t="str">
        <x:v>https://consumerfirstroofingsc.com | https://maps.google.com/?cid=2489589012464945948&amp;g_mp=Cidnb29nbGUubWFwcy5wbGFjZXMudjEuUGxhY2VzLlNlYXJjaFRleHQQAhgEIAA</x:v>
      </x:c>
      <x:c r="BC673" s="60" t="str"/>
    </x:row>
    <x:row r="674" ht="18" customHeight="1">
      <x:c r="A674" s="70" t="str">
        <x:v>673</x:v>
      </x:c>
      <x:c r="B674" s="70" t="str">
        <x:v>C - Verify</x:v>
      </x:c>
      <x:c r="C674" s="72" t="str">
        <x:v>46</x:v>
      </x:c>
      <x:c r="D674" s="60" t="str">
        <x:v>Carolina Climate Control</x:v>
      </x:c>
      <x:c r="E674" s="60" t="str">
        <x:v>https://greenvilleclimatecontrol.com</x:v>
      </x:c>
      <x:c r="F674" s="60" t="str">
        <x:v>https://www.greenvilleclimatecontrol.com/</x:v>
      </x:c>
      <x:c r="G674" s="60" t="str">
        <x:v>Greenville</x:v>
      </x:c>
      <x:c r="H674" s="60" t="str">
        <x:v>South Carolina</x:v>
      </x:c>
      <x:c r="I674" s="60" t="str">
        <x:v>HVAC</x:v>
      </x:c>
      <x:c r="J674" s="60" t="str">
        <x:v>Carolina Climate Control</x:v>
      </x:c>
      <x:c r="K674" s="60" t="str"/>
      <x:c r="L674" s="60" t="str">
        <x:v>Owner / decision maker to verify</x:v>
      </x:c>
      <x:c r="M674" s="60" t="str"/>
      <x:c r="N674" s="60" t="str"/>
      <x:c r="O674" s="60" t="str">
        <x:v>(864) 772-3822</x:v>
      </x:c>
      <x:c r="P674" s="60" t="str"/>
      <x:c r="Q674" s="60" t="str"/>
      <x:c r="R674" s="60" t="str"/>
      <x:c r="S674" s="60" t="str">
        <x:v>4.9</x:v>
      </x:c>
      <x:c r="T674" s="74" t="str">
        <x:v>375</x:v>
      </x:c>
      <x:c r="U674" s="60" t="str"/>
      <x:c r="V674" s="74" t="str">
        <x:v>29</x:v>
      </x:c>
      <x:c r="W674" s="74" t="str">
        <x:v>3</x:v>
      </x:c>
      <x:c r="X674" s="74" t="str">
        <x:v>0</x:v>
      </x:c>
      <x:c r="Y674" s="74" t="str">
        <x:v>9</x:v>
      </x:c>
      <x:c r="Z674" s="74" t="str">
        <x:v>5</x:v>
      </x:c>
      <x:c r="AA674" s="74" t="str">
        <x:v>0</x:v>
      </x:c>
      <x:c r="AB674" s="74" t="str">
        <x:v>0</x:v>
      </x:c>
      <x:c r="AC674" s="74" t="str">
        <x:v>1</x:v>
      </x:c>
      <x:c r="AD674" s="74" t="str">
        <x:v>0</x:v>
      </x:c>
      <x:c r="AE674" s="74" t="str">
        <x:v>0</x:v>
      </x:c>
      <x:c r="AF674" s="74" t="str"/>
      <x:c r="AG674" s="74" t="str">
        <x:v>1</x:v>
      </x:c>
      <x:c r="AH674" s="74" t="str">
        <x:v>0</x:v>
      </x:c>
      <x:c r="AI674" s="74" t="str">
        <x:v>0</x:v>
      </x:c>
      <x:c r="AJ674" s="74" t="str">
        <x:v>1</x:v>
      </x:c>
      <x:c r="AK674" s="74" t="str">
        <x:v>1</x:v>
      </x:c>
      <x:c r="AL674" s="74" t="str">
        <x:v>1</x:v>
      </x:c>
      <x:c r="AM674" s="74" t="str">
        <x:v>1</x:v>
      </x:c>
      <x:c r="AN674" s="74" t="str">
        <x:v>1</x:v>
      </x:c>
      <x:c r="AO674" s="60" t="str">
        <x:v>0</x:v>
      </x:c>
      <x:c r="AP674" s="76" t="str">
        <x:v>ICP fit; paid-demand need requires manual verification</x:v>
      </x:c>
      <x:c r="AQ674" s="76" t="str">
        <x:v>financing; visible service offer</x:v>
      </x:c>
      <x:c r="AR674" s="76" t="str">
        <x:v>I was reviewing hvac companies in Greenville, South Carolina and Carolina Climate Control looked like a strong fit for a creative test.</x:v>
      </x:c>
      <x:c r="AS674" s="76" t="str">
        <x:v>no-cool-call to same-day comfort ad</x:v>
      </x:c>
      <x:c r="AT674" s="76" t="str">
        <x:v>Carolina Climate Control ad concept</x:v>
      </x:c>
      <x:c r="AU674" s="76" t="str">
        <x:v>Hi Carolina Climate Control — I was reviewing hvac companies in Greenville, South Carolina and Carolina Climate Control looked like a strong fit for a creative test. I mapped a private 15-second no-cool-call to same-day comfort ad for Carolina Climate Control using only public brand context—not for publishing, just to show the angle. We build three client-approved video ad concepts in seven days, then turn the winners into fresh variations. No filming day required. Worth sending the private sample?</x:v>
      </x:c>
      <x:c r="AV674" s="76" t="str">
        <x:v>Quick follow-up: the sample angle is a no-cool-call to same-day comfort ad. If it misses the mark, no problem—I won't keep chasing. Should I send it?</x:v>
      </x:c>
      <x:c r="AW674" s="76" t="str">
        <x:v>Hi Carolina Climate Control, Ryan here. I was looking at Carolina Climate Control's public marketing and noticed: icp fit; paid-demand need requires manual verification. I mapped one private no-cool-call to same-day comfort ad as an example. Did I catch you with 30 seconds?</x:v>
      </x:c>
      <x:c r="AX674" s="60" t="str">
        <x:v>https://www.facebook.com/ads/library/?active_status=active&amp;ad_type=all&amp;country=US&amp;q=Carolina%20Climate%20Control&amp;search_type=keyword_unordered</x:v>
      </x:c>
      <x:c r="AY674" s="60" t="str">
        <x:v>ok:200</x:v>
      </x:c>
      <x:c r="AZ674" s="60" t="n">
        <x:v>46232.722858796296</x:v>
      </x:c>
      <x:c r="BA674" s="60" t="str">
        <x:v>Google Maps home-services export</x:v>
      </x:c>
      <x:c r="BB674" s="60" t="str">
        <x:v>https://greenvilleclimatecontrol.com | https://maps.google.com/?cid=14117326196247349267&amp;g_mp=Cidnb29nbGUubWFwcy5wbGFjZXMudjEuUGxhY2VzLlNlYXJjaFRleHQQAhgEIAA</x:v>
      </x:c>
      <x:c r="BC674" s="60" t="str"/>
    </x:row>
    <x:row r="675" ht="18" customHeight="1">
      <x:c r="A675" s="70" t="str">
        <x:v>674</x:v>
      </x:c>
      <x:c r="B675" s="70" t="str">
        <x:v>C - Verify</x:v>
      </x:c>
      <x:c r="C675" s="72" t="str">
        <x:v>46</x:v>
      </x:c>
      <x:c r="D675" s="60" t="str">
        <x:v>Atlantic Heating &amp; Cooling</x:v>
      </x:c>
      <x:c r="E675" s="60" t="str">
        <x:v>https://atlanticheatingandcooling.com</x:v>
      </x:c>
      <x:c r="F675" s="60" t="str">
        <x:v>https://www.atlanticheatingandcooling.com/</x:v>
      </x:c>
      <x:c r="G675" s="60" t="str">
        <x:v>Myrtle Beach</x:v>
      </x:c>
      <x:c r="H675" s="60" t="str">
        <x:v>South Carolina</x:v>
      </x:c>
      <x:c r="I675" s="60" t="str">
        <x:v>HVAC</x:v>
      </x:c>
      <x:c r="J675" s="60" t="str">
        <x:v>Atlantic Heating &amp; Cooling</x:v>
      </x:c>
      <x:c r="K675" s="60" t="str"/>
      <x:c r="L675" s="60" t="str">
        <x:v>Owner / decision maker to verify</x:v>
      </x:c>
      <x:c r="M675" s="60" t="str"/>
      <x:c r="N675" s="60" t="str"/>
      <x:c r="O675" s="60" t="str">
        <x:v>(843) 249-8596</x:v>
      </x:c>
      <x:c r="P675" s="60" t="str"/>
      <x:c r="Q675" s="60" t="str"/>
      <x:c r="R675" s="60" t="str"/>
      <x:c r="S675" s="60" t="str">
        <x:v>4.9</x:v>
      </x:c>
      <x:c r="T675" s="74" t="str">
        <x:v>544</x:v>
      </x:c>
      <x:c r="U675" s="60" t="str"/>
      <x:c r="V675" s="74" t="str">
        <x:v>29</x:v>
      </x:c>
      <x:c r="W675" s="74" t="str">
        <x:v>3</x:v>
      </x:c>
      <x:c r="X675" s="74" t="str">
        <x:v>0</x:v>
      </x:c>
      <x:c r="Y675" s="74" t="str">
        <x:v>9</x:v>
      </x:c>
      <x:c r="Z675" s="74" t="str">
        <x:v>5</x:v>
      </x:c>
      <x:c r="AA675" s="74" t="str">
        <x:v>0</x:v>
      </x:c>
      <x:c r="AB675" s="74" t="str">
        <x:v>0</x:v>
      </x:c>
      <x:c r="AC675" s="74" t="str">
        <x:v>1</x:v>
      </x:c>
      <x:c r="AD675" s="74" t="str">
        <x:v>0</x:v>
      </x:c>
      <x:c r="AE675" s="74" t="str">
        <x:v>0</x:v>
      </x:c>
      <x:c r="AF675" s="74" t="str"/>
      <x:c r="AG675" s="74" t="str">
        <x:v>1</x:v>
      </x:c>
      <x:c r="AH675" s="74" t="str">
        <x:v>0</x:v>
      </x:c>
      <x:c r="AI675" s="74" t="str">
        <x:v>0</x:v>
      </x:c>
      <x:c r="AJ675" s="74" t="str">
        <x:v>1</x:v>
      </x:c>
      <x:c r="AK675" s="74" t="str">
        <x:v>1</x:v>
      </x:c>
      <x:c r="AL675" s="74" t="str">
        <x:v>1</x:v>
      </x:c>
      <x:c r="AM675" s="74" t="str">
        <x:v>1</x:v>
      </x:c>
      <x:c r="AN675" s="74" t="str">
        <x:v>1</x:v>
      </x:c>
      <x:c r="AO675" s="60" t="str">
        <x:v>2026</x:v>
      </x:c>
      <x:c r="AP675" s="76" t="str">
        <x:v>ICP fit; paid-demand need requires manual verification</x:v>
      </x:c>
      <x:c r="AQ675" s="76" t="str">
        <x:v>financing; visible service offer</x:v>
      </x:c>
      <x:c r="AR675" s="76" t="str">
        <x:v>I was reviewing hvac companies in Myrtle Beach, South Carolina and Atlantic Heating &amp; Cooling looked like a strong fit for a creative test.</x:v>
      </x:c>
      <x:c r="AS675" s="76" t="str">
        <x:v>no-cool-call to same-day comfort ad</x:v>
      </x:c>
      <x:c r="AT675" s="76" t="str">
        <x:v>Atlantic Heating &amp; Cooling ad concept</x:v>
      </x:c>
      <x:c r="AU675" s="76" t="str">
        <x:v>Hi Atlantic Heating &amp; Cooling — I was reviewing hvac companies in Myrtle Beach, South Carolina and Atlantic Heating &amp; Cooling looked like a strong fit for a creative test. I mapped a private 15-second no-cool-call to same-day comfort ad for Atlantic Heating &amp; Cooling using only public brand context—not for publishing, just to show the angle. We build three client-approved video ad concepts in seven days, then turn the winners into fresh variations. No filming day required. Worth sending the private sample?</x:v>
      </x:c>
      <x:c r="AV675" s="76" t="str">
        <x:v>Quick follow-up: the sample angle is a no-cool-call to same-day comfort ad. If it misses the mark, no problem—I won't keep chasing. Should I send it?</x:v>
      </x:c>
      <x:c r="AW675" s="76" t="str">
        <x:v>Hi Atlantic Heating &amp; Cooling, Ryan here. I was looking at Atlantic Heating &amp; Cooling's public marketing and noticed: icp fit; paid-demand need requires manual verification. I mapped one private no-cool-call to same-day comfort ad as an example. Did I catch you with 30 seconds?</x:v>
      </x:c>
      <x:c r="AX675" s="60" t="str">
        <x:v>https://www.facebook.com/ads/library/?active_status=active&amp;ad_type=all&amp;country=US&amp;q=Atlantic%20Heating%20%26%20Cooling&amp;search_type=keyword_unordered</x:v>
      </x:c>
      <x:c r="AY675" s="60" t="str">
        <x:v>ok:200</x:v>
      </x:c>
      <x:c r="AZ675" s="60" t="n">
        <x:v>46232.722858796296</x:v>
      </x:c>
      <x:c r="BA675" s="60" t="str">
        <x:v>Google Maps home-services export</x:v>
      </x:c>
      <x:c r="BB675" s="60" t="str">
        <x:v>https://atlanticheatingandcooling.com | https://maps.google.com/?cid=11992374602043413687&amp;g_mp=Cidnb29nbGUubWFwcy5wbGFjZXMudjEuUGxhY2VzLlNlYXJjaFRleHQQAhgEIAA</x:v>
      </x:c>
      <x:c r="BC675" s="60" t="str"/>
    </x:row>
    <x:row r="676" ht="18" customHeight="1">
      <x:c r="A676" s="70" t="str">
        <x:v>675</x:v>
      </x:c>
      <x:c r="B676" s="70" t="str">
        <x:v>C - Verify</x:v>
      </x:c>
      <x:c r="C676" s="72" t="str">
        <x:v>46</x:v>
      </x:c>
      <x:c r="D676" s="60" t="str">
        <x:v>Top Choice Plumbing</x:v>
      </x:c>
      <x:c r="E676" s="60" t="str">
        <x:v>https://topchoiceplumbing.com</x:v>
      </x:c>
      <x:c r="F676" s="60" t="str">
        <x:v>https://topchoiceplumbing.com</x:v>
      </x:c>
      <x:c r="G676" s="60" t="str">
        <x:v>Charleston</x:v>
      </x:c>
      <x:c r="H676" s="60" t="str">
        <x:v>South Carolina</x:v>
      </x:c>
      <x:c r="I676" s="60" t="str">
        <x:v>Plumbing</x:v>
      </x:c>
      <x:c r="J676" s="60" t="str">
        <x:v>Top Choice Plumbing</x:v>
      </x:c>
      <x:c r="K676" s="60" t="str"/>
      <x:c r="L676" s="60" t="str">
        <x:v>Owner / decision maker to verify</x:v>
      </x:c>
      <x:c r="M676" s="60" t="str"/>
      <x:c r="N676" s="60" t="str"/>
      <x:c r="O676" s="60" t="str">
        <x:v>(843) 718-1838</x:v>
      </x:c>
      <x:c r="P676" s="60" t="str"/>
      <x:c r="Q676" s="60" t="str"/>
      <x:c r="R676" s="60" t="str"/>
      <x:c r="S676" s="60" t="str">
        <x:v>4.9</x:v>
      </x:c>
      <x:c r="T676" s="74" t="str">
        <x:v>215</x:v>
      </x:c>
      <x:c r="U676" s="60" t="str"/>
      <x:c r="V676" s="74" t="str">
        <x:v>24</x:v>
      </x:c>
      <x:c r="W676" s="74" t="str">
        <x:v>3</x:v>
      </x:c>
      <x:c r="X676" s="74" t="str">
        <x:v>6</x:v>
      </x:c>
      <x:c r="Y676" s="74" t="str">
        <x:v>8</x:v>
      </x:c>
      <x:c r="Z676" s="74" t="str">
        <x:v>5</x:v>
      </x:c>
      <x:c r="AA676" s="74" t="str">
        <x:v>0</x:v>
      </x:c>
      <x:c r="AB676" s="74" t="str">
        <x:v>0</x:v>
      </x:c>
      <x:c r="AC676" s="74" t="str">
        <x:v>1</x:v>
      </x:c>
      <x:c r="AD676" s="74" t="str">
        <x:v>0</x:v>
      </x:c>
      <x:c r="AE676" s="74" t="str">
        <x:v>0</x:v>
      </x:c>
      <x:c r="AF676" s="74" t="str"/>
      <x:c r="AG676" s="74" t="str">
        <x:v>0</x:v>
      </x:c>
      <x:c r="AH676" s="74" t="str">
        <x:v>1</x:v>
      </x:c>
      <x:c r="AI676" s="74" t="str">
        <x:v>0</x:v>
      </x:c>
      <x:c r="AJ676" s="74" t="str">
        <x:v>0</x:v>
      </x:c>
      <x:c r="AK676" s="74" t="str">
        <x:v>0</x:v>
      </x:c>
      <x:c r="AL676" s="74" t="str">
        <x:v>1</x:v>
      </x:c>
      <x:c r="AM676" s="74" t="str">
        <x:v>1</x:v>
      </x:c>
      <x:c r="AN676" s="74" t="str">
        <x:v>0</x:v>
      </x:c>
      <x:c r="AO676" s="60" t="str">
        <x:v>2026</x:v>
      </x:c>
      <x:c r="AP676" s="76" t="str">
        <x:v>Project/gallery proof found; no embedded homepage video found</x:v>
      </x:c>
      <x:c r="AQ676" s="76" t="str">
        <x:v>project/gallery proof; no embedded homepage video detected</x:v>
      </x:c>
      <x:c r="AR676" s="76" t="str">
        <x:v>I found project/gallery proof on Top Choice Plumbing's site that could be repackaged into short-form ad concepts.</x:v>
      </x:c>
      <x:c r="AS676" s="76" t="str">
        <x:v>small symptom to prevented-emergency ad</x:v>
      </x:c>
      <x:c r="AT676" s="76" t="str">
        <x:v>Top Choice Plumbing ad concept</x:v>
      </x:c>
      <x:c r="AU676" s="76" t="str">
        <x:v>Hi Top Choice Plumbing — I found project/gallery proof on Top Choice Plumbing's site that could be repackaged into short-form ad concepts. I mapped a private 15-second small symptom to prevented-emergency ad for Top Choice Plumbing using only public brand context—not for publishing, just to show the angle. We build three client-approved video ad concepts in seven days, then turn the winners into fresh variations. No filming day required. Worth sending the private sample?</x:v>
      </x:c>
      <x:c r="AV676" s="76" t="str">
        <x:v>Quick follow-up: the sample angle is a small symptom to prevented-emergency ad. If it misses the mark, no problem—I won't keep chasing. Should I send it?</x:v>
      </x:c>
      <x:c r="AW676" s="76" t="str">
        <x:v>Hi Top Choice Plumbing, Ryan here. I was looking at Top Choice Plumbing's public marketing and noticed: project/gallery proof found; no embedded homepage video found. I mapped one private small symptom to prevented-emergency ad as an example. Did I catch you with 30 seconds?</x:v>
      </x:c>
      <x:c r="AX676" s="60" t="str">
        <x:v>https://www.facebook.com/ads/library/?active_status=active&amp;ad_type=all&amp;country=US&amp;q=Top%20Choice%20Plumbing&amp;search_type=keyword_unordered</x:v>
      </x:c>
      <x:c r="AY676" s="60" t="str">
        <x:v>ok:200</x:v>
      </x:c>
      <x:c r="AZ676" s="60" t="n">
        <x:v>46232.722858796296</x:v>
      </x:c>
      <x:c r="BA676" s="60" t="str">
        <x:v>Google Maps home-services export</x:v>
      </x:c>
      <x:c r="BB676" s="60" t="str">
        <x:v>https://maps.google.com/?cid=16001608575653412626&amp;g_mp=Cidnb29nbGUubWFwcy5wbGFjZXMudjEuUGxhY2VzLlNlYXJjaFRleHQQAhgEIAA | https://topchoiceplumbing.com</x:v>
      </x:c>
      <x:c r="BC676" s="60" t="str"/>
    </x:row>
    <x:row r="677" ht="18" customHeight="1">
      <x:c r="A677" s="70" t="str">
        <x:v>676</x:v>
      </x:c>
      <x:c r="B677" s="70" t="str">
        <x:v>C - Verify</x:v>
      </x:c>
      <x:c r="C677" s="72" t="str">
        <x:v>46</x:v>
      </x:c>
      <x:c r="D677" s="60" t="str">
        <x:v>May Unlimited HVAC</x:v>
      </x:c>
      <x:c r="E677" s="60" t="str">
        <x:v>https://mayunlimited.com</x:v>
      </x:c>
      <x:c r="F677" s="60" t="str">
        <x:v>https://www.mayunlimited.com/</x:v>
      </x:c>
      <x:c r="G677" s="60" t="str">
        <x:v>Hilton Head</x:v>
      </x:c>
      <x:c r="H677" s="60" t="str">
        <x:v>South Carolina</x:v>
      </x:c>
      <x:c r="I677" s="60" t="str">
        <x:v>HVAC</x:v>
      </x:c>
      <x:c r="J677" s="60" t="str">
        <x:v>May Unlimited HVAC</x:v>
      </x:c>
      <x:c r="K677" s="60" t="str"/>
      <x:c r="L677" s="60" t="str">
        <x:v>Owner / decision maker to verify</x:v>
      </x:c>
      <x:c r="M677" s="60" t="str"/>
      <x:c r="N677" s="60" t="str"/>
      <x:c r="O677" s="60" t="str">
        <x:v>(843) 502-2665</x:v>
      </x:c>
      <x:c r="P677" s="60" t="str"/>
      <x:c r="Q677" s="60" t="str"/>
      <x:c r="R677" s="60" t="str"/>
      <x:c r="S677" s="60" t="str">
        <x:v>5</x:v>
      </x:c>
      <x:c r="T677" s="74" t="str">
        <x:v>19</x:v>
      </x:c>
      <x:c r="U677" s="60" t="str"/>
      <x:c r="V677" s="74" t="str">
        <x:v>24</x:v>
      </x:c>
      <x:c r="W677" s="74" t="str">
        <x:v>3</x:v>
      </x:c>
      <x:c r="X677" s="74" t="str">
        <x:v>6</x:v>
      </x:c>
      <x:c r="Y677" s="74" t="str">
        <x:v>8</x:v>
      </x:c>
      <x:c r="Z677" s="74" t="str">
        <x:v>5</x:v>
      </x:c>
      <x:c r="AA677" s="74" t="str">
        <x:v>0</x:v>
      </x:c>
      <x:c r="AB677" s="74" t="str">
        <x:v>0</x:v>
      </x:c>
      <x:c r="AC677" s="74" t="str">
        <x:v>1</x:v>
      </x:c>
      <x:c r="AD677" s="74" t="str">
        <x:v>0</x:v>
      </x:c>
      <x:c r="AE677" s="74" t="str">
        <x:v>0</x:v>
      </x:c>
      <x:c r="AF677" s="74" t="str"/>
      <x:c r="AG677" s="74" t="str">
        <x:v>0</x:v>
      </x:c>
      <x:c r="AH677" s="74" t="str">
        <x:v>1</x:v>
      </x:c>
      <x:c r="AI677" s="74" t="str">
        <x:v>0</x:v>
      </x:c>
      <x:c r="AJ677" s="74" t="str">
        <x:v>0</x:v>
      </x:c>
      <x:c r="AK677" s="74" t="str">
        <x:v>1</x:v>
      </x:c>
      <x:c r="AL677" s="74" t="str">
        <x:v>1</x:v>
      </x:c>
      <x:c r="AM677" s="74" t="str">
        <x:v>1</x:v>
      </x:c>
      <x:c r="AN677" s="74" t="str">
        <x:v>0</x:v>
      </x:c>
      <x:c r="AO677" s="60" t="str">
        <x:v>2026</x:v>
      </x:c>
      <x:c r="AP677" s="76" t="str">
        <x:v>Project/gallery proof found; no embedded homepage video found</x:v>
      </x:c>
      <x:c r="AQ677" s="76" t="str">
        <x:v>project/gallery proof; visible service offer; no embedded homepage video detected</x:v>
      </x:c>
      <x:c r="AR677" s="76" t="str">
        <x:v>I found project/gallery proof on May Unlimited HVAC's site that could be repackaged into short-form ad concepts.</x:v>
      </x:c>
      <x:c r="AS677" s="76" t="str">
        <x:v>no-cool-call to same-day comfort ad</x:v>
      </x:c>
      <x:c r="AT677" s="76" t="str">
        <x:v>May Unlimited HVAC ad concept</x:v>
      </x:c>
      <x:c r="AU677" s="76" t="str">
        <x:v>Hi May Unlimited HVAC — I found project/gallery proof on May Unlimited HVAC's site that could be repackaged into short-form ad concepts. I mapped a private 15-second no-cool-call to same-day comfort ad for May Unlimited HVAC using only public brand context—not for publishing, just to show the angle. We build three client-approved video ad concepts in seven days, then turn the winners into fresh variations. No filming day required. Worth sending the private sample?</x:v>
      </x:c>
      <x:c r="AV677" s="76" t="str">
        <x:v>Quick follow-up: the sample angle is a no-cool-call to same-day comfort ad. If it misses the mark, no problem—I won't keep chasing. Should I send it?</x:v>
      </x:c>
      <x:c r="AW677" s="76" t="str">
        <x:v>Hi May Unlimited HVAC, Ryan here. I was looking at May Unlimited HVAC's public marketing and noticed: project/gallery proof found; no embedded homepage video found. I mapped one private no-cool-call to same-day comfort ad as an example. Did I catch you with 30 seconds?</x:v>
      </x:c>
      <x:c r="AX677" s="60" t="str">
        <x:v>https://www.facebook.com/ads/library/?active_status=active&amp;ad_type=all&amp;country=US&amp;q=May%20Unlimited%20HVAC&amp;search_type=keyword_unordered</x:v>
      </x:c>
      <x:c r="AY677" s="60" t="str">
        <x:v>ok:200</x:v>
      </x:c>
      <x:c r="AZ677" s="60" t="n">
        <x:v>46232.722858796296</x:v>
      </x:c>
      <x:c r="BA677" s="60" t="str">
        <x:v>Google Maps home-services export</x:v>
      </x:c>
      <x:c r="BB677" s="60" t="str">
        <x:v>https://maps.google.com/?cid=1994667135784227479&amp;g_mp=Cidnb29nbGUubWFwcy5wbGFjZXMudjEuUGxhY2VzLlNlYXJjaFRleHQQAhgEIAA | https://mayunlimited.com</x:v>
      </x:c>
      <x:c r="BC677" s="60" t="str"/>
    </x:row>
    <x:row r="678" ht="18" customHeight="1">
      <x:c r="A678" s="70" t="str">
        <x:v>677</x:v>
      </x:c>
      <x:c r="B678" s="70" t="str">
        <x:v>C - Verify</x:v>
      </x:c>
      <x:c r="C678" s="72" t="str">
        <x:v>46</x:v>
      </x:c>
      <x:c r="D678" s="60" t="str">
        <x:v>Cox Bros. Roofing</x:v>
      </x:c>
      <x:c r="E678" s="60" t="str">
        <x:v>https://coxbrosllc.com</x:v>
      </x:c>
      <x:c r="F678" s="60" t="str">
        <x:v>https://coxbrosllc.com</x:v>
      </x:c>
      <x:c r="G678" s="60" t="str">
        <x:v>Spartanburg</x:v>
      </x:c>
      <x:c r="H678" s="60" t="str">
        <x:v>South Carolina</x:v>
      </x:c>
      <x:c r="I678" s="60" t="str">
        <x:v>Roofing</x:v>
      </x:c>
      <x:c r="J678" s="60" t="str">
        <x:v>Kenneth</x:v>
      </x:c>
      <x:c r="K678" s="60" t="str">
        <x:v>Cox</x:v>
      </x:c>
      <x:c r="L678" s="60" t="str">
        <x:v>Owner</x:v>
      </x:c>
      <x:c r="M678" s="60" t="str"/>
      <x:c r="N678" s="60" t="str"/>
      <x:c r="O678" s="60" t="str">
        <x:v>+1 864 414 9092</x:v>
      </x:c>
      <x:c r="P678" s="60" t="str">
        <x:v>https://www.linkedin.com/in/kenneth-cox-0b52652b</x:v>
      </x:c>
      <x:c r="Q678" s="60" t="str">
        <x:v>11-50</x:v>
      </x:c>
      <x:c r="R678" s="60" t="str">
        <x:v>0-99999</x:v>
      </x:c>
      <x:c r="S678" s="60" t="str"/>
      <x:c r="T678" s="74" t="str">
        <x:v>0</x:v>
      </x:c>
      <x:c r="U678" s="60" t="str"/>
      <x:c r="V678" s="74" t="str">
        <x:v>30</x:v>
      </x:c>
      <x:c r="W678" s="74" t="str">
        <x:v>3</x:v>
      </x:c>
      <x:c r="X678" s="74" t="str">
        <x:v>0</x:v>
      </x:c>
      <x:c r="Y678" s="74" t="str">
        <x:v>8</x:v>
      </x:c>
      <x:c r="Z678" s="74" t="str">
        <x:v>5</x:v>
      </x:c>
      <x:c r="AA678" s="74" t="str">
        <x:v>0</x:v>
      </x:c>
      <x:c r="AB678" s="74" t="str">
        <x:v>0</x:v>
      </x:c>
      <x:c r="AC678" s="74" t="str">
        <x:v>1</x:v>
      </x:c>
      <x:c r="AD678" s="74" t="str">
        <x:v>0</x:v>
      </x:c>
      <x:c r="AE678" s="74" t="str">
        <x:v>0</x:v>
      </x:c>
      <x:c r="AF678" s="74" t="str"/>
      <x:c r="AG678" s="74" t="str">
        <x:v>1</x:v>
      </x:c>
      <x:c r="AH678" s="74" t="str">
        <x:v>1</x:v>
      </x:c>
      <x:c r="AI678" s="74" t="str">
        <x:v>0</x:v>
      </x:c>
      <x:c r="AJ678" s="74" t="str">
        <x:v>0</x:v>
      </x:c>
      <x:c r="AK678" s="74" t="str">
        <x:v>1</x:v>
      </x:c>
      <x:c r="AL678" s="74" t="str">
        <x:v>1</x:v>
      </x:c>
      <x:c r="AM678" s="74" t="str">
        <x:v>1</x:v>
      </x:c>
      <x:c r="AN678" s="74" t="str">
        <x:v>0</x:v>
      </x:c>
      <x:c r="AO678" s="60" t="str">
        <x:v>2026</x:v>
      </x:c>
      <x:c r="AP678" s="76" t="str">
        <x:v>ICP fit; paid-demand need requires manual verification</x:v>
      </x:c>
      <x:c r="AQ678" s="76" t="str">
        <x:v>project/gallery proof; visible service offer</x:v>
      </x:c>
      <x:c r="AR678" s="76" t="str">
        <x:v>I was reviewing roofing companies in Spartanburg, South Carolina and Cox Bros. Roofing looked like a strong fit for a creative test.</x:v>
      </x:c>
      <x:c r="AS678" s="76" t="str">
        <x:v>storm-to-inspection before/after ad</x:v>
      </x:c>
      <x:c r="AT678" s="76" t="str">
        <x:v>Cox Bros. Roofing ad concept</x:v>
      </x:c>
      <x:c r="AU678" s="76" t="str">
        <x:v>Hi Kenneth — I was reviewing roofing companies in Spartanburg, South Carolina and Cox Bros. Roofing looked like a strong fit for a creative test. I mapped a private 15-second storm-to-inspection before/after ad for Cox Bros. Roofing using only public brand context—not for publishing, just to show the angle. We build three client-approved video ad concepts in seven days, then turn the winners into fresh variations. No filming day required. Worth sending the private sample?</x:v>
      </x:c>
      <x:c r="AV678" s="76" t="str">
        <x:v>Quick follow-up: the sample angle is a storm-to-inspection before/after ad. If it misses the mark, no problem—I won't keep chasing. Should I send it?</x:v>
      </x:c>
      <x:c r="AW678" s="76" t="str">
        <x:v>Hi Kenneth, Ryan here. I was looking at Cox Bros. Roofing's public marketing and noticed: icp fit; paid-demand need requires manual verification. I mapped one private storm-to-inspection before/after ad as an example. Did I catch you with 30 seconds?</x:v>
      </x:c>
      <x:c r="AX678" s="60" t="str">
        <x:v>https://www.facebook.com/ads/library/?active_status=active&amp;ad_type=all&amp;country=US&amp;q=Cox%20Bros.%20Roofing&amp;search_type=keyword_unordered</x:v>
      </x:c>
      <x:c r="AY678" s="60" t="str">
        <x:v>ok:200</x:v>
      </x:c>
      <x:c r="AZ678" s="60" t="n">
        <x:v>46232.722858796296</x:v>
      </x:c>
      <x:c r="BA678" s="60" t="str">
        <x:v>AI Ark SC trades export</x:v>
      </x:c>
      <x:c r="BB678" s="60" t="str">
        <x:v>https://coxbrosllc.com | https://www.linkedin.com/company/cox-bros-services-llc</x:v>
      </x:c>
      <x:c r="BC678" s="60" t="str"/>
    </x:row>
    <x:row r="679" ht="18" customHeight="1">
      <x:c r="A679" s="70" t="str">
        <x:v>678</x:v>
      </x:c>
      <x:c r="B679" s="70" t="str">
        <x:v>C - Verify</x:v>
      </x:c>
      <x:c r="C679" s="72" t="str">
        <x:v>46</x:v>
      </x:c>
      <x:c r="D679" s="60" t="str">
        <x:v>C&amp;B Roofing LLC.</x:v>
      </x:c>
      <x:c r="E679" s="60" t="str">
        <x:v>https://candbroofingllc.com</x:v>
      </x:c>
      <x:c r="F679" s="60" t="str">
        <x:v>https://candbroofingllc.com</x:v>
      </x:c>
      <x:c r="G679" s="60" t="str">
        <x:v>Aiken</x:v>
      </x:c>
      <x:c r="H679" s="60" t="str">
        <x:v>South Carolina</x:v>
      </x:c>
      <x:c r="I679" s="60" t="str">
        <x:v>Roofing</x:v>
      </x:c>
      <x:c r="J679" s="60" t="str">
        <x:v>C&amp;B Roofing LLC.</x:v>
      </x:c>
      <x:c r="K679" s="60" t="str"/>
      <x:c r="L679" s="60" t="str">
        <x:v>Owner / decision maker to verify</x:v>
      </x:c>
      <x:c r="M679" s="60" t="str"/>
      <x:c r="N679" s="60" t="str"/>
      <x:c r="O679" s="60" t="str">
        <x:v>(803) 646-5490</x:v>
      </x:c>
      <x:c r="P679" s="60" t="str"/>
      <x:c r="Q679" s="60" t="str"/>
      <x:c r="R679" s="60" t="str"/>
      <x:c r="S679" s="60" t="str">
        <x:v>4.7</x:v>
      </x:c>
      <x:c r="T679" s="74" t="str">
        <x:v>104</x:v>
      </x:c>
      <x:c r="U679" s="60" t="str"/>
      <x:c r="V679" s="74" t="str">
        <x:v>29</x:v>
      </x:c>
      <x:c r="W679" s="74" t="str">
        <x:v>3</x:v>
      </x:c>
      <x:c r="X679" s="74" t="str">
        <x:v>3</x:v>
      </x:c>
      <x:c r="Y679" s="74" t="str">
        <x:v>6</x:v>
      </x:c>
      <x:c r="Z679" s="74" t="str">
        <x:v>5</x:v>
      </x:c>
      <x:c r="AA679" s="74" t="str">
        <x:v>0</x:v>
      </x:c>
      <x:c r="AB679" s="74" t="str">
        <x:v>0</x:v>
      </x:c>
      <x:c r="AC679" s="74" t="str">
        <x:v>1</x:v>
      </x:c>
      <x:c r="AD679" s="74" t="str">
        <x:v>0</x:v>
      </x:c>
      <x:c r="AE679" s="74" t="str">
        <x:v>0</x:v>
      </x:c>
      <x:c r="AF679" s="74" t="str"/>
      <x:c r="AG679" s="74" t="str">
        <x:v>1</x:v>
      </x:c>
      <x:c r="AH679" s="74" t="str">
        <x:v>0</x:v>
      </x:c>
      <x:c r="AI679" s="74" t="str">
        <x:v>0</x:v>
      </x:c>
      <x:c r="AJ679" s="74" t="str">
        <x:v>0</x:v>
      </x:c>
      <x:c r="AK679" s="74" t="str">
        <x:v>1</x:v>
      </x:c>
      <x:c r="AL679" s="74" t="str">
        <x:v>1</x:v>
      </x:c>
      <x:c r="AM679" s="74" t="str">
        <x:v>1</x:v>
      </x:c>
      <x:c r="AN679" s="74" t="str">
        <x:v>1</x:v>
      </x:c>
      <x:c r="AO679" s="60" t="str">
        <x:v>2024</x:v>
      </x:c>
      <x:c r="AP679" s="76" t="str">
        <x:v>ICP fit; paid-demand need requires manual verification</x:v>
      </x:c>
      <x:c r="AQ679" s="76" t="str">
        <x:v>visible service offer</x:v>
      </x:c>
      <x:c r="AR679" s="76" t="str">
        <x:v>I was reviewing roofing companies in Aiken, South Carolina and C&amp;B Roofing LLC. looked like a strong fit for a creative test.</x:v>
      </x:c>
      <x:c r="AS679" s="76" t="str">
        <x:v>storm-to-inspection before/after ad</x:v>
      </x:c>
      <x:c r="AT679" s="76" t="str">
        <x:v>C&amp;B Roofing LLC. ad concept</x:v>
      </x:c>
      <x:c r="AU679" s="76" t="str">
        <x:v>Hi C&amp;B Roofing LLC. — I was reviewing roofing companies in Aiken, South Carolina and C&amp;B Roofing LLC. looked like a strong fit for a creative test. I mapped a private 15-second storm-to-inspection before/after ad for C&amp;B Roofing LLC. using only public brand context—not for publishing, just to show the angle. We build three client-approved video ad concepts in seven days, then turn the winners into fresh variations. No filming day required. Worth sending the private sample?</x:v>
      </x:c>
      <x:c r="AV679" s="76" t="str">
        <x:v>Quick follow-up: the sample angle is a storm-to-inspection before/after ad. If it misses the mark, no problem—I won't keep chasing. Should I send it?</x:v>
      </x:c>
      <x:c r="AW679" s="76" t="str">
        <x:v>Hi C&amp;B Roofing LLC., Ryan here. I was looking at C&amp;B Roofing LLC.'s public marketing and noticed: icp fit; paid-demand need requires manual verification. I mapped one private storm-to-inspection before/after ad as an example. Did I catch you with 30 seconds?</x:v>
      </x:c>
      <x:c r="AX679" s="60" t="str">
        <x:v>https://www.facebook.com/ads/library/?active_status=active&amp;ad_type=all&amp;country=US&amp;q=C%26B%20Roofing%20LLC.&amp;search_type=keyword_unordered</x:v>
      </x:c>
      <x:c r="AY679" s="60" t="str">
        <x:v>ok:200</x:v>
      </x:c>
      <x:c r="AZ679" s="60" t="n">
        <x:v>46232.722858796296</x:v>
      </x:c>
      <x:c r="BA679" s="60" t="str">
        <x:v>Google Maps home-services export</x:v>
      </x:c>
      <x:c r="BB679" s="60" t="str">
        <x:v>https://candbroofingllc.com | https://maps.google.com/?cid=15636708501310011348&amp;g_mp=Cidnb29nbGUubWFwcy5wbGFjZXMudjEuUGxhY2VzLlNlYXJjaFRleHQQAhgEIAA</x:v>
      </x:c>
      <x:c r="BC679" s="60" t="str"/>
    </x:row>
    <x:row r="680" ht="18" customHeight="1">
      <x:c r="A680" s="70" t="str">
        <x:v>679</x:v>
      </x:c>
      <x:c r="B680" s="70" t="str">
        <x:v>C - Verify</x:v>
      </x:c>
      <x:c r="C680" s="72" t="str">
        <x:v>46</x:v>
      </x:c>
      <x:c r="D680" s="60" t="str">
        <x:v>Southpaw Softwash</x:v>
      </x:c>
      <x:c r="E680" s="60" t="str">
        <x:v>https://southpawsoftwash.com</x:v>
      </x:c>
      <x:c r="F680" s="60" t="str">
        <x:v>https://southpawsoftwash.com</x:v>
      </x:c>
      <x:c r="G680" s="60" t="str">
        <x:v>North Charleston</x:v>
      </x:c>
      <x:c r="H680" s="60" t="str">
        <x:v>South Carolina</x:v>
      </x:c>
      <x:c r="I680" s="60" t="str">
        <x:v>Roofing</x:v>
      </x:c>
      <x:c r="J680" s="60" t="str">
        <x:v>Todd</x:v>
      </x:c>
      <x:c r="K680" s="60" t="str">
        <x:v>Vollertsen</x:v>
      </x:c>
      <x:c r="L680" s="60" t="str">
        <x:v>Owner Operator</x:v>
      </x:c>
      <x:c r="M680" s="60" t="str">
        <x:v>todd@southpawsoftwash.com</x:v>
      </x:c>
      <x:c r="N680" s="60" t="str">
        <x:v>Verified with BounceBan on 08 Jun 26 12:06</x:v>
      </x:c>
      <x:c r="O680" s="60" t="str">
        <x:v>+1 843 764 7185</x:v>
      </x:c>
      <x:c r="P680" s="60" t="str">
        <x:v>https://www.linkedin.com/in/todd-vollertsen-8089711b</x:v>
      </x:c>
      <x:c r="Q680" s="60" t="str">
        <x:v>2-10</x:v>
      </x:c>
      <x:c r="R680" s="60" t="str">
        <x:v>100000-499999</x:v>
      </x:c>
      <x:c r="S680" s="60" t="str"/>
      <x:c r="T680" s="74" t="str">
        <x:v>0</x:v>
      </x:c>
      <x:c r="U680" s="60" t="str"/>
      <x:c r="V680" s="74" t="str">
        <x:v>28</x:v>
      </x:c>
      <x:c r="W680" s="74" t="str">
        <x:v>3</x:v>
      </x:c>
      <x:c r="X680" s="74" t="str">
        <x:v>0</x:v>
      </x:c>
      <x:c r="Y680" s="74" t="str">
        <x:v>5</x:v>
      </x:c>
      <x:c r="Z680" s="74" t="str">
        <x:v>10</x:v>
      </x:c>
      <x:c r="AA680" s="74" t="str">
        <x:v>0</x:v>
      </x:c>
      <x:c r="AB680" s="74" t="str">
        <x:v>0</x:v>
      </x:c>
      <x:c r="AC680" s="74" t="str">
        <x:v>1</x:v>
      </x:c>
      <x:c r="AD680" s="74" t="str">
        <x:v>0</x:v>
      </x:c>
      <x:c r="AE680" s="74" t="str">
        <x:v>0</x:v>
      </x:c>
      <x:c r="AF680" s="74" t="str"/>
      <x:c r="AG680" s="74" t="str">
        <x:v>1</x:v>
      </x:c>
      <x:c r="AH680" s="74" t="str">
        <x:v>1</x:v>
      </x:c>
      <x:c r="AI680" s="74" t="str">
        <x:v>0</x:v>
      </x:c>
      <x:c r="AJ680" s="74" t="str">
        <x:v>0</x:v>
      </x:c>
      <x:c r="AK680" s="74" t="str">
        <x:v>0</x:v>
      </x:c>
      <x:c r="AL680" s="74" t="str">
        <x:v>0</x:v>
      </x:c>
      <x:c r="AM680" s="74" t="str">
        <x:v>1</x:v>
      </x:c>
      <x:c r="AN680" s="74" t="str">
        <x:v>1</x:v>
      </x:c>
      <x:c r="AO680" s="60" t="str">
        <x:v>2026</x:v>
      </x:c>
      <x:c r="AP680" s="76" t="str">
        <x:v>ICP fit; paid-demand need requires manual verification</x:v>
      </x:c>
      <x:c r="AQ680" s="76" t="str">
        <x:v>project/gallery proof</x:v>
      </x:c>
      <x:c r="AR680" s="76" t="str">
        <x:v>I was reviewing roofing companies in North Charleston, South Carolina and Southpaw Softwash looked like a strong fit for a creative test.</x:v>
      </x:c>
      <x:c r="AS680" s="76" t="str">
        <x:v>storm-to-inspection before/after ad</x:v>
      </x:c>
      <x:c r="AT680" s="76" t="str">
        <x:v>Southpaw Softwash ad concept</x:v>
      </x:c>
      <x:c r="AU680" s="76" t="str">
        <x:v>Hi Todd — I was reviewing roofing companies in North Charleston, South Carolina and Southpaw Softwash looked like a strong fit for a creative test. I mapped a private 15-second storm-to-inspection before/after ad for Southpaw Softwash using only public brand context—not for publishing, just to show the angle. We build three client-approved video ad concepts in seven days, then turn the winners into fresh variations. No filming day required. Worth sending the private sample?</x:v>
      </x:c>
      <x:c r="AV680" s="76" t="str">
        <x:v>Quick follow-up: the sample angle is a storm-to-inspection before/after ad. If it misses the mark, no problem—I won't keep chasing. Should I send it?</x:v>
      </x:c>
      <x:c r="AW680" s="76" t="str">
        <x:v>Hi Todd, Ryan here. I was looking at Southpaw Softwash's public marketing and noticed: icp fit; paid-demand need requires manual verification. I mapped one private storm-to-inspection before/after ad as an example. Did I catch you with 30 seconds?</x:v>
      </x:c>
      <x:c r="AX680" s="60" t="str">
        <x:v>https://www.facebook.com/ads/library/?active_status=active&amp;ad_type=all&amp;country=US&amp;q=Southpaw%20Softwash&amp;search_type=keyword_unordered</x:v>
      </x:c>
      <x:c r="AY680" s="60" t="str">
        <x:v>ok:200</x:v>
      </x:c>
      <x:c r="AZ680" s="60" t="n">
        <x:v>46232.722858796296</x:v>
      </x:c>
      <x:c r="BA680" s="60" t="str">
        <x:v>AI Ark SC trades export</x:v>
      </x:c>
      <x:c r="BB680" s="60" t="str">
        <x:v>https://southpawsoftwash.com | https://www.linkedin.com/company/southpaw-softwash</x:v>
      </x:c>
      <x:c r="BC680" s="60" t="str"/>
    </x:row>
    <x:row r="681" ht="18" customHeight="1">
      <x:c r="A681" s="70" t="str">
        <x:v>680</x:v>
      </x:c>
      <x:c r="B681" s="70" t="str">
        <x:v>C - Verify</x:v>
      </x:c>
      <x:c r="C681" s="72" t="str">
        <x:v>46</x:v>
      </x:c>
      <x:c r="D681" s="60" t="str">
        <x:v>Full Circle Development, Bluffton, SC</x:v>
      </x:c>
      <x:c r="E681" s="60" t="str">
        <x:v>https://fullcircledevelopmentsc.com</x:v>
      </x:c>
      <x:c r="F681" s="60" t="str">
        <x:v>https://fullcircledevelopmentsc.com</x:v>
      </x:c>
      <x:c r="G681" s="60" t="str">
        <x:v>Bluffton</x:v>
      </x:c>
      <x:c r="H681" s="60" t="str">
        <x:v>South Carolina</x:v>
      </x:c>
      <x:c r="I681" s="60" t="str">
        <x:v>Remodeling</x:v>
      </x:c>
      <x:c r="J681" s="60" t="str">
        <x:v>Matt</x:v>
      </x:c>
      <x:c r="K681" s="60" t="str">
        <x:v>Bader</x:v>
      </x:c>
      <x:c r="L681" s="60" t="str">
        <x:v>Owner</x:v>
      </x:c>
      <x:c r="M681" s="60" t="str">
        <x:v>mattbader@fullcircledevelopmentsc.com</x:v>
      </x:c>
      <x:c r="N681" s="60" t="str">
        <x:v>Verified with BounceBan on 08 Jun 26 12:06</x:v>
      </x:c>
      <x:c r="O681" s="60" t="str">
        <x:v>+1 843 247 1135</x:v>
      </x:c>
      <x:c r="P681" s="60" t="str">
        <x:v>https://www.linkedin.com/in/matt-bader-b707b24</x:v>
      </x:c>
      <x:c r="Q681" s="60" t="str">
        <x:v>2-10</x:v>
      </x:c>
      <x:c r="R681" s="60" t="str">
        <x:v>0-99999</x:v>
      </x:c>
      <x:c r="S681" s="60" t="str"/>
      <x:c r="T681" s="74" t="str">
        <x:v>0</x:v>
      </x:c>
      <x:c r="U681" s="60" t="str"/>
      <x:c r="V681" s="74" t="str">
        <x:v>25</x:v>
      </x:c>
      <x:c r="W681" s="74" t="str">
        <x:v>3</x:v>
      </x:c>
      <x:c r="X681" s="74" t="str">
        <x:v>3</x:v>
      </x:c>
      <x:c r="Y681" s="74" t="str">
        <x:v>5</x:v>
      </x:c>
      <x:c r="Z681" s="74" t="str">
        <x:v>10</x:v>
      </x:c>
      <x:c r="AA681" s="74" t="str">
        <x:v>0</x:v>
      </x:c>
      <x:c r="AB681" s="74" t="str">
        <x:v>0</x:v>
      </x:c>
      <x:c r="AC681" s="74" t="str">
        <x:v>1</x:v>
      </x:c>
      <x:c r="AD681" s="74" t="str">
        <x:v>0</x:v>
      </x:c>
      <x:c r="AE681" s="74" t="str">
        <x:v>0</x:v>
      </x:c>
      <x:c r="AF681" s="74" t="str"/>
      <x:c r="AG681" s="74" t="str">
        <x:v>1</x:v>
      </x:c>
      <x:c r="AH681" s="74" t="str">
        <x:v>1</x:v>
      </x:c>
      <x:c r="AI681" s="74" t="str">
        <x:v>0</x:v>
      </x:c>
      <x:c r="AJ681" s="74" t="str">
        <x:v>0</x:v>
      </x:c>
      <x:c r="AK681" s="74" t="str">
        <x:v>0</x:v>
      </x:c>
      <x:c r="AL681" s="74" t="str">
        <x:v>0</x:v>
      </x:c>
      <x:c r="AM681" s="74" t="str">
        <x:v>1</x:v>
      </x:c>
      <x:c r="AN681" s="74" t="str">
        <x:v>1</x:v>
      </x:c>
      <x:c r="AO681" s="60" t="str">
        <x:v>2021</x:v>
      </x:c>
      <x:c r="AP681" s="76" t="str">
        <x:v>ICP fit; paid-demand need requires manual verification</x:v>
      </x:c>
      <x:c r="AQ681" s="76" t="str">
        <x:v>project/gallery proof</x:v>
      </x:c>
      <x:c r="AR681" s="76" t="str">
        <x:v>I was reviewing remodeling companies in Bluffton, South Carolina and Full Circle Development, Bluffton, SC looked like a strong fit for a creative test.</x:v>
      </x:c>
      <x:c r="AS681" s="76" t="str">
        <x:v>project reveal with budget-and-timeline proof</x:v>
      </x:c>
      <x:c r="AT681" s="76" t="str">
        <x:v>Full Circle Development, Bluffton, SC ad concept</x:v>
      </x:c>
      <x:c r="AU681" s="76" t="str">
        <x:v>Hi Matt — I was reviewing remodeling companies in Bluffton, South Carolina and Full Circle Development, Bluffton, SC looked like a strong fit for a creative test. I mapped a private 15-second project reveal with budget-and-timeline proof for Full Circle Development, Bluffton, SC using only public brand context—not for publishing, just to show the angle. We build three client-approved video ad concepts in seven days, then turn the winners into fresh variations. No filming day required. Worth sending the private sample?</x:v>
      </x:c>
      <x:c r="AV681" s="76" t="str">
        <x:v>Quick follow-up: the sample angle is a project reveal with budget-and-timeline proof. If it misses the mark, no problem—I won't keep chasing. Should I send it?</x:v>
      </x:c>
      <x:c r="AW681" s="76" t="str">
        <x:v>Hi Matt, Ryan here. I was looking at Full Circle Development, Bluffton, SC's public marketing and noticed: icp fit; paid-demand need requires manual verification. I mapped one private project reveal with budget-and-timeline proof as an example. Did I catch you with 30 seconds?</x:v>
      </x:c>
      <x:c r="AX681" s="60" t="str">
        <x:v>https://www.facebook.com/ads/library/?active_status=active&amp;ad_type=all&amp;country=US&amp;q=Full%20Circle%20Development%2C%20Bluffton%2C%20SC&amp;search_type=keyword_unordered</x:v>
      </x:c>
      <x:c r="AY681" s="60" t="str">
        <x:v>ok:200</x:v>
      </x:c>
      <x:c r="AZ681" s="60" t="n">
        <x:v>46232.722858796296</x:v>
      </x:c>
      <x:c r="BA681" s="60" t="str">
        <x:v>AI Ark SC trades export</x:v>
      </x:c>
      <x:c r="BB681" s="60" t="str">
        <x:v>https://fullcircledevelopmentsc.com | https://www.linkedin.com/company/full-circle-development-bluffton-sc</x:v>
      </x:c>
      <x:c r="BC681" s="60" t="str"/>
    </x:row>
    <x:row r="682" ht="18" customHeight="1">
      <x:c r="A682" s="70" t="str">
        <x:v>681</x:v>
      </x:c>
      <x:c r="B682" s="70" t="str">
        <x:v>C - Verify</x:v>
      </x:c>
      <x:c r="C682" s="72" t="str">
        <x:v>46</x:v>
      </x:c>
      <x:c r="D682" s="60" t="str">
        <x:v>Shuttleworth Asphalt Sealing</x:v>
      </x:c>
      <x:c r="E682" s="60" t="str">
        <x:v>https://shuttleworthenterprises.com</x:v>
      </x:c>
      <x:c r="F682" s="60" t="str">
        <x:v>https://shuttleworthenterprises.com</x:v>
      </x:c>
      <x:c r="G682" s="60" t="str">
        <x:v>Mount Pleasant</x:v>
      </x:c>
      <x:c r="H682" s="60" t="str">
        <x:v>South Carolina</x:v>
      </x:c>
      <x:c r="I682" s="60" t="str">
        <x:v>General Contractor</x:v>
      </x:c>
      <x:c r="J682" s="60" t="str">
        <x:v>Curtis</x:v>
      </x:c>
      <x:c r="K682" s="60" t="str">
        <x:v>Shuttleworth</x:v>
      </x:c>
      <x:c r="L682" s="60" t="str">
        <x:v>Owner</x:v>
      </x:c>
      <x:c r="M682" s="60" t="str"/>
      <x:c r="N682" s="60" t="str"/>
      <x:c r="O682" s="60" t="str"/>
      <x:c r="P682" s="60" t="str">
        <x:v>https://www.linkedin.com/in/curtis-shuttleworth-43b62618</x:v>
      </x:c>
      <x:c r="Q682" s="60" t="str">
        <x:v>11-50</x:v>
      </x:c>
      <x:c r="R682" s="60" t="str">
        <x:v>100000-499999</x:v>
      </x:c>
      <x:c r="S682" s="60" t="str"/>
      <x:c r="T682" s="74" t="str">
        <x:v>0</x:v>
      </x:c>
      <x:c r="U682" s="60" t="str"/>
      <x:c r="V682" s="74" t="str">
        <x:v>23</x:v>
      </x:c>
      <x:c r="W682" s="74" t="str">
        <x:v>3</x:v>
      </x:c>
      <x:c r="X682" s="74" t="str">
        <x:v>13</x:v>
      </x:c>
      <x:c r="Y682" s="74" t="str">
        <x:v>5</x:v>
      </x:c>
      <x:c r="Z682" s="74" t="str">
        <x:v>2</x:v>
      </x:c>
      <x:c r="AA682" s="74" t="str">
        <x:v>0</x:v>
      </x:c>
      <x:c r="AB682" s="74" t="str">
        <x:v>0</x:v>
      </x:c>
      <x:c r="AC682" s="74" t="str">
        <x:v>0</x:v>
      </x:c>
      <x:c r="AD682" s="74" t="str">
        <x:v>0</x:v>
      </x:c>
      <x:c r="AE682" s="74" t="str">
        <x:v>0</x:v>
      </x:c>
      <x:c r="AF682" s="74" t="str">
        <x:v>jobber</x:v>
      </x:c>
      <x:c r="AG682" s="74" t="str">
        <x:v>0</x:v>
      </x:c>
      <x:c r="AH682" s="74" t="str">
        <x:v>1</x:v>
      </x:c>
      <x:c r="AI682" s="74" t="str">
        <x:v>0</x:v>
      </x:c>
      <x:c r="AJ682" s="74" t="str">
        <x:v>0</x:v>
      </x:c>
      <x:c r="AK682" s="74" t="str">
        <x:v>0</x:v>
      </x:c>
      <x:c r="AL682" s="74" t="str">
        <x:v>0</x:v>
      </x:c>
      <x:c r="AM682" s="74" t="str">
        <x:v>1</x:v>
      </x:c>
      <x:c r="AN682" s="74" t="str">
        <x:v>0</x:v>
      </x:c>
      <x:c r="AO682" s="60" t="str">
        <x:v>2019</x:v>
      </x:c>
      <x:c r="AP682" s="76" t="str">
        <x:v>Project/gallery proof found; no embedded homepage video found</x:v>
      </x:c>
      <x:c r="AQ682" s="76" t="str">
        <x:v>project/gallery proof; no embedded homepage video detected</x:v>
      </x:c>
      <x:c r="AR682" s="76" t="str">
        <x:v>I found project/gallery proof on Shuttleworth Asphalt Sealing's site that could be repackaged into short-form ad concepts.</x:v>
      </x:c>
      <x:c r="AS682" s="76" t="str">
        <x:v>project walkthrough with proof milestones</x:v>
      </x:c>
      <x:c r="AT682" s="76" t="str">
        <x:v>Shuttleworth Asphalt Sealing ad concept</x:v>
      </x:c>
      <x:c r="AU682" s="76" t="str">
        <x:v>Hi Curtis — I found project/gallery proof on Shuttleworth Asphalt Sealing's site that could be repackaged into short-form ad concepts. I mapped a private 15-second project walkthrough with proof milestones for Shuttleworth Asphalt Sealing using only public brand context—not for publishing, just to show the angle. We build three client-approved video ad concepts in seven days, then turn the winners into fresh variations. No filming day required. Worth sending the private sample?</x:v>
      </x:c>
      <x:c r="AV682" s="76" t="str">
        <x:v>Quick follow-up: the sample angle is a project walkthrough with proof milestones. If it misses the mark, no problem—I won't keep chasing. Should I send it?</x:v>
      </x:c>
      <x:c r="AW682" s="76" t="str">
        <x:v>Hi Curtis, Ryan here. I was looking at Shuttleworth Asphalt Sealing's public marketing and noticed: project/gallery proof found; no embedded homepage video found. I mapped one private project walkthrough with proof milestones as an example. Did I catch you with 30 seconds?</x:v>
      </x:c>
      <x:c r="AX682" s="60" t="str">
        <x:v>https://www.facebook.com/ads/library/?active_status=active&amp;ad_type=all&amp;country=US&amp;q=Shuttleworth%20Asphalt%20Sealing&amp;search_type=keyword_unordered</x:v>
      </x:c>
      <x:c r="AY682" s="60" t="str">
        <x:v>ok:200</x:v>
      </x:c>
      <x:c r="AZ682" s="60" t="n">
        <x:v>46232.722858796296</x:v>
      </x:c>
      <x:c r="BA682" s="60" t="str">
        <x:v>AI Ark SC trades export</x:v>
      </x:c>
      <x:c r="BB682" s="60" t="str">
        <x:v>https://shuttleworthenterprises.com | https://www.linkedin.com/company/shuttleworth-asphalt-sealing</x:v>
      </x:c>
      <x:c r="BC682" s="60" t="str"/>
    </x:row>
    <x:row r="683" ht="18" customHeight="1">
      <x:c r="A683" s="70" t="str">
        <x:v>682</x:v>
      </x:c>
      <x:c r="B683" s="70" t="str">
        <x:v>C - Verify</x:v>
      </x:c>
      <x:c r="C683" s="72" t="str">
        <x:v>46</x:v>
      </x:c>
      <x:c r="D683" s="60" t="str">
        <x:v>SHELTER Custom-Built Living</x:v>
      </x:c>
      <x:c r="E683" s="60" t="str">
        <x:v>https://sheltercustombuiltliving.com</x:v>
      </x:c>
      <x:c r="F683" s="60" t="str">
        <x:v>https://sheltercustombuiltliving.com</x:v>
      </x:c>
      <x:c r="G683" s="60" t="str">
        <x:v>Charleston</x:v>
      </x:c>
      <x:c r="H683" s="60" t="str">
        <x:v>South Carolina Metropolitan Area</x:v>
      </x:c>
      <x:c r="I683" s="60" t="str">
        <x:v>General Contractor</x:v>
      </x:c>
      <x:c r="J683" s="60" t="str">
        <x:v>Jenny</x:v>
      </x:c>
      <x:c r="K683" s="60" t="str">
        <x:v>Butler</x:v>
      </x:c>
      <x:c r="L683" s="60" t="str">
        <x:v>Business Owner</x:v>
      </x:c>
      <x:c r="M683" s="60" t="str">
        <x:v>jenny@sheltercustombuiltliving.com</x:v>
      </x:c>
      <x:c r="N683" s="60" t="str">
        <x:v>Verified with BounceBan on 08 Jun 26 12:06</x:v>
      </x:c>
      <x:c r="O683" s="60" t="str">
        <x:v>+1 843 324 3668</x:v>
      </x:c>
      <x:c r="P683" s="60" t="str">
        <x:v>https://www.linkedin.com/in/jenny-butler-19a41116</x:v>
      </x:c>
      <x:c r="Q683" s="60" t="str">
        <x:v>11-50</x:v>
      </x:c>
      <x:c r="R683" s="60" t="str">
        <x:v>100000-499999</x:v>
      </x:c>
      <x:c r="S683" s="60" t="str"/>
      <x:c r="T683" s="74" t="str">
        <x:v>0</x:v>
      </x:c>
      <x:c r="U683" s="60" t="str"/>
      <x:c r="V683" s="74" t="str">
        <x:v>23</x:v>
      </x:c>
      <x:c r="W683" s="74" t="str">
        <x:v>3</x:v>
      </x:c>
      <x:c r="X683" s="74" t="str">
        <x:v>6</x:v>
      </x:c>
      <x:c r="Y683" s="74" t="str">
        <x:v>4</x:v>
      </x:c>
      <x:c r="Z683" s="74" t="str">
        <x:v>10</x:v>
      </x:c>
      <x:c r="AA683" s="74" t="str">
        <x:v>0</x:v>
      </x:c>
      <x:c r="AB683" s="74" t="str">
        <x:v>0</x:v>
      </x:c>
      <x:c r="AC683" s="74" t="str">
        <x:v>1</x:v>
      </x:c>
      <x:c r="AD683" s="74" t="str">
        <x:v>0</x:v>
      </x:c>
      <x:c r="AE683" s="74" t="str">
        <x:v>0</x:v>
      </x:c>
      <x:c r="AF683" s="74" t="str"/>
      <x:c r="AG683" s="74" t="str">
        <x:v>0</x:v>
      </x:c>
      <x:c r="AH683" s="74" t="str">
        <x:v>0</x:v>
      </x:c>
      <x:c r="AI683" s="74" t="str">
        <x:v>1</x:v>
      </x:c>
      <x:c r="AJ683" s="74" t="str">
        <x:v>0</x:v>
      </x:c>
      <x:c r="AK683" s="74" t="str">
        <x:v>0</x:v>
      </x:c>
      <x:c r="AL683" s="74" t="str">
        <x:v>1</x:v>
      </x:c>
      <x:c r="AM683" s="74" t="str">
        <x:v>1</x:v>
      </x:c>
      <x:c r="AN683" s="74" t="str">
        <x:v>1</x:v>
      </x:c>
      <x:c r="AO683" s="60" t="str">
        <x:v>0</x:v>
      </x:c>
      <x:c r="AP683" s="76" t="str">
        <x:v>ICP fit; paid-demand need requires manual verification</x:v>
      </x:c>
      <x:c r="AQ683" s="76" t="str">
        <x:v>testimonials; no embedded homepage video detected</x:v>
      </x:c>
      <x:c r="AR683" s="76" t="str">
        <x:v>I was reviewing general contractor companies in Charleston, South Carolina Metropolitan Area and SHELTER Custom-Built Living looked like a strong fit for a creative test.</x:v>
      </x:c>
      <x:c r="AS683" s="76" t="str">
        <x:v>project walkthrough with proof milestones</x:v>
      </x:c>
      <x:c r="AT683" s="76" t="str">
        <x:v>SHELTER Custom-Built Living ad concept</x:v>
      </x:c>
      <x:c r="AU683" s="76" t="str">
        <x:v>Hi Jenny — I was reviewing general contractor companies in Charleston, South Carolina Metropolitan Area and SHELTER Custom-Built Living looked like a strong fit for a creative test. I mapped a private 15-second project walkthrough with proof milestones for SHELTER Custom-Built Living using only public brand context—not for publishing, just to show the angle. We build three client-approved video ad concepts in seven days, then turn the winners into fresh variations. No filming day required. Worth sending the private sample?</x:v>
      </x:c>
      <x:c r="AV683" s="76" t="str">
        <x:v>Quick follow-up: the sample angle is a project walkthrough with proof milestones. If it misses the mark, no problem—I won't keep chasing. Should I send it?</x:v>
      </x:c>
      <x:c r="AW683" s="76" t="str">
        <x:v>Hi Jenny, Ryan here. I was looking at SHELTER Custom-Built Living's public marketing and noticed: icp fit; paid-demand need requires manual verification. I mapped one private project walkthrough with proof milestones as an example. Did I catch you with 30 seconds?</x:v>
      </x:c>
      <x:c r="AX683" s="60" t="str">
        <x:v>https://www.facebook.com/ads/library/?active_status=active&amp;ad_type=all&amp;country=US&amp;q=SHELTER%20Custom-Built%20Living&amp;search_type=keyword_unordered</x:v>
      </x:c>
      <x:c r="AY683" s="60" t="str">
        <x:v>ok:200</x:v>
      </x:c>
      <x:c r="AZ683" s="60" t="n">
        <x:v>46232.722858796296</x:v>
      </x:c>
      <x:c r="BA683" s="60" t="str">
        <x:v>AI Ark SC trades export</x:v>
      </x:c>
      <x:c r="BB683" s="60" t="str">
        <x:v>https://sheltercustombuiltliving.com | https://www.linkedin.com/company/shelter-custom-built-living</x:v>
      </x:c>
      <x:c r="BC683" s="60" t="str"/>
    </x:row>
    <x:row r="684" ht="18" customHeight="1">
      <x:c r="A684" s="70" t="str">
        <x:v>683</x:v>
      </x:c>
      <x:c r="B684" s="70" t="str">
        <x:v>C - Verify</x:v>
      </x:c>
      <x:c r="C684" s="72" t="str">
        <x:v>46</x:v>
      </x:c>
      <x:c r="D684" s="60" t="str">
        <x:v>RoofMasters Roofing Solutions</x:v>
      </x:c>
      <x:c r="E684" s="60" t="str">
        <x:v>https://scroofmasters.com</x:v>
      </x:c>
      <x:c r="F684" s="60" t="str">
        <x:v>https://scroofmasters.com</x:v>
      </x:c>
      <x:c r="G684" s="60" t="str">
        <x:v>Florence</x:v>
      </x:c>
      <x:c r="H684" s="60" t="str">
        <x:v>South Carolina</x:v>
      </x:c>
      <x:c r="I684" s="60" t="str">
        <x:v>Roofing</x:v>
      </x:c>
      <x:c r="J684" s="60" t="str">
        <x:v>RoofMasters Roofing Solutions</x:v>
      </x:c>
      <x:c r="K684" s="60" t="str"/>
      <x:c r="L684" s="60" t="str">
        <x:v>Owner / decision maker to verify</x:v>
      </x:c>
      <x:c r="M684" s="60" t="str"/>
      <x:c r="N684" s="60" t="str"/>
      <x:c r="O684" s="60" t="str">
        <x:v>(843) 409-2056</x:v>
      </x:c>
      <x:c r="P684" s="60" t="str"/>
      <x:c r="Q684" s="60" t="str"/>
      <x:c r="R684" s="60" t="str"/>
      <x:c r="S684" s="60" t="str">
        <x:v>5</x:v>
      </x:c>
      <x:c r="T684" s="74" t="str">
        <x:v>26</x:v>
      </x:c>
      <x:c r="U684" s="60" t="str"/>
      <x:c r="V684" s="74" t="str">
        <x:v>25</x:v>
      </x:c>
      <x:c r="W684" s="74" t="str">
        <x:v>3</x:v>
      </x:c>
      <x:c r="X684" s="74" t="str">
        <x:v>10</x:v>
      </x:c>
      <x:c r="Y684" s="74" t="str">
        <x:v>3</x:v>
      </x:c>
      <x:c r="Z684" s="74" t="str">
        <x:v>5</x:v>
      </x:c>
      <x:c r="AA684" s="74" t="str">
        <x:v>0</x:v>
      </x:c>
      <x:c r="AB684" s="74" t="str">
        <x:v>0</x:v>
      </x:c>
      <x:c r="AC684" s="74" t="str">
        <x:v>1</x:v>
      </x:c>
      <x:c r="AD684" s="74" t="str">
        <x:v>0</x:v>
      </x:c>
      <x:c r="AE684" s="74" t="str">
        <x:v>0</x:v>
      </x:c>
      <x:c r="AF684" s="74" t="str"/>
      <x:c r="AG684" s="74" t="str">
        <x:v>0</x:v>
      </x:c>
      <x:c r="AH684" s="74" t="str">
        <x:v>0</x:v>
      </x:c>
      <x:c r="AI684" s="74" t="str">
        <x:v>0</x:v>
      </x:c>
      <x:c r="AJ684" s="74" t="str">
        <x:v>0</x:v>
      </x:c>
      <x:c r="AK684" s="74" t="str">
        <x:v>1</x:v>
      </x:c>
      <x:c r="AL684" s="74" t="str">
        <x:v>0</x:v>
      </x:c>
      <x:c r="AM684" s="74" t="str">
        <x:v>0</x:v>
      </x:c>
      <x:c r="AN684" s="74" t="str">
        <x:v>0</x:v>
      </x:c>
      <x:c r="AO684" s="60" t="str">
        <x:v>0</x:v>
      </x:c>
      <x:c r="AP684" s="76" t="str">
        <x:v>ICP fit; paid-demand need requires manual verification</x:v>
      </x:c>
      <x:c r="AQ684" s="76" t="str">
        <x:v>visible service offer; no embedded homepage video detected</x:v>
      </x:c>
      <x:c r="AR684" s="76" t="str">
        <x:v>I was reviewing roofing companies in Florence, South Carolina and RoofMasters Roofing Solutions looked like a strong fit for a creative test.</x:v>
      </x:c>
      <x:c r="AS684" s="76" t="str">
        <x:v>storm-to-inspection before/after ad</x:v>
      </x:c>
      <x:c r="AT684" s="76" t="str">
        <x:v>RoofMasters Roofing Solutions ad concept</x:v>
      </x:c>
      <x:c r="AU684" s="76" t="str">
        <x:v>Hi RoofMasters Roofing Solutions — I was reviewing roofing companies in Florence, South Carolina and RoofMasters Roofing Solutions looked like a strong fit for a creative test. I mapped a private 15-second storm-to-inspection before/after ad for RoofMasters Roofing Solutions using only public brand context—not for publishing, just to show the angle. We build three client-approved video ad concepts in seven days, then turn the winners into fresh variations. No filming day required. Worth sending the private sample?</x:v>
      </x:c>
      <x:c r="AV684" s="76" t="str">
        <x:v>Quick follow-up: the sample angle is a storm-to-inspection before/after ad. If it misses the mark, no problem—I won't keep chasing. Should I send it?</x:v>
      </x:c>
      <x:c r="AW684" s="76" t="str">
        <x:v>Hi RoofMasters Roofing Solutions, Ryan here. I was looking at RoofMasters Roofing Solutions's public marketing and noticed: icp fit; paid-demand need requires manual verification. I mapped one private storm-to-inspection before/after ad as an example. Did I catch you with 30 seconds?</x:v>
      </x:c>
      <x:c r="AX684" s="60" t="str">
        <x:v>https://www.facebook.com/ads/library/?active_status=active&amp;ad_type=all&amp;country=US&amp;q=RoofMasters%20Roofing%20Solutions&amp;search_type=keyword_unordered</x:v>
      </x:c>
      <x:c r="AY684" s="60" t="str">
        <x:v>ok:200</x:v>
      </x:c>
      <x:c r="AZ684" s="60" t="n">
        <x:v>46232.722858796296</x:v>
      </x:c>
      <x:c r="BA684" s="60" t="str">
        <x:v>Google Maps home-services export</x:v>
      </x:c>
      <x:c r="BB684" s="60" t="str">
        <x:v>https://maps.google.com/?cid=18222273513295834333&amp;g_mp=Cidnb29nbGUubWFwcy5wbGFjZXMudjEuUGxhY2VzLlNlYXJjaFRleHQQAhgEIAA | https://scroofmasters.com</x:v>
      </x:c>
      <x:c r="BC684" s="60" t="str"/>
    </x:row>
    <x:row r="685" ht="18" customHeight="1">
      <x:c r="A685" s="70" t="str">
        <x:v>684</x:v>
      </x:c>
      <x:c r="B685" s="70" t="str">
        <x:v>C - Verify</x:v>
      </x:c>
      <x:c r="C685" s="72" t="str">
        <x:v>46</x:v>
      </x:c>
      <x:c r="D685" s="60" t="str">
        <x:v>Leak Rescue Plumbing</x:v>
      </x:c>
      <x:c r="E685" s="60" t="str">
        <x:v>https://leakrescueplumbing.com</x:v>
      </x:c>
      <x:c r="F685" s="60" t="str">
        <x:v>https://leakrescueplumbing.com</x:v>
      </x:c>
      <x:c r="G685" s="60" t="str">
        <x:v>Rock Hill</x:v>
      </x:c>
      <x:c r="H685" s="60" t="str">
        <x:v>South Carolina</x:v>
      </x:c>
      <x:c r="I685" s="60" t="str">
        <x:v>Plumbing</x:v>
      </x:c>
      <x:c r="J685" s="60" t="str">
        <x:v>Leak Rescue Plumbing</x:v>
      </x:c>
      <x:c r="K685" s="60" t="str"/>
      <x:c r="L685" s="60" t="str">
        <x:v>Owner / decision maker to verify</x:v>
      </x:c>
      <x:c r="M685" s="60" t="str"/>
      <x:c r="N685" s="60" t="str"/>
      <x:c r="O685" s="60" t="str">
        <x:v>(803) 984-3812</x:v>
      </x:c>
      <x:c r="P685" s="60" t="str"/>
      <x:c r="Q685" s="60" t="str"/>
      <x:c r="R685" s="60" t="str"/>
      <x:c r="S685" s="60" t="str">
        <x:v>5</x:v>
      </x:c>
      <x:c r="T685" s="74" t="str">
        <x:v>250</x:v>
      </x:c>
      <x:c r="U685" s="60" t="str"/>
      <x:c r="V685" s="74" t="str">
        <x:v>25</x:v>
      </x:c>
      <x:c r="W685" s="74" t="str">
        <x:v>3</x:v>
      </x:c>
      <x:c r="X685" s="74" t="str">
        <x:v>10</x:v>
      </x:c>
      <x:c r="Y685" s="74" t="str">
        <x:v>3</x:v>
      </x:c>
      <x:c r="Z685" s="74" t="str">
        <x:v>5</x:v>
      </x:c>
      <x:c r="AA685" s="74" t="str">
        <x:v>0</x:v>
      </x:c>
      <x:c r="AB685" s="74" t="str">
        <x:v>0</x:v>
      </x:c>
      <x:c r="AC685" s="74" t="str">
        <x:v>1</x:v>
      </x:c>
      <x:c r="AD685" s="74" t="str">
        <x:v>0</x:v>
      </x:c>
      <x:c r="AE685" s="74" t="str">
        <x:v>0</x:v>
      </x:c>
      <x:c r="AF685" s="74" t="str"/>
      <x:c r="AG685" s="74" t="str">
        <x:v>0</x:v>
      </x:c>
      <x:c r="AH685" s="74" t="str">
        <x:v>0</x:v>
      </x:c>
      <x:c r="AI685" s="74" t="str">
        <x:v>0</x:v>
      </x:c>
      <x:c r="AJ685" s="74" t="str">
        <x:v>0</x:v>
      </x:c>
      <x:c r="AK685" s="74" t="str">
        <x:v>0</x:v>
      </x:c>
      <x:c r="AL685" s="74" t="str">
        <x:v>0</x:v>
      </x:c>
      <x:c r="AM685" s="74" t="str">
        <x:v>1</x:v>
      </x:c>
      <x:c r="AN685" s="74" t="str">
        <x:v>0</x:v>
      </x:c>
      <x:c r="AO685" s="60" t="str">
        <x:v>2026</x:v>
      </x:c>
      <x:c r="AP685" s="76" t="str">
        <x:v>250 Google reviews; no embedded homepage video found</x:v>
      </x:c>
      <x:c r="AQ685" s="76" t="str">
        <x:v>no embedded homepage video detected</x:v>
      </x:c>
      <x:c r="AR685" s="76" t="str">
        <x:v>Leak Rescue Plumbing has 250 Google reviews—strong proof that could be turned into short-form ad concepts.</x:v>
      </x:c>
      <x:c r="AS685" s="76" t="str">
        <x:v>small symptom to prevented-emergency ad</x:v>
      </x:c>
      <x:c r="AT685" s="76" t="str">
        <x:v>Leak Rescue Plumbing ad concept</x:v>
      </x:c>
      <x:c r="AU685" s="76" t="str">
        <x:v>Hi Leak Rescue Plumbing — Leak Rescue Plumbing has 250 Google reviews—strong proof that could be turned into short-form ad concepts. I mapped a private 15-second small symptom to prevented-emergency ad for Leak Rescue Plumbing using only public brand context—not for publishing, just to show the angle. We build three client-approved video ad concepts in seven days, then turn the winners into fresh variations. No filming day required. Worth sending the private sample?</x:v>
      </x:c>
      <x:c r="AV685" s="76" t="str">
        <x:v>Quick follow-up: the sample angle is a small symptom to prevented-emergency ad. If it misses the mark, no problem—I won't keep chasing. Should I send it?</x:v>
      </x:c>
      <x:c r="AW685" s="76" t="str">
        <x:v>Hi Leak Rescue Plumbing, Ryan here. I was looking at Leak Rescue Plumbing's public marketing and noticed: 250 google reviews; no embedded homepage video found. I mapped one private small symptom to prevented-emergency ad as an example. Did I catch you with 30 seconds?</x:v>
      </x:c>
      <x:c r="AX685" s="60" t="str">
        <x:v>https://www.facebook.com/ads/library/?active_status=active&amp;ad_type=all&amp;country=US&amp;q=Leak%20Rescue%20Plumbing&amp;search_type=keyword_unordered</x:v>
      </x:c>
      <x:c r="AY685" s="60" t="str">
        <x:v>ok:200</x:v>
      </x:c>
      <x:c r="AZ685" s="60" t="n">
        <x:v>46232.722858796296</x:v>
      </x:c>
      <x:c r="BA685" s="60" t="str">
        <x:v>Google Maps home-services export</x:v>
      </x:c>
      <x:c r="BB685" s="60" t="str">
        <x:v>https://leakrescueplumbing.com | https://maps.google.com/?cid=13355708942102338886&amp;g_mp=Cidnb29nbGUubWFwcy5wbGFjZXMudjEuUGxhY2VzLlNlYXJjaFRleHQQAhgEIAA</x:v>
      </x:c>
      <x:c r="BC685" s="60" t="str"/>
    </x:row>
    <x:row r="686" ht="18" customHeight="1">
      <x:c r="A686" s="70" t="str">
        <x:v>685</x:v>
      </x:c>
      <x:c r="B686" s="70" t="str">
        <x:v>C - Verify</x:v>
      </x:c>
      <x:c r="C686" s="72" t="str">
        <x:v>46</x:v>
      </x:c>
      <x:c r="D686" s="60" t="str">
        <x:v>HEAVENLY AIRE</x:v>
      </x:c>
      <x:c r="E686" s="60" t="str">
        <x:v>https://heavenlyaire.com</x:v>
      </x:c>
      <x:c r="F686" s="60" t="str">
        <x:v>https://www.heavenlyaire.com/</x:v>
      </x:c>
      <x:c r="G686" s="60" t="str">
        <x:v>Seneca</x:v>
      </x:c>
      <x:c r="H686" s="60" t="str">
        <x:v>South Carolina</x:v>
      </x:c>
      <x:c r="I686" s="60" t="str">
        <x:v>HVAC</x:v>
      </x:c>
      <x:c r="J686" s="60" t="str">
        <x:v>Gary</x:v>
      </x:c>
      <x:c r="K686" s="60" t="str">
        <x:v>Ratcliff</x:v>
      </x:c>
      <x:c r="L686" s="60" t="str">
        <x:v>Owner/operator</x:v>
      </x:c>
      <x:c r="M686" s="60" t="str">
        <x:v>gary@heavenlyaire.com</x:v>
      </x:c>
      <x:c r="N686" s="60" t="str">
        <x:v>Verified with BounceBan on 08 Jun 26 12:06</x:v>
      </x:c>
      <x:c r="O686" s="60" t="str">
        <x:v>+1 864 903 1805</x:v>
      </x:c>
      <x:c r="P686" s="60" t="str">
        <x:v>https://www.linkedin.com/in/gary-ratcliff-963327101</x:v>
      </x:c>
      <x:c r="Q686" s="60" t="str">
        <x:v>2-10</x:v>
      </x:c>
      <x:c r="R686" s="60" t="str">
        <x:v>100000-499999</x:v>
      </x:c>
      <x:c r="S686" s="60" t="str"/>
      <x:c r="T686" s="74" t="str">
        <x:v>0</x:v>
      </x:c>
      <x:c r="U686" s="60" t="str"/>
      <x:c r="V686" s="74" t="str">
        <x:v>27</x:v>
      </x:c>
      <x:c r="W686" s="74" t="str">
        <x:v>3</x:v>
      </x:c>
      <x:c r="X686" s="74" t="str">
        <x:v>6</x:v>
      </x:c>
      <x:c r="Y686" s="74" t="str">
        <x:v>0</x:v>
      </x:c>
      <x:c r="Z686" s="74" t="str">
        <x:v>10</x:v>
      </x:c>
      <x:c r="AA686" s="74" t="str">
        <x:v>0</x:v>
      </x:c>
      <x:c r="AB686" s="74" t="str">
        <x:v>0</x:v>
      </x:c>
      <x:c r="AC686" s="74" t="str">
        <x:v>0</x:v>
      </x:c>
      <x:c r="AD686" s="74" t="str">
        <x:v>0</x:v>
      </x:c>
      <x:c r="AE686" s="74" t="str">
        <x:v>0</x:v>
      </x:c>
      <x:c r="AF686" s="74" t="str">
        <x:v>podium</x:v>
      </x:c>
      <x:c r="AG686" s="74" t="str">
        <x:v>0</x:v>
      </x:c>
      <x:c r="AH686" s="74" t="str">
        <x:v>0</x:v>
      </x:c>
      <x:c r="AI686" s="74" t="str">
        <x:v>0</x:v>
      </x:c>
      <x:c r="AJ686" s="74" t="str">
        <x:v>0</x:v>
      </x:c>
      <x:c r="AK686" s="74" t="str">
        <x:v>0</x:v>
      </x:c>
      <x:c r="AL686" s="74" t="str">
        <x:v>1</x:v>
      </x:c>
      <x:c r="AM686" s="74" t="str">
        <x:v>1</x:v>
      </x:c>
      <x:c r="AN686" s="74" t="str">
        <x:v>0</x:v>
      </x:c>
      <x:c r="AO686" s="60" t="str">
        <x:v>0</x:v>
      </x:c>
      <x:c r="AP686" s="76" t="str">
        <x:v>ICP fit; paid-demand need requires manual verification</x:v>
      </x:c>
      <x:c r="AQ686" s="76" t="str">
        <x:v>no embedded homepage video detected</x:v>
      </x:c>
      <x:c r="AR686" s="76" t="str">
        <x:v>I was reviewing hvac companies in Seneca, South Carolina and HEAVENLY AIRE looked like a strong fit for a creative test.</x:v>
      </x:c>
      <x:c r="AS686" s="76" t="str">
        <x:v>no-cool-call to same-day comfort ad</x:v>
      </x:c>
      <x:c r="AT686" s="76" t="str">
        <x:v>HEAVENLY AIRE ad concept</x:v>
      </x:c>
      <x:c r="AU686" s="76" t="str">
        <x:v>Hi Gary — I was reviewing hvac companies in Seneca, South Carolina and HEAVENLY AIRE looked like a strong fit for a creative test. I mapped a private 15-second no-cool-call to same-day comfort ad for HEAVENLY AIRE using only public brand context—not for publishing, just to show the angle. We build three client-approved video ad concepts in seven days, then turn the winners into fresh variations. No filming day required. Worth sending the private sample?</x:v>
      </x:c>
      <x:c r="AV686" s="76" t="str">
        <x:v>Quick follow-up: the sample angle is a no-cool-call to same-day comfort ad. If it misses the mark, no problem—I won't keep chasing. Should I send it?</x:v>
      </x:c>
      <x:c r="AW686" s="76" t="str">
        <x:v>Hi Gary, Ryan here. I was looking at HEAVENLY AIRE's public marketing and noticed: icp fit; paid-demand need requires manual verification. I mapped one private no-cool-call to same-day comfort ad as an example. Did I catch you with 30 seconds?</x:v>
      </x:c>
      <x:c r="AX686" s="60" t="str">
        <x:v>https://www.facebook.com/ads/library/?active_status=active&amp;ad_type=all&amp;country=US&amp;q=HEAVENLY%20AIRE&amp;search_type=keyword_unordered</x:v>
      </x:c>
      <x:c r="AY686" s="60" t="str">
        <x:v>ok:200</x:v>
      </x:c>
      <x:c r="AZ686" s="60" t="n">
        <x:v>46232.722858796296</x:v>
      </x:c>
      <x:c r="BA686" s="60" t="str">
        <x:v>AI Ark SC trades export</x:v>
      </x:c>
      <x:c r="BB686" s="60" t="str">
        <x:v>https://heavenlyaire.com | https://www.linkedin.com/company/heavenly-aire</x:v>
      </x:c>
      <x:c r="BC686" s="60" t="str"/>
    </x:row>
    <x:row r="687" ht="18" customHeight="1">
      <x:c r="A687" s="70" t="str">
        <x:v>686</x:v>
      </x:c>
      <x:c r="B687" s="70" t="str">
        <x:v>C - Verify</x:v>
      </x:c>
      <x:c r="C687" s="72" t="str">
        <x:v>46</x:v>
      </x:c>
      <x:c r="D687" s="60" t="str">
        <x:v>Collins Mechanical</x:v>
      </x:c>
      <x:c r="E687" s="60" t="str">
        <x:v>https://collinsheatair.com</x:v>
      </x:c>
      <x:c r="F687" s="60" t="str">
        <x:v>https://collinsmechsc.com/</x:v>
      </x:c>
      <x:c r="G687" s="60" t="str">
        <x:v>Greenville-spartanburg-anderson</x:v>
      </x:c>
      <x:c r="H687" s="60" t="str">
        <x:v>South Carolina Area</x:v>
      </x:c>
      <x:c r="I687" s="60" t="str">
        <x:v>HVAC</x:v>
      </x:c>
      <x:c r="J687" s="60" t="str">
        <x:v>Craig</x:v>
      </x:c>
      <x:c r="K687" s="60" t="str">
        <x:v>Collins</x:v>
      </x:c>
      <x:c r="L687" s="60" t="str">
        <x:v>Licensed Mechanical Contractor / Owner / Operator</x:v>
      </x:c>
      <x:c r="M687" s="60" t="str">
        <x:v>craig@collinsheatair.com</x:v>
      </x:c>
      <x:c r="N687" s="60" t="str">
        <x:v>Verified with BounceBan on 08 Jun 26 12:06</x:v>
      </x:c>
      <x:c r="O687" s="60" t="str">
        <x:v>+1 229 894 2287, +1 320 226 0252</x:v>
      </x:c>
      <x:c r="P687" s="60" t="str">
        <x:v>https://www.linkedin.com/in/craig-collins-357a0a22</x:v>
      </x:c>
      <x:c r="Q687" s="60" t="str">
        <x:v>2-10</x:v>
      </x:c>
      <x:c r="R687" s="60" t="str">
        <x:v>100000-499999</x:v>
      </x:c>
      <x:c r="S687" s="60" t="str"/>
      <x:c r="T687" s="74" t="str">
        <x:v>0</x:v>
      </x:c>
      <x:c r="U687" s="60" t="str"/>
      <x:c r="V687" s="74" t="str">
        <x:v>27</x:v>
      </x:c>
      <x:c r="W687" s="74" t="str">
        <x:v>3</x:v>
      </x:c>
      <x:c r="X687" s="74" t="str">
        <x:v>6</x:v>
      </x:c>
      <x:c r="Y687" s="74" t="str">
        <x:v>0</x:v>
      </x:c>
      <x:c r="Z687" s="74" t="str">
        <x:v>10</x:v>
      </x:c>
      <x:c r="AA687" s="74" t="str">
        <x:v>0</x:v>
      </x:c>
      <x:c r="AB687" s="74" t="str">
        <x:v>0</x:v>
      </x:c>
      <x:c r="AC687" s="74" t="str">
        <x:v>1</x:v>
      </x:c>
      <x:c r="AD687" s="74" t="str">
        <x:v>0</x:v>
      </x:c>
      <x:c r="AE687" s="74" t="str">
        <x:v>0</x:v>
      </x:c>
      <x:c r="AF687" s="74" t="str"/>
      <x:c r="AG687" s="74" t="str">
        <x:v>0</x:v>
      </x:c>
      <x:c r="AH687" s="74" t="str">
        <x:v>0</x:v>
      </x:c>
      <x:c r="AI687" s="74" t="str">
        <x:v>0</x:v>
      </x:c>
      <x:c r="AJ687" s="74" t="str">
        <x:v>0</x:v>
      </x:c>
      <x:c r="AK687" s="74" t="str">
        <x:v>0</x:v>
      </x:c>
      <x:c r="AL687" s="74" t="str">
        <x:v>1</x:v>
      </x:c>
      <x:c r="AM687" s="74" t="str">
        <x:v>1</x:v>
      </x:c>
      <x:c r="AN687" s="74" t="str">
        <x:v>0</x:v>
      </x:c>
      <x:c r="AO687" s="60" t="str">
        <x:v>2025</x:v>
      </x:c>
      <x:c r="AP687" s="76" t="str">
        <x:v>ICP fit; paid-demand need requires manual verification</x:v>
      </x:c>
      <x:c r="AQ687" s="76" t="str">
        <x:v>no embedded homepage video detected</x:v>
      </x:c>
      <x:c r="AR687" s="76" t="str">
        <x:v>I was reviewing hvac companies in Greenville-spartanburg-anderson, South Carolina Area and Collins Mechanical looked like a strong fit for a creative test.</x:v>
      </x:c>
      <x:c r="AS687" s="76" t="str">
        <x:v>no-cool-call to same-day comfort ad</x:v>
      </x:c>
      <x:c r="AT687" s="76" t="str">
        <x:v>Collins Mechanical ad concept</x:v>
      </x:c>
      <x:c r="AU687" s="76" t="str">
        <x:v>Hi Craig — I was reviewing hvac companies in Greenville-spartanburg-anderson, South Carolina Area and Collins Mechanical looked like a strong fit for a creative test. I mapped a private 15-second no-cool-call to same-day comfort ad for Collins Mechanical using only public brand context—not for publishing, just to show the angle. We build three client-approved video ad concepts in seven days, then turn the winners into fresh variations. No filming day required. Worth sending the private sample?</x:v>
      </x:c>
      <x:c r="AV687" s="76" t="str">
        <x:v>Quick follow-up: the sample angle is a no-cool-call to same-day comfort ad. If it misses the mark, no problem—I won't keep chasing. Should I send it?</x:v>
      </x:c>
      <x:c r="AW687" s="76" t="str">
        <x:v>Hi Craig, Ryan here. I was looking at Collins Mechanical's public marketing and noticed: icp fit; paid-demand need requires manual verification. I mapped one private no-cool-call to same-day comfort ad as an example. Did I catch you with 30 seconds?</x:v>
      </x:c>
      <x:c r="AX687" s="60" t="str">
        <x:v>https://www.facebook.com/ads/library/?active_status=active&amp;ad_type=all&amp;country=US&amp;q=Collins%20Mechanical&amp;search_type=keyword_unordered</x:v>
      </x:c>
      <x:c r="AY687" s="60" t="str">
        <x:v>ok:200</x:v>
      </x:c>
      <x:c r="AZ687" s="60" t="n">
        <x:v>46232.722858796296</x:v>
      </x:c>
      <x:c r="BA687" s="60" t="str">
        <x:v>AI Ark SC trades export</x:v>
      </x:c>
      <x:c r="BB687" s="60" t="str">
        <x:v>https://collinsheatair.com | https://www.linkedin.com/company/collinsmechanicalsc</x:v>
      </x:c>
      <x:c r="BC687" s="60" t="str"/>
    </x:row>
    <x:row r="688" ht="18" customHeight="1">
      <x:c r="A688" s="70" t="str">
        <x:v>687</x:v>
      </x:c>
      <x:c r="B688" s="70" t="str">
        <x:v>C - Verify</x:v>
      </x:c>
      <x:c r="C688" s="72" t="str">
        <x:v>46</x:v>
      </x:c>
      <x:c r="D688" s="60" t="str">
        <x:v>JM Smart Renovations LLC</x:v>
      </x:c>
      <x:c r="E688" s="60" t="str">
        <x:v>https://renovate-smart.com</x:v>
      </x:c>
      <x:c r="F688" s="60" t="str">
        <x:v>https://www.renovate-smart.com/</x:v>
      </x:c>
      <x:c r="G688" s="60" t="str">
        <x:v>Summerville</x:v>
      </x:c>
      <x:c r="H688" s="60" t="str">
        <x:v>South Carolina</x:v>
      </x:c>
      <x:c r="I688" s="60" t="str">
        <x:v>Remodeling</x:v>
      </x:c>
      <x:c r="J688" s="60" t="str">
        <x:v>Dominic</x:v>
      </x:c>
      <x:c r="K688" s="60" t="str">
        <x:v>Volpe</x:v>
      </x:c>
      <x:c r="L688" s="60" t="str">
        <x:v>Co-Owner</x:v>
      </x:c>
      <x:c r="M688" s="60" t="str">
        <x:v>dominic@renovate-smart.com</x:v>
      </x:c>
      <x:c r="N688" s="60" t="str">
        <x:v>Verified with BounceBan on 08 Jun 26 12:06</x:v>
      </x:c>
      <x:c r="O688" s="60" t="str"/>
      <x:c r="P688" s="60" t="str">
        <x:v>https://www.linkedin.com/in/dominic-volpe-526b40285</x:v>
      </x:c>
      <x:c r="Q688" s="60" t="str">
        <x:v>11-50</x:v>
      </x:c>
      <x:c r="R688" s="60" t="str">
        <x:v>500000-999999</x:v>
      </x:c>
      <x:c r="S688" s="60" t="str"/>
      <x:c r="T688" s="74" t="str">
        <x:v>0</x:v>
      </x:c>
      <x:c r="U688" s="60" t="str"/>
      <x:c r="V688" s="74" t="str">
        <x:v>30</x:v>
      </x:c>
      <x:c r="W688" s="74" t="str">
        <x:v>3</x:v>
      </x:c>
      <x:c r="X688" s="74" t="str">
        <x:v>6</x:v>
      </x:c>
      <x:c r="Y688" s="74" t="str">
        <x:v>0</x:v>
      </x:c>
      <x:c r="Z688" s="74" t="str">
        <x:v>7</x:v>
      </x:c>
      <x:c r="AA688" s="74" t="str">
        <x:v>0</x:v>
      </x:c>
      <x:c r="AB688" s="74" t="str">
        <x:v>0</x:v>
      </x:c>
      <x:c r="AC688" s="74" t="str">
        <x:v>1</x:v>
      </x:c>
      <x:c r="AD688" s="74" t="str">
        <x:v>0</x:v>
      </x:c>
      <x:c r="AE688" s="74" t="str">
        <x:v>0</x:v>
      </x:c>
      <x:c r="AF688" s="74" t="str"/>
      <x:c r="AG688" s="74" t="str">
        <x:v>0</x:v>
      </x:c>
      <x:c r="AH688" s="74" t="str">
        <x:v>0</x:v>
      </x:c>
      <x:c r="AI688" s="74" t="str">
        <x:v>0</x:v>
      </x:c>
      <x:c r="AJ688" s="74" t="str">
        <x:v>0</x:v>
      </x:c>
      <x:c r="AK688" s="74" t="str">
        <x:v>0</x:v>
      </x:c>
      <x:c r="AL688" s="74" t="str">
        <x:v>1</x:v>
      </x:c>
      <x:c r="AM688" s="74" t="str">
        <x:v>1</x:v>
      </x:c>
      <x:c r="AN688" s="74" t="str">
        <x:v>0</x:v>
      </x:c>
      <x:c r="AO688" s="60" t="str">
        <x:v>2026</x:v>
      </x:c>
      <x:c r="AP688" s="76" t="str">
        <x:v>ICP fit; paid-demand need requires manual verification</x:v>
      </x:c>
      <x:c r="AQ688" s="76" t="str">
        <x:v>no embedded homepage video detected</x:v>
      </x:c>
      <x:c r="AR688" s="76" t="str">
        <x:v>I was reviewing remodeling companies in Summerville, South Carolina and JM Smart Renovations LLC looked like a strong fit for a creative test.</x:v>
      </x:c>
      <x:c r="AS688" s="76" t="str">
        <x:v>project reveal with budget-and-timeline proof</x:v>
      </x:c>
      <x:c r="AT688" s="76" t="str">
        <x:v>JM Smart Renovations LLC ad concept</x:v>
      </x:c>
      <x:c r="AU688" s="76" t="str">
        <x:v>Hi Dominic — I was reviewing remodeling companies in Summerville, South Carolina and JM Smart Renovations LLC looked like a strong fit for a creative test. I mapped a private 15-second project reveal with budget-and-timeline proof for JM Smart Renovations LLC using only public brand context—not for publishing, just to show the angle. We build three client-approved video ad concepts in seven days, then turn the winners into fresh variations. No filming day required. Worth sending the private sample?</x:v>
      </x:c>
      <x:c r="AV688" s="76" t="str">
        <x:v>Quick follow-up: the sample angle is a project reveal with budget-and-timeline proof. If it misses the mark, no problem—I won't keep chasing. Should I send it?</x:v>
      </x:c>
      <x:c r="AW688" s="76" t="str">
        <x:v>Hi Dominic, Ryan here. I was looking at JM Smart Renovations LLC's public marketing and noticed: icp fit; paid-demand need requires manual verification. I mapped one private project reveal with budget-and-timeline proof as an example. Did I catch you with 30 seconds?</x:v>
      </x:c>
      <x:c r="AX688" s="60" t="str">
        <x:v>https://www.facebook.com/ads/library/?active_status=active&amp;ad_type=all&amp;country=US&amp;q=JM%20Smart%20Renovations%20LLC&amp;search_type=keyword_unordered</x:v>
      </x:c>
      <x:c r="AY688" s="60" t="str">
        <x:v>ok:200</x:v>
      </x:c>
      <x:c r="AZ688" s="60" t="n">
        <x:v>46232.722858796296</x:v>
      </x:c>
      <x:c r="BA688" s="60" t="str">
        <x:v>AI Ark SC trades export</x:v>
      </x:c>
      <x:c r="BB688" s="60" t="str">
        <x:v>https://renovate-smart.com | https://www.linkedin.com/company/jm-smart-renovations-llc</x:v>
      </x:c>
      <x:c r="BC688" s="60" t="str"/>
    </x:row>
    <x:row r="689" ht="18" customHeight="1">
      <x:c r="A689" s="70" t="str">
        <x:v>688</x:v>
      </x:c>
      <x:c r="B689" s="70" t="str">
        <x:v>C - Verify</x:v>
      </x:c>
      <x:c r="C689" s="72" t="str">
        <x:v>46</x:v>
      </x:c>
      <x:c r="D689" s="60" t="str">
        <x:v>HOMEstretch</x:v>
      </x:c>
      <x:c r="E689" s="60" t="str">
        <x:v>https://home-stretch.com</x:v>
      </x:c>
      <x:c r="F689" s="60" t="str">
        <x:v>https://www.home-stretch.com/</x:v>
      </x:c>
      <x:c r="G689" s="60" t="str">
        <x:v>Charleston</x:v>
      </x:c>
      <x:c r="H689" s="60" t="str">
        <x:v>South Carolina Metropolitan Area</x:v>
      </x:c>
      <x:c r="I689" s="60" t="str">
        <x:v>Remodeling</x:v>
      </x:c>
      <x:c r="J689" s="60" t="str">
        <x:v>Ian J.</x:v>
      </x:c>
      <x:c r="K689" s="60" t="str">
        <x:v>Ouellette</x:v>
      </x:c>
      <x:c r="L689" s="60" t="str">
        <x:v>Owner</x:v>
      </x:c>
      <x:c r="M689" s="60" t="str">
        <x:v>ian.ouellette@home-stretch.com</x:v>
      </x:c>
      <x:c r="N689" s="60" t="str">
        <x:v>Verified with BounceBan on 08 Jun 26 12:06</x:v>
      </x:c>
      <x:c r="O689" s="60" t="str"/>
      <x:c r="P689" s="60" t="str">
        <x:v>https://www.linkedin.com/in/ian-j-ouellette-b6741894</x:v>
      </x:c>
      <x:c r="Q689" s="60" t="str">
        <x:v>11-50</x:v>
      </x:c>
      <x:c r="R689" s="60" t="str">
        <x:v>5000000-9999999</x:v>
      </x:c>
      <x:c r="S689" s="60" t="str"/>
      <x:c r="T689" s="74" t="str">
        <x:v>0</x:v>
      </x:c>
      <x:c r="U689" s="60" t="str"/>
      <x:c r="V689" s="74" t="str">
        <x:v>30</x:v>
      </x:c>
      <x:c r="W689" s="74" t="str">
        <x:v>3</x:v>
      </x:c>
      <x:c r="X689" s="74" t="str">
        <x:v>6</x:v>
      </x:c>
      <x:c r="Y689" s="74" t="str">
        <x:v>0</x:v>
      </x:c>
      <x:c r="Z689" s="74" t="str">
        <x:v>7</x:v>
      </x:c>
      <x:c r="AA689" s="74" t="str">
        <x:v>0</x:v>
      </x:c>
      <x:c r="AB689" s="74" t="str">
        <x:v>0</x:v>
      </x:c>
      <x:c r="AC689" s="74" t="str">
        <x:v>1</x:v>
      </x:c>
      <x:c r="AD689" s="74" t="str">
        <x:v>0</x:v>
      </x:c>
      <x:c r="AE689" s="74" t="str">
        <x:v>0</x:v>
      </x:c>
      <x:c r="AF689" s="74" t="str"/>
      <x:c r="AG689" s="74" t="str">
        <x:v>0</x:v>
      </x:c>
      <x:c r="AH689" s="74" t="str">
        <x:v>0</x:v>
      </x:c>
      <x:c r="AI689" s="74" t="str">
        <x:v>0</x:v>
      </x:c>
      <x:c r="AJ689" s="74" t="str">
        <x:v>0</x:v>
      </x:c>
      <x:c r="AK689" s="74" t="str">
        <x:v>0</x:v>
      </x:c>
      <x:c r="AL689" s="74" t="str">
        <x:v>1</x:v>
      </x:c>
      <x:c r="AM689" s="74" t="str">
        <x:v>1</x:v>
      </x:c>
      <x:c r="AN689" s="74" t="str">
        <x:v>0</x:v>
      </x:c>
      <x:c r="AO689" s="60" t="str">
        <x:v>2026</x:v>
      </x:c>
      <x:c r="AP689" s="76" t="str">
        <x:v>ICP fit; paid-demand need requires manual verification</x:v>
      </x:c>
      <x:c r="AQ689" s="76" t="str">
        <x:v>no embedded homepage video detected</x:v>
      </x:c>
      <x:c r="AR689" s="76" t="str">
        <x:v>I was reviewing remodeling companies in Charleston, South Carolina Metropolitan Area and HOMEstretch looked like a strong fit for a creative test.</x:v>
      </x:c>
      <x:c r="AS689" s="76" t="str">
        <x:v>project reveal with budget-and-timeline proof</x:v>
      </x:c>
      <x:c r="AT689" s="76" t="str">
        <x:v>HOMEstretch ad concept</x:v>
      </x:c>
      <x:c r="AU689" s="76" t="str">
        <x:v>Hi Ian J. — I was reviewing remodeling companies in Charleston, South Carolina Metropolitan Area and HOMEstretch looked like a strong fit for a creative test. I mapped a private 15-second project reveal with budget-and-timeline proof for HOMEstretch using only public brand context—not for publishing, just to show the angle. We build three client-approved video ad concepts in seven days, then turn the winners into fresh variations. No filming day required. Worth sending the private sample?</x:v>
      </x:c>
      <x:c r="AV689" s="76" t="str">
        <x:v>Quick follow-up: the sample angle is a project reveal with budget-and-timeline proof. If it misses the mark, no problem—I won't keep chasing. Should I send it?</x:v>
      </x:c>
      <x:c r="AW689" s="76" t="str">
        <x:v>Hi Ian J., Ryan here. I was looking at HOMEstretch's public marketing and noticed: icp fit; paid-demand need requires manual verification. I mapped one private project reveal with budget-and-timeline proof as an example. Did I catch you with 30 seconds?</x:v>
      </x:c>
      <x:c r="AX689" s="60" t="str">
        <x:v>https://www.facebook.com/ads/library/?active_status=active&amp;ad_type=all&amp;country=US&amp;q=HOMEstretch&amp;search_type=keyword_unordered</x:v>
      </x:c>
      <x:c r="AY689" s="60" t="str">
        <x:v>ok:200</x:v>
      </x:c>
      <x:c r="AZ689" s="60" t="n">
        <x:v>46232.722858796296</x:v>
      </x:c>
      <x:c r="BA689" s="60" t="str">
        <x:v>AI Ark SC trades export</x:v>
      </x:c>
      <x:c r="BB689" s="60" t="str">
        <x:v>https://home-stretch.com | https://www.linkedin.com/company/homestretch-services</x:v>
      </x:c>
      <x:c r="BC689" s="60" t="str"/>
    </x:row>
    <x:row r="690" ht="18" customHeight="1">
      <x:c r="A690" s="70" t="str">
        <x:v>689</x:v>
      </x:c>
      <x:c r="B690" s="70" t="str">
        <x:v>C - Verify</x:v>
      </x:c>
      <x:c r="C690" s="72" t="str">
        <x:v>46</x:v>
      </x:c>
      <x:c r="D690" s="60" t="str">
        <x:v>Geo-Synthetics Systems LLC</x:v>
      </x:c>
      <x:c r="E690" s="60" t="str">
        <x:v>https://geosynthetics.com</x:v>
      </x:c>
      <x:c r="F690" s="60" t="str">
        <x:v>https://geosynthetics.com</x:v>
      </x:c>
      <x:c r="G690" s="60" t="str">
        <x:v>Isle Of Palms</x:v>
      </x:c>
      <x:c r="H690" s="60" t="str">
        <x:v>South Carolina</x:v>
      </x:c>
      <x:c r="I690" s="60" t="str">
        <x:v>General Contractor</x:v>
      </x:c>
      <x:c r="J690" s="60" t="str">
        <x:v>Robert</x:v>
      </x:c>
      <x:c r="K690" s="60" t="str">
        <x:v>Creel</x:v>
      </x:c>
      <x:c r="L690" s="60" t="str">
        <x:v>Owner / President</x:v>
      </x:c>
      <x:c r="M690" s="60" t="str">
        <x:v>rcreel@geosynthetics.com</x:v>
      </x:c>
      <x:c r="N690" s="60" t="str">
        <x:v>Verified with BounceBan on 08 Jun 26 12:06</x:v>
      </x:c>
      <x:c r="O690" s="60" t="str"/>
      <x:c r="P690" s="60" t="str">
        <x:v>https://www.linkedin.com/in/robert-creel-52a7934a</x:v>
      </x:c>
      <x:c r="Q690" s="60" t="str">
        <x:v>11-50</x:v>
      </x:c>
      <x:c r="R690" s="60" t="str"/>
      <x:c r="S690" s="60" t="str"/>
      <x:c r="T690" s="74" t="str">
        <x:v>0</x:v>
      </x:c>
      <x:c r="U690" s="60" t="str"/>
      <x:c r="V690" s="74" t="str">
        <x:v>23</x:v>
      </x:c>
      <x:c r="W690" s="74" t="str">
        <x:v>3</x:v>
      </x:c>
      <x:c r="X690" s="74" t="str">
        <x:v>13</x:v>
      </x:c>
      <x:c r="Y690" s="74" t="str">
        <x:v>0</x:v>
      </x:c>
      <x:c r="Z690" s="74" t="str">
        <x:v>7</x:v>
      </x:c>
      <x:c r="AA690" s="74" t="str">
        <x:v>0</x:v>
      </x:c>
      <x:c r="AB690" s="74" t="str">
        <x:v>0</x:v>
      </x:c>
      <x:c r="AC690" s="74" t="str">
        <x:v>1</x:v>
      </x:c>
      <x:c r="AD690" s="74" t="str">
        <x:v>0</x:v>
      </x:c>
      <x:c r="AE690" s="74" t="str">
        <x:v>0</x:v>
      </x:c>
      <x:c r="AF690" s="74" t="str"/>
      <x:c r="AG690" s="74" t="str">
        <x:v>0</x:v>
      </x:c>
      <x:c r="AH690" s="74" t="str">
        <x:v>0</x:v>
      </x:c>
      <x:c r="AI690" s="74" t="str">
        <x:v>0</x:v>
      </x:c>
      <x:c r="AJ690" s="74" t="str">
        <x:v>0</x:v>
      </x:c>
      <x:c r="AK690" s="74" t="str">
        <x:v>0</x:v>
      </x:c>
      <x:c r="AL690" s="74" t="str">
        <x:v>0</x:v>
      </x:c>
      <x:c r="AM690" s="74" t="str">
        <x:v>0</x:v>
      </x:c>
      <x:c r="AN690" s="74" t="str">
        <x:v>0</x:v>
      </x:c>
      <x:c r="AO690" s="60" t="str">
        <x:v>2024</x:v>
      </x:c>
      <x:c r="AP690" s="76" t="str">
        <x:v>ICP fit; paid-demand need requires manual verification</x:v>
      </x:c>
      <x:c r="AQ690" s="76" t="str">
        <x:v>no embedded homepage video detected</x:v>
      </x:c>
      <x:c r="AR690" s="76" t="str">
        <x:v>I was reviewing general contractor companies in Isle Of Palms, South Carolina and Geo-Synthetics Systems LLC looked like a strong fit for a creative test.</x:v>
      </x:c>
      <x:c r="AS690" s="76" t="str">
        <x:v>project walkthrough with proof milestones</x:v>
      </x:c>
      <x:c r="AT690" s="76" t="str">
        <x:v>Geo-Synthetics Systems LLC ad concept</x:v>
      </x:c>
      <x:c r="AU690" s="76" t="str">
        <x:v>Hi Robert — I was reviewing general contractor companies in Isle Of Palms, South Carolina and Geo-Synthetics Systems LLC looked like a strong fit for a creative test. I mapped a private 15-second project walkthrough with proof milestones for Geo-Synthetics Systems LLC using only public brand context—not for publishing, just to show the angle. We build three client-approved video ad concepts in seven days, then turn the winners into fresh variations. No filming day required. Worth sending the private sample?</x:v>
      </x:c>
      <x:c r="AV690" s="76" t="str">
        <x:v>Quick follow-up: the sample angle is a project walkthrough with proof milestones. If it misses the mark, no problem—I won't keep chasing. Should I send it?</x:v>
      </x:c>
      <x:c r="AW690" s="76" t="str">
        <x:v>Hi Robert, Ryan here. I was looking at Geo-Synthetics Systems LLC's public marketing and noticed: icp fit; paid-demand need requires manual verification. I mapped one private project walkthrough with proof milestones as an example. Did I catch you with 30 seconds?</x:v>
      </x:c>
      <x:c r="AX690" s="60" t="str">
        <x:v>https://www.facebook.com/ads/library/?active_status=active&amp;ad_type=all&amp;country=US&amp;q=Geo-Synthetics%20Systems%20LLC&amp;search_type=keyword_unordered</x:v>
      </x:c>
      <x:c r="AY690" s="60" t="str">
        <x:v>ok:200</x:v>
      </x:c>
      <x:c r="AZ690" s="60" t="n">
        <x:v>46232.722858796296</x:v>
      </x:c>
      <x:c r="BA690" s="60" t="str">
        <x:v>AI Ark SC trades export</x:v>
      </x:c>
      <x:c r="BB690" s="60" t="str">
        <x:v>https://geosynthetics.com | https://www.linkedin.com/company/geo-synthetics-systems-llc</x:v>
      </x:c>
      <x:c r="BC690" s="60" t="str"/>
    </x:row>
    <x:row r="691" ht="18" customHeight="1">
      <x:c r="A691" s="70" t="str">
        <x:v>690</x:v>
      </x:c>
      <x:c r="B691" s="70" t="str">
        <x:v>C - Verify</x:v>
      </x:c>
      <x:c r="C691" s="72" t="str">
        <x:v>46</x:v>
      </x:c>
      <x:c r="D691" s="60" t="str">
        <x:v>Refuge Roofing, LLC</x:v>
      </x:c>
      <x:c r="E691" s="60" t="str">
        <x:v>https://refugeroofing.net</x:v>
      </x:c>
      <x:c r="F691" s="60" t="str">
        <x:v>https://refugeroofing.net</x:v>
      </x:c>
      <x:c r="G691" s="60" t="str">
        <x:v>Spartanburg</x:v>
      </x:c>
      <x:c r="H691" s="60" t="str">
        <x:v>South Carolina</x:v>
      </x:c>
      <x:c r="I691" s="60" t="str">
        <x:v>Roofing</x:v>
      </x:c>
      <x:c r="J691" s="60" t="str">
        <x:v>Refuge Roofing, LLC</x:v>
      </x:c>
      <x:c r="K691" s="60" t="str"/>
      <x:c r="L691" s="60" t="str">
        <x:v>Owner / decision maker to verify</x:v>
      </x:c>
      <x:c r="M691" s="60" t="str"/>
      <x:c r="N691" s="60" t="str"/>
      <x:c r="O691" s="60" t="str">
        <x:v>(864) 205-9181</x:v>
      </x:c>
      <x:c r="P691" s="60" t="str"/>
      <x:c r="Q691" s="60" t="str"/>
      <x:c r="R691" s="60" t="str"/>
      <x:c r="S691" s="60" t="str">
        <x:v>5</x:v>
      </x:c>
      <x:c r="T691" s="74" t="str">
        <x:v>25</x:v>
      </x:c>
      <x:c r="U691" s="60" t="str"/>
      <x:c r="V691" s="74" t="str">
        <x:v>25</x:v>
      </x:c>
      <x:c r="W691" s="74" t="str">
        <x:v>0</x:v>
      </x:c>
      <x:c r="X691" s="74" t="str">
        <x:v>6</x:v>
      </x:c>
      <x:c r="Y691" s="74" t="str">
        <x:v>10</x:v>
      </x:c>
      <x:c r="Z691" s="74" t="str">
        <x:v>5</x:v>
      </x:c>
      <x:c r="AA691" s="74" t="str">
        <x:v>0</x:v>
      </x:c>
      <x:c r="AB691" s="74" t="str">
        <x:v>0</x:v>
      </x:c>
      <x:c r="AC691" s="74" t="str">
        <x:v>0</x:v>
      </x:c>
      <x:c r="AD691" s="74" t="str">
        <x:v>0</x:v>
      </x:c>
      <x:c r="AE691" s="74" t="str">
        <x:v>0</x:v>
      </x:c>
      <x:c r="AF691" s="74" t="str"/>
      <x:c r="AG691" s="74" t="str">
        <x:v>0</x:v>
      </x:c>
      <x:c r="AH691" s="74" t="str">
        <x:v>0</x:v>
      </x:c>
      <x:c r="AI691" s="74" t="str">
        <x:v>1</x:v>
      </x:c>
      <x:c r="AJ691" s="74" t="str">
        <x:v>1</x:v>
      </x:c>
      <x:c r="AK691" s="74" t="str">
        <x:v>1</x:v>
      </x:c>
      <x:c r="AL691" s="74" t="str">
        <x:v>1</x:v>
      </x:c>
      <x:c r="AM691" s="74" t="str">
        <x:v>1</x:v>
      </x:c>
      <x:c r="AN691" s="74" t="str">
        <x:v>0</x:v>
      </x:c>
      <x:c r="AO691" s="60" t="str">
        <x:v>0</x:v>
      </x:c>
      <x:c r="AP691" s="76" t="str">
        <x:v>Financing language found; no embedded homepage video found</x:v>
      </x:c>
      <x:c r="AQ691" s="76" t="str">
        <x:v>testimonials; financing; visible service offer; no embedded homepage video detected</x:v>
      </x:c>
      <x:c r="AR691" s="76" t="str">
        <x:v>I found financing language on Refuge Roofing, LLC's site that could make a strong short-form offer angle.</x:v>
      </x:c>
      <x:c r="AS691" s="76" t="str">
        <x:v>storm-to-inspection before/after ad</x:v>
      </x:c>
      <x:c r="AT691" s="76" t="str">
        <x:v>Refuge Roofing, LLC ad concept</x:v>
      </x:c>
      <x:c r="AU691" s="76" t="str">
        <x:v>Hi Refuge Roofing, LLC — I found financing language on Refuge Roofing, LLC's site that could make a strong short-form offer angle. I mapped a private 15-second storm-to-inspection before/after ad for Refuge Roofing, LLC using only public brand context—not for publishing, just to show the angle. We build three client-approved video ad concepts in seven days, then turn the winners into fresh variations. No filming day required. Worth sending the private sample?</x:v>
      </x:c>
      <x:c r="AV691" s="76" t="str">
        <x:v>Quick follow-up: the sample angle is a storm-to-inspection before/after ad. If it misses the mark, no problem—I won't keep chasing. Should I send it?</x:v>
      </x:c>
      <x:c r="AW691" s="76" t="str">
        <x:v>Hi Refuge Roofing, LLC, Ryan here. I was looking at Refuge Roofing, LLC's public marketing and noticed: financing language found; no embedded homepage video found. I mapped one private storm-to-inspection before/after ad as an example. Did I catch you with 30 seconds?</x:v>
      </x:c>
      <x:c r="AX691" s="60" t="str">
        <x:v>https://www.facebook.com/ads/library/?active_status=active&amp;ad_type=all&amp;country=US&amp;q=Refuge%20Roofing%2C%20LLC&amp;search_type=keyword_unordered</x:v>
      </x:c>
      <x:c r="AY691" s="60" t="str">
        <x:v>ok:200</x:v>
      </x:c>
      <x:c r="AZ691" s="60" t="n">
        <x:v>46232.722858796296</x:v>
      </x:c>
      <x:c r="BA691" s="60" t="str">
        <x:v>Google Maps home-services export</x:v>
      </x:c>
      <x:c r="BB691" s="60" t="str">
        <x:v>https://maps.google.com/?cid=351135575026973392&amp;g_mp=Cidnb29nbGUubWFwcy5wbGFjZXMudjEuUGxhY2VzLlNlYXJjaFRleHQQAhgEIAA | https://refugeroofing.net</x:v>
      </x:c>
      <x:c r="BC691" s="60" t="str"/>
    </x:row>
    <x:row r="692" ht="18" customHeight="1">
      <x:c r="A692" s="70" t="str">
        <x:v>691</x:v>
      </x:c>
      <x:c r="B692" s="70" t="str">
        <x:v>C - Verify</x:v>
      </x:c>
      <x:c r="C692" s="72" t="str">
        <x:v>46</x:v>
      </x:c>
      <x:c r="D692" s="60" t="str">
        <x:v>Anchor Roofing and Exteriors, LLC</x:v>
      </x:c>
      <x:c r="E692" s="60" t="str">
        <x:v>https://anchorroof.com</x:v>
      </x:c>
      <x:c r="F692" s="60" t="str">
        <x:v>https://www.anchorroof.com/</x:v>
      </x:c>
      <x:c r="G692" s="60" t="str">
        <x:v>North Charleston</x:v>
      </x:c>
      <x:c r="H692" s="60" t="str">
        <x:v>South Carolina</x:v>
      </x:c>
      <x:c r="I692" s="60" t="str">
        <x:v>Roofing</x:v>
      </x:c>
      <x:c r="J692" s="60" t="str">
        <x:v>Anchor Roofing and Exteriors, LLC</x:v>
      </x:c>
      <x:c r="K692" s="60" t="str"/>
      <x:c r="L692" s="60" t="str">
        <x:v>Owner / decision maker to verify</x:v>
      </x:c>
      <x:c r="M692" s="60" t="str"/>
      <x:c r="N692" s="60" t="str"/>
      <x:c r="O692" s="60" t="str">
        <x:v>(843) 996-6150</x:v>
      </x:c>
      <x:c r="P692" s="60" t="str"/>
      <x:c r="Q692" s="60" t="str"/>
      <x:c r="R692" s="60" t="str"/>
      <x:c r="S692" s="60" t="str">
        <x:v>5</x:v>
      </x:c>
      <x:c r="T692" s="74" t="str">
        <x:v>32</x:v>
      </x:c>
      <x:c r="U692" s="60" t="str"/>
      <x:c r="V692" s="74" t="str">
        <x:v>27</x:v>
      </x:c>
      <x:c r="W692" s="74" t="str">
        <x:v>0</x:v>
      </x:c>
      <x:c r="X692" s="74" t="str">
        <x:v>4</x:v>
      </x:c>
      <x:c r="Y692" s="74" t="str">
        <x:v>10</x:v>
      </x:c>
      <x:c r="Z692" s="74" t="str">
        <x:v>5</x:v>
      </x:c>
      <x:c r="AA692" s="74" t="str">
        <x:v>0</x:v>
      </x:c>
      <x:c r="AB692" s="74" t="str">
        <x:v>0</x:v>
      </x:c>
      <x:c r="AC692" s="74" t="str">
        <x:v>0</x:v>
      </x:c>
      <x:c r="AD692" s="74" t="str">
        <x:v>0</x:v>
      </x:c>
      <x:c r="AE692" s="74" t="str">
        <x:v>0</x:v>
      </x:c>
      <x:c r="AF692" s="74" t="str"/>
      <x:c r="AG692" s="74" t="str">
        <x:v>1</x:v>
      </x:c>
      <x:c r="AH692" s="74" t="str">
        <x:v>1</x:v>
      </x:c>
      <x:c r="AI692" s="74" t="str">
        <x:v>0</x:v>
      </x:c>
      <x:c r="AJ692" s="74" t="str">
        <x:v>0</x:v>
      </x:c>
      <x:c r="AK692" s="74" t="str">
        <x:v>1</x:v>
      </x:c>
      <x:c r="AL692" s="74" t="str">
        <x:v>0</x:v>
      </x:c>
      <x:c r="AM692" s="74" t="str">
        <x:v>1</x:v>
      </x:c>
      <x:c r="AN692" s="74" t="str">
        <x:v>0</x:v>
      </x:c>
      <x:c r="AO692" s="60" t="str">
        <x:v>0</x:v>
      </x:c>
      <x:c r="AP692" s="76" t="str">
        <x:v>ICP fit; paid-demand need requires manual verification</x:v>
      </x:c>
      <x:c r="AQ692" s="76" t="str">
        <x:v>project/gallery proof; visible service offer</x:v>
      </x:c>
      <x:c r="AR692" s="76" t="str">
        <x:v>I was reviewing roofing companies in North Charleston, South Carolina and Anchor Roofing and Exteriors, LLC looked like a strong fit for a creative test.</x:v>
      </x:c>
      <x:c r="AS692" s="76" t="str">
        <x:v>storm-to-inspection before/after ad</x:v>
      </x:c>
      <x:c r="AT692" s="76" t="str">
        <x:v>Anchor Roofing and Exteriors, LLC ad concept</x:v>
      </x:c>
      <x:c r="AU692" s="76" t="str">
        <x:v>Hi Anchor Roofing and Exteriors, LLC — I was reviewing roofing companies in North Charleston, South Carolina and Anchor Roofing and Exteriors, LLC looked like a strong fit for a creative test. I mapped a private 15-second storm-to-inspection before/after ad for Anchor Roofing and Exteriors, LLC using only public brand context—not for publishing, just to show the angle. We build three client-approved video ad concepts in seven days, then turn the winners into fresh variations. No filming day required. Worth sending the private sample?</x:v>
      </x:c>
      <x:c r="AV692" s="76" t="str">
        <x:v>Quick follow-up: the sample angle is a storm-to-inspection before/after ad. If it misses the mark, no problem—I won't keep chasing. Should I send it?</x:v>
      </x:c>
      <x:c r="AW692" s="76" t="str">
        <x:v>Hi Anchor Roofing and Exteriors, LLC, Ryan here. I was looking at Anchor Roofing and Exteriors, LLC's public marketing and noticed: icp fit; paid-demand need requires manual verification. I mapped one private storm-to-inspection before/after ad as an example. Did I catch you with 30 seconds?</x:v>
      </x:c>
      <x:c r="AX692" s="60" t="str">
        <x:v>https://www.facebook.com/ads/library/?active_status=active&amp;ad_type=all&amp;country=US&amp;q=Anchor%20Roofing%20and%20Exteriors%2C%20LLC&amp;search_type=keyword_unordered</x:v>
      </x:c>
      <x:c r="AY692" s="60" t="str">
        <x:v>ok:200</x:v>
      </x:c>
      <x:c r="AZ692" s="60" t="n">
        <x:v>46232.722858796296</x:v>
      </x:c>
      <x:c r="BA692" s="60" t="str">
        <x:v>Google Maps home-services export</x:v>
      </x:c>
      <x:c r="BB692" s="60" t="str">
        <x:v>https://anchorroof.com | https://maps.google.com/?cid=3215796958339345236&amp;g_mp=Cidnb29nbGUubWFwcy5wbGFjZXMudjEuUGxhY2VzLlNlYXJjaFRleHQQAhgEIAA</x:v>
      </x:c>
      <x:c r="BC692" s="60" t="str"/>
    </x:row>
    <x:row r="693" ht="18" customHeight="1">
      <x:c r="A693" s="70" t="str">
        <x:v>692</x:v>
      </x:c>
      <x:c r="B693" s="70" t="str">
        <x:v>C - Verify</x:v>
      </x:c>
      <x:c r="C693" s="72" t="str">
        <x:v>46</x:v>
      </x:c>
      <x:c r="D693" s="60" t="str">
        <x:v>Mr. Handyman</x:v>
      </x:c>
      <x:c r="E693" s="60" t="str">
        <x:v>https://neighborly.com</x:v>
      </x:c>
      <x:c r="F693" s="60" t="str">
        <x:v>https://www.neighborly.com/</x:v>
      </x:c>
      <x:c r="G693" s="60" t="str">
        <x:v>Mount Pleasant</x:v>
      </x:c>
      <x:c r="H693" s="60" t="str">
        <x:v>South Carolina</x:v>
      </x:c>
      <x:c r="I693" s="60" t="str">
        <x:v>General Contractor</x:v>
      </x:c>
      <x:c r="J693" s="60" t="str">
        <x:v>John</x:v>
      </x:c>
      <x:c r="K693" s="60" t="str">
        <x:v>Heeke</x:v>
      </x:c>
      <x:c r="L693" s="60" t="str">
        <x:v>Owner</x:v>
      </x:c>
      <x:c r="M693" s="60" t="str"/>
      <x:c r="N693" s="60" t="str"/>
      <x:c r="O693" s="60" t="str"/>
      <x:c r="P693" s="60" t="str">
        <x:v>https://www.linkedin.com/in/john-heeke-80a36912</x:v>
      </x:c>
      <x:c r="Q693" s="60" t="str">
        <x:v>2-10</x:v>
      </x:c>
      <x:c r="R693" s="60" t="str">
        <x:v>50000000-99999999</x:v>
      </x:c>
      <x:c r="S693" s="60" t="str"/>
      <x:c r="T693" s="74" t="str">
        <x:v>0</x:v>
      </x:c>
      <x:c r="U693" s="60" t="str"/>
      <x:c r="V693" s="74" t="str">
        <x:v>25</x:v>
      </x:c>
      <x:c r="W693" s="74" t="str">
        <x:v>0</x:v>
      </x:c>
      <x:c r="X693" s="74" t="str">
        <x:v>10</x:v>
      </x:c>
      <x:c r="Y693" s="74" t="str">
        <x:v>9</x:v>
      </x:c>
      <x:c r="Z693" s="74" t="str">
        <x:v>2</x:v>
      </x:c>
      <x:c r="AA693" s="74" t="str">
        <x:v>0</x:v>
      </x:c>
      <x:c r="AB693" s="74" t="str">
        <x:v>0</x:v>
      </x:c>
      <x:c r="AC693" s="74" t="str">
        <x:v>0</x:v>
      </x:c>
      <x:c r="AD693" s="74" t="str">
        <x:v>0</x:v>
      </x:c>
      <x:c r="AE693" s="74" t="str">
        <x:v>0</x:v>
      </x:c>
      <x:c r="AF693" s="74" t="str"/>
      <x:c r="AG693" s="74" t="str">
        <x:v>0</x:v>
      </x:c>
      <x:c r="AH693" s="74" t="str">
        <x:v>1</x:v>
      </x:c>
      <x:c r="AI693" s="74" t="str">
        <x:v>1</x:v>
      </x:c>
      <x:c r="AJ693" s="74" t="str">
        <x:v>0</x:v>
      </x:c>
      <x:c r="AK693" s="74" t="str">
        <x:v>0</x:v>
      </x:c>
      <x:c r="AL693" s="74" t="str">
        <x:v>0</x:v>
      </x:c>
      <x:c r="AM693" s="74" t="str">
        <x:v>0</x:v>
      </x:c>
      <x:c r="AN693" s="74" t="str">
        <x:v>0</x:v>
      </x:c>
      <x:c r="AO693" s="60" t="str">
        <x:v>0</x:v>
      </x:c>
      <x:c r="AP693" s="76" t="str">
        <x:v>Project/gallery proof found; no embedded homepage video found</x:v>
      </x:c>
      <x:c r="AQ693" s="76" t="str">
        <x:v>project/gallery proof; testimonials; no embedded homepage video detected</x:v>
      </x:c>
      <x:c r="AR693" s="76" t="str">
        <x:v>I found project/gallery proof on Mr. Handyman's site that could be repackaged into short-form ad concepts.</x:v>
      </x:c>
      <x:c r="AS693" s="76" t="str">
        <x:v>project walkthrough with proof milestones</x:v>
      </x:c>
      <x:c r="AT693" s="76" t="str">
        <x:v>Mr. Handyman ad concept</x:v>
      </x:c>
      <x:c r="AU693" s="76" t="str">
        <x:v>Hi John — I found project/gallery proof on Mr. Handyman's site that could be repackaged into short-form ad concepts. I mapped a private 15-second project walkthrough with proof milestones for Mr. Handyman using only public brand context—not for publishing, just to show the angle. We build three client-approved video ad concepts in seven days, then turn the winners into fresh variations. No filming day required. Worth sending the private sample?</x:v>
      </x:c>
      <x:c r="AV693" s="76" t="str">
        <x:v>Quick follow-up: the sample angle is a project walkthrough with proof milestones. If it misses the mark, no problem—I won't keep chasing. Should I send it?</x:v>
      </x:c>
      <x:c r="AW693" s="76" t="str">
        <x:v>Hi John, Ryan here. I was looking at Mr. Handyman's public marketing and noticed: project/gallery proof found; no embedded homepage video found. I mapped one private project walkthrough with proof milestones as an example. Did I catch you with 30 seconds?</x:v>
      </x:c>
      <x:c r="AX693" s="60" t="str">
        <x:v>https://www.facebook.com/ads/library/?active_status=active&amp;ad_type=all&amp;country=US&amp;q=Mr.%20Handyman&amp;search_type=keyword_unordered</x:v>
      </x:c>
      <x:c r="AY693" s="60" t="str">
        <x:v>ok:200</x:v>
      </x:c>
      <x:c r="AZ693" s="60" t="n">
        <x:v>46232.722858796296</x:v>
      </x:c>
      <x:c r="BA693" s="60" t="str">
        <x:v>AI Ark SC trades export</x:v>
      </x:c>
      <x:c r="BB693" s="60" t="str">
        <x:v>https://neighborly.com | https://www.linkedin.com/company/mr.-handyman</x:v>
      </x:c>
      <x:c r="BC693" s="60" t="str"/>
    </x:row>
    <x:row r="694" ht="18" customHeight="1">
      <x:c r="A694" s="70" t="str">
        <x:v>693</x:v>
      </x:c>
      <x:c r="B694" s="70" t="str">
        <x:v>C - Verify</x:v>
      </x:c>
      <x:c r="C694" s="72" t="str">
        <x:v>46</x:v>
      </x:c>
      <x:c r="D694" s="60" t="str">
        <x:v>MasterRoof Contracting</x:v>
      </x:c>
      <x:c r="E694" s="60" t="str">
        <x:v>https://masterroofmtpleasant.com</x:v>
      </x:c>
      <x:c r="F694" s="60" t="str">
        <x:v>https://masterroofmtpleasant.com</x:v>
      </x:c>
      <x:c r="G694" s="60" t="str">
        <x:v>Mount Pleasant</x:v>
      </x:c>
      <x:c r="H694" s="60" t="str">
        <x:v>South Carolina</x:v>
      </x:c>
      <x:c r="I694" s="60" t="str">
        <x:v>Roofing</x:v>
      </x:c>
      <x:c r="J694" s="60" t="str">
        <x:v>MasterRoof Contracting</x:v>
      </x:c>
      <x:c r="K694" s="60" t="str"/>
      <x:c r="L694" s="60" t="str">
        <x:v>Owner / decision maker to verify</x:v>
      </x:c>
      <x:c r="M694" s="60" t="str"/>
      <x:c r="N694" s="60" t="str"/>
      <x:c r="O694" s="60" t="str">
        <x:v>(843) 960-1450</x:v>
      </x:c>
      <x:c r="P694" s="60" t="str"/>
      <x:c r="Q694" s="60" t="str"/>
      <x:c r="R694" s="60" t="str"/>
      <x:c r="S694" s="60" t="str">
        <x:v>5</x:v>
      </x:c>
      <x:c r="T694" s="74" t="str">
        <x:v>32</x:v>
      </x:c>
      <x:c r="U694" s="60" t="str"/>
      <x:c r="V694" s="74" t="str">
        <x:v>27</x:v>
      </x:c>
      <x:c r="W694" s="74" t="str">
        <x:v>0</x:v>
      </x:c>
      <x:c r="X694" s="74" t="str">
        <x:v>6</x:v>
      </x:c>
      <x:c r="Y694" s="74" t="str">
        <x:v>8</x:v>
      </x:c>
      <x:c r="Z694" s="74" t="str">
        <x:v>5</x:v>
      </x:c>
      <x:c r="AA694" s="74" t="str">
        <x:v>0</x:v>
      </x:c>
      <x:c r="AB694" s="74" t="str">
        <x:v>0</x:v>
      </x:c>
      <x:c r="AC694" s="74" t="str">
        <x:v>0</x:v>
      </x:c>
      <x:c r="AD694" s="74" t="str">
        <x:v>0</x:v>
      </x:c>
      <x:c r="AE694" s="74" t="str">
        <x:v>0</x:v>
      </x:c>
      <x:c r="AF694" s="74" t="str"/>
      <x:c r="AG694" s="74" t="str">
        <x:v>0</x:v>
      </x:c>
      <x:c r="AH694" s="74" t="str">
        <x:v>0</x:v>
      </x:c>
      <x:c r="AI694" s="74" t="str">
        <x:v>0</x:v>
      </x:c>
      <x:c r="AJ694" s="74" t="str">
        <x:v>1</x:v>
      </x:c>
      <x:c r="AK694" s="74" t="str">
        <x:v>1</x:v>
      </x:c>
      <x:c r="AL694" s="74" t="str">
        <x:v>0</x:v>
      </x:c>
      <x:c r="AM694" s="74" t="str">
        <x:v>1</x:v>
      </x:c>
      <x:c r="AN694" s="74" t="str">
        <x:v>1</x:v>
      </x:c>
      <x:c r="AO694" s="60" t="str">
        <x:v>0</x:v>
      </x:c>
      <x:c r="AP694" s="76" t="str">
        <x:v>Financing language found; no embedded homepage video found</x:v>
      </x:c>
      <x:c r="AQ694" s="76" t="str">
        <x:v>financing; visible service offer; no embedded homepage video detected</x:v>
      </x:c>
      <x:c r="AR694" s="76" t="str">
        <x:v>I found financing language on MasterRoof Contracting's site that could make a strong short-form offer angle.</x:v>
      </x:c>
      <x:c r="AS694" s="76" t="str">
        <x:v>storm-to-inspection before/after ad</x:v>
      </x:c>
      <x:c r="AT694" s="76" t="str">
        <x:v>MasterRoof Contracting ad concept</x:v>
      </x:c>
      <x:c r="AU694" s="76" t="str">
        <x:v>Hi MasterRoof Contracting — I found financing language on MasterRoof Contracting's site that could make a strong short-form offer angle. I mapped a private 15-second storm-to-inspection before/after ad for MasterRoof Contracting using only public brand context—not for publishing, just to show the angle. We build three client-approved video ad concepts in seven days, then turn the winners into fresh variations. No filming day required. Worth sending the private sample?</x:v>
      </x:c>
      <x:c r="AV694" s="76" t="str">
        <x:v>Quick follow-up: the sample angle is a storm-to-inspection before/after ad. If it misses the mark, no problem—I won't keep chasing. Should I send it?</x:v>
      </x:c>
      <x:c r="AW694" s="76" t="str">
        <x:v>Hi MasterRoof Contracting, Ryan here. I was looking at MasterRoof Contracting's public marketing and noticed: financing language found; no embedded homepage video found. I mapped one private storm-to-inspection before/after ad as an example. Did I catch you with 30 seconds?</x:v>
      </x:c>
      <x:c r="AX694" s="60" t="str">
        <x:v>https://www.facebook.com/ads/library/?active_status=active&amp;ad_type=all&amp;country=US&amp;q=MasterRoof%20Contracting&amp;search_type=keyword_unordered</x:v>
      </x:c>
      <x:c r="AY694" s="60" t="str">
        <x:v>ok:200</x:v>
      </x:c>
      <x:c r="AZ694" s="60" t="n">
        <x:v>46232.722858796296</x:v>
      </x:c>
      <x:c r="BA694" s="60" t="str">
        <x:v>Google Maps home-services export</x:v>
      </x:c>
      <x:c r="BB694" s="60" t="str">
        <x:v>https://maps.google.com/?cid=17190930336277530985&amp;g_mp=Cidnb29nbGUubWFwcy5wbGFjZXMudjEuUGxhY2VzLlNlYXJjaFRleHQQAhgEIAA | https://masterroofmtpleasant.com</x:v>
      </x:c>
      <x:c r="BC694" s="60" t="str"/>
    </x:row>
    <x:row r="695" ht="18" customHeight="1">
      <x:c r="A695" s="70" t="str">
        <x:v>694</x:v>
      </x:c>
      <x:c r="B695" s="70" t="str">
        <x:v>C - Verify</x:v>
      </x:c>
      <x:c r="C695" s="72" t="str">
        <x:v>46</x:v>
      </x:c>
      <x:c r="D695" s="60" t="str">
        <x:v>Kintz Electric</x:v>
      </x:c>
      <x:c r="E695" s="60" t="str">
        <x:v>https://kintzelectric.com</x:v>
      </x:c>
      <x:c r="F695" s="60" t="str">
        <x:v>https://kintzelectric.com</x:v>
      </x:c>
      <x:c r="G695" s="60" t="str">
        <x:v>Beaufort</x:v>
      </x:c>
      <x:c r="H695" s="60" t="str">
        <x:v>South Carolina</x:v>
      </x:c>
      <x:c r="I695" s="60" t="str">
        <x:v>Electrical</x:v>
      </x:c>
      <x:c r="J695" s="60" t="str">
        <x:v>Kintz Electric</x:v>
      </x:c>
      <x:c r="K695" s="60" t="str"/>
      <x:c r="L695" s="60" t="str">
        <x:v>Owner / decision maker to verify</x:v>
      </x:c>
      <x:c r="M695" s="60" t="str"/>
      <x:c r="N695" s="60" t="str"/>
      <x:c r="O695" s="60" t="str">
        <x:v>(843) 522-1316</x:v>
      </x:c>
      <x:c r="P695" s="60" t="str"/>
      <x:c r="Q695" s="60" t="str"/>
      <x:c r="R695" s="60" t="str"/>
      <x:c r="S695" s="60" t="str">
        <x:v>4.6</x:v>
      </x:c>
      <x:c r="T695" s="74" t="str">
        <x:v>33</x:v>
      </x:c>
      <x:c r="U695" s="60" t="str"/>
      <x:c r="V695" s="74" t="str">
        <x:v>21</x:v>
      </x:c>
      <x:c r="W695" s="74" t="str">
        <x:v>0</x:v>
      </x:c>
      <x:c r="X695" s="74" t="str">
        <x:v>13</x:v>
      </x:c>
      <x:c r="Y695" s="74" t="str">
        <x:v>7</x:v>
      </x:c>
      <x:c r="Z695" s="74" t="str">
        <x:v>5</x:v>
      </x:c>
      <x:c r="AA695" s="74" t="str">
        <x:v>0</x:v>
      </x:c>
      <x:c r="AB695" s="74" t="str">
        <x:v>0</x:v>
      </x:c>
      <x:c r="AC695" s="74" t="str">
        <x:v>0</x:v>
      </x:c>
      <x:c r="AD695" s="74" t="str">
        <x:v>0</x:v>
      </x:c>
      <x:c r="AE695" s="74" t="str">
        <x:v>0</x:v>
      </x:c>
      <x:c r="AF695" s="74" t="str"/>
      <x:c r="AG695" s="74" t="str">
        <x:v>0</x:v>
      </x:c>
      <x:c r="AH695" s="74" t="str">
        <x:v>1</x:v>
      </x:c>
      <x:c r="AI695" s="74" t="str">
        <x:v>0</x:v>
      </x:c>
      <x:c r="AJ695" s="74" t="str">
        <x:v>0</x:v>
      </x:c>
      <x:c r="AK695" s="74" t="str">
        <x:v>0</x:v>
      </x:c>
      <x:c r="AL695" s="74" t="str">
        <x:v>0</x:v>
      </x:c>
      <x:c r="AM695" s="74" t="str">
        <x:v>0</x:v>
      </x:c>
      <x:c r="AN695" s="74" t="str">
        <x:v>0</x:v>
      </x:c>
      <x:c r="AO695" s="60" t="str">
        <x:v>2024</x:v>
      </x:c>
      <x:c r="AP695" s="76" t="str">
        <x:v>Project/gallery proof found; no embedded homepage video found</x:v>
      </x:c>
      <x:c r="AQ695" s="76" t="str">
        <x:v>project/gallery proof; no embedded homepage video detected</x:v>
      </x:c>
      <x:c r="AR695" s="76" t="str">
        <x:v>I found project/gallery proof on Kintz Electric's site that could be repackaged into short-form ad concepts.</x:v>
      </x:c>
      <x:c r="AS695" s="76" t="str">
        <x:v>safety inspection problem/solution ad</x:v>
      </x:c>
      <x:c r="AT695" s="76" t="str">
        <x:v>Kintz Electric ad concept</x:v>
      </x:c>
      <x:c r="AU695" s="76" t="str">
        <x:v>Hi Kintz Electric — I found project/gallery proof on Kintz Electric's site that could be repackaged into short-form ad concepts. I mapped a private 15-second safety inspection problem/solution ad for Kintz Electric using only public brand context—not for publishing, just to show the angle. We build three client-approved video ad concepts in seven days, then turn the winners into fresh variations. No filming day required. Worth sending the private sample?</x:v>
      </x:c>
      <x:c r="AV695" s="76" t="str">
        <x:v>Quick follow-up: the sample angle is a safety inspection problem/solution ad. If it misses the mark, no problem—I won't keep chasing. Should I send it?</x:v>
      </x:c>
      <x:c r="AW695" s="76" t="str">
        <x:v>Hi Kintz Electric, Ryan here. I was looking at Kintz Electric's public marketing and noticed: project/gallery proof found; no embedded homepage video found. I mapped one private safety inspection problem/solution ad as an example. Did I catch you with 30 seconds?</x:v>
      </x:c>
      <x:c r="AX695" s="60" t="str">
        <x:v>https://www.facebook.com/ads/library/?active_status=active&amp;ad_type=all&amp;country=US&amp;q=Kintz%20Electric&amp;search_type=keyword_unordered</x:v>
      </x:c>
      <x:c r="AY695" s="60" t="str">
        <x:v>ok:200</x:v>
      </x:c>
      <x:c r="AZ695" s="60" t="n">
        <x:v>46232.722858796296</x:v>
      </x:c>
      <x:c r="BA695" s="60" t="str">
        <x:v>Google Maps home-services export</x:v>
      </x:c>
      <x:c r="BB695" s="60" t="str">
        <x:v>https://kintzelectric.com | https://maps.google.com/?cid=4701239597923429437&amp;g_mp=Cidnb29nbGUubWFwcy5wbGFjZXMudjEuUGxhY2VzLlNlYXJjaFRleHQQAhgEIAA</x:v>
      </x:c>
      <x:c r="BC695" s="60" t="str"/>
    </x:row>
    <x:row r="696" ht="18" customHeight="1">
      <x:c r="A696" s="70" t="str">
        <x:v>695</x:v>
      </x:c>
      <x:c r="B696" s="70" t="str">
        <x:v>C - Verify</x:v>
      </x:c>
      <x:c r="C696" s="72" t="str">
        <x:v>46</x:v>
      </x:c>
      <x:c r="D696" s="60" t="str">
        <x:v>T &amp; N Septic Tank Co</x:v>
      </x:c>
      <x:c r="E696" s="60" t="str">
        <x:v>https://tandnseptictank.com</x:v>
      </x:c>
      <x:c r="F696" s="60" t="str">
        <x:v>https://www.tandnseptictank.com/</x:v>
      </x:c>
      <x:c r="G696" s="60" t="str">
        <x:v>Sumter</x:v>
      </x:c>
      <x:c r="H696" s="60" t="str">
        <x:v>South Carolina</x:v>
      </x:c>
      <x:c r="I696" s="60" t="str">
        <x:v>Plumbing</x:v>
      </x:c>
      <x:c r="J696" s="60" t="str">
        <x:v>T &amp; N Septic Tank Co</x:v>
      </x:c>
      <x:c r="K696" s="60" t="str"/>
      <x:c r="L696" s="60" t="str">
        <x:v>Owner / decision maker to verify</x:v>
      </x:c>
      <x:c r="M696" s="60" t="str"/>
      <x:c r="N696" s="60" t="str"/>
      <x:c r="O696" s="60" t="str">
        <x:v>(803) 481-2428</x:v>
      </x:c>
      <x:c r="P696" s="60" t="str"/>
      <x:c r="Q696" s="60" t="str"/>
      <x:c r="R696" s="60" t="str"/>
      <x:c r="S696" s="60" t="str">
        <x:v>4.9</x:v>
      </x:c>
      <x:c r="T696" s="74" t="str">
        <x:v>468</x:v>
      </x:c>
      <x:c r="U696" s="60" t="str"/>
      <x:c r="V696" s="74" t="str">
        <x:v>25</x:v>
      </x:c>
      <x:c r="W696" s="74" t="str">
        <x:v>0</x:v>
      </x:c>
      <x:c r="X696" s="74" t="str">
        <x:v>10</x:v>
      </x:c>
      <x:c r="Y696" s="74" t="str">
        <x:v>6</x:v>
      </x:c>
      <x:c r="Z696" s="74" t="str">
        <x:v>5</x:v>
      </x:c>
      <x:c r="AA696" s="74" t="str">
        <x:v>0</x:v>
      </x:c>
      <x:c r="AB696" s="74" t="str">
        <x:v>0</x:v>
      </x:c>
      <x:c r="AC696" s="74" t="str">
        <x:v>0</x:v>
      </x:c>
      <x:c r="AD696" s="74" t="str">
        <x:v>0</x:v>
      </x:c>
      <x:c r="AE696" s="74" t="str">
        <x:v>0</x:v>
      </x:c>
      <x:c r="AF696" s="74" t="str"/>
      <x:c r="AG696" s="74" t="str">
        <x:v>0</x:v>
      </x:c>
      <x:c r="AH696" s="74" t="str">
        <x:v>0</x:v>
      </x:c>
      <x:c r="AI696" s="74" t="str">
        <x:v>0</x:v>
      </x:c>
      <x:c r="AJ696" s="74" t="str">
        <x:v>0</x:v>
      </x:c>
      <x:c r="AK696" s="74" t="str">
        <x:v>1</x:v>
      </x:c>
      <x:c r="AL696" s="74" t="str">
        <x:v>0</x:v>
      </x:c>
      <x:c r="AM696" s="74" t="str">
        <x:v>1</x:v>
      </x:c>
      <x:c r="AN696" s="74" t="str">
        <x:v>0</x:v>
      </x:c>
      <x:c r="AO696" s="60" t="str">
        <x:v>0</x:v>
      </x:c>
      <x:c r="AP696" s="76" t="str">
        <x:v>468 Google reviews; no embedded homepage video found</x:v>
      </x:c>
      <x:c r="AQ696" s="76" t="str">
        <x:v>visible service offer; no embedded homepage video detected</x:v>
      </x:c>
      <x:c r="AR696" s="76" t="str">
        <x:v>T &amp; N Septic Tank Co has 468 Google reviews—strong proof that could be turned into short-form ad concepts.</x:v>
      </x:c>
      <x:c r="AS696" s="76" t="str">
        <x:v>small symptom to prevented-emergency ad</x:v>
      </x:c>
      <x:c r="AT696" s="76" t="str">
        <x:v>T &amp; N Septic Tank Co ad concept</x:v>
      </x:c>
      <x:c r="AU696" s="76" t="str">
        <x:v>Hi T &amp; N Septic Tank Co — T &amp; N Septic Tank Co has 468 Google reviews—strong proof that could be turned into short-form ad concepts. I mapped a private 15-second small symptom to prevented-emergency ad for T &amp; N Septic Tank Co using only public brand context—not for publishing, just to show the angle. We build three client-approved video ad concepts in seven days, then turn the winners into fresh variations. No filming day required. Worth sending the private sample?</x:v>
      </x:c>
      <x:c r="AV696" s="76" t="str">
        <x:v>Quick follow-up: the sample angle is a small symptom to prevented-emergency ad. If it misses the mark, no problem—I won't keep chasing. Should I send it?</x:v>
      </x:c>
      <x:c r="AW696" s="76" t="str">
        <x:v>Hi T &amp; N Septic Tank Co, Ryan here. I was looking at T &amp; N Septic Tank Co's public marketing and noticed: 468 google reviews; no embedded homepage video found. I mapped one private small symptom to prevented-emergency ad as an example. Did I catch you with 30 seconds?</x:v>
      </x:c>
      <x:c r="AX696" s="60" t="str">
        <x:v>https://www.facebook.com/ads/library/?active_status=active&amp;ad_type=all&amp;country=US&amp;q=T%20%26%20N%20Septic%20Tank%20Co&amp;search_type=keyword_unordered</x:v>
      </x:c>
      <x:c r="AY696" s="60" t="str">
        <x:v>ok:200</x:v>
      </x:c>
      <x:c r="AZ696" s="60" t="n">
        <x:v>46232.722858796296</x:v>
      </x:c>
      <x:c r="BA696" s="60" t="str">
        <x:v>Google Maps home-services export</x:v>
      </x:c>
      <x:c r="BB696" s="60" t="str">
        <x:v>https://maps.google.com/?cid=14120348662571614823&amp;g_mp=Cidnb29nbGUubWFwcy5wbGFjZXMudjEuUGxhY2VzLlNlYXJjaFRleHQQAhgEIAA | https://tandnseptictank.com</x:v>
      </x:c>
      <x:c r="BC696" s="60" t="str"/>
    </x:row>
    <x:row r="697" ht="18" customHeight="1">
      <x:c r="A697" s="70" t="str">
        <x:v>696</x:v>
      </x:c>
      <x:c r="B697" s="70" t="str">
        <x:v>C - Verify</x:v>
      </x:c>
      <x:c r="C697" s="72" t="str">
        <x:v>46</x:v>
      </x:c>
      <x:c r="D697" s="60" t="str">
        <x:v>Saje General Contractors</x:v>
      </x:c>
      <x:c r="E697" s="60" t="str">
        <x:v>https://sajegc.com</x:v>
      </x:c>
      <x:c r="F697" s="60" t="str">
        <x:v>https://sajegc.com</x:v>
      </x:c>
      <x:c r="G697" s="60" t="str">
        <x:v>Taylors</x:v>
      </x:c>
      <x:c r="H697" s="60" t="str">
        <x:v>South Carolina</x:v>
      </x:c>
      <x:c r="I697" s="60" t="str">
        <x:v>Remodeling</x:v>
      </x:c>
      <x:c r="J697" s="60" t="str">
        <x:v>Stephen</x:v>
      </x:c>
      <x:c r="K697" s="60" t="str">
        <x:v>Glover</x:v>
      </x:c>
      <x:c r="L697" s="60" t="str">
        <x:v>Owner / Founder</x:v>
      </x:c>
      <x:c r="M697" s="60" t="str">
        <x:v>stephen@sajegc.com</x:v>
      </x:c>
      <x:c r="N697" s="60" t="str">
        <x:v>Verified with BounceBan on 08 Jun 26 12:06</x:v>
      </x:c>
      <x:c r="O697" s="60" t="str">
        <x:v>+1 404 983 5905</x:v>
      </x:c>
      <x:c r="P697" s="60" t="str">
        <x:v>https://www.linkedin.com/in/stephen-glover-7aa579b1</x:v>
      </x:c>
      <x:c r="Q697" s="60" t="str">
        <x:v>2-10</x:v>
      </x:c>
      <x:c r="R697" s="60" t="str">
        <x:v>0-99999</x:v>
      </x:c>
      <x:c r="S697" s="60" t="str"/>
      <x:c r="T697" s="74" t="str">
        <x:v>0</x:v>
      </x:c>
      <x:c r="U697" s="60" t="str"/>
      <x:c r="V697" s="74" t="str">
        <x:v>25</x:v>
      </x:c>
      <x:c r="W697" s="74" t="str">
        <x:v>0</x:v>
      </x:c>
      <x:c r="X697" s="74" t="str">
        <x:v>6</x:v>
      </x:c>
      <x:c r="Y697" s="74" t="str">
        <x:v>5</x:v>
      </x:c>
      <x:c r="Z697" s="74" t="str">
        <x:v>10</x:v>
      </x:c>
      <x:c r="AA697" s="74" t="str">
        <x:v>0</x:v>
      </x:c>
      <x:c r="AB697" s="74" t="str">
        <x:v>0</x:v>
      </x:c>
      <x:c r="AC697" s="74" t="str">
        <x:v>0</x:v>
      </x:c>
      <x:c r="AD697" s="74" t="str">
        <x:v>0</x:v>
      </x:c>
      <x:c r="AE697" s="74" t="str">
        <x:v>0</x:v>
      </x:c>
      <x:c r="AF697" s="74" t="str"/>
      <x:c r="AG697" s="74" t="str">
        <x:v>0</x:v>
      </x:c>
      <x:c r="AH697" s="74" t="str">
        <x:v>1</x:v>
      </x:c>
      <x:c r="AI697" s="74" t="str">
        <x:v>0</x:v>
      </x:c>
      <x:c r="AJ697" s="74" t="str">
        <x:v>0</x:v>
      </x:c>
      <x:c r="AK697" s="74" t="str">
        <x:v>0</x:v>
      </x:c>
      <x:c r="AL697" s="74" t="str">
        <x:v>1</x:v>
      </x:c>
      <x:c r="AM697" s="74" t="str">
        <x:v>1</x:v>
      </x:c>
      <x:c r="AN697" s="74" t="str">
        <x:v>0</x:v>
      </x:c>
      <x:c r="AO697" s="60" t="str">
        <x:v>0</x:v>
      </x:c>
      <x:c r="AP697" s="76" t="str">
        <x:v>Project/gallery proof found; no embedded homepage video found</x:v>
      </x:c>
      <x:c r="AQ697" s="76" t="str">
        <x:v>project/gallery proof; no embedded homepage video detected</x:v>
      </x:c>
      <x:c r="AR697" s="76" t="str">
        <x:v>I found project/gallery proof on Saje General Contractors's site that could be repackaged into short-form ad concepts.</x:v>
      </x:c>
      <x:c r="AS697" s="76" t="str">
        <x:v>project reveal with budget-and-timeline proof</x:v>
      </x:c>
      <x:c r="AT697" s="76" t="str">
        <x:v>Saje General Contractors ad concept</x:v>
      </x:c>
      <x:c r="AU697" s="76" t="str">
        <x:v>Hi Stephen — I found project/gallery proof on Saje General Contractors's site that could be repackaged into short-form ad concepts. I mapped a private 15-second project reveal with budget-and-timeline proof for Saje General Contractors using only public brand context—not for publishing, just to show the angle. We build three client-approved video ad concepts in seven days, then turn the winners into fresh variations. No filming day required. Worth sending the private sample?</x:v>
      </x:c>
      <x:c r="AV697" s="76" t="str">
        <x:v>Quick follow-up: the sample angle is a project reveal with budget-and-timeline proof. If it misses the mark, no problem—I won't keep chasing. Should I send it?</x:v>
      </x:c>
      <x:c r="AW697" s="76" t="str">
        <x:v>Hi Stephen, Ryan here. I was looking at Saje General Contractors's public marketing and noticed: project/gallery proof found; no embedded homepage video found. I mapped one private project reveal with budget-and-timeline proof as an example. Did I catch you with 30 seconds?</x:v>
      </x:c>
      <x:c r="AX697" s="60" t="str">
        <x:v>https://www.facebook.com/ads/library/?active_status=active&amp;ad_type=all&amp;country=US&amp;q=Saje%20General%20Contractors&amp;search_type=keyword_unordered</x:v>
      </x:c>
      <x:c r="AY697" s="60" t="str">
        <x:v>ok:200</x:v>
      </x:c>
      <x:c r="AZ697" s="60" t="n">
        <x:v>46232.722858796296</x:v>
      </x:c>
      <x:c r="BA697" s="60" t="str">
        <x:v>AI Ark SC trades export</x:v>
      </x:c>
      <x:c r="BB697" s="60" t="str">
        <x:v>https://sajegc.com | https://www.linkedin.com/company/sajegc</x:v>
      </x:c>
      <x:c r="BC697" s="60" t="str"/>
    </x:row>
    <x:row r="698" ht="18" customHeight="1">
      <x:c r="A698" s="70" t="str">
        <x:v>697</x:v>
      </x:c>
      <x:c r="B698" s="70" t="str">
        <x:v>C - Verify</x:v>
      </x:c>
      <x:c r="C698" s="72" t="str">
        <x:v>46</x:v>
      </x:c>
      <x:c r="D698" s="60" t="str">
        <x:v>Connelly Builders &amp; Development</x:v>
      </x:c>
      <x:c r="E698" s="60" t="str">
        <x:v>https://connellybuilders.com</x:v>
      </x:c>
      <x:c r="F698" s="60" t="str">
        <x:v>https://www.connellybuilders.com/</x:v>
      </x:c>
      <x:c r="G698" s="60" t="str">
        <x:v>Lexington County</x:v>
      </x:c>
      <x:c r="H698" s="60" t="str">
        <x:v>South Carolina</x:v>
      </x:c>
      <x:c r="I698" s="60" t="str">
        <x:v>General Contractor</x:v>
      </x:c>
      <x:c r="J698" s="60" t="str">
        <x:v>Kevin</x:v>
      </x:c>
      <x:c r="K698" s="60" t="str">
        <x:v>Connelly</x:v>
      </x:c>
      <x:c r="L698" s="60" t="str">
        <x:v>President / Owner</x:v>
      </x:c>
      <x:c r="M698" s="60" t="str">
        <x:v>tkc@connellybuilders.com</x:v>
      </x:c>
      <x:c r="N698" s="60" t="str">
        <x:v>Verified with BounceBan on 08 Jun 26 12:06</x:v>
      </x:c>
      <x:c r="O698" s="60" t="str">
        <x:v>+1 803 513 1056</x:v>
      </x:c>
      <x:c r="P698" s="60" t="str">
        <x:v>https://www.linkedin.com/in/kevin-connelly-73303115</x:v>
      </x:c>
      <x:c r="Q698" s="60" t="str">
        <x:v>11-50</x:v>
      </x:c>
      <x:c r="R698" s="60" t="str">
        <x:v>1000000-4999999</x:v>
      </x:c>
      <x:c r="S698" s="60" t="str"/>
      <x:c r="T698" s="74" t="str">
        <x:v>0</x:v>
      </x:c>
      <x:c r="U698" s="60" t="str"/>
      <x:c r="V698" s="74" t="str">
        <x:v>27</x:v>
      </x:c>
      <x:c r="W698" s="74" t="str">
        <x:v>0</x:v>
      </x:c>
      <x:c r="X698" s="74" t="str">
        <x:v>4</x:v>
      </x:c>
      <x:c r="Y698" s="74" t="str">
        <x:v>5</x:v>
      </x:c>
      <x:c r="Z698" s="74" t="str">
        <x:v>10</x:v>
      </x:c>
      <x:c r="AA698" s="74" t="str">
        <x:v>0</x:v>
      </x:c>
      <x:c r="AB698" s="74" t="str">
        <x:v>0</x:v>
      </x:c>
      <x:c r="AC698" s="74" t="str">
        <x:v>0</x:v>
      </x:c>
      <x:c r="AD698" s="74" t="str">
        <x:v>0</x:v>
      </x:c>
      <x:c r="AE698" s="74" t="str">
        <x:v>0</x:v>
      </x:c>
      <x:c r="AF698" s="74" t="str"/>
      <x:c r="AG698" s="74" t="str">
        <x:v>1</x:v>
      </x:c>
      <x:c r="AH698" s="74" t="str">
        <x:v>1</x:v>
      </x:c>
      <x:c r="AI698" s="74" t="str">
        <x:v>0</x:v>
      </x:c>
      <x:c r="AJ698" s="74" t="str">
        <x:v>0</x:v>
      </x:c>
      <x:c r="AK698" s="74" t="str">
        <x:v>0</x:v>
      </x:c>
      <x:c r="AL698" s="74" t="str">
        <x:v>0</x:v>
      </x:c>
      <x:c r="AM698" s="74" t="str">
        <x:v>0</x:v>
      </x:c>
      <x:c r="AN698" s="74" t="str">
        <x:v>0</x:v>
      </x:c>
      <x:c r="AO698" s="60" t="str">
        <x:v>0</x:v>
      </x:c>
      <x:c r="AP698" s="76" t="str">
        <x:v>ICP fit; paid-demand need requires manual verification</x:v>
      </x:c>
      <x:c r="AQ698" s="76" t="str">
        <x:v>project/gallery proof</x:v>
      </x:c>
      <x:c r="AR698" s="76" t="str">
        <x:v>I was reviewing general contractor companies in Lexington County, South Carolina and Connelly Builders &amp; Development looked like a strong fit for a creative test.</x:v>
      </x:c>
      <x:c r="AS698" s="76" t="str">
        <x:v>project walkthrough with proof milestones</x:v>
      </x:c>
      <x:c r="AT698" s="76" t="str">
        <x:v>Connelly Builders &amp; Development ad concept</x:v>
      </x:c>
      <x:c r="AU698" s="76" t="str">
        <x:v>Hi Kevin — I was reviewing general contractor companies in Lexington County, South Carolina and Connelly Builders &amp; Development looked like a strong fit for a creative test. I mapped a private 15-second project walkthrough with proof milestones for Connelly Builders &amp; Development using only public brand context—not for publishing, just to show the angle. We build three client-approved video ad concepts in seven days, then turn the winners into fresh variations. No filming day required. Worth sending the private sample?</x:v>
      </x:c>
      <x:c r="AV698" s="76" t="str">
        <x:v>Quick follow-up: the sample angle is a project walkthrough with proof milestones. If it misses the mark, no problem—I won't keep chasing. Should I send it?</x:v>
      </x:c>
      <x:c r="AW698" s="76" t="str">
        <x:v>Hi Kevin, Ryan here. I was looking at Connelly Builders &amp; Development's public marketing and noticed: icp fit; paid-demand need requires manual verification. I mapped one private project walkthrough with proof milestones as an example. Did I catch you with 30 seconds?</x:v>
      </x:c>
      <x:c r="AX698" s="60" t="str">
        <x:v>https://www.facebook.com/ads/library/?active_status=active&amp;ad_type=all&amp;country=US&amp;q=Connelly%20Builders%20%26%20Development&amp;search_type=keyword_unordered</x:v>
      </x:c>
      <x:c r="AY698" s="60" t="str">
        <x:v>ok:200</x:v>
      </x:c>
      <x:c r="AZ698" s="60" t="n">
        <x:v>46232.722858796296</x:v>
      </x:c>
      <x:c r="BA698" s="60" t="str">
        <x:v>AI Ark SC trades export</x:v>
      </x:c>
      <x:c r="BB698" s="60" t="str">
        <x:v>https://connellybuilders.com | https://www.linkedin.com/company/connelly-builders-&amp;-development</x:v>
      </x:c>
      <x:c r="BC698" s="60" t="str"/>
    </x:row>
    <x:row r="699" ht="18" customHeight="1">
      <x:c r="A699" s="70" t="str">
        <x:v>698</x:v>
      </x:c>
      <x:c r="B699" s="70" t="str">
        <x:v>C - Verify</x:v>
      </x:c>
      <x:c r="C699" s="72" t="str">
        <x:v>46</x:v>
      </x:c>
      <x:c r="D699" s="60" t="str">
        <x:v>Bella Homes</x:v>
      </x:c>
      <x:c r="E699" s="60" t="str">
        <x:v>https://scbellahomes.com</x:v>
      </x:c>
      <x:c r="F699" s="60" t="str">
        <x:v>https://scbellahomes.com</x:v>
      </x:c>
      <x:c r="G699" s="60" t="str">
        <x:v>Myrtle Beach</x:v>
      </x:c>
      <x:c r="H699" s="60" t="str">
        <x:v>South Carolina</x:v>
      </x:c>
      <x:c r="I699" s="60" t="str">
        <x:v>Remodeling</x:v>
      </x:c>
      <x:c r="J699" s="60" t="str">
        <x:v>Josh</x:v>
      </x:c>
      <x:c r="K699" s="60" t="str">
        <x:v>Moro</x:v>
      </x:c>
      <x:c r="L699" s="60" t="str">
        <x:v>Owner</x:v>
      </x:c>
      <x:c r="M699" s="60" t="str">
        <x:v>jmoro@scbellahomes.com</x:v>
      </x:c>
      <x:c r="N699" s="60" t="str">
        <x:v>Verified with BounceBan on 08 Jun 26 12:06</x:v>
      </x:c>
      <x:c r="O699" s="60" t="str">
        <x:v>+1 843 455 4863, +1 843 902 6833</x:v>
      </x:c>
      <x:c r="P699" s="60" t="str">
        <x:v>https://www.linkedin.com/in/scbellahomes</x:v>
      </x:c>
      <x:c r="Q699" s="60" t="str">
        <x:v>2-10</x:v>
      </x:c>
      <x:c r="R699" s="60" t="str">
        <x:v>100000-499999</x:v>
      </x:c>
      <x:c r="S699" s="60" t="str"/>
      <x:c r="T699" s="74" t="str">
        <x:v>0</x:v>
      </x:c>
      <x:c r="U699" s="60" t="str"/>
      <x:c r="V699" s="74" t="str">
        <x:v>25</x:v>
      </x:c>
      <x:c r="W699" s="74" t="str">
        <x:v>0</x:v>
      </x:c>
      <x:c r="X699" s="74" t="str">
        <x:v>6</x:v>
      </x:c>
      <x:c r="Y699" s="74" t="str">
        <x:v>5</x:v>
      </x:c>
      <x:c r="Z699" s="74" t="str">
        <x:v>10</x:v>
      </x:c>
      <x:c r="AA699" s="74" t="str">
        <x:v>0</x:v>
      </x:c>
      <x:c r="AB699" s="74" t="str">
        <x:v>0</x:v>
      </x:c>
      <x:c r="AC699" s="74" t="str">
        <x:v>0</x:v>
      </x:c>
      <x:c r="AD699" s="74" t="str">
        <x:v>0</x:v>
      </x:c>
      <x:c r="AE699" s="74" t="str">
        <x:v>0</x:v>
      </x:c>
      <x:c r="AF699" s="74" t="str"/>
      <x:c r="AG699" s="74" t="str">
        <x:v>0</x:v>
      </x:c>
      <x:c r="AH699" s="74" t="str">
        <x:v>1</x:v>
      </x:c>
      <x:c r="AI699" s="74" t="str">
        <x:v>0</x:v>
      </x:c>
      <x:c r="AJ699" s="74" t="str">
        <x:v>0</x:v>
      </x:c>
      <x:c r="AK699" s="74" t="str">
        <x:v>0</x:v>
      </x:c>
      <x:c r="AL699" s="74" t="str">
        <x:v>1</x:v>
      </x:c>
      <x:c r="AM699" s="74" t="str">
        <x:v>1</x:v>
      </x:c>
      <x:c r="AN699" s="74" t="str">
        <x:v>0</x:v>
      </x:c>
      <x:c r="AO699" s="60" t="str">
        <x:v>0</x:v>
      </x:c>
      <x:c r="AP699" s="76" t="str">
        <x:v>Project/gallery proof found; no embedded homepage video found</x:v>
      </x:c>
      <x:c r="AQ699" s="76" t="str">
        <x:v>project/gallery proof; no embedded homepage video detected</x:v>
      </x:c>
      <x:c r="AR699" s="76" t="str">
        <x:v>I found project/gallery proof on Bella Homes's site that could be repackaged into short-form ad concepts.</x:v>
      </x:c>
      <x:c r="AS699" s="76" t="str">
        <x:v>project reveal with budget-and-timeline proof</x:v>
      </x:c>
      <x:c r="AT699" s="76" t="str">
        <x:v>Bella Homes ad concept</x:v>
      </x:c>
      <x:c r="AU699" s="76" t="str">
        <x:v>Hi Josh — I found project/gallery proof on Bella Homes's site that could be repackaged into short-form ad concepts. I mapped a private 15-second project reveal with budget-and-timeline proof for Bella Homes using only public brand context—not for publishing, just to show the angle. We build three client-approved video ad concepts in seven days, then turn the winners into fresh variations. No filming day required. Worth sending the private sample?</x:v>
      </x:c>
      <x:c r="AV699" s="76" t="str">
        <x:v>Quick follow-up: the sample angle is a project reveal with budget-and-timeline proof. If it misses the mark, no problem—I won't keep chasing. Should I send it?</x:v>
      </x:c>
      <x:c r="AW699" s="76" t="str">
        <x:v>Hi Josh, Ryan here. I was looking at Bella Homes's public marketing and noticed: project/gallery proof found; no embedded homepage video found. I mapped one private project reveal with budget-and-timeline proof as an example. Did I catch you with 30 seconds?</x:v>
      </x:c>
      <x:c r="AX699" s="60" t="str">
        <x:v>https://www.facebook.com/ads/library/?active_status=active&amp;ad_type=all&amp;country=US&amp;q=Bella%20Homes&amp;search_type=keyword_unordered</x:v>
      </x:c>
      <x:c r="AY699" s="60" t="str">
        <x:v>ok:200</x:v>
      </x:c>
      <x:c r="AZ699" s="60" t="n">
        <x:v>46232.722858796296</x:v>
      </x:c>
      <x:c r="BA699" s="60" t="str">
        <x:v>AI Ark SC trades export</x:v>
      </x:c>
      <x:c r="BB699" s="60" t="str">
        <x:v>https://scbellahomes.com | https://www.linkedin.com/company/scbellahomes</x:v>
      </x:c>
      <x:c r="BC699" s="60" t="str"/>
    </x:row>
    <x:row r="700" ht="18" customHeight="1">
      <x:c r="A700" s="70" t="str">
        <x:v>699</x:v>
      </x:c>
      <x:c r="B700" s="70" t="str">
        <x:v>C - Verify</x:v>
      </x:c>
      <x:c r="C700" s="72" t="str">
        <x:v>46</x:v>
      </x:c>
      <x:c r="D700" s="60" t="str">
        <x:v>Snyder Construction Services, Inc.</x:v>
      </x:c>
      <x:c r="E700" s="60" t="str">
        <x:v>https://sawdust-sc.com</x:v>
      </x:c>
      <x:c r="F700" s="60" t="str">
        <x:v>https://sawdust-sc.com</x:v>
      </x:c>
      <x:c r="G700" s="60" t="str">
        <x:v>Greenville</x:v>
      </x:c>
      <x:c r="H700" s="60" t="str">
        <x:v>South Carolina</x:v>
      </x:c>
      <x:c r="I700" s="60" t="str">
        <x:v>Remodeling</x:v>
      </x:c>
      <x:c r="J700" s="60" t="str">
        <x:v>Josh</x:v>
      </x:c>
      <x:c r="K700" s="60" t="str">
        <x:v>Snyder</x:v>
      </x:c>
      <x:c r="L700" s="60" t="str">
        <x:v>Owner</x:v>
      </x:c>
      <x:c r="M700" s="60" t="str">
        <x:v>josh@sawdust-sc.com</x:v>
      </x:c>
      <x:c r="N700" s="60" t="str">
        <x:v>Verified with BounceBan on 08 Jun 26 12:06</x:v>
      </x:c>
      <x:c r="O700" s="60" t="str"/>
      <x:c r="P700" s="60" t="str">
        <x:v>https://www.linkedin.com/in/joshsnydergvl</x:v>
      </x:c>
      <x:c r="Q700" s="60" t="str">
        <x:v>11-50</x:v>
      </x:c>
      <x:c r="R700" s="60" t="str">
        <x:v>100000-499999</x:v>
      </x:c>
      <x:c r="S700" s="60" t="str"/>
      <x:c r="T700" s="74" t="str">
        <x:v>0</x:v>
      </x:c>
      <x:c r="U700" s="60" t="str"/>
      <x:c r="V700" s="74" t="str">
        <x:v>28</x:v>
      </x:c>
      <x:c r="W700" s="74" t="str">
        <x:v>0</x:v>
      </x:c>
      <x:c r="X700" s="74" t="str">
        <x:v>6</x:v>
      </x:c>
      <x:c r="Y700" s="74" t="str">
        <x:v>5</x:v>
      </x:c>
      <x:c r="Z700" s="74" t="str">
        <x:v>7</x:v>
      </x:c>
      <x:c r="AA700" s="74" t="str">
        <x:v>0</x:v>
      </x:c>
      <x:c r="AB700" s="74" t="str">
        <x:v>0</x:v>
      </x:c>
      <x:c r="AC700" s="74" t="str">
        <x:v>0</x:v>
      </x:c>
      <x:c r="AD700" s="74" t="str">
        <x:v>0</x:v>
      </x:c>
      <x:c r="AE700" s="74" t="str">
        <x:v>0</x:v>
      </x:c>
      <x:c r="AF700" s="74" t="str"/>
      <x:c r="AG700" s="74" t="str">
        <x:v>0</x:v>
      </x:c>
      <x:c r="AH700" s="74" t="str">
        <x:v>1</x:v>
      </x:c>
      <x:c r="AI700" s="74" t="str">
        <x:v>0</x:v>
      </x:c>
      <x:c r="AJ700" s="74" t="str">
        <x:v>0</x:v>
      </x:c>
      <x:c r="AK700" s="74" t="str">
        <x:v>0</x:v>
      </x:c>
      <x:c r="AL700" s="74" t="str">
        <x:v>1</x:v>
      </x:c>
      <x:c r="AM700" s="74" t="str">
        <x:v>1</x:v>
      </x:c>
      <x:c r="AN700" s="74" t="str">
        <x:v>0</x:v>
      </x:c>
      <x:c r="AO700" s="60" t="str">
        <x:v>2026</x:v>
      </x:c>
      <x:c r="AP700" s="76" t="str">
        <x:v>Project/gallery proof found; no embedded homepage video found</x:v>
      </x:c>
      <x:c r="AQ700" s="76" t="str">
        <x:v>project/gallery proof; no embedded homepage video detected</x:v>
      </x:c>
      <x:c r="AR700" s="76" t="str">
        <x:v>I found project/gallery proof on Snyder Construction Services, Inc.'s site that could be repackaged into short-form ad concepts.</x:v>
      </x:c>
      <x:c r="AS700" s="76" t="str">
        <x:v>project reveal with budget-and-timeline proof</x:v>
      </x:c>
      <x:c r="AT700" s="76" t="str">
        <x:v>Snyder Construction Services, Inc. ad concept</x:v>
      </x:c>
      <x:c r="AU700" s="76" t="str">
        <x:v>Hi Josh — I found project/gallery proof on Snyder Construction Services, Inc.'s site that could be repackaged into short-form ad concepts. I mapped a private 15-second project reveal with budget-and-timeline proof for Snyder Construction Services, Inc. using only public brand context—not for publishing, just to show the angle. We build three client-approved video ad concepts in seven days, then turn the winners into fresh variations. No filming day required. Worth sending the private sample?</x:v>
      </x:c>
      <x:c r="AV700" s="76" t="str">
        <x:v>Quick follow-up: the sample angle is a project reveal with budget-and-timeline proof. If it misses the mark, no problem—I won't keep chasing. Should I send it?</x:v>
      </x:c>
      <x:c r="AW700" s="76" t="str">
        <x:v>Hi Josh, Ryan here. I was looking at Snyder Construction Services, Inc.'s public marketing and noticed: project/gallery proof found; no embedded homepage video found. I mapped one private project reveal with budget-and-timeline proof as an example. Did I catch you with 30 seconds?</x:v>
      </x:c>
      <x:c r="AX700" s="60" t="str">
        <x:v>https://www.facebook.com/ads/library/?active_status=active&amp;ad_type=all&amp;country=US&amp;q=Snyder%20Construction%20Services%2C%20Inc.&amp;search_type=keyword_unordered</x:v>
      </x:c>
      <x:c r="AY700" s="60" t="str">
        <x:v>ok:200</x:v>
      </x:c>
      <x:c r="AZ700" s="60" t="n">
        <x:v>46232.722858796296</x:v>
      </x:c>
      <x:c r="BA700" s="60" t="str">
        <x:v>AI Ark SC trades export</x:v>
      </x:c>
      <x:c r="BB700" s="60" t="str">
        <x:v>https://sawdust-sc.com | https://www.linkedin.com/company/scsgvl</x:v>
      </x:c>
      <x:c r="BC700" s="60" t="str"/>
    </x:row>
    <x:row r="701" ht="18" customHeight="1">
      <x:c r="A701" s="70" t="str">
        <x:v>700</x:v>
      </x:c>
      <x:c r="B701" s="70" t="str">
        <x:v>C - Verify</x:v>
      </x:c>
      <x:c r="C701" s="72" t="str">
        <x:v>46</x:v>
      </x:c>
      <x:c r="D701" s="60" t="str">
        <x:v>Upscale Construction</x:v>
      </x:c>
      <x:c r="E701" s="60" t="str">
        <x:v>https://upscaleconstruction.com</x:v>
      </x:c>
      <x:c r="F701" s="60" t="str">
        <x:v>https://www.upscaleconstruction.com/</x:v>
      </x:c>
      <x:c r="G701" s="60" t="str">
        <x:v>Boiling Springs</x:v>
      </x:c>
      <x:c r="H701" s="60" t="str">
        <x:v>South Carolina</x:v>
      </x:c>
      <x:c r="I701" s="60" t="str">
        <x:v>Remodeling</x:v>
      </x:c>
      <x:c r="J701" s="60" t="str">
        <x:v>Ben</x:v>
      </x:c>
      <x:c r="K701" s="60" t="str">
        <x:v>Bradner</x:v>
      </x:c>
      <x:c r="L701" s="60" t="str">
        <x:v>owner</x:v>
      </x:c>
      <x:c r="M701" s="60" t="str"/>
      <x:c r="N701" s="60" t="str"/>
      <x:c r="O701" s="60" t="str">
        <x:v>+1 864 809 6699</x:v>
      </x:c>
      <x:c r="P701" s="60" t="str">
        <x:v>https://www.linkedin.com/in/ben-bradner-4b474193</x:v>
      </x:c>
      <x:c r="Q701" s="60" t="str">
        <x:v>51-200</x:v>
      </x:c>
      <x:c r="R701" s="60" t="str">
        <x:v>1000000-4999999</x:v>
      </x:c>
      <x:c r="S701" s="60" t="str"/>
      <x:c r="T701" s="74" t="str">
        <x:v>0</x:v>
      </x:c>
      <x:c r="U701" s="60" t="str"/>
      <x:c r="V701" s="74" t="str">
        <x:v>30</x:v>
      </x:c>
      <x:c r="W701" s="74" t="str">
        <x:v>0</x:v>
      </x:c>
      <x:c r="X701" s="74" t="str">
        <x:v>6</x:v>
      </x:c>
      <x:c r="Y701" s="74" t="str">
        <x:v>5</x:v>
      </x:c>
      <x:c r="Z701" s="74" t="str">
        <x:v>5</x:v>
      </x:c>
      <x:c r="AA701" s="74" t="str">
        <x:v>0</x:v>
      </x:c>
      <x:c r="AB701" s="74" t="str">
        <x:v>0</x:v>
      </x:c>
      <x:c r="AC701" s="74" t="str">
        <x:v>0</x:v>
      </x:c>
      <x:c r="AD701" s="74" t="str">
        <x:v>0</x:v>
      </x:c>
      <x:c r="AE701" s="74" t="str">
        <x:v>0</x:v>
      </x:c>
      <x:c r="AF701" s="74" t="str"/>
      <x:c r="AG701" s="74" t="str">
        <x:v>0</x:v>
      </x:c>
      <x:c r="AH701" s="74" t="str">
        <x:v>1</x:v>
      </x:c>
      <x:c r="AI701" s="74" t="str">
        <x:v>0</x:v>
      </x:c>
      <x:c r="AJ701" s="74" t="str">
        <x:v>0</x:v>
      </x:c>
      <x:c r="AK701" s="74" t="str">
        <x:v>0</x:v>
      </x:c>
      <x:c r="AL701" s="74" t="str">
        <x:v>1</x:v>
      </x:c>
      <x:c r="AM701" s="74" t="str">
        <x:v>0</x:v>
      </x:c>
      <x:c r="AN701" s="74" t="str">
        <x:v>0</x:v>
      </x:c>
      <x:c r="AO701" s="60" t="str">
        <x:v>2026</x:v>
      </x:c>
      <x:c r="AP701" s="76" t="str">
        <x:v>Project/gallery proof found; no embedded homepage video found</x:v>
      </x:c>
      <x:c r="AQ701" s="76" t="str">
        <x:v>project/gallery proof; no embedded homepage video detected</x:v>
      </x:c>
      <x:c r="AR701" s="76" t="str">
        <x:v>I found project/gallery proof on Upscale Construction's site that could be repackaged into short-form ad concepts.</x:v>
      </x:c>
      <x:c r="AS701" s="76" t="str">
        <x:v>project reveal with budget-and-timeline proof</x:v>
      </x:c>
      <x:c r="AT701" s="76" t="str">
        <x:v>Upscale Construction ad concept</x:v>
      </x:c>
      <x:c r="AU701" s="76" t="str">
        <x:v>Hi Ben — I found project/gallery proof on Upscale Construction's site that could be repackaged into short-form ad concepts. I mapped a private 15-second project reveal with budget-and-timeline proof for Upscale Construction using only public brand context—not for publishing, just to show the angle. We build three client-approved video ad concepts in seven days, then turn the winners into fresh variations. No filming day required. Worth sending the private sample?</x:v>
      </x:c>
      <x:c r="AV701" s="76" t="str">
        <x:v>Quick follow-up: the sample angle is a project reveal with budget-and-timeline proof. If it misses the mark, no problem—I won't keep chasing. Should I send it?</x:v>
      </x:c>
      <x:c r="AW701" s="76" t="str">
        <x:v>Hi Ben, Ryan here. I was looking at Upscale Construction's public marketing and noticed: project/gallery proof found; no embedded homepage video found. I mapped one private project reveal with budget-and-timeline proof as an example. Did I catch you with 30 seconds?</x:v>
      </x:c>
      <x:c r="AX701" s="60" t="str">
        <x:v>https://www.facebook.com/ads/library/?active_status=active&amp;ad_type=all&amp;country=US&amp;q=Upscale%20Construction&amp;search_type=keyword_unordered</x:v>
      </x:c>
      <x:c r="AY701" s="60" t="str">
        <x:v>ok:200</x:v>
      </x:c>
      <x:c r="AZ701" s="60" t="n">
        <x:v>46232.722858796296</x:v>
      </x:c>
      <x:c r="BA701" s="60" t="str">
        <x:v>AI Ark SC trades export</x:v>
      </x:c>
      <x:c r="BB701" s="60" t="str">
        <x:v>https://upscaleconstruction.com | https://www.linkedin.com/company/upscale-construction</x:v>
      </x:c>
      <x:c r="BC701" s="60" t="str"/>
    </x:row>
    <x:row r="702" ht="18" customHeight="1">
      <x:c r="A702" s="70" t="str">
        <x:v>701</x:v>
      </x:c>
      <x:c r="B702" s="70" t="str">
        <x:v>C - Verify</x:v>
      </x:c>
      <x:c r="C702" s="72" t="str">
        <x:v>46</x:v>
      </x:c>
      <x:c r="D702" s="60" t="str">
        <x:v>Hoyts Heating &amp; Air Conditioning, Inc.</x:v>
      </x:c>
      <x:c r="E702" s="60" t="str">
        <x:v>https://hoytshvac.com</x:v>
      </x:c>
      <x:c r="F702" s="60" t="str">
        <x:v>http://hoytshvac.com/home/</x:v>
      </x:c>
      <x:c r="G702" s="60" t="str">
        <x:v>Sumter</x:v>
      </x:c>
      <x:c r="H702" s="60" t="str">
        <x:v>South Carolina</x:v>
      </x:c>
      <x:c r="I702" s="60" t="str">
        <x:v>HVAC</x:v>
      </x:c>
      <x:c r="J702" s="60" t="str">
        <x:v>Hoyts Heating &amp; Air Conditioning, Inc.</x:v>
      </x:c>
      <x:c r="K702" s="60" t="str"/>
      <x:c r="L702" s="60" t="str">
        <x:v>Owner / decision maker to verify</x:v>
      </x:c>
      <x:c r="M702" s="60" t="str"/>
      <x:c r="N702" s="60" t="str"/>
      <x:c r="O702" s="60" t="str">
        <x:v>(803) 775-1378</x:v>
      </x:c>
      <x:c r="P702" s="60" t="str"/>
      <x:c r="Q702" s="60" t="str"/>
      <x:c r="R702" s="60" t="str"/>
      <x:c r="S702" s="60" t="str">
        <x:v>4.6</x:v>
      </x:c>
      <x:c r="T702" s="74" t="str">
        <x:v>14</x:v>
      </x:c>
      <x:c r="U702" s="60" t="str">
        <x:v>missed_calls, slow_response</x:v>
      </x:c>
      <x:c r="V702" s="74" t="str">
        <x:v>24</x:v>
      </x:c>
      <x:c r="W702" s="74" t="str">
        <x:v>0</x:v>
      </x:c>
      <x:c r="X702" s="74" t="str">
        <x:v>12</x:v>
      </x:c>
      <x:c r="Y702" s="74" t="str">
        <x:v>5</x:v>
      </x:c>
      <x:c r="Z702" s="74" t="str">
        <x:v>5</x:v>
      </x:c>
      <x:c r="AA702" s="74" t="str">
        <x:v>0</x:v>
      </x:c>
      <x:c r="AB702" s="74" t="str">
        <x:v>0</x:v>
      </x:c>
      <x:c r="AC702" s="74" t="str">
        <x:v>0</x:v>
      </x:c>
      <x:c r="AD702" s="74" t="str">
        <x:v>0</x:v>
      </x:c>
      <x:c r="AE702" s="74" t="str">
        <x:v>0</x:v>
      </x:c>
      <x:c r="AF702" s="74" t="str"/>
      <x:c r="AG702" s="74" t="str">
        <x:v>0</x:v>
      </x:c>
      <x:c r="AH702" s="74" t="str">
        <x:v>1</x:v>
      </x:c>
      <x:c r="AI702" s="74" t="str">
        <x:v>0</x:v>
      </x:c>
      <x:c r="AJ702" s="74" t="str">
        <x:v>0</x:v>
      </x:c>
      <x:c r="AK702" s="74" t="str">
        <x:v>0</x:v>
      </x:c>
      <x:c r="AL702" s="74" t="str">
        <x:v>0</x:v>
      </x:c>
      <x:c r="AM702" s="74" t="str">
        <x:v>0</x:v>
      </x:c>
      <x:c r="AN702" s="74" t="str">
        <x:v>0</x:v>
      </x:c>
      <x:c r="AO702" s="60" t="str">
        <x:v>0</x:v>
      </x:c>
      <x:c r="AP702" s="76" t="str">
        <x:v>Project/gallery proof found; no embedded homepage video found</x:v>
      </x:c>
      <x:c r="AQ702" s="76" t="str">
        <x:v>project/gallery proof; no embedded homepage video detected</x:v>
      </x:c>
      <x:c r="AR702" s="76" t="str">
        <x:v>I found project/gallery proof on Hoyts Heating &amp; Air Conditioning, Inc.'s site that could be repackaged into short-form ad concepts.</x:v>
      </x:c>
      <x:c r="AS702" s="76" t="str">
        <x:v>no-cool-call to same-day comfort ad</x:v>
      </x:c>
      <x:c r="AT702" s="76" t="str">
        <x:v>Hoyts Heating &amp; Air Conditioning, Inc. ad concept</x:v>
      </x:c>
      <x:c r="AU702" s="76" t="str">
        <x:v>Hi Hoyts Heating &amp; Air Conditioning, Inc. — I found project/gallery proof on Hoyts Heating &amp; Air Conditioning, Inc.'s site that could be repackaged into short-form ad concepts. I mapped a private 15-second no-cool-call to same-day comfort ad for Hoyts Heating &amp; Air Conditioning, Inc. using only public brand context—not for publishing, just to show the angle. We build three client-approved video ad concepts in seven days, then turn the winners into fresh variations. No filming day required. Worth sending the private sample?</x:v>
      </x:c>
      <x:c r="AV702" s="76" t="str">
        <x:v>Quick follow-up: the sample angle is a no-cool-call to same-day comfort ad. If it misses the mark, no problem—I won't keep chasing. Should I send it?</x:v>
      </x:c>
      <x:c r="AW702" s="76" t="str">
        <x:v>Hi Hoyts Heating &amp; Air Conditioning, Inc., Ryan here. I was looking at Hoyts Heating &amp; Air Conditioning, Inc.'s public marketing and noticed: project/gallery proof found; no embedded homepage video found. I mapped one private no-cool-call to same-day comfort ad as an example. Did I catch you with 30 seconds?</x:v>
      </x:c>
      <x:c r="AX702" s="60" t="str">
        <x:v>https://www.facebook.com/ads/library/?active_status=active&amp;ad_type=all&amp;country=US&amp;q=Hoyts%20Heating%20%26%20Air%20Conditioning%2C%20Inc.&amp;search_type=keyword_unordered</x:v>
      </x:c>
      <x:c r="AY702" s="60" t="str">
        <x:v>ok:200</x:v>
      </x:c>
      <x:c r="AZ702" s="60" t="n">
        <x:v>46232.722858796296</x:v>
      </x:c>
      <x:c r="BA702" s="60" t="str">
        <x:v>Google Maps home-services export</x:v>
      </x:c>
      <x:c r="BB702" s="60" t="str">
        <x:v>https://hoytshvac.com | https://maps.google.com/?cid=765476545952259724&amp;g_mp=Cidnb29nbGUubWFwcy5wbGFjZXMudjEuUGxhY2VzLlNlYXJjaFRleHQQAhgEIAA</x:v>
      </x:c>
      <x:c r="BC702" s="60" t="str"/>
    </x:row>
    <x:row r="703" ht="18" customHeight="1">
      <x:c r="A703" s="70" t="str">
        <x:v>702</x:v>
      </x:c>
      <x:c r="B703" s="70" t="str">
        <x:v>C - Verify</x:v>
      </x:c>
      <x:c r="C703" s="72" t="str">
        <x:v>46</x:v>
      </x:c>
      <x:c r="D703" s="60" t="str">
        <x:v>Engineered Concrete, Inc.</x:v>
      </x:c>
      <x:c r="E703" s="60" t="str">
        <x:v>https://engineeredconcrete.com</x:v>
      </x:c>
      <x:c r="F703" s="60" t="str">
        <x:v>https://engineeredconcrete.com</x:v>
      </x:c>
      <x:c r="G703" s="60" t="str">
        <x:v>Central</x:v>
      </x:c>
      <x:c r="H703" s="60" t="str">
        <x:v>South Carolina</x:v>
      </x:c>
      <x:c r="I703" s="60" t="str">
        <x:v>Windows &amp; Doors</x:v>
      </x:c>
      <x:c r="J703" s="60" t="str">
        <x:v>Jerry R</x:v>
      </x:c>
      <x:c r="K703" s="60" t="str">
        <x:v>Lambert</x:v>
      </x:c>
      <x:c r="L703" s="60" t="str">
        <x:v>Owner</x:v>
      </x:c>
      <x:c r="M703" s="60" t="str"/>
      <x:c r="N703" s="60" t="str"/>
      <x:c r="O703" s="60" t="str">
        <x:v>+1 864 868 3239</x:v>
      </x:c>
      <x:c r="P703" s="60" t="str">
        <x:v>https://www.linkedin.com/in/jerry-r-lambert-5371036</x:v>
      </x:c>
      <x:c r="Q703" s="60" t="str">
        <x:v>2-10</x:v>
      </x:c>
      <x:c r="R703" s="60" t="str">
        <x:v>0-99999</x:v>
      </x:c>
      <x:c r="S703" s="60" t="str"/>
      <x:c r="T703" s="74" t="str">
        <x:v>0</x:v>
      </x:c>
      <x:c r="U703" s="60" t="str"/>
      <x:c r="V703" s="74" t="str">
        <x:v>26</x:v>
      </x:c>
      <x:c r="W703" s="74" t="str">
        <x:v>0</x:v>
      </x:c>
      <x:c r="X703" s="74" t="str">
        <x:v>10</x:v>
      </x:c>
      <x:c r="Y703" s="74" t="str">
        <x:v>5</x:v>
      </x:c>
      <x:c r="Z703" s="74" t="str">
        <x:v>5</x:v>
      </x:c>
      <x:c r="AA703" s="74" t="str">
        <x:v>0</x:v>
      </x:c>
      <x:c r="AB703" s="74" t="str">
        <x:v>0</x:v>
      </x:c>
      <x:c r="AC703" s="74" t="str">
        <x:v>0</x:v>
      </x:c>
      <x:c r="AD703" s="74" t="str">
        <x:v>0</x:v>
      </x:c>
      <x:c r="AE703" s="74" t="str">
        <x:v>0</x:v>
      </x:c>
      <x:c r="AF703" s="74" t="str"/>
      <x:c r="AG703" s="74" t="str">
        <x:v>0</x:v>
      </x:c>
      <x:c r="AH703" s="74" t="str">
        <x:v>1</x:v>
      </x:c>
      <x:c r="AI703" s="74" t="str">
        <x:v>0</x:v>
      </x:c>
      <x:c r="AJ703" s="74" t="str">
        <x:v>0</x:v>
      </x:c>
      <x:c r="AK703" s="74" t="str">
        <x:v>0</x:v>
      </x:c>
      <x:c r="AL703" s="74" t="str">
        <x:v>0</x:v>
      </x:c>
      <x:c r="AM703" s="74" t="str">
        <x:v>1</x:v>
      </x:c>
      <x:c r="AN703" s="74" t="str">
        <x:v>0</x:v>
      </x:c>
      <x:c r="AO703" s="60" t="str">
        <x:v>0</x:v>
      </x:c>
      <x:c r="AP703" s="76" t="str">
        <x:v>Project/gallery proof found; no embedded homepage video found</x:v>
      </x:c>
      <x:c r="AQ703" s="76" t="str">
        <x:v>project/gallery proof; no embedded homepage video detected</x:v>
      </x:c>
      <x:c r="AR703" s="76" t="str">
        <x:v>I found project/gallery proof on Engineered Concrete, Inc.'s site that could be repackaged into short-form ad concepts.</x:v>
      </x:c>
      <x:c r="AS703" s="76" t="str">
        <x:v>energy-loss to installed-window transformation ad</x:v>
      </x:c>
      <x:c r="AT703" s="76" t="str">
        <x:v>Engineered Concrete, Inc. ad concept</x:v>
      </x:c>
      <x:c r="AU703" s="76" t="str">
        <x:v>Hi Jerry R — I found project/gallery proof on Engineered Concrete, Inc.'s site that could be repackaged into short-form ad concepts. I mapped a private 15-second energy-loss to installed-window transformation ad for Engineered Concrete, Inc. using only public brand context—not for publishing, just to show the angle. We build three client-approved video ad concepts in seven days, then turn the winners into fresh variations. No filming day required. Worth sending the private sample?</x:v>
      </x:c>
      <x:c r="AV703" s="76" t="str">
        <x:v>Quick follow-up: the sample angle is a energy-loss to installed-window transformation ad. If it misses the mark, no problem—I won't keep chasing. Should I send it?</x:v>
      </x:c>
      <x:c r="AW703" s="76" t="str">
        <x:v>Hi Jerry R, Ryan here. I was looking at Engineered Concrete, Inc.'s public marketing and noticed: project/gallery proof found; no embedded homepage video found. I mapped one private energy-loss to installed-window transformation ad as an example. Did I catch you with 30 seconds?</x:v>
      </x:c>
      <x:c r="AX703" s="60" t="str">
        <x:v>https://www.facebook.com/ads/library/?active_status=active&amp;ad_type=all&amp;country=US&amp;q=Engineered%20Concrete%2C%20Inc.&amp;search_type=keyword_unordered</x:v>
      </x:c>
      <x:c r="AY703" s="60" t="str">
        <x:v>ok:200</x:v>
      </x:c>
      <x:c r="AZ703" s="60" t="n">
        <x:v>46232.722858796296</x:v>
      </x:c>
      <x:c r="BA703" s="60" t="str">
        <x:v>AI Ark SC trades export</x:v>
      </x:c>
      <x:c r="BB703" s="60" t="str">
        <x:v>https://engineeredconcrete.com | https://www.linkedin.com/company/engineered-concrete-inc.</x:v>
      </x:c>
      <x:c r="BC703" s="60" t="str"/>
    </x:row>
    <x:row r="704" ht="18" customHeight="1">
      <x:c r="A704" s="70" t="str">
        <x:v>703</x:v>
      </x:c>
      <x:c r="B704" s="70" t="str">
        <x:v>C - Verify</x:v>
      </x:c>
      <x:c r="C704" s="72" t="str">
        <x:v>46</x:v>
      </x:c>
      <x:c r="D704" s="60" t="str">
        <x:v>Efficient Heating and Air Conditioning LLC</x:v>
      </x:c>
      <x:c r="E704" s="60" t="str">
        <x:v>https://efficientaiken.com</x:v>
      </x:c>
      <x:c r="F704" s="60" t="str">
        <x:v>https://efficientaiken.com</x:v>
      </x:c>
      <x:c r="G704" s="60" t="str">
        <x:v>Aiken</x:v>
      </x:c>
      <x:c r="H704" s="60" t="str">
        <x:v>South Carolina</x:v>
      </x:c>
      <x:c r="I704" s="60" t="str">
        <x:v>HVAC</x:v>
      </x:c>
      <x:c r="J704" s="60" t="str">
        <x:v>Efficient Heating and Air Conditioning LLC</x:v>
      </x:c>
      <x:c r="K704" s="60" t="str"/>
      <x:c r="L704" s="60" t="str">
        <x:v>Owner / decision maker to verify</x:v>
      </x:c>
      <x:c r="M704" s="60" t="str"/>
      <x:c r="N704" s="60" t="str"/>
      <x:c r="O704" s="60" t="str">
        <x:v>(803) 640-9475</x:v>
      </x:c>
      <x:c r="P704" s="60" t="str"/>
      <x:c r="Q704" s="60" t="str"/>
      <x:c r="R704" s="60" t="str"/>
      <x:c r="S704" s="60" t="str">
        <x:v>4.8</x:v>
      </x:c>
      <x:c r="T704" s="74" t="str">
        <x:v>74</x:v>
      </x:c>
      <x:c r="U704" s="60" t="str"/>
      <x:c r="V704" s="74" t="str">
        <x:v>26</x:v>
      </x:c>
      <x:c r="W704" s="74" t="str">
        <x:v>0</x:v>
      </x:c>
      <x:c r="X704" s="74" t="str">
        <x:v>10</x:v>
      </x:c>
      <x:c r="Y704" s="74" t="str">
        <x:v>5</x:v>
      </x:c>
      <x:c r="Z704" s="74" t="str">
        <x:v>5</x:v>
      </x:c>
      <x:c r="AA704" s="74" t="str">
        <x:v>0</x:v>
      </x:c>
      <x:c r="AB704" s="74" t="str">
        <x:v>0</x:v>
      </x:c>
      <x:c r="AC704" s="74" t="str">
        <x:v>0</x:v>
      </x:c>
      <x:c r="AD704" s="74" t="str">
        <x:v>0</x:v>
      </x:c>
      <x:c r="AE704" s="74" t="str">
        <x:v>0</x:v>
      </x:c>
      <x:c r="AF704" s="74" t="str"/>
      <x:c r="AG704" s="74" t="str">
        <x:v>0</x:v>
      </x:c>
      <x:c r="AH704" s="74" t="str">
        <x:v>0</x:v>
      </x:c>
      <x:c r="AI704" s="74" t="str">
        <x:v>0</x:v>
      </x:c>
      <x:c r="AJ704" s="74" t="str">
        <x:v>0</x:v>
      </x:c>
      <x:c r="AK704" s="74" t="str">
        <x:v>1</x:v>
      </x:c>
      <x:c r="AL704" s="74" t="str">
        <x:v>0</x:v>
      </x:c>
      <x:c r="AM704" s="74" t="str">
        <x:v>1</x:v>
      </x:c>
      <x:c r="AN704" s="74" t="str">
        <x:v>0</x:v>
      </x:c>
      <x:c r="AO704" s="60" t="str">
        <x:v>0</x:v>
      </x:c>
      <x:c r="AP704" s="76" t="str">
        <x:v>ICP fit; paid-demand need requires manual verification</x:v>
      </x:c>
      <x:c r="AQ704" s="76" t="str">
        <x:v>visible service offer; no embedded homepage video detected</x:v>
      </x:c>
      <x:c r="AR704" s="76" t="str">
        <x:v>I was reviewing hvac companies in Aiken, South Carolina and Efficient Heating and Air Conditioning LLC looked like a strong fit for a creative test.</x:v>
      </x:c>
      <x:c r="AS704" s="76" t="str">
        <x:v>no-cool-call to same-day comfort ad</x:v>
      </x:c>
      <x:c r="AT704" s="76" t="str">
        <x:v>Efficient Heating and Air Conditioning LLC ad concept</x:v>
      </x:c>
      <x:c r="AU704" s="76" t="str">
        <x:v>Hi Efficient Heating and Air Conditioning LLC — I was reviewing hvac companies in Aiken, South Carolina and Efficient Heating and Air Conditioning LLC looked like a strong fit for a creative test. I mapped a private 15-second no-cool-call to same-day comfort ad for Efficient Heating and Air Conditioning LLC using only public brand context—not for publishing, just to show the angle. We build three client-approved video ad concepts in seven days, then turn the winners into fresh variations. No filming day required. Worth sending the private sample?</x:v>
      </x:c>
      <x:c r="AV704" s="76" t="str">
        <x:v>Quick follow-up: the sample angle is a no-cool-call to same-day comfort ad. If it misses the mark, no problem—I won't keep chasing. Should I send it?</x:v>
      </x:c>
      <x:c r="AW704" s="76" t="str">
        <x:v>Hi Efficient Heating and Air Conditioning LLC, Ryan here. I was looking at Efficient Heating and Air Conditioning LLC's public marketing and noticed: icp fit; paid-demand need requires manual verification. I mapped one private no-cool-call to same-day comfort ad as an example. Did I catch you with 30 seconds?</x:v>
      </x:c>
      <x:c r="AX704" s="60" t="str">
        <x:v>https://www.facebook.com/ads/library/?active_status=active&amp;ad_type=all&amp;country=US&amp;q=Efficient%20Heating%20and%20Air%20Conditioning%20LLC&amp;search_type=keyword_unordered</x:v>
      </x:c>
      <x:c r="AY704" s="60" t="str">
        <x:v>ok:200</x:v>
      </x:c>
      <x:c r="AZ704" s="60" t="n">
        <x:v>46232.722858796296</x:v>
      </x:c>
      <x:c r="BA704" s="60" t="str">
        <x:v>Google Maps home-services export</x:v>
      </x:c>
      <x:c r="BB704" s="60" t="str">
        <x:v>https://efficientaiken.com | https://maps.google.com/?cid=6600743582635792388&amp;g_mp=Cidnb29nbGUubWFwcy5wbGFjZXMudjEuUGxhY2VzLlNlYXJjaFRleHQQAhgEIAA</x:v>
      </x:c>
      <x:c r="BC704" s="60" t="str"/>
    </x:row>
    <x:row r="705" ht="18" customHeight="1">
      <x:c r="A705" s="70" t="str">
        <x:v>704</x:v>
      </x:c>
      <x:c r="B705" s="70" t="str">
        <x:v>C - Verify</x:v>
      </x:c>
      <x:c r="C705" s="72" t="str">
        <x:v>46</x:v>
      </x:c>
      <x:c r="D705" s="60" t="str">
        <x:v>Anchor Air LC</x:v>
      </x:c>
      <x:c r="E705" s="60" t="str">
        <x:v>https://anchor-air.com</x:v>
      </x:c>
      <x:c r="F705" s="60" t="str">
        <x:v>https://anchor-air.com</x:v>
      </x:c>
      <x:c r="G705" s="60" t="str">
        <x:v>Beaufort</x:v>
      </x:c>
      <x:c r="H705" s="60" t="str">
        <x:v>South Carolina</x:v>
      </x:c>
      <x:c r="I705" s="60" t="str">
        <x:v>HVAC</x:v>
      </x:c>
      <x:c r="J705" s="60" t="str">
        <x:v>Anchor Air LC</x:v>
      </x:c>
      <x:c r="K705" s="60" t="str"/>
      <x:c r="L705" s="60" t="str">
        <x:v>Owner / decision maker to verify</x:v>
      </x:c>
      <x:c r="M705" s="60" t="str"/>
      <x:c r="N705" s="60" t="str"/>
      <x:c r="O705" s="60" t="str">
        <x:v>(843) 271-2860</x:v>
      </x:c>
      <x:c r="P705" s="60" t="str"/>
      <x:c r="Q705" s="60" t="str"/>
      <x:c r="R705" s="60" t="str"/>
      <x:c r="S705" s="60" t="str">
        <x:v>4.9</x:v>
      </x:c>
      <x:c r="T705" s="74" t="str">
        <x:v>56</x:v>
      </x:c>
      <x:c r="U705" s="60" t="str"/>
      <x:c r="V705" s="74" t="str">
        <x:v>26</x:v>
      </x:c>
      <x:c r="W705" s="74" t="str">
        <x:v>0</x:v>
      </x:c>
      <x:c r="X705" s="74" t="str">
        <x:v>10</x:v>
      </x:c>
      <x:c r="Y705" s="74" t="str">
        <x:v>5</x:v>
      </x:c>
      <x:c r="Z705" s="74" t="str">
        <x:v>5</x:v>
      </x:c>
      <x:c r="AA705" s="74" t="str">
        <x:v>0</x:v>
      </x:c>
      <x:c r="AB705" s="74" t="str">
        <x:v>0</x:v>
      </x:c>
      <x:c r="AC705" s="74" t="str">
        <x:v>0</x:v>
      </x:c>
      <x:c r="AD705" s="74" t="str">
        <x:v>0</x:v>
      </x:c>
      <x:c r="AE705" s="74" t="str">
        <x:v>0</x:v>
      </x:c>
      <x:c r="AF705" s="74" t="str"/>
      <x:c r="AG705" s="74" t="str">
        <x:v>0</x:v>
      </x:c>
      <x:c r="AH705" s="74" t="str">
        <x:v>0</x:v>
      </x:c>
      <x:c r="AI705" s="74" t="str">
        <x:v>0</x:v>
      </x:c>
      <x:c r="AJ705" s="74" t="str">
        <x:v>1</x:v>
      </x:c>
      <x:c r="AK705" s="74" t="str">
        <x:v>0</x:v>
      </x:c>
      <x:c r="AL705" s="74" t="str">
        <x:v>0</x:v>
      </x:c>
      <x:c r="AM705" s="74" t="str">
        <x:v>1</x:v>
      </x:c>
      <x:c r="AN705" s="74" t="str">
        <x:v>0</x:v>
      </x:c>
      <x:c r="AO705" s="60" t="str">
        <x:v>2026</x:v>
      </x:c>
      <x:c r="AP705" s="76" t="str">
        <x:v>Financing language found; no embedded homepage video found</x:v>
      </x:c>
      <x:c r="AQ705" s="76" t="str">
        <x:v>financing; no embedded homepage video detected</x:v>
      </x:c>
      <x:c r="AR705" s="76" t="str">
        <x:v>I found financing language on Anchor Air LC's site that could make a strong short-form offer angle.</x:v>
      </x:c>
      <x:c r="AS705" s="76" t="str">
        <x:v>no-cool-call to same-day comfort ad</x:v>
      </x:c>
      <x:c r="AT705" s="76" t="str">
        <x:v>Anchor Air LC ad concept</x:v>
      </x:c>
      <x:c r="AU705" s="76" t="str">
        <x:v>Hi Anchor Air LC — I found financing language on Anchor Air LC's site that could make a strong short-form offer angle. I mapped a private 15-second no-cool-call to same-day comfort ad for Anchor Air LC using only public brand context—not for publishing, just to show the angle. We build three client-approved video ad concepts in seven days, then turn the winners into fresh variations. No filming day required. Worth sending the private sample?</x:v>
      </x:c>
      <x:c r="AV705" s="76" t="str">
        <x:v>Quick follow-up: the sample angle is a no-cool-call to same-day comfort ad. If it misses the mark, no problem—I won't keep chasing. Should I send it?</x:v>
      </x:c>
      <x:c r="AW705" s="76" t="str">
        <x:v>Hi Anchor Air LC, Ryan here. I was looking at Anchor Air LC's public marketing and noticed: financing language found; no embedded homepage video found. I mapped one private no-cool-call to same-day comfort ad as an example. Did I catch you with 30 seconds?</x:v>
      </x:c>
      <x:c r="AX705" s="60" t="str">
        <x:v>https://www.facebook.com/ads/library/?active_status=active&amp;ad_type=all&amp;country=US&amp;q=Anchor%20Air%20LC&amp;search_type=keyword_unordered</x:v>
      </x:c>
      <x:c r="AY705" s="60" t="str">
        <x:v>ok:200</x:v>
      </x:c>
      <x:c r="AZ705" s="60" t="n">
        <x:v>46232.722858796296</x:v>
      </x:c>
      <x:c r="BA705" s="60" t="str">
        <x:v>Google Maps home-services export</x:v>
      </x:c>
      <x:c r="BB705" s="60" t="str">
        <x:v>https://anchor-air.com | https://maps.google.com/?cid=8374679895269874922&amp;g_mp=Cidnb29nbGUubWFwcy5wbGFjZXMudjEuUGxhY2VzLlNlYXJjaFRleHQQAhgEIAA</x:v>
      </x:c>
      <x:c r="BC705" s="60" t="str"/>
    </x:row>
    <x:row r="706" ht="18" customHeight="1">
      <x:c r="A706" s="70" t="str">
        <x:v>705</x:v>
      </x:c>
      <x:c r="B706" s="70" t="str">
        <x:v>C - Verify</x:v>
      </x:c>
      <x:c r="C706" s="72" t="str">
        <x:v>46</x:v>
      </x:c>
      <x:c r="D706" s="60" t="str">
        <x:v>McGuire Custom</x:v>
      </x:c>
      <x:c r="E706" s="60" t="str">
        <x:v>https://mcguirecustomhomes.com</x:v>
      </x:c>
      <x:c r="F706" s="60" t="str">
        <x:v>https://www.mcguirecustomhomes.com/</x:v>
      </x:c>
      <x:c r="G706" s="60" t="str">
        <x:v>Charleston</x:v>
      </x:c>
      <x:c r="H706" s="60" t="str">
        <x:v>South Carolina</x:v>
      </x:c>
      <x:c r="I706" s="60" t="str">
        <x:v>General Contractor</x:v>
      </x:c>
      <x:c r="J706" s="60" t="str">
        <x:v>Mac</x:v>
      </x:c>
      <x:c r="K706" s="60" t="str">
        <x:v>McGuire</x:v>
      </x:c>
      <x:c r="L706" s="60" t="str">
        <x:v>Owner</x:v>
      </x:c>
      <x:c r="M706" s="60" t="str">
        <x:v>mac@mcguirecustomhomes.com</x:v>
      </x:c>
      <x:c r="N706" s="60" t="str">
        <x:v>Verified with BounceBan on 08 Jun 26 12:06</x:v>
      </x:c>
      <x:c r="O706" s="60" t="str">
        <x:v>+1 217 621 9193, +1 843 296 3937</x:v>
      </x:c>
      <x:c r="P706" s="60" t="str">
        <x:v>https://www.linkedin.com/in/mac-mcguire-38890233</x:v>
      </x:c>
      <x:c r="Q706" s="60" t="str">
        <x:v>11-50</x:v>
      </x:c>
      <x:c r="R706" s="60" t="str">
        <x:v>100000-499999</x:v>
      </x:c>
      <x:c r="S706" s="60" t="str"/>
      <x:c r="T706" s="74" t="str">
        <x:v>0</x:v>
      </x:c>
      <x:c r="U706" s="60" t="str"/>
      <x:c r="V706" s="74" t="str">
        <x:v>23</x:v>
      </x:c>
      <x:c r="W706" s="74" t="str">
        <x:v>0</x:v>
      </x:c>
      <x:c r="X706" s="74" t="str">
        <x:v>9</x:v>
      </x:c>
      <x:c r="Y706" s="74" t="str">
        <x:v>4</x:v>
      </x:c>
      <x:c r="Z706" s="74" t="str">
        <x:v>10</x:v>
      </x:c>
      <x:c r="AA706" s="74" t="str">
        <x:v>0</x:v>
      </x:c>
      <x:c r="AB706" s="74" t="str">
        <x:v>0</x:v>
      </x:c>
      <x:c r="AC706" s="74" t="str">
        <x:v>0</x:v>
      </x:c>
      <x:c r="AD706" s="74" t="str">
        <x:v>0</x:v>
      </x:c>
      <x:c r="AE706" s="74" t="str">
        <x:v>0</x:v>
      </x:c>
      <x:c r="AF706" s="74" t="str"/>
      <x:c r="AG706" s="74" t="str">
        <x:v>0</x:v>
      </x:c>
      <x:c r="AH706" s="74" t="str">
        <x:v>0</x:v>
      </x:c>
      <x:c r="AI706" s="74" t="str">
        <x:v>1</x:v>
      </x:c>
      <x:c r="AJ706" s="74" t="str">
        <x:v>0</x:v>
      </x:c>
      <x:c r="AK706" s="74" t="str">
        <x:v>0</x:v>
      </x:c>
      <x:c r="AL706" s="74" t="str">
        <x:v>1</x:v>
      </x:c>
      <x:c r="AM706" s="74" t="str">
        <x:v>0</x:v>
      </x:c>
      <x:c r="AN706" s="74" t="str">
        <x:v>0</x:v>
      </x:c>
      <x:c r="AO706" s="60" t="str">
        <x:v>2016</x:v>
      </x:c>
      <x:c r="AP706" s="76" t="str">
        <x:v>ICP fit; paid-demand need requires manual verification</x:v>
      </x:c>
      <x:c r="AQ706" s="76" t="str">
        <x:v>testimonials; no embedded homepage video detected</x:v>
      </x:c>
      <x:c r="AR706" s="76" t="str">
        <x:v>I was reviewing general contractor companies in Charleston, South Carolina and McGuire Custom looked like a strong fit for a creative test.</x:v>
      </x:c>
      <x:c r="AS706" s="76" t="str">
        <x:v>project walkthrough with proof milestones</x:v>
      </x:c>
      <x:c r="AT706" s="76" t="str">
        <x:v>McGuire Custom ad concept</x:v>
      </x:c>
      <x:c r="AU706" s="76" t="str">
        <x:v>Hi Mac — I was reviewing general contractor companies in Charleston, South Carolina and McGuire Custom looked like a strong fit for a creative test. I mapped a private 15-second project walkthrough with proof milestones for McGuire Custom using only public brand context—not for publishing, just to show the angle. We build three client-approved video ad concepts in seven days, then turn the winners into fresh variations. No filming day required. Worth sending the private sample?</x:v>
      </x:c>
      <x:c r="AV706" s="76" t="str">
        <x:v>Quick follow-up: the sample angle is a project walkthrough with proof milestones. If it misses the mark, no problem—I won't keep chasing. Should I send it?</x:v>
      </x:c>
      <x:c r="AW706" s="76" t="str">
        <x:v>Hi Mac, Ryan here. I was looking at McGuire Custom's public marketing and noticed: icp fit; paid-demand need requires manual verification. I mapped one private project walkthrough with proof milestones as an example. Did I catch you with 30 seconds?</x:v>
      </x:c>
      <x:c r="AX706" s="60" t="str">
        <x:v>https://www.facebook.com/ads/library/?active_status=active&amp;ad_type=all&amp;country=US&amp;q=McGuire%20Custom&amp;search_type=keyword_unordered</x:v>
      </x:c>
      <x:c r="AY706" s="60" t="str">
        <x:v>ok:200</x:v>
      </x:c>
      <x:c r="AZ706" s="60" t="n">
        <x:v>46232.722858796296</x:v>
      </x:c>
      <x:c r="BA706" s="60" t="str">
        <x:v>AI Ark SC trades export</x:v>
      </x:c>
      <x:c r="BB706" s="60" t="str">
        <x:v>https://mcguirecustomhomes.com | https://www.linkedin.com/company/mcguire-custom</x:v>
      </x:c>
      <x:c r="BC706" s="60" t="str"/>
    </x:row>
    <x:row r="707" ht="18" customHeight="1">
      <x:c r="A707" s="70" t="str">
        <x:v>706</x:v>
      </x:c>
      <x:c r="B707" s="70" t="str">
        <x:v>C - Verify</x:v>
      </x:c>
      <x:c r="C707" s="72" t="str">
        <x:v>46</x:v>
      </x:c>
      <x:c r="D707" s="60" t="str">
        <x:v>MKF Power Systems LLC</x:v>
      </x:c>
      <x:c r="E707" s="60" t="str">
        <x:v>https://mkfelectrical.com</x:v>
      </x:c>
      <x:c r="F707" s="60" t="str">
        <x:v>https://mkfelectrical.com</x:v>
      </x:c>
      <x:c r="G707" s="60" t="str">
        <x:v>Simpsonville</x:v>
      </x:c>
      <x:c r="H707" s="60" t="str">
        <x:v>South Carolina</x:v>
      </x:c>
      <x:c r="I707" s="60" t="str">
        <x:v>General Contractor</x:v>
      </x:c>
      <x:c r="J707" s="60" t="str">
        <x:v>Myrol</x:v>
      </x:c>
      <x:c r="K707" s="60" t="str">
        <x:v>Frazier</x:v>
      </x:c>
      <x:c r="L707" s="60" t="str">
        <x:v>Business Owner</x:v>
      </x:c>
      <x:c r="M707" s="60" t="str">
        <x:v>myrol@mkfelectrical.com</x:v>
      </x:c>
      <x:c r="N707" s="60" t="str">
        <x:v>Verified with BounceBan on 08 Jun 26 12:08</x:v>
      </x:c>
      <x:c r="O707" s="60" t="str">
        <x:v>+1 704 578 2163</x:v>
      </x:c>
      <x:c r="P707" s="60" t="str">
        <x:v>https://www.linkedin.com/in/myrol-frazier-13559843</x:v>
      </x:c>
      <x:c r="Q707" s="60" t="str">
        <x:v>11-50</x:v>
      </x:c>
      <x:c r="R707" s="60" t="str">
        <x:v>100000-499999</x:v>
      </x:c>
      <x:c r="S707" s="60" t="str"/>
      <x:c r="T707" s="74" t="str">
        <x:v>0</x:v>
      </x:c>
      <x:c r="U707" s="60" t="str"/>
      <x:c r="V707" s="74" t="str">
        <x:v>23</x:v>
      </x:c>
      <x:c r="W707" s="74" t="str">
        <x:v>0</x:v>
      </x:c>
      <x:c r="X707" s="74" t="str">
        <x:v>10</x:v>
      </x:c>
      <x:c r="Y707" s="74" t="str">
        <x:v>3</x:v>
      </x:c>
      <x:c r="Z707" s="74" t="str">
        <x:v>10</x:v>
      </x:c>
      <x:c r="AA707" s="74" t="str">
        <x:v>0</x:v>
      </x:c>
      <x:c r="AB707" s="74" t="str">
        <x:v>0</x:v>
      </x:c>
      <x:c r="AC707" s="74" t="str">
        <x:v>0</x:v>
      </x:c>
      <x:c r="AD707" s="74" t="str">
        <x:v>0</x:v>
      </x:c>
      <x:c r="AE707" s="74" t="str">
        <x:v>0</x:v>
      </x:c>
      <x:c r="AF707" s="74" t="str"/>
      <x:c r="AG707" s="74" t="str">
        <x:v>0</x:v>
      </x:c>
      <x:c r="AH707" s="74" t="str">
        <x:v>0</x:v>
      </x:c>
      <x:c r="AI707" s="74" t="str">
        <x:v>0</x:v>
      </x:c>
      <x:c r="AJ707" s="74" t="str">
        <x:v>0</x:v>
      </x:c>
      <x:c r="AK707" s="74" t="str">
        <x:v>1</x:v>
      </x:c>
      <x:c r="AL707" s="74" t="str">
        <x:v>0</x:v>
      </x:c>
      <x:c r="AM707" s="74" t="str">
        <x:v>0</x:v>
      </x:c>
      <x:c r="AN707" s="74" t="str">
        <x:v>0</x:v>
      </x:c>
      <x:c r="AO707" s="60" t="str">
        <x:v>2026</x:v>
      </x:c>
      <x:c r="AP707" s="76" t="str">
        <x:v>ICP fit; paid-demand need requires manual verification</x:v>
      </x:c>
      <x:c r="AQ707" s="76" t="str">
        <x:v>visible service offer; no embedded homepage video detected</x:v>
      </x:c>
      <x:c r="AR707" s="76" t="str">
        <x:v>I was reviewing general contractor companies in Simpsonville, South Carolina and MKF Power Systems LLC looked like a strong fit for a creative test.</x:v>
      </x:c>
      <x:c r="AS707" s="76" t="str">
        <x:v>project walkthrough with proof milestones</x:v>
      </x:c>
      <x:c r="AT707" s="76" t="str">
        <x:v>MKF Power Systems LLC ad concept</x:v>
      </x:c>
      <x:c r="AU707" s="76" t="str">
        <x:v>Hi Myrol — I was reviewing general contractor companies in Simpsonville, South Carolina and MKF Power Systems LLC looked like a strong fit for a creative test. I mapped a private 15-second project walkthrough with proof milestones for MKF Power Systems LLC using only public brand context—not for publishing, just to show the angle. We build three client-approved video ad concepts in seven days, then turn the winners into fresh variations. No filming day required. Worth sending the private sample?</x:v>
      </x:c>
      <x:c r="AV707" s="76" t="str">
        <x:v>Quick follow-up: the sample angle is a project walkthrough with proof milestones. If it misses the mark, no problem—I won't keep chasing. Should I send it?</x:v>
      </x:c>
      <x:c r="AW707" s="76" t="str">
        <x:v>Hi Myrol, Ryan here. I was looking at MKF Power Systems LLC's public marketing and noticed: icp fit; paid-demand need requires manual verification. I mapped one private project walkthrough with proof milestones as an example. Did I catch you with 30 seconds?</x:v>
      </x:c>
      <x:c r="AX707" s="60" t="str">
        <x:v>https://www.facebook.com/ads/library/?active_status=active&amp;ad_type=all&amp;country=US&amp;q=MKF%20Power%20Systems%20LLC&amp;search_type=keyword_unordered</x:v>
      </x:c>
      <x:c r="AY707" s="60" t="str">
        <x:v>ok:200</x:v>
      </x:c>
      <x:c r="AZ707" s="60" t="n">
        <x:v>46232.722858796296</x:v>
      </x:c>
      <x:c r="BA707" s="60" t="str">
        <x:v>AI Ark SC trades export</x:v>
      </x:c>
      <x:c r="BB707" s="60" t="str">
        <x:v>https://mkfelectrical.com | https://www.linkedin.com/company/mkf-power-systems-llc</x:v>
      </x:c>
      <x:c r="BC707" s="60" t="str"/>
    </x:row>
    <x:row r="708" ht="18" customHeight="1">
      <x:c r="A708" s="70" t="str">
        <x:v>707</x:v>
      </x:c>
      <x:c r="B708" s="70" t="str">
        <x:v>C - Verify</x:v>
      </x:c>
      <x:c r="C708" s="72" t="str">
        <x:v>46</x:v>
      </x:c>
      <x:c r="D708" s="60" t="str">
        <x:v>Champion Services Inc.</x:v>
      </x:c>
      <x:c r="E708" s="60" t="str">
        <x:v>https://championservicesinc.com</x:v>
      </x:c>
      <x:c r="F708" s="60" t="str">
        <x:v>https://www.championservicesinc.com/</x:v>
      </x:c>
      <x:c r="G708" s="60" t="str">
        <x:v>Rock Hill</x:v>
      </x:c>
      <x:c r="H708" s="60" t="str">
        <x:v>South Carolina</x:v>
      </x:c>
      <x:c r="I708" s="60" t="str">
        <x:v>Roofing</x:v>
      </x:c>
      <x:c r="J708" s="60" t="str">
        <x:v>Champion Services Inc.</x:v>
      </x:c>
      <x:c r="K708" s="60" t="str"/>
      <x:c r="L708" s="60" t="str">
        <x:v>Owner / decision maker to verify</x:v>
      </x:c>
      <x:c r="M708" s="60" t="str"/>
      <x:c r="N708" s="60" t="str"/>
      <x:c r="O708" s="60" t="str">
        <x:v>(803) 329-7898</x:v>
      </x:c>
      <x:c r="P708" s="60" t="str"/>
      <x:c r="Q708" s="60" t="str"/>
      <x:c r="R708" s="60" t="str"/>
      <x:c r="S708" s="60" t="str">
        <x:v>3.9</x:v>
      </x:c>
      <x:c r="T708" s="74" t="str">
        <x:v>84</x:v>
      </x:c>
      <x:c r="U708" s="60" t="str">
        <x:v>slow_response</x:v>
      </x:c>
      <x:c r="V708" s="74" t="str">
        <x:v>27</x:v>
      </x:c>
      <x:c r="W708" s="74" t="str">
        <x:v>0</x:v>
      </x:c>
      <x:c r="X708" s="74" t="str">
        <x:v>12</x:v>
      </x:c>
      <x:c r="Y708" s="74" t="str">
        <x:v>2</x:v>
      </x:c>
      <x:c r="Z708" s="74" t="str">
        <x:v>5</x:v>
      </x:c>
      <x:c r="AA708" s="74" t="str">
        <x:v>0</x:v>
      </x:c>
      <x:c r="AB708" s="74" t="str">
        <x:v>0</x:v>
      </x:c>
      <x:c r="AC708" s="74" t="str">
        <x:v>0</x:v>
      </x:c>
      <x:c r="AD708" s="74" t="str">
        <x:v>0</x:v>
      </x:c>
      <x:c r="AE708" s="74" t="str">
        <x:v>0</x:v>
      </x:c>
      <x:c r="AF708" s="74" t="str"/>
      <x:c r="AG708" s="74" t="str">
        <x:v>0</x:v>
      </x:c>
      <x:c r="AH708" s="74" t="str">
        <x:v>0</x:v>
      </x:c>
      <x:c r="AI708" s="74" t="str">
        <x:v>0</x:v>
      </x:c>
      <x:c r="AJ708" s="74" t="str">
        <x:v>0</x:v>
      </x:c>
      <x:c r="AK708" s="74" t="str">
        <x:v>0</x:v>
      </x:c>
      <x:c r="AL708" s="74" t="str">
        <x:v>0</x:v>
      </x:c>
      <x:c r="AM708" s="74" t="str">
        <x:v>0</x:v>
      </x:c>
      <x:c r="AN708" s="74" t="str">
        <x:v>0</x:v>
      </x:c>
      <x:c r="AO708" s="60" t="str">
        <x:v>0</x:v>
      </x:c>
      <x:c r="AP708" s="76" t="str">
        <x:v>ICP fit; paid-demand need requires manual verification</x:v>
      </x:c>
      <x:c r="AQ708" s="76" t="str">
        <x:v>no embedded homepage video detected</x:v>
      </x:c>
      <x:c r="AR708" s="76" t="str">
        <x:v>I was reviewing roofing companies in Rock Hill, South Carolina and Champion Services Inc. looked like a strong fit for a creative test.</x:v>
      </x:c>
      <x:c r="AS708" s="76" t="str">
        <x:v>storm-to-inspection before/after ad</x:v>
      </x:c>
      <x:c r="AT708" s="76" t="str">
        <x:v>Champion Services Inc. ad concept</x:v>
      </x:c>
      <x:c r="AU708" s="76" t="str">
        <x:v>Hi Champion Services Inc. — I was reviewing roofing companies in Rock Hill, South Carolina and Champion Services Inc. looked like a strong fit for a creative test. I mapped a private 15-second storm-to-inspection before/after ad for Champion Services Inc. using only public brand context—not for publishing, just to show the angle. We build three client-approved video ad concepts in seven days, then turn the winners into fresh variations. No filming day required. Worth sending the private sample?</x:v>
      </x:c>
      <x:c r="AV708" s="76" t="str">
        <x:v>Quick follow-up: the sample angle is a storm-to-inspection before/after ad. If it misses the mark, no problem—I won't keep chasing. Should I send it?</x:v>
      </x:c>
      <x:c r="AW708" s="76" t="str">
        <x:v>Hi Champion Services Inc., Ryan here. I was looking at Champion Services Inc.'s public marketing and noticed: icp fit; paid-demand need requires manual verification. I mapped one private storm-to-inspection before/after ad as an example. Did I catch you with 30 seconds?</x:v>
      </x:c>
      <x:c r="AX708" s="60" t="str">
        <x:v>https://www.facebook.com/ads/library/?active_status=active&amp;ad_type=all&amp;country=US&amp;q=Champion%20Services%20Inc.&amp;search_type=keyword_unordered</x:v>
      </x:c>
      <x:c r="AY708" s="60" t="str">
        <x:v>ok:200</x:v>
      </x:c>
      <x:c r="AZ708" s="60" t="n">
        <x:v>46232.722858796296</x:v>
      </x:c>
      <x:c r="BA708" s="60" t="str">
        <x:v>Google Maps home-services export</x:v>
      </x:c>
      <x:c r="BB708" s="60" t="str">
        <x:v>https://championservicesinc.com | https://maps.google.com/?cid=1484747479426130504&amp;g_mp=Cidnb29nbGUubWFwcy5wbGFjZXMudjEuUGxhY2VzLlNlYXJjaFRleHQQAhgEIAA</x:v>
      </x:c>
      <x:c r="BC708" s="60" t="str"/>
    </x:row>
    <x:row r="709" ht="18" customHeight="1">
      <x:c r="A709" s="70" t="str">
        <x:v>708</x:v>
      </x:c>
      <x:c r="B709" s="70" t="str">
        <x:v>C - Verify</x:v>
      </x:c>
      <x:c r="C709" s="72" t="str">
        <x:v>46</x:v>
      </x:c>
      <x:c r="D709" s="60" t="str">
        <x:v>Bradley Plumbing &amp; Heating Inc</x:v>
      </x:c>
      <x:c r="E709" s="60" t="str">
        <x:v>https://bradleyplbghtg.com</x:v>
      </x:c>
      <x:c r="F709" s="60" t="str">
        <x:v>https://bradleyplbghtg.com</x:v>
      </x:c>
      <x:c r="G709" s="60" t="str">
        <x:v>Aiken</x:v>
      </x:c>
      <x:c r="H709" s="60" t="str">
        <x:v>South Carolina</x:v>
      </x:c>
      <x:c r="I709" s="60" t="str">
        <x:v>HVAC</x:v>
      </x:c>
      <x:c r="J709" s="60" t="str">
        <x:v>Bradley Plumbing &amp; Heating Inc</x:v>
      </x:c>
      <x:c r="K709" s="60" t="str"/>
      <x:c r="L709" s="60" t="str">
        <x:v>Owner / decision maker to verify</x:v>
      </x:c>
      <x:c r="M709" s="60" t="str"/>
      <x:c r="N709" s="60" t="str"/>
      <x:c r="O709" s="60" t="str">
        <x:v>(803) 649-2155</x:v>
      </x:c>
      <x:c r="P709" s="60" t="str"/>
      <x:c r="Q709" s="60" t="str"/>
      <x:c r="R709" s="60" t="str"/>
      <x:c r="S709" s="60" t="str">
        <x:v>4.3</x:v>
      </x:c>
      <x:c r="T709" s="74" t="str">
        <x:v>41</x:v>
      </x:c>
      <x:c r="U709" s="60" t="str"/>
      <x:c r="V709" s="74" t="str">
        <x:v>26</x:v>
      </x:c>
      <x:c r="W709" s="74" t="str">
        <x:v>0</x:v>
      </x:c>
      <x:c r="X709" s="74" t="str">
        <x:v>13</x:v>
      </x:c>
      <x:c r="Y709" s="74" t="str">
        <x:v>2</x:v>
      </x:c>
      <x:c r="Z709" s="74" t="str">
        <x:v>5</x:v>
      </x:c>
      <x:c r="AA709" s="74" t="str">
        <x:v>0</x:v>
      </x:c>
      <x:c r="AB709" s="74" t="str">
        <x:v>0</x:v>
      </x:c>
      <x:c r="AC709" s="74" t="str">
        <x:v>0</x:v>
      </x:c>
      <x:c r="AD709" s="74" t="str">
        <x:v>0</x:v>
      </x:c>
      <x:c r="AE709" s="74" t="str">
        <x:v>0</x:v>
      </x:c>
      <x:c r="AF709" s="74" t="str"/>
      <x:c r="AG709" s="74" t="str">
        <x:v>0</x:v>
      </x:c>
      <x:c r="AH709" s="74" t="str">
        <x:v>0</x:v>
      </x:c>
      <x:c r="AI709" s="74" t="str">
        <x:v>0</x:v>
      </x:c>
      <x:c r="AJ709" s="74" t="str">
        <x:v>0</x:v>
      </x:c>
      <x:c r="AK709" s="74" t="str">
        <x:v>0</x:v>
      </x:c>
      <x:c r="AL709" s="74" t="str">
        <x:v>0</x:v>
      </x:c>
      <x:c r="AM709" s="74" t="str">
        <x:v>0</x:v>
      </x:c>
      <x:c r="AN709" s="74" t="str">
        <x:v>0</x:v>
      </x:c>
      <x:c r="AO709" s="60" t="str">
        <x:v>2018</x:v>
      </x:c>
      <x:c r="AP709" s="76" t="str">
        <x:v>ICP fit; paid-demand need requires manual verification</x:v>
      </x:c>
      <x:c r="AQ709" s="76" t="str">
        <x:v>no embedded homepage video detected</x:v>
      </x:c>
      <x:c r="AR709" s="76" t="str">
        <x:v>I was reviewing hvac companies in Aiken, South Carolina and Bradley Plumbing &amp; Heating Inc looked like a strong fit for a creative test.</x:v>
      </x:c>
      <x:c r="AS709" s="76" t="str">
        <x:v>no-cool-call to same-day comfort ad</x:v>
      </x:c>
      <x:c r="AT709" s="76" t="str">
        <x:v>Bradley Plumbing &amp; Heating Inc ad concept</x:v>
      </x:c>
      <x:c r="AU709" s="76" t="str">
        <x:v>Hi Bradley Plumbing &amp; Heating Inc — I was reviewing hvac companies in Aiken, South Carolina and Bradley Plumbing &amp; Heating Inc looked like a strong fit for a creative test. I mapped a private 15-second no-cool-call to same-day comfort ad for Bradley Plumbing &amp; Heating Inc using only public brand context—not for publishing, just to show the angle. We build three client-approved video ad concepts in seven days, then turn the winners into fresh variations. No filming day required. Worth sending the private sample?</x:v>
      </x:c>
      <x:c r="AV709" s="76" t="str">
        <x:v>Quick follow-up: the sample angle is a no-cool-call to same-day comfort ad. If it misses the mark, no problem—I won't keep chasing. Should I send it?</x:v>
      </x:c>
      <x:c r="AW709" s="76" t="str">
        <x:v>Hi Bradley Plumbing &amp; Heating Inc, Ryan here. I was looking at Bradley Plumbing &amp; Heating Inc's public marketing and noticed: icp fit; paid-demand need requires manual verification. I mapped one private no-cool-call to same-day comfort ad as an example. Did I catch you with 30 seconds?</x:v>
      </x:c>
      <x:c r="AX709" s="60" t="str">
        <x:v>https://www.facebook.com/ads/library/?active_status=active&amp;ad_type=all&amp;country=US&amp;q=Bradley%20Plumbing%20%26%20Heating%20Inc&amp;search_type=keyword_unordered</x:v>
      </x:c>
      <x:c r="AY709" s="60" t="str">
        <x:v>ok:200</x:v>
      </x:c>
      <x:c r="AZ709" s="60" t="n">
        <x:v>46232.722858796296</x:v>
      </x:c>
      <x:c r="BA709" s="60" t="str">
        <x:v>Google Maps home-services export</x:v>
      </x:c>
      <x:c r="BB709" s="60" t="str">
        <x:v>https://bradleyplbghtg.com | https://maps.google.com/?cid=1001493066460846501&amp;g_mp=Cidnb29nbGUubWFwcy5wbGFjZXMudjEuUGxhY2VzLlNlYXJjaFRleHQQAhgEIAA</x:v>
      </x:c>
      <x:c r="BC709" s="60" t="str"/>
    </x:row>
    <x:row r="710" ht="18" customHeight="1">
      <x:c r="A710" s="70" t="str">
        <x:v>709</x:v>
      </x:c>
      <x:c r="B710" s="70" t="str">
        <x:v>C - Verify</x:v>
      </x:c>
      <x:c r="C710" s="72" t="str">
        <x:v>46</x:v>
      </x:c>
      <x:c r="D710" s="60" t="str">
        <x:v>Dolphin Architects &amp; Builders</x:v>
      </x:c>
      <x:c r="E710" s="60" t="str">
        <x:v>https://dolphinbuilders.com</x:v>
      </x:c>
      <x:c r="F710" s="60" t="str">
        <x:v>https://www.dolphinbuilders.com/</x:v>
      </x:c>
      <x:c r="G710" s="60" t="str">
        <x:v>Charleston</x:v>
      </x:c>
      <x:c r="H710" s="60" t="str">
        <x:v>South Carolina</x:v>
      </x:c>
      <x:c r="I710" s="60" t="str">
        <x:v>Roofing</x:v>
      </x:c>
      <x:c r="J710" s="60" t="str">
        <x:v>Christopher</x:v>
      </x:c>
      <x:c r="K710" s="60" t="str">
        <x:v>Ibsen</x:v>
      </x:c>
      <x:c r="L710" s="60" t="str">
        <x:v>President &amp; Owner</x:v>
      </x:c>
      <x:c r="M710" s="60" t="str">
        <x:v>cibsen@dolphinbuilders.com</x:v>
      </x:c>
      <x:c r="N710" s="60" t="str">
        <x:v>Verified with BounceBan on 08 Jun 26 12:06</x:v>
      </x:c>
      <x:c r="O710" s="60" t="str">
        <x:v>+1 843 367 2977</x:v>
      </x:c>
      <x:c r="P710" s="60" t="str">
        <x:v>https://www.linkedin.com/in/christopher-ibsen-1822121</x:v>
      </x:c>
      <x:c r="Q710" s="60" t="str">
        <x:v>2-10</x:v>
      </x:c>
      <x:c r="R710" s="60" t="str">
        <x:v>500000-999999</x:v>
      </x:c>
      <x:c r="S710" s="60" t="str"/>
      <x:c r="T710" s="74" t="str">
        <x:v>0</x:v>
      </x:c>
      <x:c r="U710" s="60" t="str"/>
      <x:c r="V710" s="74" t="str">
        <x:v>30</x:v>
      </x:c>
      <x:c r="W710" s="74" t="str">
        <x:v>0</x:v>
      </x:c>
      <x:c r="X710" s="74" t="str">
        <x:v>6</x:v>
      </x:c>
      <x:c r="Y710" s="74" t="str">
        <x:v>0</x:v>
      </x:c>
      <x:c r="Z710" s="74" t="str">
        <x:v>10</x:v>
      </x:c>
      <x:c r="AA710" s="74" t="str">
        <x:v>0</x:v>
      </x:c>
      <x:c r="AB710" s="74" t="str">
        <x:v>0</x:v>
      </x:c>
      <x:c r="AC710" s="74" t="str">
        <x:v>0</x:v>
      </x:c>
      <x:c r="AD710" s="74" t="str">
        <x:v>0</x:v>
      </x:c>
      <x:c r="AE710" s="74" t="str">
        <x:v>0</x:v>
      </x:c>
      <x:c r="AF710" s="74" t="str"/>
      <x:c r="AG710" s="74" t="str">
        <x:v>0</x:v>
      </x:c>
      <x:c r="AH710" s="74" t="str">
        <x:v>0</x:v>
      </x:c>
      <x:c r="AI710" s="74" t="str">
        <x:v>0</x:v>
      </x:c>
      <x:c r="AJ710" s="74" t="str">
        <x:v>0</x:v>
      </x:c>
      <x:c r="AK710" s="74" t="str">
        <x:v>0</x:v>
      </x:c>
      <x:c r="AL710" s="74" t="str">
        <x:v>1</x:v>
      </x:c>
      <x:c r="AM710" s="74" t="str">
        <x:v>0</x:v>
      </x:c>
      <x:c r="AN710" s="74" t="str">
        <x:v>0</x:v>
      </x:c>
      <x:c r="AO710" s="60" t="str">
        <x:v>2026</x:v>
      </x:c>
      <x:c r="AP710" s="76" t="str">
        <x:v>ICP fit; paid-demand need requires manual verification</x:v>
      </x:c>
      <x:c r="AQ710" s="76" t="str">
        <x:v>no embedded homepage video detected</x:v>
      </x:c>
      <x:c r="AR710" s="76" t="str">
        <x:v>I was reviewing roofing companies in Charleston, South Carolina and Dolphin Architects &amp; Builders looked like a strong fit for a creative test.</x:v>
      </x:c>
      <x:c r="AS710" s="76" t="str">
        <x:v>storm-to-inspection before/after ad</x:v>
      </x:c>
      <x:c r="AT710" s="76" t="str">
        <x:v>Dolphin Architects &amp; Builders ad concept</x:v>
      </x:c>
      <x:c r="AU710" s="76" t="str">
        <x:v>Hi Christopher — I was reviewing roofing companies in Charleston, South Carolina and Dolphin Architects &amp; Builders looked like a strong fit for a creative test. I mapped a private 15-second storm-to-inspection before/after ad for Dolphin Architects &amp; Builders using only public brand context—not for publishing, just to show the angle. We build three client-approved video ad concepts in seven days, then turn the winners into fresh variations. No filming day required. Worth sending the private sample?</x:v>
      </x:c>
      <x:c r="AV710" s="76" t="str">
        <x:v>Quick follow-up: the sample angle is a storm-to-inspection before/after ad. If it misses the mark, no problem—I won't keep chasing. Should I send it?</x:v>
      </x:c>
      <x:c r="AW710" s="76" t="str">
        <x:v>Hi Christopher, Ryan here. I was looking at Dolphin Architects &amp; Builders's public marketing and noticed: icp fit; paid-demand need requires manual verification. I mapped one private storm-to-inspection before/after ad as an example. Did I catch you with 30 seconds?</x:v>
      </x:c>
      <x:c r="AX710" s="60" t="str">
        <x:v>https://www.facebook.com/ads/library/?active_status=active&amp;ad_type=all&amp;country=US&amp;q=Dolphin%20Architects%20%26%20Builders&amp;search_type=keyword_unordered</x:v>
      </x:c>
      <x:c r="AY710" s="60" t="str">
        <x:v>ok:200</x:v>
      </x:c>
      <x:c r="AZ710" s="60" t="n">
        <x:v>46232.722858796296</x:v>
      </x:c>
      <x:c r="BA710" s="60" t="str">
        <x:v>AI Ark SC trades export</x:v>
      </x:c>
      <x:c r="BB710" s="60" t="str">
        <x:v>https://dolphinbuilders.com | https://www.linkedin.com/company/dolphin-architects-&amp;-builders</x:v>
      </x:c>
      <x:c r="BC710" s="60" t="str"/>
    </x:row>
    <x:row r="711" ht="18" customHeight="1">
      <x:c r="A711" s="70" t="str">
        <x:v>710</x:v>
      </x:c>
      <x:c r="B711" s="70" t="str">
        <x:v>C - Verify</x:v>
      </x:c>
      <x:c r="C711" s="72" t="str">
        <x:v>46</x:v>
      </x:c>
      <x:c r="D711" s="60" t="str">
        <x:v>Davenport Contracting Inc.</x:v>
      </x:c>
      <x:c r="E711" s="60" t="str">
        <x:v>https://davenportcontracting.com</x:v>
      </x:c>
      <x:c r="F711" s="60" t="str">
        <x:v>https://www.davenportcontracting.com/</x:v>
      </x:c>
      <x:c r="G711" s="60" t="str">
        <x:v>Easley</x:v>
      </x:c>
      <x:c r="H711" s="60" t="str">
        <x:v>South Carolina</x:v>
      </x:c>
      <x:c r="I711" s="60" t="str">
        <x:v>Remodeling</x:v>
      </x:c>
      <x:c r="J711" s="60" t="str">
        <x:v>Allen</x:v>
      </x:c>
      <x:c r="K711" s="60" t="str">
        <x:v>Davenport</x:v>
      </x:c>
      <x:c r="L711" s="60" t="str">
        <x:v>Owner</x:v>
      </x:c>
      <x:c r="M711" s="60" t="str">
        <x:v>davenport@dvnport.com</x:v>
      </x:c>
      <x:c r="N711" s="60" t="str">
        <x:v>Verified with BounceBan on 08 Jun 26 12:06</x:v>
      </x:c>
      <x:c r="O711" s="60" t="str">
        <x:v>+1 207 691 5252, +1 864 908 4467</x:v>
      </x:c>
      <x:c r="P711" s="60" t="str">
        <x:v>https://www.linkedin.com/in/allen-davenport-7b055440</x:v>
      </x:c>
      <x:c r="Q711" s="60" t="str">
        <x:v>11-50</x:v>
      </x:c>
      <x:c r="R711" s="60" t="str">
        <x:v>1000000-4999999</x:v>
      </x:c>
      <x:c r="S711" s="60" t="str"/>
      <x:c r="T711" s="74" t="str">
        <x:v>0</x:v>
      </x:c>
      <x:c r="U711" s="60" t="str"/>
      <x:c r="V711" s="74" t="str">
        <x:v>30</x:v>
      </x:c>
      <x:c r="W711" s="74" t="str">
        <x:v>0</x:v>
      </x:c>
      <x:c r="X711" s="74" t="str">
        <x:v>6</x:v>
      </x:c>
      <x:c r="Y711" s="74" t="str">
        <x:v>0</x:v>
      </x:c>
      <x:c r="Z711" s="74" t="str">
        <x:v>10</x:v>
      </x:c>
      <x:c r="AA711" s="74" t="str">
        <x:v>0</x:v>
      </x:c>
      <x:c r="AB711" s="74" t="str">
        <x:v>0</x:v>
      </x:c>
      <x:c r="AC711" s="74" t="str">
        <x:v>0</x:v>
      </x:c>
      <x:c r="AD711" s="74" t="str">
        <x:v>0</x:v>
      </x:c>
      <x:c r="AE711" s="74" t="str">
        <x:v>0</x:v>
      </x:c>
      <x:c r="AF711" s="74" t="str"/>
      <x:c r="AG711" s="74" t="str">
        <x:v>0</x:v>
      </x:c>
      <x:c r="AH711" s="74" t="str">
        <x:v>0</x:v>
      </x:c>
      <x:c r="AI711" s="74" t="str">
        <x:v>0</x:v>
      </x:c>
      <x:c r="AJ711" s="74" t="str">
        <x:v>0</x:v>
      </x:c>
      <x:c r="AK711" s="74" t="str">
        <x:v>0</x:v>
      </x:c>
      <x:c r="AL711" s="74" t="str">
        <x:v>1</x:v>
      </x:c>
      <x:c r="AM711" s="74" t="str">
        <x:v>1</x:v>
      </x:c>
      <x:c r="AN711" s="74" t="str">
        <x:v>0</x:v>
      </x:c>
      <x:c r="AO711" s="60" t="str">
        <x:v>0</x:v>
      </x:c>
      <x:c r="AP711" s="76" t="str">
        <x:v>ICP fit; paid-demand need requires manual verification</x:v>
      </x:c>
      <x:c r="AQ711" s="76" t="str">
        <x:v>no embedded homepage video detected</x:v>
      </x:c>
      <x:c r="AR711" s="76" t="str">
        <x:v>I was reviewing remodeling companies in Easley, South Carolina and Davenport Contracting Inc. looked like a strong fit for a creative test.</x:v>
      </x:c>
      <x:c r="AS711" s="76" t="str">
        <x:v>project reveal with budget-and-timeline proof</x:v>
      </x:c>
      <x:c r="AT711" s="76" t="str">
        <x:v>Davenport Contracting Inc. ad concept</x:v>
      </x:c>
      <x:c r="AU711" s="76" t="str">
        <x:v>Hi Allen — I was reviewing remodeling companies in Easley, South Carolina and Davenport Contracting Inc. looked like a strong fit for a creative test. I mapped a private 15-second project reveal with budget-and-timeline proof for Davenport Contracting Inc. using only public brand context—not for publishing, just to show the angle. We build three client-approved video ad concepts in seven days, then turn the winners into fresh variations. No filming day required. Worth sending the private sample?</x:v>
      </x:c>
      <x:c r="AV711" s="76" t="str">
        <x:v>Quick follow-up: the sample angle is a project reveal with budget-and-timeline proof. If it misses the mark, no problem—I won't keep chasing. Should I send it?</x:v>
      </x:c>
      <x:c r="AW711" s="76" t="str">
        <x:v>Hi Allen, Ryan here. I was looking at Davenport Contracting Inc.'s public marketing and noticed: icp fit; paid-demand need requires manual verification. I mapped one private project reveal with budget-and-timeline proof as an example. Did I catch you with 30 seconds?</x:v>
      </x:c>
      <x:c r="AX711" s="60" t="str">
        <x:v>https://www.facebook.com/ads/library/?active_status=active&amp;ad_type=all&amp;country=US&amp;q=Davenport%20Contracting%20Inc.&amp;search_type=keyword_unordered</x:v>
      </x:c>
      <x:c r="AY711" s="60" t="str">
        <x:v>ok:200</x:v>
      </x:c>
      <x:c r="AZ711" s="60" t="n">
        <x:v>46232.722858796296</x:v>
      </x:c>
      <x:c r="BA711" s="60" t="str">
        <x:v>AI Ark SC trades export</x:v>
      </x:c>
      <x:c r="BB711" s="60" t="str">
        <x:v>https://davenportcontracting.com | https://www.linkedin.com/company/davenport-contracting-inc</x:v>
      </x:c>
      <x:c r="BC711" s="60" t="str"/>
    </x:row>
    <x:row r="712" ht="18" customHeight="1">
      <x:c r="A712" s="70" t="str">
        <x:v>711</x:v>
      </x:c>
      <x:c r="B712" s="70" t="str">
        <x:v>C - Verify</x:v>
      </x:c>
      <x:c r="C712" s="72" t="str">
        <x:v>45</x:v>
      </x:c>
      <x:c r="D712" s="60" t="str">
        <x:v>Agave</x:v>
      </x:c>
      <x:c r="E712" s="60" t="str">
        <x:v>https://agaveapi.com</x:v>
      </x:c>
      <x:c r="F712" s="60" t="str">
        <x:v>https://useagave.com/</x:v>
      </x:c>
      <x:c r="G712" s="60" t="str">
        <x:v>Hilton Head Island</x:v>
      </x:c>
      <x:c r="H712" s="60" t="str">
        <x:v>South Carolina</x:v>
      </x:c>
      <x:c r="I712" s="60" t="str">
        <x:v>General Contractor</x:v>
      </x:c>
      <x:c r="J712" s="60" t="str">
        <x:v>Linda</x:v>
      </x:c>
      <x:c r="K712" s="60" t="str">
        <x:v>Belskis</x:v>
      </x:c>
      <x:c r="L712" s="60" t="str">
        <x:v>Restaurant Owner</x:v>
      </x:c>
      <x:c r="M712" s="60" t="str"/>
      <x:c r="N712" s="60" t="str"/>
      <x:c r="O712" s="60" t="str"/>
      <x:c r="P712" s="60" t="str">
        <x:v>https://www.linkedin.com/in/linda-belskis-4b514926b</x:v>
      </x:c>
      <x:c r="Q712" s="60" t="str">
        <x:v>11-50</x:v>
      </x:c>
      <x:c r="R712" s="60" t="str">
        <x:v>1000000-4999999</x:v>
      </x:c>
      <x:c r="S712" s="60" t="str"/>
      <x:c r="T712" s="74" t="str">
        <x:v>0</x:v>
      </x:c>
      <x:c r="U712" s="60" t="str"/>
      <x:c r="V712" s="74" t="str">
        <x:v>27</x:v>
      </x:c>
      <x:c r="W712" s="74" t="str">
        <x:v>16</x:v>
      </x:c>
      <x:c r="X712" s="74" t="str">
        <x:v>0</x:v>
      </x:c>
      <x:c r="Y712" s="74" t="str">
        <x:v>0</x:v>
      </x:c>
      <x:c r="Z712" s="74" t="str">
        <x:v>2</x:v>
      </x:c>
      <x:c r="AA712" s="74" t="str">
        <x:v>0</x:v>
      </x:c>
      <x:c r="AB712" s="74" t="str">
        <x:v>1</x:v>
      </x:c>
      <x:c r="AC712" s="74" t="str">
        <x:v>1</x:v>
      </x:c>
      <x:c r="AD712" s="74" t="str">
        <x:v>0</x:v>
      </x:c>
      <x:c r="AE712" s="74" t="str">
        <x:v>0</x:v>
      </x:c>
      <x:c r="AF712" s="74" t="str">
        <x:v>servicetitan</x:v>
      </x:c>
      <x:c r="AG712" s="74" t="str">
        <x:v>1</x:v>
      </x:c>
      <x:c r="AH712" s="74" t="str">
        <x:v>0</x:v>
      </x:c>
      <x:c r="AI712" s="74" t="str">
        <x:v>0</x:v>
      </x:c>
      <x:c r="AJ712" s="74" t="str">
        <x:v>0</x:v>
      </x:c>
      <x:c r="AK712" s="74" t="str">
        <x:v>0</x:v>
      </x:c>
      <x:c r="AL712" s="74" t="str">
        <x:v>0</x:v>
      </x:c>
      <x:c r="AM712" s="74" t="str">
        <x:v>0</x:v>
      </x:c>
      <x:c r="AN712" s="74" t="str">
        <x:v>1</x:v>
      </x:c>
      <x:c r="AO712" s="60" t="str">
        <x:v>2026</x:v>
      </x:c>
      <x:c r="AP712" s="76" t="str">
        <x:v>Paid-demand technology detected; creative refresh hypothesis</x:v>
      </x:c>
      <x:c r="AQ712" s="76" t="str">
        <x:v>Google Ads tag</x:v>
      </x:c>
      <x:c r="AR712" s="76" t="str">
        <x:v>I was reviewing general contractor companies in Hilton Head Island, South Carolina and Agave looked like a strong fit for a creative test.</x:v>
      </x:c>
      <x:c r="AS712" s="76" t="str">
        <x:v>project walkthrough with proof milestones</x:v>
      </x:c>
      <x:c r="AT712" s="76" t="str">
        <x:v>Agave ad concept</x:v>
      </x:c>
      <x:c r="AU712" s="76" t="str">
        <x:v>Hi Linda — I was reviewing general contractor companies in Hilton Head Island, South Carolina and Agave looked like a strong fit for a creative test. I mapped a private 15-second project walkthrough with proof milestones for Agave using only public brand context—not for publishing, just to show the angle. We build three client-approved video ad concepts in seven days, then turn the winners into fresh variations. No filming day required. Worth sending the private sample?</x:v>
      </x:c>
      <x:c r="AV712" s="76" t="str">
        <x:v>Quick follow-up: the sample angle is a project walkthrough with proof milestones. If it misses the mark, no problem—I won't keep chasing. Should I send it?</x:v>
      </x:c>
      <x:c r="AW712" s="76" t="str">
        <x:v>Hi Linda, Ryan here. I was looking at Agave's public marketing and noticed: paid-demand technology detected; creative refresh hypothesis. I mapped one private project walkthrough with proof milestones as an example. Did I catch you with 30 seconds?</x:v>
      </x:c>
      <x:c r="AX712" s="60" t="str">
        <x:v>https://www.facebook.com/ads/library/?active_status=active&amp;ad_type=all&amp;country=US&amp;q=Agave&amp;search_type=keyword_unordered</x:v>
      </x:c>
      <x:c r="AY712" s="60" t="str">
        <x:v>ok:200</x:v>
      </x:c>
      <x:c r="AZ712" s="60" t="n">
        <x:v>46232.722858796296</x:v>
      </x:c>
      <x:c r="BA712" s="60" t="str">
        <x:v>AI Ark SC trades export</x:v>
      </x:c>
      <x:c r="BB712" s="60" t="str">
        <x:v>https://agaveapi.com | https://www.linkedin.com/company/agave-api</x:v>
      </x:c>
      <x:c r="BC712" s="60" t="str"/>
    </x:row>
    <x:row r="713" ht="18" customHeight="1">
      <x:c r="A713" s="70" t="str">
        <x:v>712</x:v>
      </x:c>
      <x:c r="B713" s="70" t="str">
        <x:v>C - Verify</x:v>
      </x:c>
      <x:c r="C713" s="72" t="str">
        <x:v>45</x:v>
      </x:c>
      <x:c r="D713" s="60" t="str">
        <x:v>ASAP Tree Service</x:v>
      </x:c>
      <x:c r="E713" s="60" t="str">
        <x:v>https://asaptreepros.com</x:v>
      </x:c>
      <x:c r="F713" s="60" t="str">
        <x:v>https://www.asaptreepros.com/</x:v>
      </x:c>
      <x:c r="G713" s="60" t="str">
        <x:v>Chapin</x:v>
      </x:c>
      <x:c r="H713" s="60" t="str">
        <x:v>South Carolina</x:v>
      </x:c>
      <x:c r="I713" s="60" t="str">
        <x:v>Landscaping &amp; Tree</x:v>
      </x:c>
      <x:c r="J713" s="60" t="str">
        <x:v>Robert</x:v>
      </x:c>
      <x:c r="K713" s="60" t="str">
        <x:v>Lebaron</x:v>
      </x:c>
      <x:c r="L713" s="60" t="str">
        <x:v>Business Owner</x:v>
      </x:c>
      <x:c r="M713" s="60" t="str"/>
      <x:c r="N713" s="60" t="str"/>
      <x:c r="O713" s="60" t="str">
        <x:v>+1 815 494 5102</x:v>
      </x:c>
      <x:c r="P713" s="60" t="str">
        <x:v>https://www.linkedin.com/in/robert-lebaron-ab276a79</x:v>
      </x:c>
      <x:c r="Q713" s="60" t="str">
        <x:v>11-50</x:v>
      </x:c>
      <x:c r="R713" s="60" t="str">
        <x:v>100000-499999</x:v>
      </x:c>
      <x:c r="S713" s="60" t="str"/>
      <x:c r="T713" s="74" t="str">
        <x:v>0</x:v>
      </x:c>
      <x:c r="U713" s="60" t="str"/>
      <x:c r="V713" s="74" t="str">
        <x:v>25</x:v>
      </x:c>
      <x:c r="W713" s="74" t="str">
        <x:v>12</x:v>
      </x:c>
      <x:c r="X713" s="74" t="str">
        <x:v>0</x:v>
      </x:c>
      <x:c r="Y713" s="74" t="str">
        <x:v>3</x:v>
      </x:c>
      <x:c r="Z713" s="74" t="str">
        <x:v>5</x:v>
      </x:c>
      <x:c r="AA713" s="74" t="str">
        <x:v>1</x:v>
      </x:c>
      <x:c r="AB713" s="74" t="str">
        <x:v>0</x:v>
      </x:c>
      <x:c r="AC713" s="74" t="str">
        <x:v>0</x:v>
      </x:c>
      <x:c r="AD713" s="74" t="str">
        <x:v>0</x:v>
      </x:c>
      <x:c r="AE713" s="74" t="str">
        <x:v>0</x:v>
      </x:c>
      <x:c r="AF713" s="74" t="str"/>
      <x:c r="AG713" s="74" t="str">
        <x:v>1</x:v>
      </x:c>
      <x:c r="AH713" s="74" t="str">
        <x:v>0</x:v>
      </x:c>
      <x:c r="AI713" s="74" t="str">
        <x:v>0</x:v>
      </x:c>
      <x:c r="AJ713" s="74" t="str">
        <x:v>0</x:v>
      </x:c>
      <x:c r="AK713" s="74" t="str">
        <x:v>1</x:v>
      </x:c>
      <x:c r="AL713" s="74" t="str">
        <x:v>1</x:v>
      </x:c>
      <x:c r="AM713" s="74" t="str">
        <x:v>1</x:v>
      </x:c>
      <x:c r="AN713" s="74" t="str">
        <x:v>0</x:v>
      </x:c>
      <x:c r="AO713" s="60" t="str">
        <x:v>2026</x:v>
      </x:c>
      <x:c r="AP713" s="76" t="str">
        <x:v>Paid-demand technology detected; creative refresh hypothesis</x:v>
      </x:c>
      <x:c r="AQ713" s="76" t="str">
        <x:v>Meta Pixel; visible service offer</x:v>
      </x:c>
      <x:c r="AR713" s="76" t="str">
        <x:v>I was reviewing landscaping &amp; tree companies in Chapin, South Carolina and ASAP Tree Service looked like a strong fit for a creative test.</x:v>
      </x:c>
      <x:c r="AS713" s="76" t="str">
        <x:v>property transformation ad</x:v>
      </x:c>
      <x:c r="AT713" s="76" t="str">
        <x:v>ASAP Tree Service ad concept</x:v>
      </x:c>
      <x:c r="AU713" s="76" t="str">
        <x:v>Hi Robert — I was reviewing landscaping &amp; tree companies in Chapin, South Carolina and ASAP Tree Service looked like a strong fit for a creative test. I mapped a private 15-second property transformation ad for ASAP Tree Service using only public brand context—not for publishing, just to show the angle. We build three client-approved video ad concepts in seven days, then turn the winners into fresh variations. No filming day required. Worth sending the private sample?</x:v>
      </x:c>
      <x:c r="AV713" s="76" t="str">
        <x:v>Quick follow-up: the sample angle is a property transformation ad. If it misses the mark, no problem—I won't keep chasing. Should I send it?</x:v>
      </x:c>
      <x:c r="AW713" s="76" t="str">
        <x:v>Hi Robert, Ryan here. I was looking at ASAP Tree Service's public marketing and noticed: paid-demand technology detected; creative refresh hypothesis. I mapped one private property transformation ad as an example. Did I catch you with 30 seconds?</x:v>
      </x:c>
      <x:c r="AX713" s="60" t="str">
        <x:v>https://www.facebook.com/ads/library/?active_status=active&amp;ad_type=all&amp;country=US&amp;q=ASAP%20Tree%20Service&amp;search_type=keyword_unordered</x:v>
      </x:c>
      <x:c r="AY713" s="60" t="str">
        <x:v>ok:200</x:v>
      </x:c>
      <x:c r="AZ713" s="60" t="n">
        <x:v>46232.722858796296</x:v>
      </x:c>
      <x:c r="BA713" s="60" t="str">
        <x:v>AI Ark SC trades export</x:v>
      </x:c>
      <x:c r="BB713" s="60" t="str">
        <x:v>https://asaptreepros.com | https://www.linkedin.com/company/asap-tree-service</x:v>
      </x:c>
      <x:c r="BC713" s="60" t="str"/>
    </x:row>
    <x:row r="714" ht="18" customHeight="1">
      <x:c r="A714" s="70" t="str">
        <x:v>713</x:v>
      </x:c>
      <x:c r="B714" s="70" t="str">
        <x:v>C - Verify</x:v>
      </x:c>
      <x:c r="C714" s="72" t="str">
        <x:v>45</x:v>
      </x:c>
      <x:c r="D714" s="60" t="str">
        <x:v>Falcon Building Group</x:v>
      </x:c>
      <x:c r="E714" s="60" t="str">
        <x:v>https://falconbuildinggroup.com</x:v>
      </x:c>
      <x:c r="F714" s="60" t="str">
        <x:v>https://falconbuildinggroup.com</x:v>
      </x:c>
      <x:c r="G714" s="60" t="str">
        <x:v>Bluffton</x:v>
      </x:c>
      <x:c r="H714" s="60" t="str">
        <x:v>South Carolina</x:v>
      </x:c>
      <x:c r="I714" s="60" t="str">
        <x:v>General Contractor</x:v>
      </x:c>
      <x:c r="J714" s="60" t="str">
        <x:v>angelo</x:v>
      </x:c>
      <x:c r="K714" s="60" t="str">
        <x:v>carrabba</x:v>
      </x:c>
      <x:c r="L714" s="60" t="str">
        <x:v>Company Owner</x:v>
      </x:c>
      <x:c r="M714" s="60" t="str">
        <x:v>angelo@falconbuildinggroup.com</x:v>
      </x:c>
      <x:c r="N714" s="60" t="str">
        <x:v>Verified with BounceBan on 08 Jun 26 12:07</x:v>
      </x:c>
      <x:c r="O714" s="60" t="str">
        <x:v>+1 843 422 0074</x:v>
      </x:c>
      <x:c r="P714" s="60" t="str">
        <x:v>https://www.linkedin.com/in/angelo-carrabba-965b5722b</x:v>
      </x:c>
      <x:c r="Q714" s="60" t="str">
        <x:v>null+</x:v>
      </x:c>
      <x:c r="R714" s="60" t="str">
        <x:v>100000-499999</x:v>
      </x:c>
      <x:c r="S714" s="60" t="str"/>
      <x:c r="T714" s="74" t="str">
        <x:v>0</x:v>
      </x:c>
      <x:c r="U714" s="60" t="str"/>
      <x:c r="V714" s="74" t="str">
        <x:v>17</x:v>
      </x:c>
      <x:c r="W714" s="74" t="str">
        <x:v>3</x:v>
      </x:c>
      <x:c r="X714" s="74" t="str">
        <x:v>3</x:v>
      </x:c>
      <x:c r="Y714" s="74" t="str">
        <x:v>12</x:v>
      </x:c>
      <x:c r="Z714" s="74" t="str">
        <x:v>10</x:v>
      </x:c>
      <x:c r="AA714" s="74" t="str">
        <x:v>0</x:v>
      </x:c>
      <x:c r="AB714" s="74" t="str">
        <x:v>0</x:v>
      </x:c>
      <x:c r="AC714" s="74" t="str">
        <x:v>1</x:v>
      </x:c>
      <x:c r="AD714" s="74" t="str">
        <x:v>0</x:v>
      </x:c>
      <x:c r="AE714" s="74" t="str">
        <x:v>0</x:v>
      </x:c>
      <x:c r="AF714" s="74" t="str"/>
      <x:c r="AG714" s="74" t="str">
        <x:v>1</x:v>
      </x:c>
      <x:c r="AH714" s="74" t="str">
        <x:v>1</x:v>
      </x:c>
      <x:c r="AI714" s="74" t="str">
        <x:v>1</x:v>
      </x:c>
      <x:c r="AJ714" s="74" t="str">
        <x:v>0</x:v>
      </x:c>
      <x:c r="AK714" s="74" t="str">
        <x:v>1</x:v>
      </x:c>
      <x:c r="AL714" s="74" t="str">
        <x:v>0</x:v>
      </x:c>
      <x:c r="AM714" s="74" t="str">
        <x:v>1</x:v>
      </x:c>
      <x:c r="AN714" s="74" t="str">
        <x:v>1</x:v>
      </x:c>
      <x:c r="AO714" s="60" t="str">
        <x:v>2024</x:v>
      </x:c>
      <x:c r="AP714" s="76" t="str">
        <x:v>ICP fit; paid-demand need requires manual verification</x:v>
      </x:c>
      <x:c r="AQ714" s="76" t="str">
        <x:v>project/gallery proof; testimonials; visible service offer</x:v>
      </x:c>
      <x:c r="AR714" s="76" t="str">
        <x:v>I was reviewing general contractor companies in Bluffton, South Carolina and Falcon Building Group looked like a strong fit for a creative test.</x:v>
      </x:c>
      <x:c r="AS714" s="76" t="str">
        <x:v>project walkthrough with proof milestones</x:v>
      </x:c>
      <x:c r="AT714" s="76" t="str">
        <x:v>Falcon Building Group ad concept</x:v>
      </x:c>
      <x:c r="AU714" s="76" t="str">
        <x:v>Hi angelo — I was reviewing general contractor companies in Bluffton, South Carolina and Falcon Building Group looked like a strong fit for a creative test. I mapped a private 15-second project walkthrough with proof milestones for Falcon Building Group using only public brand context—not for publishing, just to show the angle. We build three client-approved video ad concepts in seven days, then turn the winners into fresh variations. No filming day required. Worth sending the private sample?</x:v>
      </x:c>
      <x:c r="AV714" s="76" t="str">
        <x:v>Quick follow-up: the sample angle is a project walkthrough with proof milestones. If it misses the mark, no problem—I won't keep chasing. Should I send it?</x:v>
      </x:c>
      <x:c r="AW714" s="76" t="str">
        <x:v>Hi angelo, Ryan here. I was looking at Falcon Building Group's public marketing and noticed: icp fit; paid-demand need requires manual verification. I mapped one private project walkthrough with proof milestones as an example. Did I catch you with 30 seconds?</x:v>
      </x:c>
      <x:c r="AX714" s="60" t="str">
        <x:v>https://www.facebook.com/ads/library/?active_status=active&amp;ad_type=all&amp;country=US&amp;q=Falcon%20Building%20Group&amp;search_type=keyword_unordered</x:v>
      </x:c>
      <x:c r="AY714" s="60" t="str">
        <x:v>ok:200</x:v>
      </x:c>
      <x:c r="AZ714" s="60" t="n">
        <x:v>46232.722858796296</x:v>
      </x:c>
      <x:c r="BA714" s="60" t="str">
        <x:v>AI Ark SC trades export</x:v>
      </x:c>
      <x:c r="BB714" s="60" t="str">
        <x:v>https://falconbuildinggroup.com | https://www.linkedin.com/company/falcon-building-group</x:v>
      </x:c>
      <x:c r="BC714" s="60" t="str"/>
    </x:row>
    <x:row r="715" ht="18" customHeight="1">
      <x:c r="A715" s="70" t="str">
        <x:v>714</x:v>
      </x:c>
      <x:c r="B715" s="70" t="str">
        <x:v>C - Verify</x:v>
      </x:c>
      <x:c r="C715" s="72" t="str">
        <x:v>45</x:v>
      </x:c>
      <x:c r="D715" s="60" t="str">
        <x:v>Chapin Commercial Construction</x:v>
      </x:c>
      <x:c r="E715" s="60" t="str">
        <x:v>https://chapincommercialconstruction.com</x:v>
      </x:c>
      <x:c r="F715" s="60" t="str">
        <x:v>https://chapincommercialconstruction.com</x:v>
      </x:c>
      <x:c r="G715" s="60" t="str">
        <x:v>Chapin</x:v>
      </x:c>
      <x:c r="H715" s="60" t="str">
        <x:v>South Carolina</x:v>
      </x:c>
      <x:c r="I715" s="60" t="str">
        <x:v>General Contractor</x:v>
      </x:c>
      <x:c r="J715" s="60" t="str">
        <x:v>Chad</x:v>
      </x:c>
      <x:c r="K715" s="60" t="str">
        <x:v>Lindler</x:v>
      </x:c>
      <x:c r="L715" s="60" t="str">
        <x:v>Company Owner</x:v>
      </x:c>
      <x:c r="M715" s="60" t="str">
        <x:v>chad@chapincommercialconstruction.com</x:v>
      </x:c>
      <x:c r="N715" s="60" t="str">
        <x:v>Verified with BounceBan on 08 Jun 26 12:06</x:v>
      </x:c>
      <x:c r="O715" s="60" t="str">
        <x:v>+1 803 730 7840</x:v>
      </x:c>
      <x:c r="P715" s="60" t="str">
        <x:v>https://www.linkedin.com/in/chad-lindler-87611113</x:v>
      </x:c>
      <x:c r="Q715" s="60" t="str">
        <x:v>2-10</x:v>
      </x:c>
      <x:c r="R715" s="60" t="str">
        <x:v>0-99999</x:v>
      </x:c>
      <x:c r="S715" s="60" t="str"/>
      <x:c r="T715" s="74" t="str">
        <x:v>0</x:v>
      </x:c>
      <x:c r="U715" s="60" t="str"/>
      <x:c r="V715" s="74" t="str">
        <x:v>20</x:v>
      </x:c>
      <x:c r="W715" s="74" t="str">
        <x:v>3</x:v>
      </x:c>
      <x:c r="X715" s="74" t="str">
        <x:v>0</x:v>
      </x:c>
      <x:c r="Y715" s="74" t="str">
        <x:v>12</x:v>
      </x:c>
      <x:c r="Z715" s="74" t="str">
        <x:v>10</x:v>
      </x:c>
      <x:c r="AA715" s="74" t="str">
        <x:v>0</x:v>
      </x:c>
      <x:c r="AB715" s="74" t="str">
        <x:v>0</x:v>
      </x:c>
      <x:c r="AC715" s="74" t="str">
        <x:v>1</x:v>
      </x:c>
      <x:c r="AD715" s="74" t="str">
        <x:v>0</x:v>
      </x:c>
      <x:c r="AE715" s="74" t="str">
        <x:v>0</x:v>
      </x:c>
      <x:c r="AF715" s="74" t="str"/>
      <x:c r="AG715" s="74" t="str">
        <x:v>1</x:v>
      </x:c>
      <x:c r="AH715" s="74" t="str">
        <x:v>1</x:v>
      </x:c>
      <x:c r="AI715" s="74" t="str">
        <x:v>1</x:v>
      </x:c>
      <x:c r="AJ715" s="74" t="str">
        <x:v>0</x:v>
      </x:c>
      <x:c r="AK715" s="74" t="str">
        <x:v>1</x:v>
      </x:c>
      <x:c r="AL715" s="74" t="str">
        <x:v>1</x:v>
      </x:c>
      <x:c r="AM715" s="74" t="str">
        <x:v>1</x:v>
      </x:c>
      <x:c r="AN715" s="74" t="str">
        <x:v>0</x:v>
      </x:c>
      <x:c r="AO715" s="60" t="str">
        <x:v>0</x:v>
      </x:c>
      <x:c r="AP715" s="76" t="str">
        <x:v>ICP fit; paid-demand need requires manual verification</x:v>
      </x:c>
      <x:c r="AQ715" s="76" t="str">
        <x:v>project/gallery proof; testimonials; visible service offer</x:v>
      </x:c>
      <x:c r="AR715" s="76" t="str">
        <x:v>I was reviewing general contractor companies in Chapin, South Carolina and Chapin Commercial Construction looked like a strong fit for a creative test.</x:v>
      </x:c>
      <x:c r="AS715" s="76" t="str">
        <x:v>project walkthrough with proof milestones</x:v>
      </x:c>
      <x:c r="AT715" s="76" t="str">
        <x:v>Chapin Commercial Construction ad concept</x:v>
      </x:c>
      <x:c r="AU715" s="76" t="str">
        <x:v>Hi Chad — I was reviewing general contractor companies in Chapin, South Carolina and Chapin Commercial Construction looked like a strong fit for a creative test. I mapped a private 15-second project walkthrough with proof milestones for Chapin Commercial Construction using only public brand context—not for publishing, just to show the angle. We build three client-approved video ad concepts in seven days, then turn the winners into fresh variations. No filming day required. Worth sending the private sample?</x:v>
      </x:c>
      <x:c r="AV715" s="76" t="str">
        <x:v>Quick follow-up: the sample angle is a project walkthrough with proof milestones. If it misses the mark, no problem—I won't keep chasing. Should I send it?</x:v>
      </x:c>
      <x:c r="AW715" s="76" t="str">
        <x:v>Hi Chad, Ryan here. I was looking at Chapin Commercial Construction's public marketing and noticed: icp fit; paid-demand need requires manual verification. I mapped one private project walkthrough with proof milestones as an example. Did I catch you with 30 seconds?</x:v>
      </x:c>
      <x:c r="AX715" s="60" t="str">
        <x:v>https://www.facebook.com/ads/library/?active_status=active&amp;ad_type=all&amp;country=US&amp;q=Chapin%20Commercial%20Construction&amp;search_type=keyword_unordered</x:v>
      </x:c>
      <x:c r="AY715" s="60" t="str">
        <x:v>ok:200</x:v>
      </x:c>
      <x:c r="AZ715" s="60" t="n">
        <x:v>46232.722858796296</x:v>
      </x:c>
      <x:c r="BA715" s="60" t="str">
        <x:v>AI Ark SC trades export</x:v>
      </x:c>
      <x:c r="BB715" s="60" t="str">
        <x:v>https://chapincommercialconstruction.com | https://www.linkedin.com/company/chapin-commercial-construction</x:v>
      </x:c>
      <x:c r="BC715" s="60" t="str"/>
    </x:row>
    <x:row r="716" ht="18" customHeight="1">
      <x:c r="A716" s="70" t="str">
        <x:v>715</x:v>
      </x:c>
      <x:c r="B716" s="70" t="str">
        <x:v>C - Verify</x:v>
      </x:c>
      <x:c r="C716" s="72" t="str">
        <x:v>45</x:v>
      </x:c>
      <x:c r="D716" s="60" t="str">
        <x:v>Landmark Roofing</x:v>
      </x:c>
      <x:c r="E716" s="60" t="str">
        <x:v>https://landmarkroofingllc.com</x:v>
      </x:c>
      <x:c r="F716" s="60" t="str">
        <x:v>https://landmarkroofingllc.com</x:v>
      </x:c>
      <x:c r="G716" s="60" t="str">
        <x:v>Mount Pleasant</x:v>
      </x:c>
      <x:c r="H716" s="60" t="str">
        <x:v>South Carolina</x:v>
      </x:c>
      <x:c r="I716" s="60" t="str">
        <x:v>Roofing</x:v>
      </x:c>
      <x:c r="J716" s="60" t="str">
        <x:v>Landmark Roofing</x:v>
      </x:c>
      <x:c r="K716" s="60" t="str"/>
      <x:c r="L716" s="60" t="str">
        <x:v>Owner / decision maker to verify</x:v>
      </x:c>
      <x:c r="M716" s="60" t="str"/>
      <x:c r="N716" s="60" t="str"/>
      <x:c r="O716" s="60" t="str">
        <x:v>(843) 471-0470</x:v>
      </x:c>
      <x:c r="P716" s="60" t="str"/>
      <x:c r="Q716" s="60" t="str"/>
      <x:c r="R716" s="60" t="str"/>
      <x:c r="S716" s="60" t="str">
        <x:v>5</x:v>
      </x:c>
      <x:c r="T716" s="74" t="str">
        <x:v>17</x:v>
      </x:c>
      <x:c r="U716" s="60" t="str"/>
      <x:c r="V716" s="74" t="str">
        <x:v>25</x:v>
      </x:c>
      <x:c r="W716" s="74" t="str">
        <x:v>3</x:v>
      </x:c>
      <x:c r="X716" s="74" t="str">
        <x:v>0</x:v>
      </x:c>
      <x:c r="Y716" s="74" t="str">
        <x:v>12</x:v>
      </x:c>
      <x:c r="Z716" s="74" t="str">
        <x:v>5</x:v>
      </x:c>
      <x:c r="AA716" s="74" t="str">
        <x:v>0</x:v>
      </x:c>
      <x:c r="AB716" s="74" t="str">
        <x:v>0</x:v>
      </x:c>
      <x:c r="AC716" s="74" t="str">
        <x:v>1</x:v>
      </x:c>
      <x:c r="AD716" s="74" t="str">
        <x:v>0</x:v>
      </x:c>
      <x:c r="AE716" s="74" t="str">
        <x:v>0</x:v>
      </x:c>
      <x:c r="AF716" s="74" t="str"/>
      <x:c r="AG716" s="74" t="str">
        <x:v>1</x:v>
      </x:c>
      <x:c r="AH716" s="74" t="str">
        <x:v>1</x:v>
      </x:c>
      <x:c r="AI716" s="74" t="str">
        <x:v>1</x:v>
      </x:c>
      <x:c r="AJ716" s="74" t="str">
        <x:v>0</x:v>
      </x:c>
      <x:c r="AK716" s="74" t="str">
        <x:v>1</x:v>
      </x:c>
      <x:c r="AL716" s="74" t="str">
        <x:v>1</x:v>
      </x:c>
      <x:c r="AM716" s="74" t="str">
        <x:v>1</x:v>
      </x:c>
      <x:c r="AN716" s="74" t="str">
        <x:v>1</x:v>
      </x:c>
      <x:c r="AO716" s="60" t="str">
        <x:v>0</x:v>
      </x:c>
      <x:c r="AP716" s="76" t="str">
        <x:v>ICP fit; paid-demand need requires manual verification</x:v>
      </x:c>
      <x:c r="AQ716" s="76" t="str">
        <x:v>project/gallery proof; testimonials; visible service offer</x:v>
      </x:c>
      <x:c r="AR716" s="76" t="str">
        <x:v>I was reviewing roofing companies in Mount Pleasant, South Carolina and Landmark Roofing looked like a strong fit for a creative test.</x:v>
      </x:c>
      <x:c r="AS716" s="76" t="str">
        <x:v>storm-to-inspection before/after ad</x:v>
      </x:c>
      <x:c r="AT716" s="76" t="str">
        <x:v>Landmark Roofing ad concept</x:v>
      </x:c>
      <x:c r="AU716" s="76" t="str">
        <x:v>Hi Landmark Roofing — I was reviewing roofing companies in Mount Pleasant, South Carolina and Landmark Roofing looked like a strong fit for a creative test. I mapped a private 15-second storm-to-inspection before/after ad for Landmark Roofing using only public brand context—not for publishing, just to show the angle. We build three client-approved video ad concepts in seven days, then turn the winners into fresh variations. No filming day required. Worth sending the private sample?</x:v>
      </x:c>
      <x:c r="AV716" s="76" t="str">
        <x:v>Quick follow-up: the sample angle is a storm-to-inspection before/after ad. If it misses the mark, no problem—I won't keep chasing. Should I send it?</x:v>
      </x:c>
      <x:c r="AW716" s="76" t="str">
        <x:v>Hi Landmark Roofing, Ryan here. I was looking at Landmark Roofing's public marketing and noticed: icp fit; paid-demand need requires manual verification. I mapped one private storm-to-inspection before/after ad as an example. Did I catch you with 30 seconds?</x:v>
      </x:c>
      <x:c r="AX716" s="60" t="str">
        <x:v>https://www.facebook.com/ads/library/?active_status=active&amp;ad_type=all&amp;country=US&amp;q=Landmark%20Roofing&amp;search_type=keyword_unordered</x:v>
      </x:c>
      <x:c r="AY716" s="60" t="str">
        <x:v>ok:200</x:v>
      </x:c>
      <x:c r="AZ716" s="60" t="n">
        <x:v>46232.722858796296</x:v>
      </x:c>
      <x:c r="BA716" s="60" t="str">
        <x:v>Google Maps home-services export</x:v>
      </x:c>
      <x:c r="BB716" s="60" t="str">
        <x:v>https://landmarkroofingllc.com | https://maps.google.com/?cid=6408523056474249177&amp;g_mp=Cidnb29nbGUubWFwcy5wbGFjZXMudjEuUGxhY2VzLlNlYXJjaFRleHQQAhgEIAA</x:v>
      </x:c>
      <x:c r="BC716" s="60" t="str"/>
    </x:row>
    <x:row r="717" ht="18" customHeight="1">
      <x:c r="A717" s="70" t="str">
        <x:v>716</x:v>
      </x:c>
      <x:c r="B717" s="70" t="str">
        <x:v>C - Verify</x:v>
      </x:c>
      <x:c r="C717" s="72" t="str">
        <x:v>45</x:v>
      </x:c>
      <x:c r="D717" s="60" t="str">
        <x:v>Acton ADU</x:v>
      </x:c>
      <x:c r="E717" s="60" t="str">
        <x:v>https://actonadu.com</x:v>
      </x:c>
      <x:c r="F717" s="60" t="str">
        <x:v>https://www.actonadu.com/</x:v>
      </x:c>
      <x:c r="G717" s="60" t="str">
        <x:v>Chester</x:v>
      </x:c>
      <x:c r="H717" s="60" t="str">
        <x:v>South Carolina</x:v>
      </x:c>
      <x:c r="I717" s="60" t="str">
        <x:v>General Contractor</x:v>
      </x:c>
      <x:c r="J717" s="60" t="str">
        <x:v>Bruce</x:v>
      </x:c>
      <x:c r="K717" s="60" t="str">
        <x:v>Holzschuh</x:v>
      </x:c>
      <x:c r="L717" s="60" t="str">
        <x:v>Owner</x:v>
      </x:c>
      <x:c r="M717" s="60" t="str"/>
      <x:c r="N717" s="60" t="str"/>
      <x:c r="O717" s="60" t="str">
        <x:v>+1 803 547 6600, +1 704 201 0554</x:v>
      </x:c>
      <x:c r="P717" s="60" t="str">
        <x:v>https://www.linkedin.com/in/bruce-holzschuh-b4a15626</x:v>
      </x:c>
      <x:c r="Q717" s="60" t="str">
        <x:v>11-50</x:v>
      </x:c>
      <x:c r="R717" s="60" t="str">
        <x:v>500000-999999</x:v>
      </x:c>
      <x:c r="S717" s="60" t="str"/>
      <x:c r="T717" s="74" t="str">
        <x:v>0</x:v>
      </x:c>
      <x:c r="U717" s="60" t="str"/>
      <x:c r="V717" s="74" t="str">
        <x:v>25</x:v>
      </x:c>
      <x:c r="W717" s="74" t="str">
        <x:v>3</x:v>
      </x:c>
      <x:c r="X717" s="74" t="str">
        <x:v>0</x:v>
      </x:c>
      <x:c r="Y717" s="74" t="str">
        <x:v>12</x:v>
      </x:c>
      <x:c r="Z717" s="74" t="str">
        <x:v>5</x:v>
      </x:c>
      <x:c r="AA717" s="74" t="str">
        <x:v>0</x:v>
      </x:c>
      <x:c r="AB717" s="74" t="str">
        <x:v>0</x:v>
      </x:c>
      <x:c r="AC717" s="74" t="str">
        <x:v>1</x:v>
      </x:c>
      <x:c r="AD717" s="74" t="str">
        <x:v>0</x:v>
      </x:c>
      <x:c r="AE717" s="74" t="str">
        <x:v>0</x:v>
      </x:c>
      <x:c r="AF717" s="74" t="str"/>
      <x:c r="AG717" s="74" t="str">
        <x:v>1</x:v>
      </x:c>
      <x:c r="AH717" s="74" t="str">
        <x:v>1</x:v>
      </x:c>
      <x:c r="AI717" s="74" t="str">
        <x:v>1</x:v>
      </x:c>
      <x:c r="AJ717" s="74" t="str">
        <x:v>0</x:v>
      </x:c>
      <x:c r="AK717" s="74" t="str">
        <x:v>1</x:v>
      </x:c>
      <x:c r="AL717" s="74" t="str">
        <x:v>1</x:v>
      </x:c>
      <x:c r="AM717" s="74" t="str">
        <x:v>1</x:v>
      </x:c>
      <x:c r="AN717" s="74" t="str">
        <x:v>1</x:v>
      </x:c>
      <x:c r="AO717" s="60" t="str">
        <x:v>2025</x:v>
      </x:c>
      <x:c r="AP717" s="76" t="str">
        <x:v>ICP fit; paid-demand need requires manual verification</x:v>
      </x:c>
      <x:c r="AQ717" s="76" t="str">
        <x:v>project/gallery proof; testimonials; visible service offer</x:v>
      </x:c>
      <x:c r="AR717" s="76" t="str">
        <x:v>I was reviewing general contractor companies in Chester, South Carolina and Acton ADU looked like a strong fit for a creative test.</x:v>
      </x:c>
      <x:c r="AS717" s="76" t="str">
        <x:v>project walkthrough with proof milestones</x:v>
      </x:c>
      <x:c r="AT717" s="76" t="str">
        <x:v>Acton ADU ad concept</x:v>
      </x:c>
      <x:c r="AU717" s="76" t="str">
        <x:v>Hi Bruce — I was reviewing general contractor companies in Chester, South Carolina and Acton ADU looked like a strong fit for a creative test. I mapped a private 15-second project walkthrough with proof milestones for Acton ADU using only public brand context—not for publishing, just to show the angle. We build three client-approved video ad concepts in seven days, then turn the winners into fresh variations. No filming day required. Worth sending the private sample?</x:v>
      </x:c>
      <x:c r="AV717" s="76" t="str">
        <x:v>Quick follow-up: the sample angle is a project walkthrough with proof milestones. If it misses the mark, no problem—I won't keep chasing. Should I send it?</x:v>
      </x:c>
      <x:c r="AW717" s="76" t="str">
        <x:v>Hi Bruce, Ryan here. I was looking at Acton ADU's public marketing and noticed: icp fit; paid-demand need requires manual verification. I mapped one private project walkthrough with proof milestones as an example. Did I catch you with 30 seconds?</x:v>
      </x:c>
      <x:c r="AX717" s="60" t="str">
        <x:v>https://www.facebook.com/ads/library/?active_status=active&amp;ad_type=all&amp;country=US&amp;q=Acton%20ADU&amp;search_type=keyword_unordered</x:v>
      </x:c>
      <x:c r="AY717" s="60" t="str">
        <x:v>ok:200</x:v>
      </x:c>
      <x:c r="AZ717" s="60" t="n">
        <x:v>46232.722858796296</x:v>
      </x:c>
      <x:c r="BA717" s="60" t="str">
        <x:v>AI Ark SC trades export</x:v>
      </x:c>
      <x:c r="BB717" s="60" t="str">
        <x:v>https://actonadu.com | https://www.linkedin.com/company/actonadu</x:v>
      </x:c>
      <x:c r="BC717" s="60" t="str"/>
    </x:row>
    <x:row r="718" ht="18" customHeight="1">
      <x:c r="A718" s="70" t="str">
        <x:v>717</x:v>
      </x:c>
      <x:c r="B718" s="70" t="str">
        <x:v>C - Verify</x:v>
      </x:c>
      <x:c r="C718" s="72" t="str">
        <x:v>45</x:v>
      </x:c>
      <x:c r="D718" s="60" t="str">
        <x:v>Jordan Roofing</x:v>
      </x:c>
      <x:c r="E718" s="60" t="str">
        <x:v>https://weroofsc.com</x:v>
      </x:c>
      <x:c r="F718" s="60" t="str">
        <x:v>https://www.weroofsc.com/</x:v>
      </x:c>
      <x:c r="G718" s="60" t="str">
        <x:v>Spartanburg</x:v>
      </x:c>
      <x:c r="H718" s="60" t="str">
        <x:v>South Carolina</x:v>
      </x:c>
      <x:c r="I718" s="60" t="str">
        <x:v>Roofing</x:v>
      </x:c>
      <x:c r="J718" s="60" t="str">
        <x:v>Jordan Roofing</x:v>
      </x:c>
      <x:c r="K718" s="60" t="str"/>
      <x:c r="L718" s="60" t="str">
        <x:v>Owner / decision maker to verify</x:v>
      </x:c>
      <x:c r="M718" s="60" t="str"/>
      <x:c r="N718" s="60" t="str"/>
      <x:c r="O718" s="60" t="str">
        <x:v>(864) 612-6246</x:v>
      </x:c>
      <x:c r="P718" s="60" t="str"/>
      <x:c r="Q718" s="60" t="str"/>
      <x:c r="R718" s="60" t="str"/>
      <x:c r="S718" s="60" t="str">
        <x:v>4.7</x:v>
      </x:c>
      <x:c r="T718" s="74" t="str">
        <x:v>37</x:v>
      </x:c>
      <x:c r="U718" s="60" t="str"/>
      <x:c r="V718" s="74" t="str">
        <x:v>27</x:v>
      </x:c>
      <x:c r="W718" s="74" t="str">
        <x:v>3</x:v>
      </x:c>
      <x:c r="X718" s="74" t="str">
        <x:v>0</x:v>
      </x:c>
      <x:c r="Y718" s="74" t="str">
        <x:v>10</x:v>
      </x:c>
      <x:c r="Z718" s="74" t="str">
        <x:v>5</x:v>
      </x:c>
      <x:c r="AA718" s="74" t="str">
        <x:v>0</x:v>
      </x:c>
      <x:c r="AB718" s="74" t="str">
        <x:v>0</x:v>
      </x:c>
      <x:c r="AC718" s="74" t="str">
        <x:v>1</x:v>
      </x:c>
      <x:c r="AD718" s="74" t="str">
        <x:v>0</x:v>
      </x:c>
      <x:c r="AE718" s="74" t="str">
        <x:v>0</x:v>
      </x:c>
      <x:c r="AF718" s="74" t="str"/>
      <x:c r="AG718" s="74" t="str">
        <x:v>1</x:v>
      </x:c>
      <x:c r="AH718" s="74" t="str">
        <x:v>1</x:v>
      </x:c>
      <x:c r="AI718" s="74" t="str">
        <x:v>0</x:v>
      </x:c>
      <x:c r="AJ718" s="74" t="str">
        <x:v>0</x:v>
      </x:c>
      <x:c r="AK718" s="74" t="str">
        <x:v>1</x:v>
      </x:c>
      <x:c r="AL718" s="74" t="str">
        <x:v>1</x:v>
      </x:c>
      <x:c r="AM718" s="74" t="str">
        <x:v>1</x:v>
      </x:c>
      <x:c r="AN718" s="74" t="str">
        <x:v>1</x:v>
      </x:c>
      <x:c r="AO718" s="60" t="str">
        <x:v>0</x:v>
      </x:c>
      <x:c r="AP718" s="76" t="str">
        <x:v>ICP fit; paid-demand need requires manual verification</x:v>
      </x:c>
      <x:c r="AQ718" s="76" t="str">
        <x:v>project/gallery proof; visible service offer</x:v>
      </x:c>
      <x:c r="AR718" s="76" t="str">
        <x:v>I was reviewing roofing companies in Spartanburg, South Carolina and Jordan Roofing looked like a strong fit for a creative test.</x:v>
      </x:c>
      <x:c r="AS718" s="76" t="str">
        <x:v>storm-to-inspection before/after ad</x:v>
      </x:c>
      <x:c r="AT718" s="76" t="str">
        <x:v>Jordan Roofing ad concept</x:v>
      </x:c>
      <x:c r="AU718" s="76" t="str">
        <x:v>Hi Jordan Roofing — I was reviewing roofing companies in Spartanburg, South Carolina and Jordan Roofing looked like a strong fit for a creative test. I mapped a private 15-second storm-to-inspection before/after ad for Jordan Roofing using only public brand context—not for publishing, just to show the angle. We build three client-approved video ad concepts in seven days, then turn the winners into fresh variations. No filming day required. Worth sending the private sample?</x:v>
      </x:c>
      <x:c r="AV718" s="76" t="str">
        <x:v>Quick follow-up: the sample angle is a storm-to-inspection before/after ad. If it misses the mark, no problem—I won't keep chasing. Should I send it?</x:v>
      </x:c>
      <x:c r="AW718" s="76" t="str">
        <x:v>Hi Jordan Roofing, Ryan here. I was looking at Jordan Roofing's public marketing and noticed: icp fit; paid-demand need requires manual verification. I mapped one private storm-to-inspection before/after ad as an example. Did I catch you with 30 seconds?</x:v>
      </x:c>
      <x:c r="AX718" s="60" t="str">
        <x:v>https://www.facebook.com/ads/library/?active_status=active&amp;ad_type=all&amp;country=US&amp;q=Jordan%20Roofing&amp;search_type=keyword_unordered</x:v>
      </x:c>
      <x:c r="AY718" s="60" t="str">
        <x:v>ok:200</x:v>
      </x:c>
      <x:c r="AZ718" s="60" t="n">
        <x:v>46232.722858796296</x:v>
      </x:c>
      <x:c r="BA718" s="60" t="str">
        <x:v>Google Maps home-services export</x:v>
      </x:c>
      <x:c r="BB718" s="60" t="str">
        <x:v>https://maps.google.com/?cid=9908410457528838854&amp;g_mp=Cidnb29nbGUubWFwcy5wbGFjZXMudjEuUGxhY2VzLlNlYXJjaFRleHQQAhgEIAA | https://weroofsc.com</x:v>
      </x:c>
      <x:c r="BC718" s="60" t="str"/>
    </x:row>
    <x:row r="719" ht="18" customHeight="1">
      <x:c r="A719" s="70" t="str">
        <x:v>718</x:v>
      </x:c>
      <x:c r="B719" s="70" t="str">
        <x:v>C - Verify</x:v>
      </x:c>
      <x:c r="C719" s="72" t="str">
        <x:v>45</x:v>
      </x:c>
      <x:c r="D719" s="60" t="str">
        <x:v>Intercon Construction LLC</x:v>
      </x:c>
      <x:c r="E719" s="60" t="str">
        <x:v>https://interconsc.com</x:v>
      </x:c>
      <x:c r="F719" s="60" t="str">
        <x:v>https://interconsc.com</x:v>
      </x:c>
      <x:c r="G719" s="60" t="str">
        <x:v>Greenville</x:v>
      </x:c>
      <x:c r="H719" s="60" t="str">
        <x:v>South Carolina</x:v>
      </x:c>
      <x:c r="I719" s="60" t="str">
        <x:v>General Contractor</x:v>
      </x:c>
      <x:c r="J719" s="60" t="str">
        <x:v>John</x:v>
      </x:c>
      <x:c r="K719" s="60" t="str">
        <x:v>broadbent</x:v>
      </x:c>
      <x:c r="L719" s="60" t="str">
        <x:v>Owner</x:v>
      </x:c>
      <x:c r="M719" s="60" t="str">
        <x:v>john@interconsc.com</x:v>
      </x:c>
      <x:c r="N719" s="60" t="str">
        <x:v>Verified with BounceBan on 08 Jun 26 12:06</x:v>
      </x:c>
      <x:c r="O719" s="60" t="str">
        <x:v>+1 864 915 2868</x:v>
      </x:c>
      <x:c r="P719" s="60" t="str">
        <x:v>https://www.linkedin.com/in/john-broadbent-7954551a</x:v>
      </x:c>
      <x:c r="Q719" s="60" t="str">
        <x:v>11-50</x:v>
      </x:c>
      <x:c r="R719" s="60" t="str">
        <x:v>0-99999</x:v>
      </x:c>
      <x:c r="S719" s="60" t="str"/>
      <x:c r="T719" s="74" t="str">
        <x:v>0</x:v>
      </x:c>
      <x:c r="U719" s="60" t="str"/>
      <x:c r="V719" s="74" t="str">
        <x:v>23</x:v>
      </x:c>
      <x:c r="W719" s="74" t="str">
        <x:v>3</x:v>
      </x:c>
      <x:c r="X719" s="74" t="str">
        <x:v>0</x:v>
      </x:c>
      <x:c r="Y719" s="74" t="str">
        <x:v>9</x:v>
      </x:c>
      <x:c r="Z719" s="74" t="str">
        <x:v>10</x:v>
      </x:c>
      <x:c r="AA719" s="74" t="str">
        <x:v>0</x:v>
      </x:c>
      <x:c r="AB719" s="74" t="str">
        <x:v>0</x:v>
      </x:c>
      <x:c r="AC719" s="74" t="str">
        <x:v>1</x:v>
      </x:c>
      <x:c r="AD719" s="74" t="str">
        <x:v>0</x:v>
      </x:c>
      <x:c r="AE719" s="74" t="str">
        <x:v>0</x:v>
      </x:c>
      <x:c r="AF719" s="74" t="str"/>
      <x:c r="AG719" s="74" t="str">
        <x:v>1</x:v>
      </x:c>
      <x:c r="AH719" s="74" t="str">
        <x:v>1</x:v>
      </x:c>
      <x:c r="AI719" s="74" t="str">
        <x:v>1</x:v>
      </x:c>
      <x:c r="AJ719" s="74" t="str">
        <x:v>0</x:v>
      </x:c>
      <x:c r="AK719" s="74" t="str">
        <x:v>0</x:v>
      </x:c>
      <x:c r="AL719" s="74" t="str">
        <x:v>1</x:v>
      </x:c>
      <x:c r="AM719" s="74" t="str">
        <x:v>1</x:v>
      </x:c>
      <x:c r="AN719" s="74" t="str">
        <x:v>0</x:v>
      </x:c>
      <x:c r="AO719" s="60" t="str">
        <x:v>2026</x:v>
      </x:c>
      <x:c r="AP719" s="76" t="str">
        <x:v>ICP fit; paid-demand need requires manual verification</x:v>
      </x:c>
      <x:c r="AQ719" s="76" t="str">
        <x:v>project/gallery proof; testimonials</x:v>
      </x:c>
      <x:c r="AR719" s="76" t="str">
        <x:v>I was reviewing general contractor companies in Greenville, South Carolina and Intercon Construction LLC looked like a strong fit for a creative test.</x:v>
      </x:c>
      <x:c r="AS719" s="76" t="str">
        <x:v>project walkthrough with proof milestones</x:v>
      </x:c>
      <x:c r="AT719" s="76" t="str">
        <x:v>Intercon Construction LLC ad concept</x:v>
      </x:c>
      <x:c r="AU719" s="76" t="str">
        <x:v>Hi John — I was reviewing general contractor companies in Greenville, South Carolina and Intercon Construction LLC looked like a strong fit for a creative test. I mapped a private 15-second project walkthrough with proof milestones for Intercon Construction LLC using only public brand context—not for publishing, just to show the angle. We build three client-approved video ad concepts in seven days, then turn the winners into fresh variations. No filming day required. Worth sending the private sample?</x:v>
      </x:c>
      <x:c r="AV719" s="76" t="str">
        <x:v>Quick follow-up: the sample angle is a project walkthrough with proof milestones. If it misses the mark, no problem—I won't keep chasing. Should I send it?</x:v>
      </x:c>
      <x:c r="AW719" s="76" t="str">
        <x:v>Hi John, Ryan here. I was looking at Intercon Construction LLC's public marketing and noticed: icp fit; paid-demand need requires manual verification. I mapped one private project walkthrough with proof milestones as an example. Did I catch you with 30 seconds?</x:v>
      </x:c>
      <x:c r="AX719" s="60" t="str">
        <x:v>https://www.facebook.com/ads/library/?active_status=active&amp;ad_type=all&amp;country=US&amp;q=Intercon%20Construction%20LLC&amp;search_type=keyword_unordered</x:v>
      </x:c>
      <x:c r="AY719" s="60" t="str">
        <x:v>ok:200</x:v>
      </x:c>
      <x:c r="AZ719" s="60" t="n">
        <x:v>46232.722858796296</x:v>
      </x:c>
      <x:c r="BA719" s="60" t="str">
        <x:v>AI Ark SC trades export</x:v>
      </x:c>
      <x:c r="BB719" s="60" t="str">
        <x:v>https://interconsc.com | https://www.linkedin.com/company/intercon-construction-llc</x:v>
      </x:c>
      <x:c r="BC719" s="60" t="str"/>
    </x:row>
    <x:row r="720" ht="18" customHeight="1">
      <x:c r="A720" s="70" t="str">
        <x:v>719</x:v>
      </x:c>
      <x:c r="B720" s="70" t="str">
        <x:v>C - Verify</x:v>
      </x:c>
      <x:c r="C720" s="72" t="str">
        <x:v>45</x:v>
      </x:c>
      <x:c r="D720" s="60" t="str">
        <x:v>On Track Garage Doors</x:v>
      </x:c>
      <x:c r="E720" s="60" t="str">
        <x:v>https://ontrackgaragedoor.com</x:v>
      </x:c>
      <x:c r="F720" s="60" t="str">
        <x:v>https://ontrackgaragedoor.com</x:v>
      </x:c>
      <x:c r="G720" s="60" t="str">
        <x:v>Charleston</x:v>
      </x:c>
      <x:c r="H720" s="60" t="str">
        <x:v>South Carolina</x:v>
      </x:c>
      <x:c r="I720" s="60" t="str">
        <x:v>Garage Doors</x:v>
      </x:c>
      <x:c r="J720" s="60" t="str">
        <x:v>On Track Garage Doors</x:v>
      </x:c>
      <x:c r="K720" s="60" t="str"/>
      <x:c r="L720" s="60" t="str">
        <x:v>Owner / decision maker to verify</x:v>
      </x:c>
      <x:c r="M720" s="60" t="str"/>
      <x:c r="N720" s="60" t="str"/>
      <x:c r="O720" s="60" t="str">
        <x:v>(843) 697-1890</x:v>
      </x:c>
      <x:c r="P720" s="60" t="str"/>
      <x:c r="Q720" s="60" t="str"/>
      <x:c r="R720" s="60" t="str"/>
      <x:c r="S720" s="60" t="str">
        <x:v>5</x:v>
      </x:c>
      <x:c r="T720" s="74" t="str">
        <x:v>71</x:v>
      </x:c>
      <x:c r="U720" s="60" t="str"/>
      <x:c r="V720" s="74" t="str">
        <x:v>22</x:v>
      </x:c>
      <x:c r="W720" s="74" t="str">
        <x:v>3</x:v>
      </x:c>
      <x:c r="X720" s="74" t="str">
        <x:v>6</x:v>
      </x:c>
      <x:c r="Y720" s="74" t="str">
        <x:v>9</x:v>
      </x:c>
      <x:c r="Z720" s="74" t="str">
        <x:v>5</x:v>
      </x:c>
      <x:c r="AA720" s="74" t="str">
        <x:v>0</x:v>
      </x:c>
      <x:c r="AB720" s="74" t="str">
        <x:v>0</x:v>
      </x:c>
      <x:c r="AC720" s="74" t="str">
        <x:v>1</x:v>
      </x:c>
      <x:c r="AD720" s="74" t="str">
        <x:v>0</x:v>
      </x:c>
      <x:c r="AE720" s="74" t="str">
        <x:v>0</x:v>
      </x:c>
      <x:c r="AF720" s="74" t="str"/>
      <x:c r="AG720" s="74" t="str">
        <x:v>0</x:v>
      </x:c>
      <x:c r="AH720" s="74" t="str">
        <x:v>0</x:v>
      </x:c>
      <x:c r="AI720" s="74" t="str">
        <x:v>1</x:v>
      </x:c>
      <x:c r="AJ720" s="74" t="str">
        <x:v>0</x:v>
      </x:c>
      <x:c r="AK720" s="74" t="str">
        <x:v>1</x:v>
      </x:c>
      <x:c r="AL720" s="74" t="str">
        <x:v>1</x:v>
      </x:c>
      <x:c r="AM720" s="74" t="str">
        <x:v>1</x:v>
      </x:c>
      <x:c r="AN720" s="74" t="str">
        <x:v>0</x:v>
      </x:c>
      <x:c r="AO720" s="60" t="str">
        <x:v>2026</x:v>
      </x:c>
      <x:c r="AP720" s="76" t="str">
        <x:v>ICP fit; paid-demand need requires manual verification</x:v>
      </x:c>
      <x:c r="AQ720" s="76" t="str">
        <x:v>testimonials; visible service offer; no embedded homepage video detected</x:v>
      </x:c>
      <x:c r="AR720" s="76" t="str">
        <x:v>I was reviewing garage doors companies in Charleston, South Carolina and On Track Garage Doors looked like a strong fit for a creative test.</x:v>
      </x:c>
      <x:c r="AS720" s="76" t="str">
        <x:v>curb-appeal transformation ad</x:v>
      </x:c>
      <x:c r="AT720" s="76" t="str">
        <x:v>On Track Garage Doors ad concept</x:v>
      </x:c>
      <x:c r="AU720" s="76" t="str">
        <x:v>Hi On Track Garage Doors — I was reviewing garage doors companies in Charleston, South Carolina and On Track Garage Doors looked like a strong fit for a creative test. I mapped a private 15-second curb-appeal transformation ad for On Track Garage Doors using only public brand context—not for publishing, just to show the angle. We build three client-approved video ad concepts in seven days, then turn the winners into fresh variations. No filming day required. Worth sending the private sample?</x:v>
      </x:c>
      <x:c r="AV720" s="76" t="str">
        <x:v>Quick follow-up: the sample angle is a curb-appeal transformation ad. If it misses the mark, no problem—I won't keep chasing. Should I send it?</x:v>
      </x:c>
      <x:c r="AW720" s="76" t="str">
        <x:v>Hi On Track Garage Doors, Ryan here. I was looking at On Track Garage Doors's public marketing and noticed: icp fit; paid-demand need requires manual verification. I mapped one private curb-appeal transformation ad as an example. Did I catch you with 30 seconds?</x:v>
      </x:c>
      <x:c r="AX720" s="60" t="str">
        <x:v>https://www.facebook.com/ads/library/?active_status=active&amp;ad_type=all&amp;country=US&amp;q=On%20Track%20Garage%20Doors&amp;search_type=keyword_unordered</x:v>
      </x:c>
      <x:c r="AY720" s="60" t="str">
        <x:v>ok:200</x:v>
      </x:c>
      <x:c r="AZ720" s="60" t="n">
        <x:v>46232.722858796296</x:v>
      </x:c>
      <x:c r="BA720" s="60" t="str">
        <x:v>Google Maps home-services export</x:v>
      </x:c>
      <x:c r="BB720" s="60" t="str">
        <x:v>https://maps.google.com/?cid=5050892948576973079&amp;g_mp=Cidnb29nbGUubWFwcy5wbGFjZXMudjEuUGxhY2VzLlNlYXJjaFRleHQQAhgEIAA | https://ontrackgaragedoor.com</x:v>
      </x:c>
      <x:c r="BC720" s="60" t="str"/>
    </x:row>
    <x:row r="721" ht="18" customHeight="1">
      <x:c r="A721" s="70" t="str">
        <x:v>720</x:v>
      </x:c>
      <x:c r="B721" s="70" t="str">
        <x:v>C - Verify</x:v>
      </x:c>
      <x:c r="C721" s="72" t="str">
        <x:v>45</x:v>
      </x:c>
      <x:c r="D721" s="60" t="str">
        <x:v>ForeverLawn Charleston</x:v>
      </x:c>
      <x:c r="E721" s="60" t="str">
        <x:v>https://foreverlawn.com</x:v>
      </x:c>
      <x:c r="F721" s="60" t="str">
        <x:v>https://www.foreverlawn.com/</x:v>
      </x:c>
      <x:c r="G721" s="60" t="str">
        <x:v>Charleston</x:v>
      </x:c>
      <x:c r="H721" s="60" t="str">
        <x:v>South Carolina Metropolitan Area</x:v>
      </x:c>
      <x:c r="I721" s="60" t="str">
        <x:v>Landscaping &amp; Tree</x:v>
      </x:c>
      <x:c r="J721" s="60" t="str">
        <x:v>Cameron</x:v>
      </x:c>
      <x:c r="K721" s="60" t="str">
        <x:v>Gilmore</x:v>
      </x:c>
      <x:c r="L721" s="60" t="str">
        <x:v>Owner</x:v>
      </x:c>
      <x:c r="M721" s="60" t="str"/>
      <x:c r="N721" s="60" t="str"/>
      <x:c r="O721" s="60" t="str">
        <x:v>+1 551 265 9053</x:v>
      </x:c>
      <x:c r="P721" s="60" t="str">
        <x:v>https://www.linkedin.com/in/cameron-gilmore</x:v>
      </x:c>
      <x:c r="Q721" s="60" t="str">
        <x:v>2-10</x:v>
      </x:c>
      <x:c r="R721" s="60" t="str">
        <x:v>0-99999</x:v>
      </x:c>
      <x:c r="S721" s="60" t="str"/>
      <x:c r="T721" s="74" t="str">
        <x:v>0</x:v>
      </x:c>
      <x:c r="U721" s="60" t="str"/>
      <x:c r="V721" s="74" t="str">
        <x:v>22</x:v>
      </x:c>
      <x:c r="W721" s="74" t="str">
        <x:v>3</x:v>
      </x:c>
      <x:c r="X721" s="74" t="str">
        <x:v>6</x:v>
      </x:c>
      <x:c r="Y721" s="74" t="str">
        <x:v>9</x:v>
      </x:c>
      <x:c r="Z721" s="74" t="str">
        <x:v>5</x:v>
      </x:c>
      <x:c r="AA721" s="74" t="str">
        <x:v>0</x:v>
      </x:c>
      <x:c r="AB721" s="74" t="str">
        <x:v>0</x:v>
      </x:c>
      <x:c r="AC721" s="74" t="str">
        <x:v>1</x:v>
      </x:c>
      <x:c r="AD721" s="74" t="str">
        <x:v>0</x:v>
      </x:c>
      <x:c r="AE721" s="74" t="str">
        <x:v>0</x:v>
      </x:c>
      <x:c r="AF721" s="74" t="str"/>
      <x:c r="AG721" s="74" t="str">
        <x:v>0</x:v>
      </x:c>
      <x:c r="AH721" s="74" t="str">
        <x:v>1</x:v>
      </x:c>
      <x:c r="AI721" s="74" t="str">
        <x:v>1</x:v>
      </x:c>
      <x:c r="AJ721" s="74" t="str">
        <x:v>0</x:v>
      </x:c>
      <x:c r="AK721" s="74" t="str">
        <x:v>0</x:v>
      </x:c>
      <x:c r="AL721" s="74" t="str">
        <x:v>1</x:v>
      </x:c>
      <x:c r="AM721" s="74" t="str">
        <x:v>1</x:v>
      </x:c>
      <x:c r="AN721" s="74" t="str">
        <x:v>1</x:v>
      </x:c>
      <x:c r="AO721" s="60" t="str">
        <x:v>2026</x:v>
      </x:c>
      <x:c r="AP721" s="76" t="str">
        <x:v>Project/gallery proof found; no embedded homepage video found</x:v>
      </x:c>
      <x:c r="AQ721" s="76" t="str">
        <x:v>project/gallery proof; testimonials; no embedded homepage video detected</x:v>
      </x:c>
      <x:c r="AR721" s="76" t="str">
        <x:v>I found project/gallery proof on ForeverLawn Charleston's site that could be repackaged into short-form ad concepts.</x:v>
      </x:c>
      <x:c r="AS721" s="76" t="str">
        <x:v>property transformation ad</x:v>
      </x:c>
      <x:c r="AT721" s="76" t="str">
        <x:v>ForeverLawn Charleston ad concept</x:v>
      </x:c>
      <x:c r="AU721" s="76" t="str">
        <x:v>Hi Cameron — I found project/gallery proof on ForeverLawn Charleston's site that could be repackaged into short-form ad concepts. I mapped a private 15-second property transformation ad for ForeverLawn Charleston using only public brand context—not for publishing, just to show the angle. We build three client-approved video ad concepts in seven days, then turn the winners into fresh variations. No filming day required. Worth sending the private sample?</x:v>
      </x:c>
      <x:c r="AV721" s="76" t="str">
        <x:v>Quick follow-up: the sample angle is a property transformation ad. If it misses the mark, no problem—I won't keep chasing. Should I send it?</x:v>
      </x:c>
      <x:c r="AW721" s="76" t="str">
        <x:v>Hi Cameron, Ryan here. I was looking at ForeverLawn Charleston's public marketing and noticed: project/gallery proof found; no embedded homepage video found. I mapped one private property transformation ad as an example. Did I catch you with 30 seconds?</x:v>
      </x:c>
      <x:c r="AX721" s="60" t="str">
        <x:v>https://www.facebook.com/ads/library/?active_status=active&amp;ad_type=all&amp;country=US&amp;q=ForeverLawn%20Charleston&amp;search_type=keyword_unordered</x:v>
      </x:c>
      <x:c r="AY721" s="60" t="str">
        <x:v>ok:200</x:v>
      </x:c>
      <x:c r="AZ721" s="60" t="n">
        <x:v>46232.722858796296</x:v>
      </x:c>
      <x:c r="BA721" s="60" t="str">
        <x:v>AI Ark SC trades export</x:v>
      </x:c>
      <x:c r="BB721" s="60" t="str">
        <x:v>https://foreverlawn.com | https://www.linkedin.com/company/foreverlawn-charleston</x:v>
      </x:c>
      <x:c r="BC721" s="60" t="str"/>
    </x:row>
    <x:row r="722" ht="18" customHeight="1">
      <x:c r="A722" s="70" t="str">
        <x:v>721</x:v>
      </x:c>
      <x:c r="B722" s="70" t="str">
        <x:v>C - Verify</x:v>
      </x:c>
      <x:c r="C722" s="72" t="str">
        <x:v>45</x:v>
      </x:c>
      <x:c r="D722" s="60" t="str">
        <x:v>Active Fencing</x:v>
      </x:c>
      <x:c r="E722" s="60" t="str">
        <x:v>https://activefencing.com.au</x:v>
      </x:c>
      <x:c r="F722" s="60" t="str">
        <x:v>https://activefencing.com.au</x:v>
      </x:c>
      <x:c r="G722" s="60" t="str">
        <x:v>Greater Myrtle Beach Area</x:v>
      </x:c>
      <x:c r="H722" s="60" t="str"/>
      <x:c r="I722" s="60" t="str">
        <x:v>Fence &amp; Deck</x:v>
      </x:c>
      <x:c r="J722" s="60" t="str">
        <x:v>Larry</x:v>
      </x:c>
      <x:c r="K722" s="60" t="str">
        <x:v>Medrano-Register</x:v>
      </x:c>
      <x:c r="L722" s="60" t="str">
        <x:v>Company Owner</x:v>
      </x:c>
      <x:c r="M722" s="60" t="str"/>
      <x:c r="N722" s="60" t="str"/>
      <x:c r="O722" s="60" t="str">
        <x:v>+1 843 504 0973</x:v>
      </x:c>
      <x:c r="P722" s="60" t="str">
        <x:v>https://www.linkedin.com/in/larry-medrano-register-b705b2176</x:v>
      </x:c>
      <x:c r="Q722" s="60" t="str">
        <x:v>null+</x:v>
      </x:c>
      <x:c r="R722" s="60" t="str">
        <x:v>100000-499999</x:v>
      </x:c>
      <x:c r="S722" s="60" t="str"/>
      <x:c r="T722" s="74" t="str">
        <x:v>0</x:v>
      </x:c>
      <x:c r="U722" s="60" t="str"/>
      <x:c r="V722" s="74" t="str">
        <x:v>18</x:v>
      </x:c>
      <x:c r="W722" s="74" t="str">
        <x:v>3</x:v>
      </x:c>
      <x:c r="X722" s="74" t="str">
        <x:v>10</x:v>
      </x:c>
      <x:c r="Y722" s="74" t="str">
        <x:v>9</x:v>
      </x:c>
      <x:c r="Z722" s="74" t="str">
        <x:v>5</x:v>
      </x:c>
      <x:c r="AA722" s="74" t="str">
        <x:v>0</x:v>
      </x:c>
      <x:c r="AB722" s="74" t="str">
        <x:v>0</x:v>
      </x:c>
      <x:c r="AC722" s="74" t="str">
        <x:v>1</x:v>
      </x:c>
      <x:c r="AD722" s="74" t="str">
        <x:v>0</x:v>
      </x:c>
      <x:c r="AE722" s="74" t="str">
        <x:v>0</x:v>
      </x:c>
      <x:c r="AF722" s="74" t="str"/>
      <x:c r="AG722" s="74" t="str">
        <x:v>0</x:v>
      </x:c>
      <x:c r="AH722" s="74" t="str">
        <x:v>1</x:v>
      </x:c>
      <x:c r="AI722" s="74" t="str">
        <x:v>1</x:v>
      </x:c>
      <x:c r="AJ722" s="74" t="str">
        <x:v>0</x:v>
      </x:c>
      <x:c r="AK722" s="74" t="str">
        <x:v>0</x:v>
      </x:c>
      <x:c r="AL722" s="74" t="str">
        <x:v>0</x:v>
      </x:c>
      <x:c r="AM722" s="74" t="str">
        <x:v>0</x:v>
      </x:c>
      <x:c r="AN722" s="74" t="str">
        <x:v>0</x:v>
      </x:c>
      <x:c r="AO722" s="60" t="str">
        <x:v>0</x:v>
      </x:c>
      <x:c r="AP722" s="76" t="str">
        <x:v>Project/gallery proof found; no embedded homepage video found</x:v>
      </x:c>
      <x:c r="AQ722" s="76" t="str">
        <x:v>project/gallery proof; testimonials; no embedded homepage video detected</x:v>
      </x:c>
      <x:c r="AR722" s="76" t="str">
        <x:v>I found project/gallery proof on Active Fencing's site that could be repackaged into short-form ad concepts.</x:v>
      </x:c>
      <x:c r="AS722" s="76" t="str">
        <x:v>yard privacy transformation ad</x:v>
      </x:c>
      <x:c r="AT722" s="76" t="str">
        <x:v>Active Fencing ad concept</x:v>
      </x:c>
      <x:c r="AU722" s="76" t="str">
        <x:v>Hi Larry — I found project/gallery proof on Active Fencing's site that could be repackaged into short-form ad concepts. I mapped a private 15-second yard privacy transformation ad for Active Fencing using only public brand context—not for publishing, just to show the angle. We build three client-approved video ad concepts in seven days, then turn the winners into fresh variations. No filming day required. Worth sending the private sample?</x:v>
      </x:c>
      <x:c r="AV722" s="76" t="str">
        <x:v>Quick follow-up: the sample angle is a yard privacy transformation ad. If it misses the mark, no problem—I won't keep chasing. Should I send it?</x:v>
      </x:c>
      <x:c r="AW722" s="76" t="str">
        <x:v>Hi Larry, Ryan here. I was looking at Active Fencing's public marketing and noticed: project/gallery proof found; no embedded homepage video found. I mapped one private yard privacy transformation ad as an example. Did I catch you with 30 seconds?</x:v>
      </x:c>
      <x:c r="AX722" s="60" t="str">
        <x:v>https://www.facebook.com/ads/library/?active_status=active&amp;ad_type=all&amp;country=US&amp;q=Active%20Fencing&amp;search_type=keyword_unordered</x:v>
      </x:c>
      <x:c r="AY722" s="60" t="str">
        <x:v>ok:200</x:v>
      </x:c>
      <x:c r="AZ722" s="60" t="n">
        <x:v>46232.722858796296</x:v>
      </x:c>
      <x:c r="BA722" s="60" t="str">
        <x:v>AI Ark SC trades export</x:v>
      </x:c>
      <x:c r="BB722" s="60" t="str">
        <x:v>https://activefencing.com.au | https://www.linkedin.com/company/active-fencing</x:v>
      </x:c>
      <x:c r="BC722" s="60" t="str"/>
    </x:row>
    <x:row r="723" ht="18" customHeight="1">
      <x:c r="A723" s="70" t="str">
        <x:v>722</x:v>
      </x:c>
      <x:c r="B723" s="70" t="str">
        <x:v>C - Verify</x:v>
      </x:c>
      <x:c r="C723" s="72" t="str">
        <x:v>45</x:v>
      </x:c>
      <x:c r="D723" s="60" t="str">
        <x:v>Taylor Built Construction Co</x:v>
      </x:c>
      <x:c r="E723" s="60" t="str">
        <x:v>https://taylorbuiltconstruction.com</x:v>
      </x:c>
      <x:c r="F723" s="60" t="str">
        <x:v>https://taylorbuiltconstruction.com</x:v>
      </x:c>
      <x:c r="G723" s="60" t="str">
        <x:v>Florence</x:v>
      </x:c>
      <x:c r="H723" s="60" t="str">
        <x:v>South Carolina</x:v>
      </x:c>
      <x:c r="I723" s="60" t="str">
        <x:v>General Contractor</x:v>
      </x:c>
      <x:c r="J723" s="60" t="str">
        <x:v>Chris</x:v>
      </x:c>
      <x:c r="K723" s="60" t="str">
        <x:v>Taylor</x:v>
      </x:c>
      <x:c r="L723" s="60" t="str">
        <x:v>Owner / President</x:v>
      </x:c>
      <x:c r="M723" s="60" t="str"/>
      <x:c r="N723" s="60" t="str"/>
      <x:c r="O723" s="60" t="str">
        <x:v>+1 843 206 9360, +1 843 319 8226</x:v>
      </x:c>
      <x:c r="P723" s="60" t="str">
        <x:v>https://www.linkedin.com/in/chris-taylor-a94911b</x:v>
      </x:c>
      <x:c r="Q723" s="60" t="str">
        <x:v>11-50</x:v>
      </x:c>
      <x:c r="R723" s="60" t="str">
        <x:v>500000-999999</x:v>
      </x:c>
      <x:c r="S723" s="60" t="str"/>
      <x:c r="T723" s="74" t="str">
        <x:v>0</x:v>
      </x:c>
      <x:c r="U723" s="60" t="str"/>
      <x:c r="V723" s="74" t="str">
        <x:v>25</x:v>
      </x:c>
      <x:c r="W723" s="74" t="str">
        <x:v>3</x:v>
      </x:c>
      <x:c r="X723" s="74" t="str">
        <x:v>4</x:v>
      </x:c>
      <x:c r="Y723" s="74" t="str">
        <x:v>8</x:v>
      </x:c>
      <x:c r="Z723" s="74" t="str">
        <x:v>5</x:v>
      </x:c>
      <x:c r="AA723" s="74" t="str">
        <x:v>0</x:v>
      </x:c>
      <x:c r="AB723" s="74" t="str">
        <x:v>0</x:v>
      </x:c>
      <x:c r="AC723" s="74" t="str">
        <x:v>1</x:v>
      </x:c>
      <x:c r="AD723" s="74" t="str">
        <x:v>0</x:v>
      </x:c>
      <x:c r="AE723" s="74" t="str">
        <x:v>0</x:v>
      </x:c>
      <x:c r="AF723" s="74" t="str"/>
      <x:c r="AG723" s="74" t="str">
        <x:v>1</x:v>
      </x:c>
      <x:c r="AH723" s="74" t="str">
        <x:v>1</x:v>
      </x:c>
      <x:c r="AI723" s="74" t="str">
        <x:v>0</x:v>
      </x:c>
      <x:c r="AJ723" s="74" t="str">
        <x:v>0</x:v>
      </x:c>
      <x:c r="AK723" s="74" t="str">
        <x:v>1</x:v>
      </x:c>
      <x:c r="AL723" s="74" t="str">
        <x:v>0</x:v>
      </x:c>
      <x:c r="AM723" s="74" t="str">
        <x:v>1</x:v>
      </x:c>
      <x:c r="AN723" s="74" t="str">
        <x:v>0</x:v>
      </x:c>
      <x:c r="AO723" s="60" t="str">
        <x:v>2026</x:v>
      </x:c>
      <x:c r="AP723" s="76" t="str">
        <x:v>ICP fit; paid-demand need requires manual verification</x:v>
      </x:c>
      <x:c r="AQ723" s="76" t="str">
        <x:v>project/gallery proof; visible service offer</x:v>
      </x:c>
      <x:c r="AR723" s="76" t="str">
        <x:v>I was reviewing general contractor companies in Florence, South Carolina and Taylor Built Construction Co looked like a strong fit for a creative test.</x:v>
      </x:c>
      <x:c r="AS723" s="76" t="str">
        <x:v>project walkthrough with proof milestones</x:v>
      </x:c>
      <x:c r="AT723" s="76" t="str">
        <x:v>Taylor Built Construction Co ad concept</x:v>
      </x:c>
      <x:c r="AU723" s="76" t="str">
        <x:v>Hi Chris — I was reviewing general contractor companies in Florence, South Carolina and Taylor Built Construction Co looked like a strong fit for a creative test. I mapped a private 15-second project walkthrough with proof milestones for Taylor Built Construction Co using only public brand context—not for publishing, just to show the angle. We build three client-approved video ad concepts in seven days, then turn the winners into fresh variations. No filming day required. Worth sending the private sample?</x:v>
      </x:c>
      <x:c r="AV723" s="76" t="str">
        <x:v>Quick follow-up: the sample angle is a project walkthrough with proof milestones. If it misses the mark, no problem—I won't keep chasing. Should I send it?</x:v>
      </x:c>
      <x:c r="AW723" s="76" t="str">
        <x:v>Hi Chris, Ryan here. I was looking at Taylor Built Construction Co's public marketing and noticed: icp fit; paid-demand need requires manual verification. I mapped one private project walkthrough with proof milestones as an example. Did I catch you with 30 seconds?</x:v>
      </x:c>
      <x:c r="AX723" s="60" t="str">
        <x:v>https://www.facebook.com/ads/library/?active_status=active&amp;ad_type=all&amp;country=US&amp;q=Taylor%20Built%20Construction%20Co&amp;search_type=keyword_unordered</x:v>
      </x:c>
      <x:c r="AY723" s="60" t="str">
        <x:v>ok:200</x:v>
      </x:c>
      <x:c r="AZ723" s="60" t="n">
        <x:v>46232.722858796296</x:v>
      </x:c>
      <x:c r="BA723" s="60" t="str">
        <x:v>AI Ark SC trades export</x:v>
      </x:c>
      <x:c r="BB723" s="60" t="str">
        <x:v>https://taylorbuiltconstruction.com | https://www.linkedin.com/company/taylor-built-construction-co</x:v>
      </x:c>
      <x:c r="BC723" s="60" t="str"/>
    </x:row>
    <x:row r="724" ht="18" customHeight="1">
      <x:c r="A724" s="70" t="str">
        <x:v>723</x:v>
      </x:c>
      <x:c r="B724" s="70" t="str">
        <x:v>C - Verify</x:v>
      </x:c>
      <x:c r="C724" s="72" t="str">
        <x:v>45</x:v>
      </x:c>
      <x:c r="D724" s="60" t="str">
        <x:v>Apex Roofing Group</x:v>
      </x:c>
      <x:c r="E724" s="60" t="str">
        <x:v>https://apexroofinggroup.net</x:v>
      </x:c>
      <x:c r="F724" s="60" t="str">
        <x:v>https://apexroofinggroup.net</x:v>
      </x:c>
      <x:c r="G724" s="60" t="str">
        <x:v>Myrtle Beach</x:v>
      </x:c>
      <x:c r="H724" s="60" t="str">
        <x:v>South Carolina</x:v>
      </x:c>
      <x:c r="I724" s="60" t="str">
        <x:v>Roofing</x:v>
      </x:c>
      <x:c r="J724" s="60" t="str">
        <x:v>Apex Roofing Group</x:v>
      </x:c>
      <x:c r="K724" s="60" t="str"/>
      <x:c r="L724" s="60" t="str">
        <x:v>Owner / decision maker to verify</x:v>
      </x:c>
      <x:c r="M724" s="60" t="str"/>
      <x:c r="N724" s="60" t="str"/>
      <x:c r="O724" s="60" t="str">
        <x:v>(843) 315-5015</x:v>
      </x:c>
      <x:c r="P724" s="60" t="str"/>
      <x:c r="Q724" s="60" t="str"/>
      <x:c r="R724" s="60" t="str"/>
      <x:c r="S724" s="60" t="str">
        <x:v>5</x:v>
      </x:c>
      <x:c r="T724" s="74" t="str">
        <x:v>196</x:v>
      </x:c>
      <x:c r="U724" s="60" t="str"/>
      <x:c r="V724" s="74" t="str">
        <x:v>29</x:v>
      </x:c>
      <x:c r="W724" s="74" t="str">
        <x:v>3</x:v>
      </x:c>
      <x:c r="X724" s="74" t="str">
        <x:v>0</x:v>
      </x:c>
      <x:c r="Y724" s="74" t="str">
        <x:v>8</x:v>
      </x:c>
      <x:c r="Z724" s="74" t="str">
        <x:v>5</x:v>
      </x:c>
      <x:c r="AA724" s="74" t="str">
        <x:v>0</x:v>
      </x:c>
      <x:c r="AB724" s="74" t="str">
        <x:v>0</x:v>
      </x:c>
      <x:c r="AC724" s="74" t="str">
        <x:v>1</x:v>
      </x:c>
      <x:c r="AD724" s="74" t="str">
        <x:v>0</x:v>
      </x:c>
      <x:c r="AE724" s="74" t="str">
        <x:v>0</x:v>
      </x:c>
      <x:c r="AF724" s="74" t="str"/>
      <x:c r="AG724" s="74" t="str">
        <x:v>1</x:v>
      </x:c>
      <x:c r="AH724" s="74" t="str">
        <x:v>1</x:v>
      </x:c>
      <x:c r="AI724" s="74" t="str">
        <x:v>0</x:v>
      </x:c>
      <x:c r="AJ724" s="74" t="str">
        <x:v>0</x:v>
      </x:c>
      <x:c r="AK724" s="74" t="str">
        <x:v>0</x:v>
      </x:c>
      <x:c r="AL724" s="74" t="str">
        <x:v>1</x:v>
      </x:c>
      <x:c r="AM724" s="74" t="str">
        <x:v>1</x:v>
      </x:c>
      <x:c r="AN724" s="74" t="str">
        <x:v>0</x:v>
      </x:c>
      <x:c r="AO724" s="60" t="str">
        <x:v>0</x:v>
      </x:c>
      <x:c r="AP724" s="76" t="str">
        <x:v>ICP fit; paid-demand need requires manual verification</x:v>
      </x:c>
      <x:c r="AQ724" s="76" t="str">
        <x:v>project/gallery proof</x:v>
      </x:c>
      <x:c r="AR724" s="76" t="str">
        <x:v>I was reviewing roofing companies in Myrtle Beach, South Carolina and Apex Roofing Group looked like a strong fit for a creative test.</x:v>
      </x:c>
      <x:c r="AS724" s="76" t="str">
        <x:v>storm-to-inspection before/after ad</x:v>
      </x:c>
      <x:c r="AT724" s="76" t="str">
        <x:v>Apex Roofing Group ad concept</x:v>
      </x:c>
      <x:c r="AU724" s="76" t="str">
        <x:v>Hi Apex Roofing Group — I was reviewing roofing companies in Myrtle Beach, South Carolina and Apex Roofing Group looked like a strong fit for a creative test. I mapped a private 15-second storm-to-inspection before/after ad for Apex Roofing Group using only public brand context—not for publishing, just to show the angle. We build three client-approved video ad concepts in seven days, then turn the winners into fresh variations. No filming day required. Worth sending the private sample?</x:v>
      </x:c>
      <x:c r="AV724" s="76" t="str">
        <x:v>Quick follow-up: the sample angle is a storm-to-inspection before/after ad. If it misses the mark, no problem—I won't keep chasing. Should I send it?</x:v>
      </x:c>
      <x:c r="AW724" s="76" t="str">
        <x:v>Hi Apex Roofing Group, Ryan here. I was looking at Apex Roofing Group's public marketing and noticed: icp fit; paid-demand need requires manual verification. I mapped one private storm-to-inspection before/after ad as an example. Did I catch you with 30 seconds?</x:v>
      </x:c>
      <x:c r="AX724" s="60" t="str">
        <x:v>https://www.facebook.com/ads/library/?active_status=active&amp;ad_type=all&amp;country=US&amp;q=Apex%20Roofing%20Group&amp;search_type=keyword_unordered</x:v>
      </x:c>
      <x:c r="AY724" s="60" t="str">
        <x:v>ok:200</x:v>
      </x:c>
      <x:c r="AZ724" s="60" t="n">
        <x:v>46232.722858796296</x:v>
      </x:c>
      <x:c r="BA724" s="60" t="str">
        <x:v>Google Maps home-services export</x:v>
      </x:c>
      <x:c r="BB724" s="60" t="str">
        <x:v>https://apexroofinggroup.net | https://maps.google.com/?cid=12531393889976738594&amp;g_mp=Cidnb29nbGUubWFwcy5wbGFjZXMudjEuUGxhY2VzLlNlYXJjaFRleHQQAhgEIAA</x:v>
      </x:c>
      <x:c r="BC724" s="60" t="str"/>
    </x:row>
    <x:row r="725" ht="18" customHeight="1">
      <x:c r="A725" s="70" t="str">
        <x:v>724</x:v>
      </x:c>
      <x:c r="B725" s="70" t="str">
        <x:v>C - Verify</x:v>
      </x:c>
      <x:c r="C725" s="72" t="str">
        <x:v>45</x:v>
      </x:c>
      <x:c r="D725" s="60" t="str">
        <x:v>Jordan &amp; Sons Plumbing and Electrical</x:v>
      </x:c>
      <x:c r="E725" s="60" t="str">
        <x:v>https://jordanandsons.com</x:v>
      </x:c>
      <x:c r="F725" s="60" t="str">
        <x:v>https://jordanandsons.com</x:v>
      </x:c>
      <x:c r="G725" s="60" t="str">
        <x:v>Florence</x:v>
      </x:c>
      <x:c r="H725" s="60" t="str">
        <x:v>South Carolina</x:v>
      </x:c>
      <x:c r="I725" s="60" t="str">
        <x:v>Plumbing</x:v>
      </x:c>
      <x:c r="J725" s="60" t="str">
        <x:v>Jordan &amp; Sons Plumbing and Electrical</x:v>
      </x:c>
      <x:c r="K725" s="60" t="str"/>
      <x:c r="L725" s="60" t="str">
        <x:v>Owner / decision maker to verify</x:v>
      </x:c>
      <x:c r="M725" s="60" t="str"/>
      <x:c r="N725" s="60" t="str"/>
      <x:c r="O725" s="60" t="str">
        <x:v>(843) 669-4505</x:v>
      </x:c>
      <x:c r="P725" s="60" t="str"/>
      <x:c r="Q725" s="60" t="str"/>
      <x:c r="R725" s="60" t="str"/>
      <x:c r="S725" s="60" t="str">
        <x:v>4.1</x:v>
      </x:c>
      <x:c r="T725" s="74" t="str">
        <x:v>149</x:v>
      </x:c>
      <x:c r="U725" s="60" t="str"/>
      <x:c r="V725" s="74" t="str">
        <x:v>24</x:v>
      </x:c>
      <x:c r="W725" s="74" t="str">
        <x:v>3</x:v>
      </x:c>
      <x:c r="X725" s="74" t="str">
        <x:v>6</x:v>
      </x:c>
      <x:c r="Y725" s="74" t="str">
        <x:v>7</x:v>
      </x:c>
      <x:c r="Z725" s="74" t="str">
        <x:v>5</x:v>
      </x:c>
      <x:c r="AA725" s="74" t="str">
        <x:v>0</x:v>
      </x:c>
      <x:c r="AB725" s="74" t="str">
        <x:v>0</x:v>
      </x:c>
      <x:c r="AC725" s="74" t="str">
        <x:v>1</x:v>
      </x:c>
      <x:c r="AD725" s="74" t="str">
        <x:v>0</x:v>
      </x:c>
      <x:c r="AE725" s="74" t="str">
        <x:v>0</x:v>
      </x:c>
      <x:c r="AF725" s="74" t="str"/>
      <x:c r="AG725" s="74" t="str">
        <x:v>0</x:v>
      </x:c>
      <x:c r="AH725" s="74" t="str">
        <x:v>0</x:v>
      </x:c>
      <x:c r="AI725" s="74" t="str">
        <x:v>1</x:v>
      </x:c>
      <x:c r="AJ725" s="74" t="str">
        <x:v>0</x:v>
      </x:c>
      <x:c r="AK725" s="74" t="str">
        <x:v>0</x:v>
      </x:c>
      <x:c r="AL725" s="74" t="str">
        <x:v>1</x:v>
      </x:c>
      <x:c r="AM725" s="74" t="str">
        <x:v>1</x:v>
      </x:c>
      <x:c r="AN725" s="74" t="str">
        <x:v>0</x:v>
      </x:c>
      <x:c r="AO725" s="60" t="str">
        <x:v>0</x:v>
      </x:c>
      <x:c r="AP725" s="76" t="str">
        <x:v>149 Google reviews; no embedded homepage video found</x:v>
      </x:c>
      <x:c r="AQ725" s="76" t="str">
        <x:v>testimonials; no embedded homepage video detected</x:v>
      </x:c>
      <x:c r="AR725" s="76" t="str">
        <x:v>Jordan &amp; Sons Plumbing and Electrical has 149 Google reviews—strong proof that could be turned into short-form ad concepts.</x:v>
      </x:c>
      <x:c r="AS725" s="76" t="str">
        <x:v>small symptom to prevented-emergency ad</x:v>
      </x:c>
      <x:c r="AT725" s="76" t="str">
        <x:v>Jordan &amp; Sons Plumbing and Electrical ad concept</x:v>
      </x:c>
      <x:c r="AU725" s="76" t="str">
        <x:v>Hi Jordan &amp; Sons Plumbing and Electrical — Jordan &amp; Sons Plumbing and Electrical has 149 Google reviews—strong proof that could be turned into short-form ad concepts. I mapped a private 15-second small symptom to prevented-emergency ad for Jordan &amp; Sons Plumbing and Electrical using only public brand context—not for publishing, just to show the angle. We build three client-approved video ad concepts in seven days, then turn the winners into fresh variations. No filming day required. Worth sending the private sample?</x:v>
      </x:c>
      <x:c r="AV725" s="76" t="str">
        <x:v>Quick follow-up: the sample angle is a small symptom to prevented-emergency ad. If it misses the mark, no problem—I won't keep chasing. Should I send it?</x:v>
      </x:c>
      <x:c r="AW725" s="76" t="str">
        <x:v>Hi Jordan &amp; Sons Plumbing and Electrical, Ryan here. I was looking at Jordan &amp; Sons Plumbing and Electrical's public marketing and noticed: 149 google reviews; no embedded homepage video found. I mapped one private small symptom to prevented-emergency ad as an example. Did I catch you with 30 seconds?</x:v>
      </x:c>
      <x:c r="AX725" s="60" t="str">
        <x:v>https://www.facebook.com/ads/library/?active_status=active&amp;ad_type=all&amp;country=US&amp;q=Jordan%20%26%20Sons%20Plumbing%20and%20Electrical&amp;search_type=keyword_unordered</x:v>
      </x:c>
      <x:c r="AY725" s="60" t="str">
        <x:v>ok:200</x:v>
      </x:c>
      <x:c r="AZ725" s="60" t="n">
        <x:v>46232.722858796296</x:v>
      </x:c>
      <x:c r="BA725" s="60" t="str">
        <x:v>Google Maps home-services export</x:v>
      </x:c>
      <x:c r="BB725" s="60" t="str">
        <x:v>https://jordanandsons.com | https://maps.google.com/?cid=13532632617456607723&amp;g_mp=Cidnb29nbGUubWFwcy5wbGFjZXMudjEuUGxhY2VzLlNlYXJjaFRleHQQAhgEIAA</x:v>
      </x:c>
      <x:c r="BC725" s="60" t="str"/>
    </x:row>
    <x:row r="726" ht="18" customHeight="1">
      <x:c r="A726" s="70" t="str">
        <x:v>725</x:v>
      </x:c>
      <x:c r="B726" s="70" t="str">
        <x:v>C - Verify</x:v>
      </x:c>
      <x:c r="C726" s="72" t="str">
        <x:v>45</x:v>
      </x:c>
      <x:c r="D726" s="60" t="str">
        <x:v>H2 Builders</x:v>
      </x:c>
      <x:c r="E726" s="60" t="str">
        <x:v>https://h2builders.com</x:v>
      </x:c>
      <x:c r="F726" s="60" t="str">
        <x:v>https://www.h2builders.com/</x:v>
      </x:c>
      <x:c r="G726" s="60" t="str">
        <x:v>Hilton Head Island</x:v>
      </x:c>
      <x:c r="H726" s="60" t="str">
        <x:v>South Carolina</x:v>
      </x:c>
      <x:c r="I726" s="60" t="str">
        <x:v>General Contractor</x:v>
      </x:c>
      <x:c r="J726" s="60" t="str">
        <x:v>Todd</x:v>
      </x:c>
      <x:c r="K726" s="60" t="str">
        <x:v>Hawk</x:v>
      </x:c>
      <x:c r="L726" s="60" t="str">
        <x:v>Owner</x:v>
      </x:c>
      <x:c r="M726" s="60" t="str">
        <x:v>thawk@h2builders.com</x:v>
      </x:c>
      <x:c r="N726" s="60" t="str">
        <x:v>Verified with BounceBan on 08 Jun 26 12:06</x:v>
      </x:c>
      <x:c r="O726" s="60" t="str">
        <x:v>+1 843 816 4295</x:v>
      </x:c>
      <x:c r="P726" s="60" t="str">
        <x:v>https://www.linkedin.com/in/todd-hawk-80864724</x:v>
      </x:c>
      <x:c r="Q726" s="60" t="str">
        <x:v>11-50</x:v>
      </x:c>
      <x:c r="R726" s="60" t="str">
        <x:v>1000000-4999999</x:v>
      </x:c>
      <x:c r="S726" s="60" t="str"/>
      <x:c r="T726" s="74" t="str">
        <x:v>0</x:v>
      </x:c>
      <x:c r="U726" s="60" t="str"/>
      <x:c r="V726" s="74" t="str">
        <x:v>27</x:v>
      </x:c>
      <x:c r="W726" s="74" t="str">
        <x:v>3</x:v>
      </x:c>
      <x:c r="X726" s="74" t="str">
        <x:v>0</x:v>
      </x:c>
      <x:c r="Y726" s="74" t="str">
        <x:v>5</x:v>
      </x:c>
      <x:c r="Z726" s="74" t="str">
        <x:v>10</x:v>
      </x:c>
      <x:c r="AA726" s="74" t="str">
        <x:v>0</x:v>
      </x:c>
      <x:c r="AB726" s="74" t="str">
        <x:v>0</x:v>
      </x:c>
      <x:c r="AC726" s="74" t="str">
        <x:v>1</x:v>
      </x:c>
      <x:c r="AD726" s="74" t="str">
        <x:v>0</x:v>
      </x:c>
      <x:c r="AE726" s="74" t="str">
        <x:v>0</x:v>
      </x:c>
      <x:c r="AF726" s="74" t="str"/>
      <x:c r="AG726" s="74" t="str">
        <x:v>1</x:v>
      </x:c>
      <x:c r="AH726" s="74" t="str">
        <x:v>1</x:v>
      </x:c>
      <x:c r="AI726" s="74" t="str">
        <x:v>0</x:v>
      </x:c>
      <x:c r="AJ726" s="74" t="str">
        <x:v>0</x:v>
      </x:c>
      <x:c r="AK726" s="74" t="str">
        <x:v>0</x:v>
      </x:c>
      <x:c r="AL726" s="74" t="str">
        <x:v>1</x:v>
      </x:c>
      <x:c r="AM726" s="74" t="str">
        <x:v>1</x:v>
      </x:c>
      <x:c r="AN726" s="74" t="str">
        <x:v>1</x:v>
      </x:c>
      <x:c r="AO726" s="60" t="str">
        <x:v>2026</x:v>
      </x:c>
      <x:c r="AP726" s="76" t="str">
        <x:v>ICP fit; paid-demand need requires manual verification</x:v>
      </x:c>
      <x:c r="AQ726" s="76" t="str">
        <x:v>project/gallery proof</x:v>
      </x:c>
      <x:c r="AR726" s="76" t="str">
        <x:v>I was reviewing general contractor companies in Hilton Head Island, South Carolina and H2 Builders looked like a strong fit for a creative test.</x:v>
      </x:c>
      <x:c r="AS726" s="76" t="str">
        <x:v>project walkthrough with proof milestones</x:v>
      </x:c>
      <x:c r="AT726" s="76" t="str">
        <x:v>H2 Builders ad concept</x:v>
      </x:c>
      <x:c r="AU726" s="76" t="str">
        <x:v>Hi Todd — I was reviewing general contractor companies in Hilton Head Island, South Carolina and H2 Builders looked like a strong fit for a creative test. I mapped a private 15-second project walkthrough with proof milestones for H2 Builders using only public brand context—not for publishing, just to show the angle. We build three client-approved video ad concepts in seven days, then turn the winners into fresh variations. No filming day required. Worth sending the private sample?</x:v>
      </x:c>
      <x:c r="AV726" s="76" t="str">
        <x:v>Quick follow-up: the sample angle is a project walkthrough with proof milestones. If it misses the mark, no problem—I won't keep chasing. Should I send it?</x:v>
      </x:c>
      <x:c r="AW726" s="76" t="str">
        <x:v>Hi Todd, Ryan here. I was looking at H2 Builders's public marketing and noticed: icp fit; paid-demand need requires manual verification. I mapped one private project walkthrough with proof milestones as an example. Did I catch you with 30 seconds?</x:v>
      </x:c>
      <x:c r="AX726" s="60" t="str">
        <x:v>https://www.facebook.com/ads/library/?active_status=active&amp;ad_type=all&amp;country=US&amp;q=H2%20Builders&amp;search_type=keyword_unordered</x:v>
      </x:c>
      <x:c r="AY726" s="60" t="str">
        <x:v>ok:200</x:v>
      </x:c>
      <x:c r="AZ726" s="60" t="n">
        <x:v>46232.722858796296</x:v>
      </x:c>
      <x:c r="BA726" s="60" t="str">
        <x:v>AI Ark SC trades export</x:v>
      </x:c>
      <x:c r="BB726" s="60" t="str">
        <x:v>https://h2builders.com | https://www.linkedin.com/company/h2-builders-inc</x:v>
      </x:c>
      <x:c r="BC726" s="60" t="str"/>
    </x:row>
    <x:row r="727" ht="18" customHeight="1">
      <x:c r="A727" s="70" t="str">
        <x:v>726</x:v>
      </x:c>
      <x:c r="B727" s="70" t="str">
        <x:v>C - Verify</x:v>
      </x:c>
      <x:c r="C727" s="72" t="str">
        <x:v>45</x:v>
      </x:c>
      <x:c r="D727" s="60" t="str">
        <x:v>Go Painting Hilton Head</x:v>
      </x:c>
      <x:c r="E727" s="60" t="str">
        <x:v>https://hiltonhead.gopainting.com</x:v>
      </x:c>
      <x:c r="F727" s="60" t="str">
        <x:v>https://gopainting.com/hilton-head-commercial-painting-services/</x:v>
      </x:c>
      <x:c r="G727" s="60" t="str">
        <x:v>Hilton Head Island</x:v>
      </x:c>
      <x:c r="H727" s="60" t="str">
        <x:v>South Carolina</x:v>
      </x:c>
      <x:c r="I727" s="60" t="str">
        <x:v>Pools &amp; Spas</x:v>
      </x:c>
      <x:c r="J727" s="60" t="str">
        <x:v>Alex</x:v>
      </x:c>
      <x:c r="K727" s="60" t="str">
        <x:v>Valenzuela</x:v>
      </x:c>
      <x:c r="L727" s="60" t="str">
        <x:v>Business Owner</x:v>
      </x:c>
      <x:c r="M727" s="60" t="str">
        <x:v>alex.valenzuela@gopainting.com</x:v>
      </x:c>
      <x:c r="N727" s="60" t="str">
        <x:v>Verified with BounceBan on 08 Jun 26 12:06</x:v>
      </x:c>
      <x:c r="O727" s="60" t="str">
        <x:v>+1 843 597 6480</x:v>
      </x:c>
      <x:c r="P727" s="60" t="str">
        <x:v>https://www.linkedin.com/in/alex-valenzuela-5a4842156</x:v>
      </x:c>
      <x:c r="Q727" s="60" t="str">
        <x:v>51-200</x:v>
      </x:c>
      <x:c r="R727" s="60" t="str">
        <x:v>0-99999</x:v>
      </x:c>
      <x:c r="S727" s="60" t="str"/>
      <x:c r="T727" s="74" t="str">
        <x:v>0</x:v>
      </x:c>
      <x:c r="U727" s="60" t="str"/>
      <x:c r="V727" s="74" t="str">
        <x:v>27</x:v>
      </x:c>
      <x:c r="W727" s="74" t="str">
        <x:v>3</x:v>
      </x:c>
      <x:c r="X727" s="74" t="str">
        <x:v>0</x:v>
      </x:c>
      <x:c r="Y727" s="74" t="str">
        <x:v>5</x:v>
      </x:c>
      <x:c r="Z727" s="74" t="str">
        <x:v>10</x:v>
      </x:c>
      <x:c r="AA727" s="74" t="str">
        <x:v>0</x:v>
      </x:c>
      <x:c r="AB727" s="74" t="str">
        <x:v>0</x:v>
      </x:c>
      <x:c r="AC727" s="74" t="str">
        <x:v>1</x:v>
      </x:c>
      <x:c r="AD727" s="74" t="str">
        <x:v>0</x:v>
      </x:c>
      <x:c r="AE727" s="74" t="str">
        <x:v>0</x:v>
      </x:c>
      <x:c r="AF727" s="74" t="str"/>
      <x:c r="AG727" s="74" t="str">
        <x:v>1</x:v>
      </x:c>
      <x:c r="AH727" s="74" t="str">
        <x:v>1</x:v>
      </x:c>
      <x:c r="AI727" s="74" t="str">
        <x:v>0</x:v>
      </x:c>
      <x:c r="AJ727" s="74" t="str">
        <x:v>0</x:v>
      </x:c>
      <x:c r="AK727" s="74" t="str">
        <x:v>0</x:v>
      </x:c>
      <x:c r="AL727" s="74" t="str">
        <x:v>1</x:v>
      </x:c>
      <x:c r="AM727" s="74" t="str">
        <x:v>1</x:v>
      </x:c>
      <x:c r="AN727" s="74" t="str">
        <x:v>0</x:v>
      </x:c>
      <x:c r="AO727" s="60" t="str">
        <x:v>2026</x:v>
      </x:c>
      <x:c r="AP727" s="76" t="str">
        <x:v>ICP fit; paid-demand need requires manual verification</x:v>
      </x:c>
      <x:c r="AQ727" s="76" t="str">
        <x:v>project/gallery proof</x:v>
      </x:c>
      <x:c r="AR727" s="76" t="str">
        <x:v>I was reviewing pools &amp; spas companies in Hilton Head Island, South Carolina and Go Painting Hilton Head looked like a strong fit for a creative test.</x:v>
      </x:c>
      <x:c r="AS727" s="76" t="str">
        <x:v>backyard-before to finished-project reveal</x:v>
      </x:c>
      <x:c r="AT727" s="76" t="str">
        <x:v>Go Painting Hilton Head ad concept</x:v>
      </x:c>
      <x:c r="AU727" s="76" t="str">
        <x:v>Hi Alex — I was reviewing pools &amp; spas companies in Hilton Head Island, South Carolina and Go Painting Hilton Head looked like a strong fit for a creative test. I mapped a private 15-second backyard-before to finished-project reveal for Go Painting Hilton Head using only public brand context—not for publishing, just to show the angle. We build three client-approved video ad concepts in seven days, then turn the winners into fresh variations. No filming day required. Worth sending the private sample?</x:v>
      </x:c>
      <x:c r="AV727" s="76" t="str">
        <x:v>Quick follow-up: the sample angle is a backyard-before to finished-project reveal. If it misses the mark, no problem—I won't keep chasing. Should I send it?</x:v>
      </x:c>
      <x:c r="AW727" s="76" t="str">
        <x:v>Hi Alex, Ryan here. I was looking at Go Painting Hilton Head's public marketing and noticed: icp fit; paid-demand need requires manual verification. I mapped one private backyard-before to finished-project reveal as an example. Did I catch you with 30 seconds?</x:v>
      </x:c>
      <x:c r="AX727" s="60" t="str">
        <x:v>https://www.facebook.com/ads/library/?active_status=active&amp;ad_type=all&amp;country=US&amp;q=Go%20Painting%20Hilton%20Head&amp;search_type=keyword_unordered</x:v>
      </x:c>
      <x:c r="AY727" s="60" t="str">
        <x:v>ok:200</x:v>
      </x:c>
      <x:c r="AZ727" s="60" t="n">
        <x:v>46232.722858796296</x:v>
      </x:c>
      <x:c r="BA727" s="60" t="str">
        <x:v>AI Ark SC trades export</x:v>
      </x:c>
      <x:c r="BB727" s="60" t="str">
        <x:v>https://hiltonhead.gopainting.com | https://www.linkedin.com/company/go-painting-hilton-head</x:v>
      </x:c>
      <x:c r="BC727" s="60" t="str"/>
    </x:row>
    <x:row r="728" ht="18" customHeight="1">
      <x:c r="A728" s="70" t="str">
        <x:v>727</x:v>
      </x:c>
      <x:c r="B728" s="70" t="str">
        <x:v>C - Verify</x:v>
      </x:c>
      <x:c r="C728" s="72" t="str">
        <x:v>45</x:v>
      </x:c>
      <x:c r="D728" s="60" t="str">
        <x:v>Christi's Cleaning Service</x:v>
      </x:c>
      <x:c r="E728" s="60" t="str">
        <x:v>https://christiscleaning.com</x:v>
      </x:c>
      <x:c r="F728" s="60" t="str">
        <x:v>https://christiscleaning.com</x:v>
      </x:c>
      <x:c r="G728" s="60" t="str">
        <x:v>Hanahan</x:v>
      </x:c>
      <x:c r="H728" s="60" t="str">
        <x:v>South Carolina</x:v>
      </x:c>
      <x:c r="I728" s="60" t="str">
        <x:v>General Contractor</x:v>
      </x:c>
      <x:c r="J728" s="60" t="str">
        <x:v>Christi</x:v>
      </x:c>
      <x:c r="K728" s="60" t="str">
        <x:v>Phillips</x:v>
      </x:c>
      <x:c r="L728" s="60" t="str">
        <x:v>Business Owner</x:v>
      </x:c>
      <x:c r="M728" s="60" t="str"/>
      <x:c r="N728" s="60" t="str"/>
      <x:c r="O728" s="60" t="str"/>
      <x:c r="P728" s="60" t="str">
        <x:v>https://www.linkedin.com/in/christi-phillips-b73054284</x:v>
      </x:c>
      <x:c r="Q728" s="60" t="str">
        <x:v>11-50</x:v>
      </x:c>
      <x:c r="R728" s="60" t="str">
        <x:v>500000-999999</x:v>
      </x:c>
      <x:c r="S728" s="60" t="str"/>
      <x:c r="T728" s="74" t="str">
        <x:v>0</x:v>
      </x:c>
      <x:c r="U728" s="60" t="str"/>
      <x:c r="V728" s="74" t="str">
        <x:v>25</x:v>
      </x:c>
      <x:c r="W728" s="74" t="str">
        <x:v>3</x:v>
      </x:c>
      <x:c r="X728" s="74" t="str">
        <x:v>10</x:v>
      </x:c>
      <x:c r="Y728" s="74" t="str">
        <x:v>5</x:v>
      </x:c>
      <x:c r="Z728" s="74" t="str">
        <x:v>2</x:v>
      </x:c>
      <x:c r="AA728" s="74" t="str">
        <x:v>0</x:v>
      </x:c>
      <x:c r="AB728" s="74" t="str">
        <x:v>0</x:v>
      </x:c>
      <x:c r="AC728" s="74" t="str">
        <x:v>1</x:v>
      </x:c>
      <x:c r="AD728" s="74" t="str">
        <x:v>0</x:v>
      </x:c>
      <x:c r="AE728" s="74" t="str">
        <x:v>0</x:v>
      </x:c>
      <x:c r="AF728" s="74" t="str"/>
      <x:c r="AG728" s="74" t="str">
        <x:v>0</x:v>
      </x:c>
      <x:c r="AH728" s="74" t="str">
        <x:v>1</x:v>
      </x:c>
      <x:c r="AI728" s="74" t="str">
        <x:v>0</x:v>
      </x:c>
      <x:c r="AJ728" s="74" t="str">
        <x:v>0</x:v>
      </x:c>
      <x:c r="AK728" s="74" t="str">
        <x:v>0</x:v>
      </x:c>
      <x:c r="AL728" s="74" t="str">
        <x:v>0</x:v>
      </x:c>
      <x:c r="AM728" s="74" t="str">
        <x:v>1</x:v>
      </x:c>
      <x:c r="AN728" s="74" t="str">
        <x:v>0</x:v>
      </x:c>
      <x:c r="AO728" s="60" t="str">
        <x:v>2026</x:v>
      </x:c>
      <x:c r="AP728" s="76" t="str">
        <x:v>Project/gallery proof found; no embedded homepage video found</x:v>
      </x:c>
      <x:c r="AQ728" s="76" t="str">
        <x:v>project/gallery proof; no embedded homepage video detected</x:v>
      </x:c>
      <x:c r="AR728" s="76" t="str">
        <x:v>I found project/gallery proof on Christi's Cleaning Service's site that could be repackaged into short-form ad concepts.</x:v>
      </x:c>
      <x:c r="AS728" s="76" t="str">
        <x:v>project walkthrough with proof milestones</x:v>
      </x:c>
      <x:c r="AT728" s="76" t="str">
        <x:v>Christi's Cleaning Service ad concept</x:v>
      </x:c>
      <x:c r="AU728" s="76" t="str">
        <x:v>Hi Christi — I found project/gallery proof on Christi's Cleaning Service's site that could be repackaged into short-form ad concepts. I mapped a private 15-second project walkthrough with proof milestones for Christi's Cleaning Service using only public brand context—not for publishing, just to show the angle. We build three client-approved video ad concepts in seven days, then turn the winners into fresh variations. No filming day required. Worth sending the private sample?</x:v>
      </x:c>
      <x:c r="AV728" s="76" t="str">
        <x:v>Quick follow-up: the sample angle is a project walkthrough with proof milestones. If it misses the mark, no problem—I won't keep chasing. Should I send it?</x:v>
      </x:c>
      <x:c r="AW728" s="76" t="str">
        <x:v>Hi Christi, Ryan here. I was looking at Christi's Cleaning Service's public marketing and noticed: project/gallery proof found; no embedded homepage video found. I mapped one private project walkthrough with proof milestones as an example. Did I catch you with 30 seconds?</x:v>
      </x:c>
      <x:c r="AX728" s="60" t="str">
        <x:v>https://www.facebook.com/ads/library/?active_status=active&amp;ad_type=all&amp;country=US&amp;q=Christi%27s%20Cleaning%20Service&amp;search_type=keyword_unordered</x:v>
      </x:c>
      <x:c r="AY728" s="60" t="str">
        <x:v>ok:200</x:v>
      </x:c>
      <x:c r="AZ728" s="60" t="n">
        <x:v>46232.722858796296</x:v>
      </x:c>
      <x:c r="BA728" s="60" t="str">
        <x:v>AI Ark SC trades export</x:v>
      </x:c>
      <x:c r="BB728" s="60" t="str">
        <x:v>https://christiscleaning.com | https://www.linkedin.com/company/christi-s-cleaning-service</x:v>
      </x:c>
      <x:c r="BC728" s="60" t="str"/>
    </x:row>
    <x:row r="729" ht="18" customHeight="1">
      <x:c r="A729" s="70" t="str">
        <x:v>728</x:v>
      </x:c>
      <x:c r="B729" s="70" t="str">
        <x:v>C - Verify</x:v>
      </x:c>
      <x:c r="C729" s="72" t="str">
        <x:v>45</x:v>
      </x:c>
      <x:c r="D729" s="60" t="str">
        <x:v>Garage Door Services of the Carolinas</x:v>
      </x:c>
      <x:c r="E729" s="60" t="str">
        <x:v>https://garagedoorservicessc.com</x:v>
      </x:c>
      <x:c r="F729" s="60" t="str">
        <x:v>https://www.gdscarolinas.com/</x:v>
      </x:c>
      <x:c r="G729" s="60" t="str">
        <x:v>Spartanburg</x:v>
      </x:c>
      <x:c r="H729" s="60" t="str">
        <x:v>South Carolina</x:v>
      </x:c>
      <x:c r="I729" s="60" t="str">
        <x:v>Garage Doors</x:v>
      </x:c>
      <x:c r="J729" s="60" t="str">
        <x:v>Ryan B.</x:v>
      </x:c>
      <x:c r="K729" s="60" t="str">
        <x:v>Smith</x:v>
      </x:c>
      <x:c r="L729" s="60" t="str">
        <x:v>Owner</x:v>
      </x:c>
      <x:c r="M729" s="60" t="str">
        <x:v>ryan@garagedoorservicessc.com</x:v>
      </x:c>
      <x:c r="N729" s="60" t="str">
        <x:v>Verified with BounceBan on 08 Jun 26 12:06</x:v>
      </x:c>
      <x:c r="O729" s="60" t="str"/>
      <x:c r="P729" s="60" t="str">
        <x:v>https://www.linkedin.com/in/ryanbasilsmith</x:v>
      </x:c>
      <x:c r="Q729" s="60" t="str">
        <x:v>11-50</x:v>
      </x:c>
      <x:c r="R729" s="60" t="str">
        <x:v>0-99999</x:v>
      </x:c>
      <x:c r="S729" s="60" t="str"/>
      <x:c r="T729" s="74" t="str">
        <x:v>0</x:v>
      </x:c>
      <x:c r="U729" s="60" t="str"/>
      <x:c r="V729" s="74" t="str">
        <x:v>26</x:v>
      </x:c>
      <x:c r="W729" s="74" t="str">
        <x:v>3</x:v>
      </x:c>
      <x:c r="X729" s="74" t="str">
        <x:v>6</x:v>
      </x:c>
      <x:c r="Y729" s="74" t="str">
        <x:v>3</x:v>
      </x:c>
      <x:c r="Z729" s="74" t="str">
        <x:v>7</x:v>
      </x:c>
      <x:c r="AA729" s="74" t="str">
        <x:v>0</x:v>
      </x:c>
      <x:c r="AB729" s="74" t="str">
        <x:v>0</x:v>
      </x:c>
      <x:c r="AC729" s="74" t="str">
        <x:v>1</x:v>
      </x:c>
      <x:c r="AD729" s="74" t="str">
        <x:v>0</x:v>
      </x:c>
      <x:c r="AE729" s="74" t="str">
        <x:v>0</x:v>
      </x:c>
      <x:c r="AF729" s="74" t="str"/>
      <x:c r="AG729" s="74" t="str">
        <x:v>0</x:v>
      </x:c>
      <x:c r="AH729" s="74" t="str">
        <x:v>0</x:v>
      </x:c>
      <x:c r="AI729" s="74" t="str">
        <x:v>0</x:v>
      </x:c>
      <x:c r="AJ729" s="74" t="str">
        <x:v>0</x:v>
      </x:c>
      <x:c r="AK729" s="74" t="str">
        <x:v>1</x:v>
      </x:c>
      <x:c r="AL729" s="74" t="str">
        <x:v>1</x:v>
      </x:c>
      <x:c r="AM729" s="74" t="str">
        <x:v>1</x:v>
      </x:c>
      <x:c r="AN729" s="74" t="str">
        <x:v>0</x:v>
      </x:c>
      <x:c r="AO729" s="60" t="str">
        <x:v>2026</x:v>
      </x:c>
      <x:c r="AP729" s="76" t="str">
        <x:v>ICP fit; paid-demand need requires manual verification</x:v>
      </x:c>
      <x:c r="AQ729" s="76" t="str">
        <x:v>visible service offer; no embedded homepage video detected</x:v>
      </x:c>
      <x:c r="AR729" s="76" t="str">
        <x:v>I was reviewing garage doors companies in Spartanburg, South Carolina and Garage Door Services of the Carolinas looked like a strong fit for a creative test.</x:v>
      </x:c>
      <x:c r="AS729" s="76" t="str">
        <x:v>curb-appeal transformation ad</x:v>
      </x:c>
      <x:c r="AT729" s="76" t="str">
        <x:v>Garage Door Services of the Carolinas ad concept</x:v>
      </x:c>
      <x:c r="AU729" s="76" t="str">
        <x:v>Hi Ryan B. — I was reviewing garage doors companies in Spartanburg, South Carolina and Garage Door Services of the Carolinas looked like a strong fit for a creative test. I mapped a private 15-second curb-appeal transformation ad for Garage Door Services of the Carolinas using only public brand context—not for publishing, just to show the angle. We build three client-approved video ad concepts in seven days, then turn the winners into fresh variations. No filming day required. Worth sending the private sample?</x:v>
      </x:c>
      <x:c r="AV729" s="76" t="str">
        <x:v>Quick follow-up: the sample angle is a curb-appeal transformation ad. If it misses the mark, no problem—I won't keep chasing. Should I send it?</x:v>
      </x:c>
      <x:c r="AW729" s="76" t="str">
        <x:v>Hi Ryan B., Ryan here. I was looking at Garage Door Services of the Carolinas's public marketing and noticed: icp fit; paid-demand need requires manual verification. I mapped one private curb-appeal transformation ad as an example. Did I catch you with 30 seconds?</x:v>
      </x:c>
      <x:c r="AX729" s="60" t="str">
        <x:v>https://www.facebook.com/ads/library/?active_status=active&amp;ad_type=all&amp;country=US&amp;q=Garage%20Door%20Services%20of%20the%20Carolinas&amp;search_type=keyword_unordered</x:v>
      </x:c>
      <x:c r="AY729" s="60" t="str">
        <x:v>ok:200</x:v>
      </x:c>
      <x:c r="AZ729" s="60" t="n">
        <x:v>46232.722858796296</x:v>
      </x:c>
      <x:c r="BA729" s="60" t="str">
        <x:v>AI Ark SC trades export</x:v>
      </x:c>
      <x:c r="BB729" s="60" t="str">
        <x:v>https://garagedoorservicessc.com | https://www.linkedin.com/company/gdscarolinas</x:v>
      </x:c>
      <x:c r="BC729" s="60" t="str"/>
    </x:row>
    <x:row r="730" ht="18" customHeight="1">
      <x:c r="A730" s="70" t="str">
        <x:v>729</x:v>
      </x:c>
      <x:c r="B730" s="70" t="str">
        <x:v>C - Verify</x:v>
      </x:c>
      <x:c r="C730" s="72" t="str">
        <x:v>45</x:v>
      </x:c>
      <x:c r="D730" s="60" t="str">
        <x:v>Palmetto Plumbing, Drain Cleaning &amp; Water Heater Repair</x:v>
      </x:c>
      <x:c r="E730" s="60" t="str">
        <x:v>https://callpalmettoplumbing.com</x:v>
      </x:c>
      <x:c r="F730" s="60" t="str">
        <x:v>https://callpalmettoplumbing.com</x:v>
      </x:c>
      <x:c r="G730" s="60" t="str">
        <x:v>Charleston</x:v>
      </x:c>
      <x:c r="H730" s="60" t="str">
        <x:v>South Carolina</x:v>
      </x:c>
      <x:c r="I730" s="60" t="str">
        <x:v>Plumbing</x:v>
      </x:c>
      <x:c r="J730" s="60" t="str">
        <x:v>Palmetto Plumbing, Drain Cleaning &amp; Water Heater Repair</x:v>
      </x:c>
      <x:c r="K730" s="60" t="str"/>
      <x:c r="L730" s="60" t="str">
        <x:v>Owner / decision maker to verify</x:v>
      </x:c>
      <x:c r="M730" s="60" t="str"/>
      <x:c r="N730" s="60" t="str"/>
      <x:c r="O730" s="60" t="str">
        <x:v>(843) 738-1635</x:v>
      </x:c>
      <x:c r="P730" s="60" t="str"/>
      <x:c r="Q730" s="60" t="str"/>
      <x:c r="R730" s="60" t="str"/>
      <x:c r="S730" s="60" t="str">
        <x:v>5</x:v>
      </x:c>
      <x:c r="T730" s="74" t="str">
        <x:v>126</x:v>
      </x:c>
      <x:c r="U730" s="60" t="str"/>
      <x:c r="V730" s="74" t="str">
        <x:v>24</x:v>
      </x:c>
      <x:c r="W730" s="74" t="str">
        <x:v>3</x:v>
      </x:c>
      <x:c r="X730" s="74" t="str">
        <x:v>10</x:v>
      </x:c>
      <x:c r="Y730" s="74" t="str">
        <x:v>3</x:v>
      </x:c>
      <x:c r="Z730" s="74" t="str">
        <x:v>5</x:v>
      </x:c>
      <x:c r="AA730" s="74" t="str">
        <x:v>0</x:v>
      </x:c>
      <x:c r="AB730" s="74" t="str">
        <x:v>0</x:v>
      </x:c>
      <x:c r="AC730" s="74" t="str">
        <x:v>1</x:v>
      </x:c>
      <x:c r="AD730" s="74" t="str">
        <x:v>0</x:v>
      </x:c>
      <x:c r="AE730" s="74" t="str">
        <x:v>0</x:v>
      </x:c>
      <x:c r="AF730" s="74" t="str"/>
      <x:c r="AG730" s="74" t="str">
        <x:v>0</x:v>
      </x:c>
      <x:c r="AH730" s="74" t="str">
        <x:v>0</x:v>
      </x:c>
      <x:c r="AI730" s="74" t="str">
        <x:v>0</x:v>
      </x:c>
      <x:c r="AJ730" s="74" t="str">
        <x:v>0</x:v>
      </x:c>
      <x:c r="AK730" s="74" t="str">
        <x:v>0</x:v>
      </x:c>
      <x:c r="AL730" s="74" t="str">
        <x:v>0</x:v>
      </x:c>
      <x:c r="AM730" s="74" t="str">
        <x:v>1</x:v>
      </x:c>
      <x:c r="AN730" s="74" t="str">
        <x:v>0</x:v>
      </x:c>
      <x:c r="AO730" s="60" t="str">
        <x:v>0</x:v>
      </x:c>
      <x:c r="AP730" s="76" t="str">
        <x:v>126 Google reviews; no embedded homepage video found</x:v>
      </x:c>
      <x:c r="AQ730" s="76" t="str">
        <x:v>no embedded homepage video detected</x:v>
      </x:c>
      <x:c r="AR730" s="76" t="str">
        <x:v>Palmetto Plumbing, Drain Cleaning &amp; Water Heater Repair has 126 Google reviews—strong proof that could be turned into short-form ad concepts.</x:v>
      </x:c>
      <x:c r="AS730" s="76" t="str">
        <x:v>small symptom to prevented-emergency ad</x:v>
      </x:c>
      <x:c r="AT730" s="76" t="str">
        <x:v>Palmetto Plumbing, Drain Cleaning &amp; Water Heater Repair ad concept</x:v>
      </x:c>
      <x:c r="AU730" s="76" t="str">
        <x:v>Hi Palmetto Plumbing, Drain Cleaning &amp; Water Heater Repair — Palmetto Plumbing, Drain Cleaning &amp; Water Heater Repair has 126 Google reviews—strong proof that could be turned into short-form ad concepts. I mapped a private 15-second small symptom to prevented-emergency ad for Palmetto Plumbing, Drain Cleaning &amp; Water Heater Repair using only public brand context—not for publishing, just to show the angle. We build three client-approved video ad concepts in seven days, then turn the winners into fresh variations. No filming day required. Worth sending the private sample?</x:v>
      </x:c>
      <x:c r="AV730" s="76" t="str">
        <x:v>Quick follow-up: the sample angle is a small symptom to prevented-emergency ad. If it misses the mark, no problem—I won't keep chasing. Should I send it?</x:v>
      </x:c>
      <x:c r="AW730" s="76" t="str">
        <x:v>Hi Palmetto Plumbing, Drain Cleaning &amp; Water Heater Repair, Ryan here. I was looking at Palmetto Plumbing, Drain Cleaning &amp; Water Heater Repair's public marketing and noticed: 126 google reviews; no embedded homepage video found. I mapped one private small symptom to prevented-emergency ad as an example. Did I catch you with 30 seconds?</x:v>
      </x:c>
      <x:c r="AX730" s="60" t="str">
        <x:v>https://www.facebook.com/ads/library/?active_status=active&amp;ad_type=all&amp;country=US&amp;q=Palmetto%20Plumbing%2C%20Drain%20Cleaning%20%26%20Water%20Heater%20Repair&amp;search_type=keyword_unordered</x:v>
      </x:c>
      <x:c r="AY730" s="60" t="str">
        <x:v>ok:200</x:v>
      </x:c>
      <x:c r="AZ730" s="60" t="n">
        <x:v>46232.722858796296</x:v>
      </x:c>
      <x:c r="BA730" s="60" t="str">
        <x:v>Google Maps home-services export</x:v>
      </x:c>
      <x:c r="BB730" s="60" t="str">
        <x:v>https://callpalmettoplumbing.com | https://maps.google.com/?cid=8382964875545074466&amp;g_mp=Cidnb29nbGUubWFwcy5wbGFjZXMudjEuUGxhY2VzLlNlYXJjaFRleHQQAhgEIAA</x:v>
      </x:c>
      <x:c r="BC730" s="60" t="str"/>
    </x:row>
    <x:row r="731" ht="18" customHeight="1">
      <x:c r="A731" s="70" t="str">
        <x:v>730</x:v>
      </x:c>
      <x:c r="B731" s="70" t="str">
        <x:v>C - Verify</x:v>
      </x:c>
      <x:c r="C731" s="72" t="str">
        <x:v>45</x:v>
      </x:c>
      <x:c r="D731" s="60" t="str">
        <x:v>D &amp; S Heating &amp; Cooling, Inc.</x:v>
      </x:c>
      <x:c r="E731" s="60" t="str">
        <x:v>https://dsheatcool.com</x:v>
      </x:c>
      <x:c r="F731" s="60" t="str">
        <x:v>https://dsheatcool.com</x:v>
      </x:c>
      <x:c r="G731" s="60" t="str">
        <x:v>Beaufort</x:v>
      </x:c>
      <x:c r="H731" s="60" t="str">
        <x:v>South Carolina</x:v>
      </x:c>
      <x:c r="I731" s="60" t="str">
        <x:v>HVAC</x:v>
      </x:c>
      <x:c r="J731" s="60" t="str">
        <x:v>D &amp; S Heating &amp; Cooling, Inc.</x:v>
      </x:c>
      <x:c r="K731" s="60" t="str"/>
      <x:c r="L731" s="60" t="str">
        <x:v>Owner / decision maker to verify</x:v>
      </x:c>
      <x:c r="M731" s="60" t="str"/>
      <x:c r="N731" s="60" t="str"/>
      <x:c r="O731" s="60" t="str">
        <x:v>(843) 522-0034</x:v>
      </x:c>
      <x:c r="P731" s="60" t="str"/>
      <x:c r="Q731" s="60" t="str"/>
      <x:c r="R731" s="60" t="str"/>
      <x:c r="S731" s="60" t="str">
        <x:v>4.8</x:v>
      </x:c>
      <x:c r="T731" s="74" t="str">
        <x:v>128</x:v>
      </x:c>
      <x:c r="U731" s="60" t="str"/>
      <x:c r="V731" s="74" t="str">
        <x:v>28</x:v>
      </x:c>
      <x:c r="W731" s="74" t="str">
        <x:v>3</x:v>
      </x:c>
      <x:c r="X731" s="74" t="str">
        <x:v>6</x:v>
      </x:c>
      <x:c r="Y731" s="74" t="str">
        <x:v>3</x:v>
      </x:c>
      <x:c r="Z731" s="74" t="str">
        <x:v>5</x:v>
      </x:c>
      <x:c r="AA731" s="74" t="str">
        <x:v>0</x:v>
      </x:c>
      <x:c r="AB731" s="74" t="str">
        <x:v>0</x:v>
      </x:c>
      <x:c r="AC731" s="74" t="str">
        <x:v>0</x:v>
      </x:c>
      <x:c r="AD731" s="74" t="str">
        <x:v>0</x:v>
      </x:c>
      <x:c r="AE731" s="74" t="str">
        <x:v>0</x:v>
      </x:c>
      <x:c r="AF731" s="74" t="str">
        <x:v>housecallpro</x:v>
      </x:c>
      <x:c r="AG731" s="74" t="str">
        <x:v>0</x:v>
      </x:c>
      <x:c r="AH731" s="74" t="str">
        <x:v>0</x:v>
      </x:c>
      <x:c r="AI731" s="74" t="str">
        <x:v>0</x:v>
      </x:c>
      <x:c r="AJ731" s="74" t="str">
        <x:v>0</x:v>
      </x:c>
      <x:c r="AK731" s="74" t="str">
        <x:v>0</x:v>
      </x:c>
      <x:c r="AL731" s="74" t="str">
        <x:v>1</x:v>
      </x:c>
      <x:c r="AM731" s="74" t="str">
        <x:v>1</x:v>
      </x:c>
      <x:c r="AN731" s="74" t="str">
        <x:v>0</x:v>
      </x:c>
      <x:c r="AO731" s="60" t="str">
        <x:v>2026</x:v>
      </x:c>
      <x:c r="AP731" s="76" t="str">
        <x:v>128 Google reviews; no embedded homepage video found</x:v>
      </x:c>
      <x:c r="AQ731" s="76" t="str">
        <x:v>no embedded homepage video detected</x:v>
      </x:c>
      <x:c r="AR731" s="76" t="str">
        <x:v>D &amp; S Heating &amp; Cooling, Inc. has 128 Google reviews—strong proof that could be turned into short-form ad concepts.</x:v>
      </x:c>
      <x:c r="AS731" s="76" t="str">
        <x:v>no-cool-call to same-day comfort ad</x:v>
      </x:c>
      <x:c r="AT731" s="76" t="str">
        <x:v>D &amp; S Heating &amp; Cooling, Inc. ad concept</x:v>
      </x:c>
      <x:c r="AU731" s="76" t="str">
        <x:v>Hi D &amp; S Heating &amp; Cooling, Inc. — D &amp; S Heating &amp; Cooling, Inc. has 128 Google reviews—strong proof that could be turned into short-form ad concepts. I mapped a private 15-second no-cool-call to same-day comfort ad for D &amp; S Heating &amp; Cooling, Inc. using only public brand context—not for publishing, just to show the angle. We build three client-approved video ad concepts in seven days, then turn the winners into fresh variations. No filming day required. Worth sending the private sample?</x:v>
      </x:c>
      <x:c r="AV731" s="76" t="str">
        <x:v>Quick follow-up: the sample angle is a no-cool-call to same-day comfort ad. If it misses the mark, no problem—I won't keep chasing. Should I send it?</x:v>
      </x:c>
      <x:c r="AW731" s="76" t="str">
        <x:v>Hi D &amp; S Heating &amp; Cooling, Inc., Ryan here. I was looking at D &amp; S Heating &amp; Cooling, Inc.'s public marketing and noticed: 128 google reviews; no embedded homepage video found. I mapped one private no-cool-call to same-day comfort ad as an example. Did I catch you with 30 seconds?</x:v>
      </x:c>
      <x:c r="AX731" s="60" t="str">
        <x:v>https://www.facebook.com/ads/library/?active_status=active&amp;ad_type=all&amp;country=US&amp;q=D%20%26%20S%20Heating%20%26%20Cooling%2C%20Inc.&amp;search_type=keyword_unordered</x:v>
      </x:c>
      <x:c r="AY731" s="60" t="str">
        <x:v>ok:200</x:v>
      </x:c>
      <x:c r="AZ731" s="60" t="n">
        <x:v>46232.722858796296</x:v>
      </x:c>
      <x:c r="BA731" s="60" t="str">
        <x:v>Google Maps home-services export</x:v>
      </x:c>
      <x:c r="BB731" s="60" t="str">
        <x:v>https://dsheatcool.com | https://maps.google.com/?cid=7789987529797180886&amp;g_mp=Cidnb29nbGUubWFwcy5wbGFjZXMudjEuUGxhY2VzLlNlYXJjaFRleHQQAhgEIAA</x:v>
      </x:c>
      <x:c r="BC731" s="60" t="str"/>
    </x:row>
    <x:row r="732" ht="18" customHeight="1">
      <x:c r="A732" s="70" t="str">
        <x:v>731</x:v>
      </x:c>
      <x:c r="B732" s="70" t="str">
        <x:v>C - Verify</x:v>
      </x:c>
      <x:c r="C732" s="72" t="str">
        <x:v>45</x:v>
      </x:c>
      <x:c r="D732" s="60" t="str">
        <x:v>Palmetto Tractor Services</x:v>
      </x:c>
      <x:c r="E732" s="60" t="str">
        <x:v>https://palmettotractor.com</x:v>
      </x:c>
      <x:c r="F732" s="60" t="str">
        <x:v>https://palmettotractor.com</x:v>
      </x:c>
      <x:c r="G732" s="60" t="str">
        <x:v>Charleston County</x:v>
      </x:c>
      <x:c r="H732" s="60" t="str">
        <x:v>South Carolina</x:v>
      </x:c>
      <x:c r="I732" s="60" t="str">
        <x:v>Plumbing</x:v>
      </x:c>
      <x:c r="J732" s="60" t="str">
        <x:v>Brittany</x:v>
      </x:c>
      <x:c r="K732" s="60" t="str">
        <x:v>Strickland</x:v>
      </x:c>
      <x:c r="L732" s="60" t="str">
        <x:v>Owner</x:v>
      </x:c>
      <x:c r="M732" s="60" t="str">
        <x:v>brittany@palmettotractor.com</x:v>
      </x:c>
      <x:c r="N732" s="60" t="str">
        <x:v>Verified with BounceBan on 08 Jun 26 12:06</x:v>
      </x:c>
      <x:c r="O732" s="60" t="str">
        <x:v>+1 843 270 1357</x:v>
      </x:c>
      <x:c r="P732" s="60" t="str">
        <x:v>https://www.linkedin.com/in/brittany-strickland-98349395</x:v>
      </x:c>
      <x:c r="Q732" s="60" t="str">
        <x:v>11-50</x:v>
      </x:c>
      <x:c r="R732" s="60" t="str">
        <x:v>100000-499999</x:v>
      </x:c>
      <x:c r="S732" s="60" t="str"/>
      <x:c r="T732" s="74" t="str">
        <x:v>0</x:v>
      </x:c>
      <x:c r="U732" s="60" t="str"/>
      <x:c r="V732" s="74" t="str">
        <x:v>26</x:v>
      </x:c>
      <x:c r="W732" s="74" t="str">
        <x:v>3</x:v>
      </x:c>
      <x:c r="X732" s="74" t="str">
        <x:v>6</x:v>
      </x:c>
      <x:c r="Y732" s="74" t="str">
        <x:v>0</x:v>
      </x:c>
      <x:c r="Z732" s="74" t="str">
        <x:v>10</x:v>
      </x:c>
      <x:c r="AA732" s="74" t="str">
        <x:v>0</x:v>
      </x:c>
      <x:c r="AB732" s="74" t="str">
        <x:v>0</x:v>
      </x:c>
      <x:c r="AC732" s="74" t="str">
        <x:v>1</x:v>
      </x:c>
      <x:c r="AD732" s="74" t="str">
        <x:v>0</x:v>
      </x:c>
      <x:c r="AE732" s="74" t="str">
        <x:v>0</x:v>
      </x:c>
      <x:c r="AF732" s="74" t="str"/>
      <x:c r="AG732" s="74" t="str">
        <x:v>0</x:v>
      </x:c>
      <x:c r="AH732" s="74" t="str">
        <x:v>0</x:v>
      </x:c>
      <x:c r="AI732" s="74" t="str">
        <x:v>0</x:v>
      </x:c>
      <x:c r="AJ732" s="74" t="str">
        <x:v>0</x:v>
      </x:c>
      <x:c r="AK732" s="74" t="str">
        <x:v>0</x:v>
      </x:c>
      <x:c r="AL732" s="74" t="str">
        <x:v>1</x:v>
      </x:c>
      <x:c r="AM732" s="74" t="str">
        <x:v>1</x:v>
      </x:c>
      <x:c r="AN732" s="74" t="str">
        <x:v>0</x:v>
      </x:c>
      <x:c r="AO732" s="60" t="str">
        <x:v>0</x:v>
      </x:c>
      <x:c r="AP732" s="76" t="str">
        <x:v>ICP fit; paid-demand need requires manual verification</x:v>
      </x:c>
      <x:c r="AQ732" s="76" t="str">
        <x:v>no embedded homepage video detected</x:v>
      </x:c>
      <x:c r="AR732" s="76" t="str">
        <x:v>I was reviewing plumbing companies in Charleston County, South Carolina and Palmetto Tractor Services looked like a strong fit for a creative test.</x:v>
      </x:c>
      <x:c r="AS732" s="76" t="str">
        <x:v>small symptom to prevented-emergency ad</x:v>
      </x:c>
      <x:c r="AT732" s="76" t="str">
        <x:v>Palmetto Tractor Services ad concept</x:v>
      </x:c>
      <x:c r="AU732" s="76" t="str">
        <x:v>Hi Brittany — I was reviewing plumbing companies in Charleston County, South Carolina and Palmetto Tractor Services looked like a strong fit for a creative test. I mapped a private 15-second small symptom to prevented-emergency ad for Palmetto Tractor Services using only public brand context—not for publishing, just to show the angle. We build three client-approved video ad concepts in seven days, then turn the winners into fresh variations. No filming day required. Worth sending the private sample?</x:v>
      </x:c>
      <x:c r="AV732" s="76" t="str">
        <x:v>Quick follow-up: the sample angle is a small symptom to prevented-emergency ad. If it misses the mark, no problem—I won't keep chasing. Should I send it?</x:v>
      </x:c>
      <x:c r="AW732" s="76" t="str">
        <x:v>Hi Brittany, Ryan here. I was looking at Palmetto Tractor Services's public marketing and noticed: icp fit; paid-demand need requires manual verification. I mapped one private small symptom to prevented-emergency ad as an example. Did I catch you with 30 seconds?</x:v>
      </x:c>
      <x:c r="AX732" s="60" t="str">
        <x:v>https://www.facebook.com/ads/library/?active_status=active&amp;ad_type=all&amp;country=US&amp;q=Palmetto%20Tractor%20Services&amp;search_type=keyword_unordered</x:v>
      </x:c>
      <x:c r="AY732" s="60" t="str">
        <x:v>ok:200</x:v>
      </x:c>
      <x:c r="AZ732" s="60" t="n">
        <x:v>46232.722858796296</x:v>
      </x:c>
      <x:c r="BA732" s="60" t="str">
        <x:v>AI Ark SC trades export</x:v>
      </x:c>
      <x:c r="BB732" s="60" t="str">
        <x:v>https://palmettotractor.com | https://www.linkedin.com/company/palmetto-tractor-services</x:v>
      </x:c>
      <x:c r="BC732" s="60" t="str"/>
    </x:row>
    <x:row r="733" ht="18" customHeight="1">
      <x:c r="A733" s="70" t="str">
        <x:v>732</x:v>
      </x:c>
      <x:c r="B733" s="70" t="str">
        <x:v>C - Verify</x:v>
      </x:c>
      <x:c r="C733" s="72" t="str">
        <x:v>45</x:v>
      </x:c>
      <x:c r="D733" s="60" t="str">
        <x:v>Sunbelt Rentals, Inc.</x:v>
      </x:c>
      <x:c r="E733" s="60" t="str">
        <x:v>https://sunbeltrentals.com</x:v>
      </x:c>
      <x:c r="F733" s="60" t="str">
        <x:v>https://www.sunbeltrentals.com/</x:v>
      </x:c>
      <x:c r="G733" s="60" t="str">
        <x:v>Fort Mill</x:v>
      </x:c>
      <x:c r="H733" s="60" t="str">
        <x:v>South Carolina</x:v>
      </x:c>
      <x:c r="I733" s="60" t="str">
        <x:v>HVAC</x:v>
      </x:c>
      <x:c r="J733" s="60" t="str">
        <x:v>shilpy</x:v>
      </x:c>
      <x:c r="K733" s="60" t="str">
        <x:v>dewan</x:v>
      </x:c>
      <x:c r="L733" s="60" t="str">
        <x:v>Sr Technical Product Owner</x:v>
      </x:c>
      <x:c r="M733" s="60" t="str">
        <x:v>shilpy.dewan@sunbeltrentals.com</x:v>
      </x:c>
      <x:c r="N733" s="60" t="str">
        <x:v>Verified with BounceBan on 08 Jun 26 12:06</x:v>
      </x:c>
      <x:c r="O733" s="60" t="str"/>
      <x:c r="P733" s="60" t="str">
        <x:v>https://www.linkedin.com/in/shilpy-dewan-7a3970356</x:v>
      </x:c>
      <x:c r="Q733" s="60" t="str">
        <x:v>10001+</x:v>
      </x:c>
      <x:c r="R733" s="60" t="str">
        <x:v>1000000000-4999999999</x:v>
      </x:c>
      <x:c r="S733" s="60" t="str"/>
      <x:c r="T733" s="74" t="str">
        <x:v>0</x:v>
      </x:c>
      <x:c r="U733" s="60" t="str"/>
      <x:c r="V733" s="74" t="str">
        <x:v>29</x:v>
      </x:c>
      <x:c r="W733" s="74" t="str">
        <x:v>3</x:v>
      </x:c>
      <x:c r="X733" s="74" t="str">
        <x:v>6</x:v>
      </x:c>
      <x:c r="Y733" s="74" t="str">
        <x:v>0</x:v>
      </x:c>
      <x:c r="Z733" s="74" t="str">
        <x:v>7</x:v>
      </x:c>
      <x:c r="AA733" s="74" t="str">
        <x:v>0</x:v>
      </x:c>
      <x:c r="AB733" s="74" t="str">
        <x:v>0</x:v>
      </x:c>
      <x:c r="AC733" s="74" t="str">
        <x:v>1</x:v>
      </x:c>
      <x:c r="AD733" s="74" t="str">
        <x:v>0</x:v>
      </x:c>
      <x:c r="AE733" s="74" t="str">
        <x:v>0</x:v>
      </x:c>
      <x:c r="AF733" s="74" t="str"/>
      <x:c r="AG733" s="74" t="str">
        <x:v>0</x:v>
      </x:c>
      <x:c r="AH733" s="74" t="str">
        <x:v>0</x:v>
      </x:c>
      <x:c r="AI733" s="74" t="str">
        <x:v>0</x:v>
      </x:c>
      <x:c r="AJ733" s="74" t="str">
        <x:v>0</x:v>
      </x:c>
      <x:c r="AK733" s="74" t="str">
        <x:v>0</x:v>
      </x:c>
      <x:c r="AL733" s="74" t="str">
        <x:v>1</x:v>
      </x:c>
      <x:c r="AM733" s="74" t="str">
        <x:v>1</x:v>
      </x:c>
      <x:c r="AN733" s="74" t="str">
        <x:v>1</x:v>
      </x:c>
      <x:c r="AO733" s="60" t="str">
        <x:v>0</x:v>
      </x:c>
      <x:c r="AP733" s="76" t="str">
        <x:v>ICP fit; paid-demand need requires manual verification</x:v>
      </x:c>
      <x:c r="AQ733" s="76" t="str">
        <x:v>no embedded homepage video detected</x:v>
      </x:c>
      <x:c r="AR733" s="76" t="str">
        <x:v>I was reviewing hvac companies in Fort Mill, South Carolina and Sunbelt Rentals, Inc. looked like a strong fit for a creative test.</x:v>
      </x:c>
      <x:c r="AS733" s="76" t="str">
        <x:v>no-cool-call to same-day comfort ad</x:v>
      </x:c>
      <x:c r="AT733" s="76" t="str">
        <x:v>Sunbelt Rentals, Inc. ad concept</x:v>
      </x:c>
      <x:c r="AU733" s="76" t="str">
        <x:v>Hi shilpy — I was reviewing hvac companies in Fort Mill, South Carolina and Sunbelt Rentals, Inc. looked like a strong fit for a creative test. I mapped a private 15-second no-cool-call to same-day comfort ad for Sunbelt Rentals, Inc. using only public brand context—not for publishing, just to show the angle. We build three client-approved video ad concepts in seven days, then turn the winners into fresh variations. No filming day required. Worth sending the private sample?</x:v>
      </x:c>
      <x:c r="AV733" s="76" t="str">
        <x:v>Quick follow-up: the sample angle is a no-cool-call to same-day comfort ad. If it misses the mark, no problem—I won't keep chasing. Should I send it?</x:v>
      </x:c>
      <x:c r="AW733" s="76" t="str">
        <x:v>Hi shilpy, Ryan here. I was looking at Sunbelt Rentals, Inc.'s public marketing and noticed: icp fit; paid-demand need requires manual verification. I mapped one private no-cool-call to same-day comfort ad as an example. Did I catch you with 30 seconds?</x:v>
      </x:c>
      <x:c r="AX733" s="60" t="str">
        <x:v>https://www.facebook.com/ads/library/?active_status=active&amp;ad_type=all&amp;country=US&amp;q=Sunbelt%20Rentals%2C%20Inc.&amp;search_type=keyword_unordered</x:v>
      </x:c>
      <x:c r="AY733" s="60" t="str">
        <x:v>ok:200</x:v>
      </x:c>
      <x:c r="AZ733" s="60" t="n">
        <x:v>46232.722858796296</x:v>
      </x:c>
      <x:c r="BA733" s="60" t="str">
        <x:v>AI Ark SC trades export</x:v>
      </x:c>
      <x:c r="BB733" s="60" t="str">
        <x:v>https://sunbeltrentals.com | https://www.linkedin.com/company/sunbelt-rentals</x:v>
      </x:c>
      <x:c r="BC733" s="60" t="str"/>
    </x:row>
    <x:row r="734" ht="18" customHeight="1">
      <x:c r="A734" s="70" t="str">
        <x:v>733</x:v>
      </x:c>
      <x:c r="B734" s="70" t="str">
        <x:v>C - Verify</x:v>
      </x:c>
      <x:c r="C734" s="72" t="str">
        <x:v>45</x:v>
      </x:c>
      <x:c r="D734" s="60" t="str">
        <x:v>DNB Electric</x:v>
      </x:c>
      <x:c r="E734" s="60" t="str">
        <x:v>https://dnbelectric.com</x:v>
      </x:c>
      <x:c r="F734" s="60" t="str">
        <x:v>https://dnbelectric.com</x:v>
      </x:c>
      <x:c r="G734" s="60" t="str">
        <x:v>Lexington</x:v>
      </x:c>
      <x:c r="H734" s="60" t="str">
        <x:v>South Carolina</x:v>
      </x:c>
      <x:c r="I734" s="60" t="str">
        <x:v>Electrical</x:v>
      </x:c>
      <x:c r="J734" s="60" t="str">
        <x:v>Sonny</x:v>
      </x:c>
      <x:c r="K734" s="60" t="str">
        <x:v>Carter</x:v>
      </x:c>
      <x:c r="L734" s="60" t="str">
        <x:v>Vice President / Co-Owner</x:v>
      </x:c>
      <x:c r="M734" s="60" t="str"/>
      <x:c r="N734" s="60" t="str"/>
      <x:c r="O734" s="60" t="str">
        <x:v>+1 803 361 3219</x:v>
      </x:c>
      <x:c r="P734" s="60" t="str">
        <x:v>https://www.linkedin.com/in/sonny-carter-a7569111b</x:v>
      </x:c>
      <x:c r="Q734" s="60" t="str">
        <x:v>51-200</x:v>
      </x:c>
      <x:c r="R734" s="60" t="str">
        <x:v>500000-999999</x:v>
      </x:c>
      <x:c r="S734" s="60" t="str"/>
      <x:c r="T734" s="74" t="str">
        <x:v>0</x:v>
      </x:c>
      <x:c r="U734" s="60" t="str"/>
      <x:c r="V734" s="74" t="str">
        <x:v>27</x:v>
      </x:c>
      <x:c r="W734" s="74" t="str">
        <x:v>3</x:v>
      </x:c>
      <x:c r="X734" s="74" t="str">
        <x:v>10</x:v>
      </x:c>
      <x:c r="Y734" s="74" t="str">
        <x:v>0</x:v>
      </x:c>
      <x:c r="Z734" s="74" t="str">
        <x:v>5</x:v>
      </x:c>
      <x:c r="AA734" s="74" t="str">
        <x:v>0</x:v>
      </x:c>
      <x:c r="AB734" s="74" t="str">
        <x:v>0</x:v>
      </x:c>
      <x:c r="AC734" s="74" t="str">
        <x:v>1</x:v>
      </x:c>
      <x:c r="AD734" s="74" t="str">
        <x:v>0</x:v>
      </x:c>
      <x:c r="AE734" s="74" t="str">
        <x:v>0</x:v>
      </x:c>
      <x:c r="AF734" s="74" t="str"/>
      <x:c r="AG734" s="74" t="str">
        <x:v>0</x:v>
      </x:c>
      <x:c r="AH734" s="74" t="str">
        <x:v>0</x:v>
      </x:c>
      <x:c r="AI734" s="74" t="str">
        <x:v>0</x:v>
      </x:c>
      <x:c r="AJ734" s="74" t="str">
        <x:v>0</x:v>
      </x:c>
      <x:c r="AK734" s="74" t="str">
        <x:v>0</x:v>
      </x:c>
      <x:c r="AL734" s="74" t="str">
        <x:v>0</x:v>
      </x:c>
      <x:c r="AM734" s="74" t="str">
        <x:v>0</x:v>
      </x:c>
      <x:c r="AN734" s="74" t="str">
        <x:v>0</x:v>
      </x:c>
      <x:c r="AO734" s="60" t="str">
        <x:v>0</x:v>
      </x:c>
      <x:c r="AP734" s="76" t="str">
        <x:v>ICP fit; paid-demand need requires manual verification</x:v>
      </x:c>
      <x:c r="AQ734" s="76" t="str">
        <x:v>no embedded homepage video detected</x:v>
      </x:c>
      <x:c r="AR734" s="76" t="str">
        <x:v>I was reviewing electrical companies in Lexington, South Carolina and DNB Electric looked like a strong fit for a creative test.</x:v>
      </x:c>
      <x:c r="AS734" s="76" t="str">
        <x:v>safety inspection problem/solution ad</x:v>
      </x:c>
      <x:c r="AT734" s="76" t="str">
        <x:v>DNB Electric ad concept</x:v>
      </x:c>
      <x:c r="AU734" s="76" t="str">
        <x:v>Hi Sonny — I was reviewing electrical companies in Lexington, South Carolina and DNB Electric looked like a strong fit for a creative test. I mapped a private 15-second safety inspection problem/solution ad for DNB Electric using only public brand context—not for publishing, just to show the angle. We build three client-approved video ad concepts in seven days, then turn the winners into fresh variations. No filming day required. Worth sending the private sample?</x:v>
      </x:c>
      <x:c r="AV734" s="76" t="str">
        <x:v>Quick follow-up: the sample angle is a safety inspection problem/solution ad. If it misses the mark, no problem—I won't keep chasing. Should I send it?</x:v>
      </x:c>
      <x:c r="AW734" s="76" t="str">
        <x:v>Hi Sonny, Ryan here. I was looking at DNB Electric's public marketing and noticed: icp fit; paid-demand need requires manual verification. I mapped one private safety inspection problem/solution ad as an example. Did I catch you with 30 seconds?</x:v>
      </x:c>
      <x:c r="AX734" s="60" t="str">
        <x:v>https://www.facebook.com/ads/library/?active_status=active&amp;ad_type=all&amp;country=US&amp;q=DNB%20Electric&amp;search_type=keyword_unordered</x:v>
      </x:c>
      <x:c r="AY734" s="60" t="str">
        <x:v>ok:200</x:v>
      </x:c>
      <x:c r="AZ734" s="60" t="n">
        <x:v>46232.722858796296</x:v>
      </x:c>
      <x:c r="BA734" s="60" t="str">
        <x:v>AI Ark SC trades export</x:v>
      </x:c>
      <x:c r="BB734" s="60" t="str">
        <x:v>https://dnbelectric.com | https://www.linkedin.com/company/dnb-electric</x:v>
      </x:c>
      <x:c r="BC734" s="60" t="str"/>
    </x:row>
    <x:row r="735" ht="18" customHeight="1">
      <x:c r="A735" s="70" t="str">
        <x:v>734</x:v>
      </x:c>
      <x:c r="B735" s="70" t="str">
        <x:v>C - Verify</x:v>
      </x:c>
      <x:c r="C735" s="72" t="str">
        <x:v>45</x:v>
      </x:c>
      <x:c r="D735" s="60" t="str">
        <x:v>Clothing Boutique</x:v>
      </x:c>
      <x:c r="E735" s="60" t="str">
        <x:v>https://swankboutique.com</x:v>
      </x:c>
      <x:c r="F735" s="60" t="str">
        <x:v>https://swankboutique.com</x:v>
      </x:c>
      <x:c r="G735" s="60" t="str">
        <x:v>North Charleston</x:v>
      </x:c>
      <x:c r="H735" s="60" t="str">
        <x:v>South Carolina</x:v>
      </x:c>
      <x:c r="I735" s="60" t="str">
        <x:v>General Contractor</x:v>
      </x:c>
      <x:c r="J735" s="60" t="str">
        <x:v>Angela</x:v>
      </x:c>
      <x:c r="K735" s="60" t="str">
        <x:v>Jenkins</x:v>
      </x:c>
      <x:c r="L735" s="60" t="str">
        <x:v>Business Owner</x:v>
      </x:c>
      <x:c r="M735" s="60" t="str"/>
      <x:c r="N735" s="60" t="str"/>
      <x:c r="O735" s="60" t="str">
        <x:v>+1 573 256 4795</x:v>
      </x:c>
      <x:c r="P735" s="60" t="str">
        <x:v>https://www.linkedin.com/in/angela-jenkins-2a54b2159</x:v>
      </x:c>
      <x:c r="Q735" s="60" t="str">
        <x:v>11-50</x:v>
      </x:c>
      <x:c r="R735" s="60" t="str">
        <x:v>1000000-4999999</x:v>
      </x:c>
      <x:c r="S735" s="60" t="str"/>
      <x:c r="T735" s="74" t="str">
        <x:v>0</x:v>
      </x:c>
      <x:c r="U735" s="60" t="str"/>
      <x:c r="V735" s="74" t="str">
        <x:v>27</x:v>
      </x:c>
      <x:c r="W735" s="74" t="str">
        <x:v>3</x:v>
      </x:c>
      <x:c r="X735" s="74" t="str">
        <x:v>10</x:v>
      </x:c>
      <x:c r="Y735" s="74" t="str">
        <x:v>0</x:v>
      </x:c>
      <x:c r="Z735" s="74" t="str">
        <x:v>5</x:v>
      </x:c>
      <x:c r="AA735" s="74" t="str">
        <x:v>0</x:v>
      </x:c>
      <x:c r="AB735" s="74" t="str">
        <x:v>0</x:v>
      </x:c>
      <x:c r="AC735" s="74" t="str">
        <x:v>1</x:v>
      </x:c>
      <x:c r="AD735" s="74" t="str">
        <x:v>0</x:v>
      </x:c>
      <x:c r="AE735" s="74" t="str">
        <x:v>0</x:v>
      </x:c>
      <x:c r="AF735" s="74" t="str"/>
      <x:c r="AG735" s="74" t="str">
        <x:v>0</x:v>
      </x:c>
      <x:c r="AH735" s="74" t="str">
        <x:v>0</x:v>
      </x:c>
      <x:c r="AI735" s="74" t="str">
        <x:v>0</x:v>
      </x:c>
      <x:c r="AJ735" s="74" t="str">
        <x:v>0</x:v>
      </x:c>
      <x:c r="AK735" s="74" t="str">
        <x:v>0</x:v>
      </x:c>
      <x:c r="AL735" s="74" t="str">
        <x:v>0</x:v>
      </x:c>
      <x:c r="AM735" s="74" t="str">
        <x:v>0</x:v>
      </x:c>
      <x:c r="AN735" s="74" t="str">
        <x:v>0</x:v>
      </x:c>
      <x:c r="AO735" s="60" t="str">
        <x:v>2026</x:v>
      </x:c>
      <x:c r="AP735" s="76" t="str">
        <x:v>ICP fit; paid-demand need requires manual verification</x:v>
      </x:c>
      <x:c r="AQ735" s="76" t="str">
        <x:v>no embedded homepage video detected</x:v>
      </x:c>
      <x:c r="AR735" s="76" t="str">
        <x:v>I was reviewing general contractor companies in North Charleston, South Carolina and Clothing Boutique looked like a strong fit for a creative test.</x:v>
      </x:c>
      <x:c r="AS735" s="76" t="str">
        <x:v>project walkthrough with proof milestones</x:v>
      </x:c>
      <x:c r="AT735" s="76" t="str">
        <x:v>Clothing Boutique ad concept</x:v>
      </x:c>
      <x:c r="AU735" s="76" t="str">
        <x:v>Hi Angela — I was reviewing general contractor companies in North Charleston, South Carolina and Clothing Boutique looked like a strong fit for a creative test. I mapped a private 15-second project walkthrough with proof milestones for Clothing Boutique using only public brand context—not for publishing, just to show the angle. We build three client-approved video ad concepts in seven days, then turn the winners into fresh variations. No filming day required. Worth sending the private sample?</x:v>
      </x:c>
      <x:c r="AV735" s="76" t="str">
        <x:v>Quick follow-up: the sample angle is a project walkthrough with proof milestones. If it misses the mark, no problem—I won't keep chasing. Should I send it?</x:v>
      </x:c>
      <x:c r="AW735" s="76" t="str">
        <x:v>Hi Angela, Ryan here. I was looking at Clothing Boutique's public marketing and noticed: icp fit; paid-demand need requires manual verification. I mapped one private project walkthrough with proof milestones as an example. Did I catch you with 30 seconds?</x:v>
      </x:c>
      <x:c r="AX735" s="60" t="str">
        <x:v>https://www.facebook.com/ads/library/?active_status=active&amp;ad_type=all&amp;country=US&amp;q=Clothing%20Boutique&amp;search_type=keyword_unordered</x:v>
      </x:c>
      <x:c r="AY735" s="60" t="str">
        <x:v>ok:200</x:v>
      </x:c>
      <x:c r="AZ735" s="60" t="n">
        <x:v>46232.722858796296</x:v>
      </x:c>
      <x:c r="BA735" s="60" t="str">
        <x:v>AI Ark SC trades export</x:v>
      </x:c>
      <x:c r="BB735" s="60" t="str">
        <x:v>https://swankboutique.com | https://www.linkedin.com/company/clothing-boutique</x:v>
      </x:c>
      <x:c r="BC735" s="60" t="str"/>
    </x:row>
    <x:row r="736" ht="18" customHeight="1">
      <x:c r="A736" s="70" t="str">
        <x:v>735</x:v>
      </x:c>
      <x:c r="B736" s="70" t="str">
        <x:v>C - Verify</x:v>
      </x:c>
      <x:c r="C736" s="72" t="str">
        <x:v>45</x:v>
      </x:c>
      <x:c r="D736" s="60" t="str">
        <x:v>Illuminated Electric LLC</x:v>
      </x:c>
      <x:c r="E736" s="60" t="str">
        <x:v>https://illuminatedelectric.net</x:v>
      </x:c>
      <x:c r="F736" s="60" t="str">
        <x:v>https://illuminatedelectric.net</x:v>
      </x:c>
      <x:c r="G736" s="60" t="str">
        <x:v>Rock Hill</x:v>
      </x:c>
      <x:c r="H736" s="60" t="str">
        <x:v>South Carolina</x:v>
      </x:c>
      <x:c r="I736" s="60" t="str">
        <x:v>Electrical</x:v>
      </x:c>
      <x:c r="J736" s="60" t="str">
        <x:v>Illuminated Electric LLC</x:v>
      </x:c>
      <x:c r="K736" s="60" t="str"/>
      <x:c r="L736" s="60" t="str">
        <x:v>Owner / decision maker to verify</x:v>
      </x:c>
      <x:c r="M736" s="60" t="str"/>
      <x:c r="N736" s="60" t="str"/>
      <x:c r="O736" s="60" t="str">
        <x:v>(803) 370-1498</x:v>
      </x:c>
      <x:c r="P736" s="60" t="str"/>
      <x:c r="Q736" s="60" t="str"/>
      <x:c r="R736" s="60" t="str"/>
      <x:c r="S736" s="60" t="str">
        <x:v>4.9</x:v>
      </x:c>
      <x:c r="T736" s="74" t="str">
        <x:v>109</x:v>
      </x:c>
      <x:c r="U736" s="60" t="str"/>
      <x:c r="V736" s="74" t="str">
        <x:v>23</x:v>
      </x:c>
      <x:c r="W736" s="74" t="str">
        <x:v>0</x:v>
      </x:c>
      <x:c r="X736" s="74" t="str">
        <x:v>6</x:v>
      </x:c>
      <x:c r="Y736" s="74" t="str">
        <x:v>11</x:v>
      </x:c>
      <x:c r="Z736" s="74" t="str">
        <x:v>5</x:v>
      </x:c>
      <x:c r="AA736" s="74" t="str">
        <x:v>0</x:v>
      </x:c>
      <x:c r="AB736" s="74" t="str">
        <x:v>0</x:v>
      </x:c>
      <x:c r="AC736" s="74" t="str">
        <x:v>0</x:v>
      </x:c>
      <x:c r="AD736" s="74" t="str">
        <x:v>0</x:v>
      </x:c>
      <x:c r="AE736" s="74" t="str">
        <x:v>0</x:v>
      </x:c>
      <x:c r="AF736" s="74" t="str"/>
      <x:c r="AG736" s="74" t="str">
        <x:v>0</x:v>
      </x:c>
      <x:c r="AH736" s="74" t="str">
        <x:v>1</x:v>
      </x:c>
      <x:c r="AI736" s="74" t="str">
        <x:v>0</x:v>
      </x:c>
      <x:c r="AJ736" s="74" t="str">
        <x:v>0</x:v>
      </x:c>
      <x:c r="AK736" s="74" t="str">
        <x:v>1</x:v>
      </x:c>
      <x:c r="AL736" s="74" t="str">
        <x:v>1</x:v>
      </x:c>
      <x:c r="AM736" s="74" t="str">
        <x:v>1</x:v>
      </x:c>
      <x:c r="AN736" s="74" t="str">
        <x:v>1</x:v>
      </x:c>
      <x:c r="AO736" s="60" t="str">
        <x:v>0</x:v>
      </x:c>
      <x:c r="AP736" s="76" t="str">
        <x:v>Project/gallery proof found; no embedded homepage video found</x:v>
      </x:c>
      <x:c r="AQ736" s="76" t="str">
        <x:v>project/gallery proof; visible service offer; no embedded homepage video detected</x:v>
      </x:c>
      <x:c r="AR736" s="76" t="str">
        <x:v>I found project/gallery proof on Illuminated Electric LLC's site that could be repackaged into short-form ad concepts.</x:v>
      </x:c>
      <x:c r="AS736" s="76" t="str">
        <x:v>safety inspection problem/solution ad</x:v>
      </x:c>
      <x:c r="AT736" s="76" t="str">
        <x:v>Illuminated Electric LLC ad concept</x:v>
      </x:c>
      <x:c r="AU736" s="76" t="str">
        <x:v>Hi Illuminated Electric LLC — I found project/gallery proof on Illuminated Electric LLC's site that could be repackaged into short-form ad concepts. I mapped a private 15-second safety inspection problem/solution ad for Illuminated Electric LLC using only public brand context—not for publishing, just to show the angle. We build three client-approved video ad concepts in seven days, then turn the winners into fresh variations. No filming day required. Worth sending the private sample?</x:v>
      </x:c>
      <x:c r="AV736" s="76" t="str">
        <x:v>Quick follow-up: the sample angle is a safety inspection problem/solution ad. If it misses the mark, no problem—I won't keep chasing. Should I send it?</x:v>
      </x:c>
      <x:c r="AW736" s="76" t="str">
        <x:v>Hi Illuminated Electric LLC, Ryan here. I was looking at Illuminated Electric LLC's public marketing and noticed: project/gallery proof found; no embedded homepage video found. I mapped one private safety inspection problem/solution ad as an example. Did I catch you with 30 seconds?</x:v>
      </x:c>
      <x:c r="AX736" s="60" t="str">
        <x:v>https://www.facebook.com/ads/library/?active_status=active&amp;ad_type=all&amp;country=US&amp;q=Illuminated%20Electric%20LLC&amp;search_type=keyword_unordered</x:v>
      </x:c>
      <x:c r="AY736" s="60" t="str">
        <x:v>ok:200</x:v>
      </x:c>
      <x:c r="AZ736" s="60" t="n">
        <x:v>46232.722858796296</x:v>
      </x:c>
      <x:c r="BA736" s="60" t="str">
        <x:v>Google Maps home-services export</x:v>
      </x:c>
      <x:c r="BB736" s="60" t="str">
        <x:v>https://illuminatedelectric.net | https://maps.google.com/?cid=7150587787443584028&amp;g_mp=Cidnb29nbGUubWFwcy5wbGFjZXMudjEuUGxhY2VzLlNlYXJjaFRleHQQAhgEIAA</x:v>
      </x:c>
      <x:c r="BC736" s="60" t="str"/>
    </x:row>
    <x:row r="737" ht="18" customHeight="1">
      <x:c r="A737" s="70" t="str">
        <x:v>736</x:v>
      </x:c>
      <x:c r="B737" s="70" t="str">
        <x:v>C - Verify</x:v>
      </x:c>
      <x:c r="C737" s="72" t="str">
        <x:v>45</x:v>
      </x:c>
      <x:c r="D737" s="60" t="str">
        <x:v>Tripp Mills Builders</x:v>
      </x:c>
      <x:c r="E737" s="60" t="str">
        <x:v>https://trippmillsbuilders.com</x:v>
      </x:c>
      <x:c r="F737" s="60" t="str">
        <x:v>https://www.trippmillsbuilders.com/</x:v>
      </x:c>
      <x:c r="G737" s="60" t="str">
        <x:v>Easley</x:v>
      </x:c>
      <x:c r="H737" s="60" t="str">
        <x:v>South Carolina</x:v>
      </x:c>
      <x:c r="I737" s="60" t="str">
        <x:v>General Contractor</x:v>
      </x:c>
      <x:c r="J737" s="60" t="str">
        <x:v>Stoney</x:v>
      </x:c>
      <x:c r="K737" s="60" t="str">
        <x:v>Mills</x:v>
      </x:c>
      <x:c r="L737" s="60" t="str">
        <x:v>Co-Owner</x:v>
      </x:c>
      <x:c r="M737" s="60" t="str">
        <x:v>stoney@trippmillsbuilders.com</x:v>
      </x:c>
      <x:c r="N737" s="60" t="str">
        <x:v>Verified with BounceBan on 08 Jun 26 12:06</x:v>
      </x:c>
      <x:c r="O737" s="60" t="str">
        <x:v>+1 864 448 8881</x:v>
      </x:c>
      <x:c r="P737" s="60" t="str">
        <x:v>https://www.linkedin.com/in/stoney-mills-9317ab236</x:v>
      </x:c>
      <x:c r="Q737" s="60" t="str">
        <x:v>2-10</x:v>
      </x:c>
      <x:c r="R737" s="60" t="str">
        <x:v>100000-499999</x:v>
      </x:c>
      <x:c r="S737" s="60" t="str"/>
      <x:c r="T737" s="74" t="str">
        <x:v>0</x:v>
      </x:c>
      <x:c r="U737" s="60" t="str"/>
      <x:c r="V737" s="74" t="str">
        <x:v>20</x:v>
      </x:c>
      <x:c r="W737" s="74" t="str">
        <x:v>0</x:v>
      </x:c>
      <x:c r="X737" s="74" t="str">
        <x:v>6</x:v>
      </x:c>
      <x:c r="Y737" s="74" t="str">
        <x:v>9</x:v>
      </x:c>
      <x:c r="Z737" s="74" t="str">
        <x:v>10</x:v>
      </x:c>
      <x:c r="AA737" s="74" t="str">
        <x:v>0</x:v>
      </x:c>
      <x:c r="AB737" s="74" t="str">
        <x:v>0</x:v>
      </x:c>
      <x:c r="AC737" s="74" t="str">
        <x:v>0</x:v>
      </x:c>
      <x:c r="AD737" s="74" t="str">
        <x:v>0</x:v>
      </x:c>
      <x:c r="AE737" s="74" t="str">
        <x:v>0</x:v>
      </x:c>
      <x:c r="AF737" s="74" t="str"/>
      <x:c r="AG737" s="74" t="str">
        <x:v>0</x:v>
      </x:c>
      <x:c r="AH737" s="74" t="str">
        <x:v>1</x:v>
      </x:c>
      <x:c r="AI737" s="74" t="str">
        <x:v>1</x:v>
      </x:c>
      <x:c r="AJ737" s="74" t="str">
        <x:v>0</x:v>
      </x:c>
      <x:c r="AK737" s="74" t="str">
        <x:v>0</x:v>
      </x:c>
      <x:c r="AL737" s="74" t="str">
        <x:v>1</x:v>
      </x:c>
      <x:c r="AM737" s="74" t="str">
        <x:v>1</x:v>
      </x:c>
      <x:c r="AN737" s="74" t="str">
        <x:v>0</x:v>
      </x:c>
      <x:c r="AO737" s="60" t="str">
        <x:v>0</x:v>
      </x:c>
      <x:c r="AP737" s="76" t="str">
        <x:v>Project/gallery proof found; no embedded homepage video found</x:v>
      </x:c>
      <x:c r="AQ737" s="76" t="str">
        <x:v>project/gallery proof; testimonials; no embedded homepage video detected</x:v>
      </x:c>
      <x:c r="AR737" s="76" t="str">
        <x:v>I found project/gallery proof on Tripp Mills Builders's site that could be repackaged into short-form ad concepts.</x:v>
      </x:c>
      <x:c r="AS737" s="76" t="str">
        <x:v>project walkthrough with proof milestones</x:v>
      </x:c>
      <x:c r="AT737" s="76" t="str">
        <x:v>Tripp Mills Builders ad concept</x:v>
      </x:c>
      <x:c r="AU737" s="76" t="str">
        <x:v>Hi Stoney — I found project/gallery proof on Tripp Mills Builders's site that could be repackaged into short-form ad concepts. I mapped a private 15-second project walkthrough with proof milestones for Tripp Mills Builders using only public brand context—not for publishing, just to show the angle. We build three client-approved video ad concepts in seven days, then turn the winners into fresh variations. No filming day required. Worth sending the private sample?</x:v>
      </x:c>
      <x:c r="AV737" s="76" t="str">
        <x:v>Quick follow-up: the sample angle is a project walkthrough with proof milestones. If it misses the mark, no problem—I won't keep chasing. Should I send it?</x:v>
      </x:c>
      <x:c r="AW737" s="76" t="str">
        <x:v>Hi Stoney, Ryan here. I was looking at Tripp Mills Builders's public marketing and noticed: project/gallery proof found; no embedded homepage video found. I mapped one private project walkthrough with proof milestones as an example. Did I catch you with 30 seconds?</x:v>
      </x:c>
      <x:c r="AX737" s="60" t="str">
        <x:v>https://www.facebook.com/ads/library/?active_status=active&amp;ad_type=all&amp;country=US&amp;q=Tripp%20Mills%20Builders&amp;search_type=keyword_unordered</x:v>
      </x:c>
      <x:c r="AY737" s="60" t="str">
        <x:v>ok:200</x:v>
      </x:c>
      <x:c r="AZ737" s="60" t="n">
        <x:v>46232.722858796296</x:v>
      </x:c>
      <x:c r="BA737" s="60" t="str">
        <x:v>AI Ark SC trades export</x:v>
      </x:c>
      <x:c r="BB737" s="60" t="str">
        <x:v>https://trippmillsbuilders.com | https://www.linkedin.com/company/tripp-mills-bldrs</x:v>
      </x:c>
      <x:c r="BC737" s="60" t="str"/>
    </x:row>
    <x:row r="738" ht="18" customHeight="1">
      <x:c r="A738" s="70" t="str">
        <x:v>737</x:v>
      </x:c>
      <x:c r="B738" s="70" t="str">
        <x:v>C - Verify</x:v>
      </x:c>
      <x:c r="C738" s="72" t="str">
        <x:v>45</x:v>
      </x:c>
      <x:c r="D738" s="60" t="str">
        <x:v>Sewer Daddy</x:v>
      </x:c>
      <x:c r="E738" s="60" t="str">
        <x:v>https://sewerdaddysc.com</x:v>
      </x:c>
      <x:c r="F738" s="60" t="str">
        <x:v>https://sewerdaddysc.com</x:v>
      </x:c>
      <x:c r="G738" s="60" t="str">
        <x:v>Charleston</x:v>
      </x:c>
      <x:c r="H738" s="60" t="str">
        <x:v>South Carolina</x:v>
      </x:c>
      <x:c r="I738" s="60" t="str">
        <x:v>Plumbing</x:v>
      </x:c>
      <x:c r="J738" s="60" t="str">
        <x:v>Sewer Daddy</x:v>
      </x:c>
      <x:c r="K738" s="60" t="str"/>
      <x:c r="L738" s="60" t="str">
        <x:v>Owner / decision maker to verify</x:v>
      </x:c>
      <x:c r="M738" s="60" t="str"/>
      <x:c r="N738" s="60" t="str"/>
      <x:c r="O738" s="60" t="str">
        <x:v>(843) 718-5782</x:v>
      </x:c>
      <x:c r="P738" s="60" t="str"/>
      <x:c r="Q738" s="60" t="str"/>
      <x:c r="R738" s="60" t="str"/>
      <x:c r="S738" s="60" t="str">
        <x:v>4.9</x:v>
      </x:c>
      <x:c r="T738" s="74" t="str">
        <x:v>378</x:v>
      </x:c>
      <x:c r="U738" s="60" t="str"/>
      <x:c r="V738" s="74" t="str">
        <x:v>25</x:v>
      </x:c>
      <x:c r="W738" s="74" t="str">
        <x:v>0</x:v>
      </x:c>
      <x:c r="X738" s="74" t="str">
        <x:v>6</x:v>
      </x:c>
      <x:c r="Y738" s="74" t="str">
        <x:v>9</x:v>
      </x:c>
      <x:c r="Z738" s="74" t="str">
        <x:v>5</x:v>
      </x:c>
      <x:c r="AA738" s="74" t="str">
        <x:v>0</x:v>
      </x:c>
      <x:c r="AB738" s="74" t="str">
        <x:v>0</x:v>
      </x:c>
      <x:c r="AC738" s="74" t="str">
        <x:v>0</x:v>
      </x:c>
      <x:c r="AD738" s="74" t="str">
        <x:v>0</x:v>
      </x:c>
      <x:c r="AE738" s="74" t="str">
        <x:v>0</x:v>
      </x:c>
      <x:c r="AF738" s="74" t="str"/>
      <x:c r="AG738" s="74" t="str">
        <x:v>0</x:v>
      </x:c>
      <x:c r="AH738" s="74" t="str">
        <x:v>0</x:v>
      </x:c>
      <x:c r="AI738" s="74" t="str">
        <x:v>0</x:v>
      </x:c>
      <x:c r="AJ738" s="74" t="str">
        <x:v>1</x:v>
      </x:c>
      <x:c r="AK738" s="74" t="str">
        <x:v>1</x:v>
      </x:c>
      <x:c r="AL738" s="74" t="str">
        <x:v>1</x:v>
      </x:c>
      <x:c r="AM738" s="74" t="str">
        <x:v>1</x:v>
      </x:c>
      <x:c r="AN738" s="74" t="str">
        <x:v>0</x:v>
      </x:c>
      <x:c r="AO738" s="60" t="str">
        <x:v>2025</x:v>
      </x:c>
      <x:c r="AP738" s="76" t="str">
        <x:v>378 Google reviews; no embedded homepage video found</x:v>
      </x:c>
      <x:c r="AQ738" s="76" t="str">
        <x:v>financing; visible service offer; no embedded homepage video detected</x:v>
      </x:c>
      <x:c r="AR738" s="76" t="str">
        <x:v>Sewer Daddy has 378 Google reviews—strong proof that could be turned into short-form ad concepts.</x:v>
      </x:c>
      <x:c r="AS738" s="76" t="str">
        <x:v>small symptom to prevented-emergency ad</x:v>
      </x:c>
      <x:c r="AT738" s="76" t="str">
        <x:v>Sewer Daddy ad concept</x:v>
      </x:c>
      <x:c r="AU738" s="76" t="str">
        <x:v>Hi Sewer Daddy — Sewer Daddy has 378 Google reviews—strong proof that could be turned into short-form ad concepts. I mapped a private 15-second small symptom to prevented-emergency ad for Sewer Daddy using only public brand context—not for publishing, just to show the angle. We build three client-approved video ad concepts in seven days, then turn the winners into fresh variations. No filming day required. Worth sending the private sample?</x:v>
      </x:c>
      <x:c r="AV738" s="76" t="str">
        <x:v>Quick follow-up: the sample angle is a small symptom to prevented-emergency ad. If it misses the mark, no problem—I won't keep chasing. Should I send it?</x:v>
      </x:c>
      <x:c r="AW738" s="76" t="str">
        <x:v>Hi Sewer Daddy, Ryan here. I was looking at Sewer Daddy's public marketing and noticed: 378 google reviews; no embedded homepage video found. I mapped one private small symptom to prevented-emergency ad as an example. Did I catch you with 30 seconds?</x:v>
      </x:c>
      <x:c r="AX738" s="60" t="str">
        <x:v>https://www.facebook.com/ads/library/?active_status=active&amp;ad_type=all&amp;country=US&amp;q=Sewer%20Daddy&amp;search_type=keyword_unordered</x:v>
      </x:c>
      <x:c r="AY738" s="60" t="str">
        <x:v>ok:200</x:v>
      </x:c>
      <x:c r="AZ738" s="60" t="n">
        <x:v>46232.722858796296</x:v>
      </x:c>
      <x:c r="BA738" s="60" t="str">
        <x:v>Google Maps home-services export</x:v>
      </x:c>
      <x:c r="BB738" s="60" t="str">
        <x:v>https://maps.google.com/?cid=6694046314804874639&amp;g_mp=Cidnb29nbGUubWFwcy5wbGFjZXMudjEuUGxhY2VzLlNlYXJjaFRleHQQAhgEIAA | https://sewerdaddysc.com</x:v>
      </x:c>
      <x:c r="BC738" s="60" t="str"/>
    </x:row>
    <x:row r="739" ht="18" customHeight="1">
      <x:c r="A739" s="70" t="str">
        <x:v>738</x:v>
      </x:c>
      <x:c r="B739" s="70" t="str">
        <x:v>C - Verify</x:v>
      </x:c>
      <x:c r="C739" s="72" t="str">
        <x:v>45</x:v>
      </x:c>
      <x:c r="D739" s="60" t="str">
        <x:v>M &amp; S Roofing Company</x:v>
      </x:c>
      <x:c r="E739" s="60" t="str">
        <x:v>https://msroofingcompany.com</x:v>
      </x:c>
      <x:c r="F739" s="60" t="str">
        <x:v>https://msroofingcompany.com</x:v>
      </x:c>
      <x:c r="G739" s="60" t="str">
        <x:v>Hilton Head</x:v>
      </x:c>
      <x:c r="H739" s="60" t="str">
        <x:v>South Carolina</x:v>
      </x:c>
      <x:c r="I739" s="60" t="str">
        <x:v>Roofing</x:v>
      </x:c>
      <x:c r="J739" s="60" t="str">
        <x:v>M &amp; S Roofing Company</x:v>
      </x:c>
      <x:c r="K739" s="60" t="str"/>
      <x:c r="L739" s="60" t="str">
        <x:v>Owner / decision maker to verify</x:v>
      </x:c>
      <x:c r="M739" s="60" t="str"/>
      <x:c r="N739" s="60" t="str"/>
      <x:c r="O739" s="60" t="str">
        <x:v>(843) 757-6180</x:v>
      </x:c>
      <x:c r="P739" s="60" t="str"/>
      <x:c r="Q739" s="60" t="str"/>
      <x:c r="R739" s="60" t="str"/>
      <x:c r="S739" s="60" t="str">
        <x:v>4.9</x:v>
      </x:c>
      <x:c r="T739" s="74" t="str">
        <x:v>30</x:v>
      </x:c>
      <x:c r="U739" s="60" t="str"/>
      <x:c r="V739" s="74" t="str">
        <x:v>27</x:v>
      </x:c>
      <x:c r="W739" s="74" t="str">
        <x:v>0</x:v>
      </x:c>
      <x:c r="X739" s="74" t="str">
        <x:v>4</x:v>
      </x:c>
      <x:c r="Y739" s="74" t="str">
        <x:v>9</x:v>
      </x:c>
      <x:c r="Z739" s="74" t="str">
        <x:v>5</x:v>
      </x:c>
      <x:c r="AA739" s="74" t="str">
        <x:v>0</x:v>
      </x:c>
      <x:c r="AB739" s="74" t="str">
        <x:v>0</x:v>
      </x:c>
      <x:c r="AC739" s="74" t="str">
        <x:v>0</x:v>
      </x:c>
      <x:c r="AD739" s="74" t="str">
        <x:v>0</x:v>
      </x:c>
      <x:c r="AE739" s="74" t="str">
        <x:v>0</x:v>
      </x:c>
      <x:c r="AF739" s="74" t="str"/>
      <x:c r="AG739" s="74" t="str">
        <x:v>1</x:v>
      </x:c>
      <x:c r="AH739" s="74" t="str">
        <x:v>0</x:v>
      </x:c>
      <x:c r="AI739" s="74" t="str">
        <x:v>1</x:v>
      </x:c>
      <x:c r="AJ739" s="74" t="str">
        <x:v>0</x:v>
      </x:c>
      <x:c r="AK739" s="74" t="str">
        <x:v>1</x:v>
      </x:c>
      <x:c r="AL739" s="74" t="str">
        <x:v>0</x:v>
      </x:c>
      <x:c r="AM739" s="74" t="str">
        <x:v>0</x:v>
      </x:c>
      <x:c r="AN739" s="74" t="str">
        <x:v>0</x:v>
      </x:c>
      <x:c r="AO739" s="60" t="str">
        <x:v>2025</x:v>
      </x:c>
      <x:c r="AP739" s="76" t="str">
        <x:v>ICP fit; paid-demand need requires manual verification</x:v>
      </x:c>
      <x:c r="AQ739" s="76" t="str">
        <x:v>testimonials; visible service offer</x:v>
      </x:c>
      <x:c r="AR739" s="76" t="str">
        <x:v>I was reviewing roofing companies in Hilton Head, South Carolina and M &amp; S Roofing Company looked like a strong fit for a creative test.</x:v>
      </x:c>
      <x:c r="AS739" s="76" t="str">
        <x:v>storm-to-inspection before/after ad</x:v>
      </x:c>
      <x:c r="AT739" s="76" t="str">
        <x:v>M &amp; S Roofing Company ad concept</x:v>
      </x:c>
      <x:c r="AU739" s="76" t="str">
        <x:v>Hi M &amp; S Roofing Company — I was reviewing roofing companies in Hilton Head, South Carolina and M &amp; S Roofing Company looked like a strong fit for a creative test. I mapped a private 15-second storm-to-inspection before/after ad for M &amp; S Roofing Company using only public brand context—not for publishing, just to show the angle. We build three client-approved video ad concepts in seven days, then turn the winners into fresh variations. No filming day required. Worth sending the private sample?</x:v>
      </x:c>
      <x:c r="AV739" s="76" t="str">
        <x:v>Quick follow-up: the sample angle is a storm-to-inspection before/after ad. If it misses the mark, no problem—I won't keep chasing. Should I send it?</x:v>
      </x:c>
      <x:c r="AW739" s="76" t="str">
        <x:v>Hi M &amp; S Roofing Company, Ryan here. I was looking at M &amp; S Roofing Company's public marketing and noticed: icp fit; paid-demand need requires manual verification. I mapped one private storm-to-inspection before/after ad as an example. Did I catch you with 30 seconds?</x:v>
      </x:c>
      <x:c r="AX739" s="60" t="str">
        <x:v>https://www.facebook.com/ads/library/?active_status=active&amp;ad_type=all&amp;country=US&amp;q=M%20%26%20S%20Roofing%20Company&amp;search_type=keyword_unordered</x:v>
      </x:c>
      <x:c r="AY739" s="60" t="str">
        <x:v>ok:200</x:v>
      </x:c>
      <x:c r="AZ739" s="60" t="n">
        <x:v>46232.722858796296</x:v>
      </x:c>
      <x:c r="BA739" s="60" t="str">
        <x:v>Google Maps home-services export</x:v>
      </x:c>
      <x:c r="BB739" s="60" t="str">
        <x:v>https://maps.google.com/?cid=3150386061511450374&amp;g_mp=Cidnb29nbGUubWFwcy5wbGFjZXMudjEuUGxhY2VzLlNlYXJjaFRleHQQAhgEIAA | https://msroofingcompany.com</x:v>
      </x:c>
      <x:c r="BC739" s="60" t="str"/>
    </x:row>
    <x:row r="740" ht="18" customHeight="1">
      <x:c r="A740" s="70" t="str">
        <x:v>739</x:v>
      </x:c>
      <x:c r="B740" s="70" t="str">
        <x:v>C - Verify</x:v>
      </x:c>
      <x:c r="C740" s="72" t="str">
        <x:v>45</x:v>
      </x:c>
      <x:c r="D740" s="60" t="str">
        <x:v>B&amp;B Commercial Roofing LLC</x:v>
      </x:c>
      <x:c r="E740" s="60" t="str">
        <x:v>https://bbcommercialroofing.com</x:v>
      </x:c>
      <x:c r="F740" s="60" t="str">
        <x:v>https://bbcommercialroofing.com</x:v>
      </x:c>
      <x:c r="G740" s="60" t="str">
        <x:v>Florence</x:v>
      </x:c>
      <x:c r="H740" s="60" t="str">
        <x:v>South Carolina</x:v>
      </x:c>
      <x:c r="I740" s="60" t="str">
        <x:v>Roofing</x:v>
      </x:c>
      <x:c r="J740" s="60" t="str">
        <x:v>B&amp;B Commercial Roofing LLC</x:v>
      </x:c>
      <x:c r="K740" s="60" t="str"/>
      <x:c r="L740" s="60" t="str">
        <x:v>Owner / decision maker to verify</x:v>
      </x:c>
      <x:c r="M740" s="60" t="str"/>
      <x:c r="N740" s="60" t="str"/>
      <x:c r="O740" s="60" t="str">
        <x:v>(843) 496-0004</x:v>
      </x:c>
      <x:c r="P740" s="60" t="str"/>
      <x:c r="Q740" s="60" t="str"/>
      <x:c r="R740" s="60" t="str"/>
      <x:c r="S740" s="60" t="str">
        <x:v>4.9</x:v>
      </x:c>
      <x:c r="T740" s="74" t="str">
        <x:v>99</x:v>
      </x:c>
      <x:c r="U740" s="60" t="str"/>
      <x:c r="V740" s="74" t="str">
        <x:v>27</x:v>
      </x:c>
      <x:c r="W740" s="74" t="str">
        <x:v>0</x:v>
      </x:c>
      <x:c r="X740" s="74" t="str">
        <x:v>4</x:v>
      </x:c>
      <x:c r="Y740" s="74" t="str">
        <x:v>9</x:v>
      </x:c>
      <x:c r="Z740" s="74" t="str">
        <x:v>5</x:v>
      </x:c>
      <x:c r="AA740" s="74" t="str">
        <x:v>0</x:v>
      </x:c>
      <x:c r="AB740" s="74" t="str">
        <x:v>0</x:v>
      </x:c>
      <x:c r="AC740" s="74" t="str">
        <x:v>0</x:v>
      </x:c>
      <x:c r="AD740" s="74" t="str">
        <x:v>0</x:v>
      </x:c>
      <x:c r="AE740" s="74" t="str">
        <x:v>0</x:v>
      </x:c>
      <x:c r="AF740" s="74" t="str"/>
      <x:c r="AG740" s="74" t="str">
        <x:v>1</x:v>
      </x:c>
      <x:c r="AH740" s="74" t="str">
        <x:v>0</x:v>
      </x:c>
      <x:c r="AI740" s="74" t="str">
        <x:v>1</x:v>
      </x:c>
      <x:c r="AJ740" s="74" t="str">
        <x:v>0</x:v>
      </x:c>
      <x:c r="AK740" s="74" t="str">
        <x:v>1</x:v>
      </x:c>
      <x:c r="AL740" s="74" t="str">
        <x:v>0</x:v>
      </x:c>
      <x:c r="AM740" s="74" t="str">
        <x:v>0</x:v>
      </x:c>
      <x:c r="AN740" s="74" t="str">
        <x:v>0</x:v>
      </x:c>
      <x:c r="AO740" s="60" t="str">
        <x:v>2025</x:v>
      </x:c>
      <x:c r="AP740" s="76" t="str">
        <x:v>ICP fit; paid-demand need requires manual verification</x:v>
      </x:c>
      <x:c r="AQ740" s="76" t="str">
        <x:v>testimonials; visible service offer</x:v>
      </x:c>
      <x:c r="AR740" s="76" t="str">
        <x:v>I was reviewing roofing companies in Florence, South Carolina and B&amp;B Commercial Roofing LLC looked like a strong fit for a creative test.</x:v>
      </x:c>
      <x:c r="AS740" s="76" t="str">
        <x:v>storm-to-inspection before/after ad</x:v>
      </x:c>
      <x:c r="AT740" s="76" t="str">
        <x:v>B&amp;B Commercial Roofing LLC ad concept</x:v>
      </x:c>
      <x:c r="AU740" s="76" t="str">
        <x:v>Hi B&amp;B Commercial Roofing LLC — I was reviewing roofing companies in Florence, South Carolina and B&amp;B Commercial Roofing LLC looked like a strong fit for a creative test. I mapped a private 15-second storm-to-inspection before/after ad for B&amp;B Commercial Roofing LLC using only public brand context—not for publishing, just to show the angle. We build three client-approved video ad concepts in seven days, then turn the winners into fresh variations. No filming day required. Worth sending the private sample?</x:v>
      </x:c>
      <x:c r="AV740" s="76" t="str">
        <x:v>Quick follow-up: the sample angle is a storm-to-inspection before/after ad. If it misses the mark, no problem—I won't keep chasing. Should I send it?</x:v>
      </x:c>
      <x:c r="AW740" s="76" t="str">
        <x:v>Hi B&amp;B Commercial Roofing LLC, Ryan here. I was looking at B&amp;B Commercial Roofing LLC's public marketing and noticed: icp fit; paid-demand need requires manual verification. I mapped one private storm-to-inspection before/after ad as an example. Did I catch you with 30 seconds?</x:v>
      </x:c>
      <x:c r="AX740" s="60" t="str">
        <x:v>https://www.facebook.com/ads/library/?active_status=active&amp;ad_type=all&amp;country=US&amp;q=B%26B%20Commercial%20Roofing%20LLC&amp;search_type=keyword_unordered</x:v>
      </x:c>
      <x:c r="AY740" s="60" t="str">
        <x:v>ok:200</x:v>
      </x:c>
      <x:c r="AZ740" s="60" t="n">
        <x:v>46232.722858796296</x:v>
      </x:c>
      <x:c r="BA740" s="60" t="str">
        <x:v>Google Maps home-services export</x:v>
      </x:c>
      <x:c r="BB740" s="60" t="str">
        <x:v>https://bbcommercialroofing.com | https://maps.google.com/?cid=15286612509183881828&amp;g_mp=Cidnb29nbGUubWFwcy5wbGFjZXMudjEuUGxhY2VzLlNlYXJjaFRleHQQAhgEIAA</x:v>
      </x:c>
      <x:c r="BC740" s="60" t="str"/>
    </x:row>
    <x:row r="741" ht="18" customHeight="1">
      <x:c r="A741" s="70" t="str">
        <x:v>740</x:v>
      </x:c>
      <x:c r="B741" s="70" t="str">
        <x:v>C - Verify</x:v>
      </x:c>
      <x:c r="C741" s="72" t="str">
        <x:v>45</x:v>
      </x:c>
      <x:c r="D741" s="60" t="str">
        <x:v>Myers General Contractors</x:v>
      </x:c>
      <x:c r="E741" s="60" t="str">
        <x:v>https://myers-gc.com</x:v>
      </x:c>
      <x:c r="F741" s="60" t="str">
        <x:v>https://www.myers-gc.com/</x:v>
      </x:c>
      <x:c r="G741" s="60" t="str">
        <x:v>Charleston</x:v>
      </x:c>
      <x:c r="H741" s="60" t="str">
        <x:v>South Carolina</x:v>
      </x:c>
      <x:c r="I741" s="60" t="str">
        <x:v>General Contractor</x:v>
      </x:c>
      <x:c r="J741" s="60" t="str">
        <x:v>Andrew</x:v>
      </x:c>
      <x:c r="K741" s="60" t="str">
        <x:v>Myers</x:v>
      </x:c>
      <x:c r="L741" s="60" t="str">
        <x:v>Owner</x:v>
      </x:c>
      <x:c r="M741" s="60" t="str">
        <x:v>amyers@myers-gc.com</x:v>
      </x:c>
      <x:c r="N741" s="60" t="str">
        <x:v>Verified with BounceBan on 08 Jun 26 12:06</x:v>
      </x:c>
      <x:c r="O741" s="60" t="str">
        <x:v>+1 936 333 7938, +1 731 431 3142</x:v>
      </x:c>
      <x:c r="P741" s="60" t="str">
        <x:v>https://www.linkedin.com/in/andrew-myers-ba902416</x:v>
      </x:c>
      <x:c r="Q741" s="60" t="str">
        <x:v>2-10</x:v>
      </x:c>
      <x:c r="R741" s="60" t="str">
        <x:v>0-99999</x:v>
      </x:c>
      <x:c r="S741" s="60" t="str"/>
      <x:c r="T741" s="74" t="str">
        <x:v>0</x:v>
      </x:c>
      <x:c r="U741" s="60" t="str"/>
      <x:c r="V741" s="74" t="str">
        <x:v>20</x:v>
      </x:c>
      <x:c r="W741" s="74" t="str">
        <x:v>0</x:v>
      </x:c>
      <x:c r="X741" s="74" t="str">
        <x:v>7</x:v>
      </x:c>
      <x:c r="Y741" s="74" t="str">
        <x:v>8</x:v>
      </x:c>
      <x:c r="Z741" s="74" t="str">
        <x:v>10</x:v>
      </x:c>
      <x:c r="AA741" s="74" t="str">
        <x:v>0</x:v>
      </x:c>
      <x:c r="AB741" s="74" t="str">
        <x:v>0</x:v>
      </x:c>
      <x:c r="AC741" s="74" t="str">
        <x:v>0</x:v>
      </x:c>
      <x:c r="AD741" s="74" t="str">
        <x:v>0</x:v>
      </x:c>
      <x:c r="AE741" s="74" t="str">
        <x:v>0</x:v>
      </x:c>
      <x:c r="AF741" s="74" t="str"/>
      <x:c r="AG741" s="74" t="str">
        <x:v>1</x:v>
      </x:c>
      <x:c r="AH741" s="74" t="str">
        <x:v>1</x:v>
      </x:c>
      <x:c r="AI741" s="74" t="str">
        <x:v>0</x:v>
      </x:c>
      <x:c r="AJ741" s="74" t="str">
        <x:v>0</x:v>
      </x:c>
      <x:c r="AK741" s="74" t="str">
        <x:v>1</x:v>
      </x:c>
      <x:c r="AL741" s="74" t="str">
        <x:v>0</x:v>
      </x:c>
      <x:c r="AM741" s="74" t="str">
        <x:v>0</x:v>
      </x:c>
      <x:c r="AN741" s="74" t="str">
        <x:v>0</x:v>
      </x:c>
      <x:c r="AO741" s="60" t="str">
        <x:v>2023</x:v>
      </x:c>
      <x:c r="AP741" s="76" t="str">
        <x:v>ICP fit; paid-demand need requires manual verification</x:v>
      </x:c>
      <x:c r="AQ741" s="76" t="str">
        <x:v>project/gallery proof; visible service offer</x:v>
      </x:c>
      <x:c r="AR741" s="76" t="str">
        <x:v>I was reviewing general contractor companies in Charleston, South Carolina and Myers General Contractors looked like a strong fit for a creative test.</x:v>
      </x:c>
      <x:c r="AS741" s="76" t="str">
        <x:v>project walkthrough with proof milestones</x:v>
      </x:c>
      <x:c r="AT741" s="76" t="str">
        <x:v>Myers General Contractors ad concept</x:v>
      </x:c>
      <x:c r="AU741" s="76" t="str">
        <x:v>Hi Andrew — I was reviewing general contractor companies in Charleston, South Carolina and Myers General Contractors looked like a strong fit for a creative test. I mapped a private 15-second project walkthrough with proof milestones for Myers General Contractors using only public brand context—not for publishing, just to show the angle. We build three client-approved video ad concepts in seven days, then turn the winners into fresh variations. No filming day required. Worth sending the private sample?</x:v>
      </x:c>
      <x:c r="AV741" s="76" t="str">
        <x:v>Quick follow-up: the sample angle is a project walkthrough with proof milestones. If it misses the mark, no problem—I won't keep chasing. Should I send it?</x:v>
      </x:c>
      <x:c r="AW741" s="76" t="str">
        <x:v>Hi Andrew, Ryan here. I was looking at Myers General Contractors's public marketing and noticed: icp fit; paid-demand need requires manual verification. I mapped one private project walkthrough with proof milestones as an example. Did I catch you with 30 seconds?</x:v>
      </x:c>
      <x:c r="AX741" s="60" t="str">
        <x:v>https://www.facebook.com/ads/library/?active_status=active&amp;ad_type=all&amp;country=US&amp;q=Myers%20General%20Contractors&amp;search_type=keyword_unordered</x:v>
      </x:c>
      <x:c r="AY741" s="60" t="str">
        <x:v>ok:200</x:v>
      </x:c>
      <x:c r="AZ741" s="60" t="n">
        <x:v>46232.722858796296</x:v>
      </x:c>
      <x:c r="BA741" s="60" t="str">
        <x:v>AI Ark SC trades export</x:v>
      </x:c>
      <x:c r="BB741" s="60" t="str">
        <x:v>https://myers-gc.com | https://www.linkedin.com/company/myers-general-contractors</x:v>
      </x:c>
      <x:c r="BC741" s="60" t="str"/>
    </x:row>
    <x:row r="742" ht="18" customHeight="1">
      <x:c r="A742" s="70" t="str">
        <x:v>741</x:v>
      </x:c>
      <x:c r="B742" s="70" t="str">
        <x:v>C - Verify</x:v>
      </x:c>
      <x:c r="C742" s="72" t="str">
        <x:v>45</x:v>
      </x:c>
      <x:c r="D742" s="60" t="str">
        <x:v>Alpha Civil Works, LLC</x:v>
      </x:c>
      <x:c r="E742" s="60" t="str">
        <x:v>https://alphacivilworks.com</x:v>
      </x:c>
      <x:c r="F742" s="60" t="str">
        <x:v>https://alphacivilworks.com</x:v>
      </x:c>
      <x:c r="G742" s="60" t="str">
        <x:v>Blythewood</x:v>
      </x:c>
      <x:c r="H742" s="60" t="str">
        <x:v>South Carolina</x:v>
      </x:c>
      <x:c r="I742" s="60" t="str">
        <x:v>General Contractor</x:v>
      </x:c>
      <x:c r="J742" s="60" t="str">
        <x:v>Nicholas</x:v>
      </x:c>
      <x:c r="K742" s="60" t="str">
        <x:v>Chiodini</x:v>
      </x:c>
      <x:c r="L742" s="60" t="str">
        <x:v>Owner</x:v>
      </x:c>
      <x:c r="M742" s="60" t="str">
        <x:v>n.chiodini@alphacivilworks.com</x:v>
      </x:c>
      <x:c r="N742" s="60" t="str">
        <x:v>Verified with BounceBan on 08 Jun 26 12:06</x:v>
      </x:c>
      <x:c r="O742" s="60" t="str">
        <x:v>+1 870 615 0106</x:v>
      </x:c>
      <x:c r="P742" s="60" t="str">
        <x:v>https://www.linkedin.com/in/nicholas-chiodini-892742125</x:v>
      </x:c>
      <x:c r="Q742" s="60" t="str">
        <x:v>0-1</x:v>
      </x:c>
      <x:c r="R742" s="60" t="str">
        <x:v>0-99999</x:v>
      </x:c>
      <x:c r="S742" s="60" t="str"/>
      <x:c r="T742" s="74" t="str">
        <x:v>0</x:v>
      </x:c>
      <x:c r="U742" s="60" t="str"/>
      <x:c r="V742" s="74" t="str">
        <x:v>17</x:v>
      </x:c>
      <x:c r="W742" s="74" t="str">
        <x:v>0</x:v>
      </x:c>
      <x:c r="X742" s="74" t="str">
        <x:v>10</x:v>
      </x:c>
      <x:c r="Y742" s="74" t="str">
        <x:v>8</x:v>
      </x:c>
      <x:c r="Z742" s="74" t="str">
        <x:v>10</x:v>
      </x:c>
      <x:c r="AA742" s="74" t="str">
        <x:v>0</x:v>
      </x:c>
      <x:c r="AB742" s="74" t="str">
        <x:v>0</x:v>
      </x:c>
      <x:c r="AC742" s="74" t="str">
        <x:v>0</x:v>
      </x:c>
      <x:c r="AD742" s="74" t="str">
        <x:v>0</x:v>
      </x:c>
      <x:c r="AE742" s="74" t="str">
        <x:v>0</x:v>
      </x:c>
      <x:c r="AF742" s="74" t="str"/>
      <x:c r="AG742" s="74" t="str">
        <x:v>0</x:v>
      </x:c>
      <x:c r="AH742" s="74" t="str">
        <x:v>1</x:v>
      </x:c>
      <x:c r="AI742" s="74" t="str">
        <x:v>0</x:v>
      </x:c>
      <x:c r="AJ742" s="74" t="str">
        <x:v>0</x:v>
      </x:c>
      <x:c r="AK742" s="74" t="str">
        <x:v>1</x:v>
      </x:c>
      <x:c r="AL742" s="74" t="str">
        <x:v>0</x:v>
      </x:c>
      <x:c r="AM742" s="74" t="str">
        <x:v>0</x:v>
      </x:c>
      <x:c r="AN742" s="74" t="str">
        <x:v>0</x:v>
      </x:c>
      <x:c r="AO742" s="60" t="str">
        <x:v>2026</x:v>
      </x:c>
      <x:c r="AP742" s="76" t="str">
        <x:v>Project/gallery proof found; no embedded homepage video found</x:v>
      </x:c>
      <x:c r="AQ742" s="76" t="str">
        <x:v>project/gallery proof; visible service offer; no embedded homepage video detected</x:v>
      </x:c>
      <x:c r="AR742" s="76" t="str">
        <x:v>I found project/gallery proof on Alpha Civil Works, LLC's site that could be repackaged into short-form ad concepts.</x:v>
      </x:c>
      <x:c r="AS742" s="76" t="str">
        <x:v>project walkthrough with proof milestones</x:v>
      </x:c>
      <x:c r="AT742" s="76" t="str">
        <x:v>Alpha Civil Works, LLC ad concept</x:v>
      </x:c>
      <x:c r="AU742" s="76" t="str">
        <x:v>Hi Nicholas — I found project/gallery proof on Alpha Civil Works, LLC's site that could be repackaged into short-form ad concepts. I mapped a private 15-second project walkthrough with proof milestones for Alpha Civil Works, LLC using only public brand context—not for publishing, just to show the angle. We build three client-approved video ad concepts in seven days, then turn the winners into fresh variations. No filming day required. Worth sending the private sample?</x:v>
      </x:c>
      <x:c r="AV742" s="76" t="str">
        <x:v>Quick follow-up: the sample angle is a project walkthrough with proof milestones. If it misses the mark, no problem—I won't keep chasing. Should I send it?</x:v>
      </x:c>
      <x:c r="AW742" s="76" t="str">
        <x:v>Hi Nicholas, Ryan here. I was looking at Alpha Civil Works, LLC's public marketing and noticed: project/gallery proof found; no embedded homepage video found. I mapped one private project walkthrough with proof milestones as an example. Did I catch you with 30 seconds?</x:v>
      </x:c>
      <x:c r="AX742" s="60" t="str">
        <x:v>https://www.facebook.com/ads/library/?active_status=active&amp;ad_type=all&amp;country=US&amp;q=Alpha%20Civil%20Works%2C%20LLC&amp;search_type=keyword_unordered</x:v>
      </x:c>
      <x:c r="AY742" s="60" t="str">
        <x:v>ok:200</x:v>
      </x:c>
      <x:c r="AZ742" s="60" t="n">
        <x:v>46232.722858796296</x:v>
      </x:c>
      <x:c r="BA742" s="60" t="str">
        <x:v>AI Ark SC trades export</x:v>
      </x:c>
      <x:c r="BB742" s="60" t="str">
        <x:v>https://alphacivilworks.com | https://www.linkedin.com/company/alphacivilworks</x:v>
      </x:c>
      <x:c r="BC742" s="60" t="str"/>
    </x:row>
    <x:row r="743" ht="18" customHeight="1">
      <x:c r="A743" s="70" t="str">
        <x:v>742</x:v>
      </x:c>
      <x:c r="B743" s="70" t="str">
        <x:v>C - Verify</x:v>
      </x:c>
      <x:c r="C743" s="72" t="str">
        <x:v>45</x:v>
      </x:c>
      <x:c r="D743" s="60" t="str">
        <x:v>The Tile Smith</x:v>
      </x:c>
      <x:c r="E743" s="60" t="str">
        <x:v>https://thetilesmith.com</x:v>
      </x:c>
      <x:c r="F743" s="60" t="str">
        <x:v>https://thetilesmith.com</x:v>
      </x:c>
      <x:c r="G743" s="60" t="str">
        <x:v>Charleston</x:v>
      </x:c>
      <x:c r="H743" s="60" t="str">
        <x:v>South Carolina</x:v>
      </x:c>
      <x:c r="I743" s="60" t="str">
        <x:v>Remodeling</x:v>
      </x:c>
      <x:c r="J743" s="60" t="str">
        <x:v>John Dix,</x:v>
      </x:c>
      <x:c r="K743" s="60" t="str">
        <x:v>The Tile Smith</x:v>
      </x:c>
      <x:c r="L743" s="60" t="str">
        <x:v>Business Owner</x:v>
      </x:c>
      <x:c r="M743" s="60" t="str"/>
      <x:c r="N743" s="60" t="str"/>
      <x:c r="O743" s="60" t="str">
        <x:v>+1 406 241 7244</x:v>
      </x:c>
      <x:c r="P743" s="60" t="str">
        <x:v>https://www.linkedin.com/in/john-dix-the-tile-smith-79004b8a</x:v>
      </x:c>
      <x:c r="Q743" s="60" t="str">
        <x:v>2-10</x:v>
      </x:c>
      <x:c r="R743" s="60" t="str">
        <x:v>100000-499999</x:v>
      </x:c>
      <x:c r="S743" s="60" t="str"/>
      <x:c r="T743" s="74" t="str">
        <x:v>0</x:v>
      </x:c>
      <x:c r="U743" s="60" t="str"/>
      <x:c r="V743" s="74" t="str">
        <x:v>25</x:v>
      </x:c>
      <x:c r="W743" s="74" t="str">
        <x:v>0</x:v>
      </x:c>
      <x:c r="X743" s="74" t="str">
        <x:v>7</x:v>
      </x:c>
      <x:c r="Y743" s="74" t="str">
        <x:v>8</x:v>
      </x:c>
      <x:c r="Z743" s="74" t="str">
        <x:v>5</x:v>
      </x:c>
      <x:c r="AA743" s="74" t="str">
        <x:v>0</x:v>
      </x:c>
      <x:c r="AB743" s="74" t="str">
        <x:v>0</x:v>
      </x:c>
      <x:c r="AC743" s="74" t="str">
        <x:v>0</x:v>
      </x:c>
      <x:c r="AD743" s="74" t="str">
        <x:v>0</x:v>
      </x:c>
      <x:c r="AE743" s="74" t="str">
        <x:v>0</x:v>
      </x:c>
      <x:c r="AF743" s="74" t="str"/>
      <x:c r="AG743" s="74" t="str">
        <x:v>1</x:v>
      </x:c>
      <x:c r="AH743" s="74" t="str">
        <x:v>1</x:v>
      </x:c>
      <x:c r="AI743" s="74" t="str">
        <x:v>0</x:v>
      </x:c>
      <x:c r="AJ743" s="74" t="str">
        <x:v>0</x:v>
      </x:c>
      <x:c r="AK743" s="74" t="str">
        <x:v>1</x:v>
      </x:c>
      <x:c r="AL743" s="74" t="str">
        <x:v>0</x:v>
      </x:c>
      <x:c r="AM743" s="74" t="str">
        <x:v>1</x:v>
      </x:c>
      <x:c r="AN743" s="74" t="str">
        <x:v>0</x:v>
      </x:c>
      <x:c r="AO743" s="60" t="str">
        <x:v>2024</x:v>
      </x:c>
      <x:c r="AP743" s="76" t="str">
        <x:v>ICP fit; paid-demand need requires manual verification</x:v>
      </x:c>
      <x:c r="AQ743" s="76" t="str">
        <x:v>project/gallery proof; visible service offer</x:v>
      </x:c>
      <x:c r="AR743" s="76" t="str">
        <x:v>I was reviewing remodeling companies in Charleston, South Carolina and The Tile Smith looked like a strong fit for a creative test.</x:v>
      </x:c>
      <x:c r="AS743" s="76" t="str">
        <x:v>project reveal with budget-and-timeline proof</x:v>
      </x:c>
      <x:c r="AT743" s="76" t="str">
        <x:v>The Tile Smith ad concept</x:v>
      </x:c>
      <x:c r="AU743" s="76" t="str">
        <x:v>Hi John Dix, — I was reviewing remodeling companies in Charleston, South Carolina and The Tile Smith looked like a strong fit for a creative test. I mapped a private 15-second project reveal with budget-and-timeline proof for The Tile Smith using only public brand context—not for publishing, just to show the angle. We build three client-approved video ad concepts in seven days, then turn the winners into fresh variations. No filming day required. Worth sending the private sample?</x:v>
      </x:c>
      <x:c r="AV743" s="76" t="str">
        <x:v>Quick follow-up: the sample angle is a project reveal with budget-and-timeline proof. If it misses the mark, no problem—I won't keep chasing. Should I send it?</x:v>
      </x:c>
      <x:c r="AW743" s="76" t="str">
        <x:v>Hi John Dix,, Ryan here. I was looking at The Tile Smith's public marketing and noticed: icp fit; paid-demand need requires manual verification. I mapped one private project reveal with budget-and-timeline proof as an example. Did I catch you with 30 seconds?</x:v>
      </x:c>
      <x:c r="AX743" s="60" t="str">
        <x:v>https://www.facebook.com/ads/library/?active_status=active&amp;ad_type=all&amp;country=US&amp;q=The%20Tile%20Smith&amp;search_type=keyword_unordered</x:v>
      </x:c>
      <x:c r="AY743" s="60" t="str">
        <x:v>ok:200</x:v>
      </x:c>
      <x:c r="AZ743" s="60" t="n">
        <x:v>46232.722858796296</x:v>
      </x:c>
      <x:c r="BA743" s="60" t="str">
        <x:v>AI Ark SC trades export</x:v>
      </x:c>
      <x:c r="BB743" s="60" t="str">
        <x:v>https://thetilesmith.com | https://www.linkedin.com/company/the-tile-smith</x:v>
      </x:c>
      <x:c r="BC743" s="60" t="str"/>
    </x:row>
    <x:row r="744" ht="18" customHeight="1">
      <x:c r="A744" s="70" t="str">
        <x:v>743</x:v>
      </x:c>
      <x:c r="B744" s="70" t="str">
        <x:v>C - Verify</x:v>
      </x:c>
      <x:c r="C744" s="72" t="str">
        <x:v>45</x:v>
      </x:c>
      <x:c r="D744" s="60" t="str">
        <x:v>Pollard Electric LLC</x:v>
      </x:c>
      <x:c r="E744" s="60" t="str">
        <x:v>https://electricpollard.com</x:v>
      </x:c>
      <x:c r="F744" s="60" t="str">
        <x:v>http://www.electricpollard.com/</x:v>
      </x:c>
      <x:c r="G744" s="60" t="str">
        <x:v>Greenville</x:v>
      </x:c>
      <x:c r="H744" s="60" t="str">
        <x:v>South Carolina</x:v>
      </x:c>
      <x:c r="I744" s="60" t="str">
        <x:v>Electrical</x:v>
      </x:c>
      <x:c r="J744" s="60" t="str">
        <x:v>Pollard Electric LLC</x:v>
      </x:c>
      <x:c r="K744" s="60" t="str"/>
      <x:c r="L744" s="60" t="str">
        <x:v>Owner / decision maker to verify</x:v>
      </x:c>
      <x:c r="M744" s="60" t="str"/>
      <x:c r="N744" s="60" t="str"/>
      <x:c r="O744" s="60" t="str">
        <x:v>(864) 304-0989</x:v>
      </x:c>
      <x:c r="P744" s="60" t="str"/>
      <x:c r="Q744" s="60" t="str"/>
      <x:c r="R744" s="60" t="str"/>
      <x:c r="S744" s="60" t="str">
        <x:v>5</x:v>
      </x:c>
      <x:c r="T744" s="74" t="str">
        <x:v>20</x:v>
      </x:c>
      <x:c r="U744" s="60" t="str"/>
      <x:c r="V744" s="74" t="str">
        <x:v>19</x:v>
      </x:c>
      <x:c r="W744" s="74" t="str">
        <x:v>0</x:v>
      </x:c>
      <x:c r="X744" s="74" t="str">
        <x:v>13</x:v>
      </x:c>
      <x:c r="Y744" s="74" t="str">
        <x:v>8</x:v>
      </x:c>
      <x:c r="Z744" s="74" t="str">
        <x:v>5</x:v>
      </x:c>
      <x:c r="AA744" s="74" t="str">
        <x:v>0</x:v>
      </x:c>
      <x:c r="AB744" s="74" t="str">
        <x:v>0</x:v>
      </x:c>
      <x:c r="AC744" s="74" t="str">
        <x:v>0</x:v>
      </x:c>
      <x:c r="AD744" s="74" t="str">
        <x:v>0</x:v>
      </x:c>
      <x:c r="AE744" s="74" t="str">
        <x:v>0</x:v>
      </x:c>
      <x:c r="AF744" s="74" t="str"/>
      <x:c r="AG744" s="74" t="str">
        <x:v>0</x:v>
      </x:c>
      <x:c r="AH744" s="74" t="str">
        <x:v>1</x:v>
      </x:c>
      <x:c r="AI744" s="74" t="str">
        <x:v>0</x:v>
      </x:c>
      <x:c r="AJ744" s="74" t="str">
        <x:v>0</x:v>
      </x:c>
      <x:c r="AK744" s="74" t="str">
        <x:v>1</x:v>
      </x:c>
      <x:c r="AL744" s="74" t="str">
        <x:v>0</x:v>
      </x:c>
      <x:c r="AM744" s="74" t="str">
        <x:v>1</x:v>
      </x:c>
      <x:c r="AN744" s="74" t="str">
        <x:v>0</x:v>
      </x:c>
      <x:c r="AO744" s="60" t="str">
        <x:v>2013</x:v>
      </x:c>
      <x:c r="AP744" s="76" t="str">
        <x:v>Project/gallery proof found; no embedded homepage video found</x:v>
      </x:c>
      <x:c r="AQ744" s="76" t="str">
        <x:v>project/gallery proof; visible service offer; no embedded homepage video detected</x:v>
      </x:c>
      <x:c r="AR744" s="76" t="str">
        <x:v>I found project/gallery proof on Pollard Electric LLC's site that could be repackaged into short-form ad concepts.</x:v>
      </x:c>
      <x:c r="AS744" s="76" t="str">
        <x:v>safety inspection problem/solution ad</x:v>
      </x:c>
      <x:c r="AT744" s="76" t="str">
        <x:v>Pollard Electric LLC ad concept</x:v>
      </x:c>
      <x:c r="AU744" s="76" t="str">
        <x:v>Hi Pollard Electric LLC — I found project/gallery proof on Pollard Electric LLC's site that could be repackaged into short-form ad concepts. I mapped a private 15-second safety inspection problem/solution ad for Pollard Electric LLC using only public brand context—not for publishing, just to show the angle. We build three client-approved video ad concepts in seven days, then turn the winners into fresh variations. No filming day required. Worth sending the private sample?</x:v>
      </x:c>
      <x:c r="AV744" s="76" t="str">
        <x:v>Quick follow-up: the sample angle is a safety inspection problem/solution ad. If it misses the mark, no problem—I won't keep chasing. Should I send it?</x:v>
      </x:c>
      <x:c r="AW744" s="76" t="str">
        <x:v>Hi Pollard Electric LLC, Ryan here. I was looking at Pollard Electric LLC's public marketing and noticed: project/gallery proof found; no embedded homepage video found. I mapped one private safety inspection problem/solution ad as an example. Did I catch you with 30 seconds?</x:v>
      </x:c>
      <x:c r="AX744" s="60" t="str">
        <x:v>https://www.facebook.com/ads/library/?active_status=active&amp;ad_type=all&amp;country=US&amp;q=Pollard%20Electric%20LLC&amp;search_type=keyword_unordered</x:v>
      </x:c>
      <x:c r="AY744" s="60" t="str">
        <x:v>ok:200</x:v>
      </x:c>
      <x:c r="AZ744" s="60" t="n">
        <x:v>46232.722858796296</x:v>
      </x:c>
      <x:c r="BA744" s="60" t="str">
        <x:v>Google Maps home-services export</x:v>
      </x:c>
      <x:c r="BB744" s="60" t="str">
        <x:v>https://electricpollard.com | https://maps.google.com/?cid=8571895672820707637&amp;g_mp=Cidnb29nbGUubWFwcy5wbGFjZXMudjEuUGxhY2VzLlNlYXJjaFRleHQQAhgEIAA</x:v>
      </x:c>
      <x:c r="BC744" s="60" t="str"/>
    </x:row>
    <x:row r="745" ht="18" customHeight="1">
      <x:c r="A745" s="70" t="str">
        <x:v>744</x:v>
      </x:c>
      <x:c r="B745" s="70" t="str">
        <x:v>C - Verify</x:v>
      </x:c>
      <x:c r="C745" s="72" t="str">
        <x:v>45</x:v>
      </x:c>
      <x:c r="D745" s="60" t="str">
        <x:v>Circuit Electric LLC</x:v>
      </x:c>
      <x:c r="E745" s="60" t="str">
        <x:v>https://circuitelectricmb.com</x:v>
      </x:c>
      <x:c r="F745" s="60" t="str">
        <x:v>https://circuitelectricmb.com</x:v>
      </x:c>
      <x:c r="G745" s="60" t="str">
        <x:v>Myrtle Beach</x:v>
      </x:c>
      <x:c r="H745" s="60" t="str">
        <x:v>South Carolina</x:v>
      </x:c>
      <x:c r="I745" s="60" t="str">
        <x:v>Electrical</x:v>
      </x:c>
      <x:c r="J745" s="60" t="str">
        <x:v>Circuit Electric LLC</x:v>
      </x:c>
      <x:c r="K745" s="60" t="str"/>
      <x:c r="L745" s="60" t="str">
        <x:v>Owner / decision maker to verify</x:v>
      </x:c>
      <x:c r="M745" s="60" t="str"/>
      <x:c r="N745" s="60" t="str"/>
      <x:c r="O745" s="60" t="str">
        <x:v>(854) 218-4679</x:v>
      </x:c>
      <x:c r="P745" s="60" t="str"/>
      <x:c r="Q745" s="60" t="str"/>
      <x:c r="R745" s="60" t="str"/>
      <x:c r="S745" s="60" t="str">
        <x:v>5</x:v>
      </x:c>
      <x:c r="T745" s="74" t="str">
        <x:v>17</x:v>
      </x:c>
      <x:c r="U745" s="60" t="str"/>
      <x:c r="V745" s="74" t="str">
        <x:v>19</x:v>
      </x:c>
      <x:c r="W745" s="74" t="str">
        <x:v>0</x:v>
      </x:c>
      <x:c r="X745" s="74" t="str">
        <x:v>13</x:v>
      </x:c>
      <x:c r="Y745" s="74" t="str">
        <x:v>8</x:v>
      </x:c>
      <x:c r="Z745" s="74" t="str">
        <x:v>5</x:v>
      </x:c>
      <x:c r="AA745" s="74" t="str">
        <x:v>0</x:v>
      </x:c>
      <x:c r="AB745" s="74" t="str">
        <x:v>0</x:v>
      </x:c>
      <x:c r="AC745" s="74" t="str">
        <x:v>0</x:v>
      </x:c>
      <x:c r="AD745" s="74" t="str">
        <x:v>0</x:v>
      </x:c>
      <x:c r="AE745" s="74" t="str">
        <x:v>0</x:v>
      </x:c>
      <x:c r="AF745" s="74" t="str"/>
      <x:c r="AG745" s="74" t="str">
        <x:v>0</x:v>
      </x:c>
      <x:c r="AH745" s="74" t="str">
        <x:v>1</x:v>
      </x:c>
      <x:c r="AI745" s="74" t="str">
        <x:v>0</x:v>
      </x:c>
      <x:c r="AJ745" s="74" t="str">
        <x:v>0</x:v>
      </x:c>
      <x:c r="AK745" s="74" t="str">
        <x:v>1</x:v>
      </x:c>
      <x:c r="AL745" s="74" t="str">
        <x:v>0</x:v>
      </x:c>
      <x:c r="AM745" s="74" t="str">
        <x:v>0</x:v>
      </x:c>
      <x:c r="AN745" s="74" t="str">
        <x:v>0</x:v>
      </x:c>
      <x:c r="AO745" s="60" t="str">
        <x:v>2024</x:v>
      </x:c>
      <x:c r="AP745" s="76" t="str">
        <x:v>Project/gallery proof found; no embedded homepage video found</x:v>
      </x:c>
      <x:c r="AQ745" s="76" t="str">
        <x:v>project/gallery proof; visible service offer; no embedded homepage video detected</x:v>
      </x:c>
      <x:c r="AR745" s="76" t="str">
        <x:v>I found project/gallery proof on Circuit Electric LLC's site that could be repackaged into short-form ad concepts.</x:v>
      </x:c>
      <x:c r="AS745" s="76" t="str">
        <x:v>safety inspection problem/solution ad</x:v>
      </x:c>
      <x:c r="AT745" s="76" t="str">
        <x:v>Circuit Electric LLC ad concept</x:v>
      </x:c>
      <x:c r="AU745" s="76" t="str">
        <x:v>Hi Circuit Electric LLC — I found project/gallery proof on Circuit Electric LLC's site that could be repackaged into short-form ad concepts. I mapped a private 15-second safety inspection problem/solution ad for Circuit Electric LLC using only public brand context—not for publishing, just to show the angle. We build three client-approved video ad concepts in seven days, then turn the winners into fresh variations. No filming day required. Worth sending the private sample?</x:v>
      </x:c>
      <x:c r="AV745" s="76" t="str">
        <x:v>Quick follow-up: the sample angle is a safety inspection problem/solution ad. If it misses the mark, no problem—I won't keep chasing. Should I send it?</x:v>
      </x:c>
      <x:c r="AW745" s="76" t="str">
        <x:v>Hi Circuit Electric LLC, Ryan here. I was looking at Circuit Electric LLC's public marketing and noticed: project/gallery proof found; no embedded homepage video found. I mapped one private safety inspection problem/solution ad as an example. Did I catch you with 30 seconds?</x:v>
      </x:c>
      <x:c r="AX745" s="60" t="str">
        <x:v>https://www.facebook.com/ads/library/?active_status=active&amp;ad_type=all&amp;country=US&amp;q=Circuit%20Electric%20LLC&amp;search_type=keyword_unordered</x:v>
      </x:c>
      <x:c r="AY745" s="60" t="str">
        <x:v>ok:200</x:v>
      </x:c>
      <x:c r="AZ745" s="60" t="n">
        <x:v>46232.722858796296</x:v>
      </x:c>
      <x:c r="BA745" s="60" t="str">
        <x:v>Google Maps home-services export</x:v>
      </x:c>
      <x:c r="BB745" s="60" t="str">
        <x:v>https://circuitelectricmb.com | https://maps.google.com/?cid=7368499101068802394&amp;g_mp=Cidnb29nbGUubWFwcy5wbGFjZXMudjEuUGxhY2VzLlNlYXJjaFRleHQQAhgEIAA</x:v>
      </x:c>
      <x:c r="BC745" s="60" t="str"/>
    </x:row>
    <x:row r="746" ht="18" customHeight="1">
      <x:c r="A746" s="70" t="str">
        <x:v>745</x:v>
      </x:c>
      <x:c r="B746" s="70" t="str">
        <x:v>C - Verify</x:v>
      </x:c>
      <x:c r="C746" s="72" t="str">
        <x:v>45</x:v>
      </x:c>
      <x:c r="D746" s="60" t="str">
        <x:v>Wright Way Plumbing, LLC</x:v>
      </x:c>
      <x:c r="E746" s="60" t="str">
        <x:v>https://wrightwayplumbingllc.com</x:v>
      </x:c>
      <x:c r="F746" s="60" t="str">
        <x:v>https://www.WRIGHTWAYPLUMBINGLLC.COM/</x:v>
      </x:c>
      <x:c r="G746" s="60" t="str">
        <x:v>Florence</x:v>
      </x:c>
      <x:c r="H746" s="60" t="str">
        <x:v>South Carolina</x:v>
      </x:c>
      <x:c r="I746" s="60" t="str">
        <x:v>Plumbing</x:v>
      </x:c>
      <x:c r="J746" s="60" t="str">
        <x:v>Wright Way Plumbing, LLC</x:v>
      </x:c>
      <x:c r="K746" s="60" t="str"/>
      <x:c r="L746" s="60" t="str">
        <x:v>Owner / decision maker to verify</x:v>
      </x:c>
      <x:c r="M746" s="60" t="str"/>
      <x:c r="N746" s="60" t="str"/>
      <x:c r="O746" s="60" t="str">
        <x:v>(803) 499-4108</x:v>
      </x:c>
      <x:c r="P746" s="60" t="str"/>
      <x:c r="Q746" s="60" t="str"/>
      <x:c r="R746" s="60" t="str"/>
      <x:c r="S746" s="60" t="str">
        <x:v>4.6</x:v>
      </x:c>
      <x:c r="T746" s="74" t="str">
        <x:v>101</x:v>
      </x:c>
      <x:c r="U746" s="60" t="str"/>
      <x:c r="V746" s="74" t="str">
        <x:v>24</x:v>
      </x:c>
      <x:c r="W746" s="74" t="str">
        <x:v>0</x:v>
      </x:c>
      <x:c r="X746" s="74" t="str">
        <x:v>10</x:v>
      </x:c>
      <x:c r="Y746" s="74" t="str">
        <x:v>6</x:v>
      </x:c>
      <x:c r="Z746" s="74" t="str">
        <x:v>5</x:v>
      </x:c>
      <x:c r="AA746" s="74" t="str">
        <x:v>0</x:v>
      </x:c>
      <x:c r="AB746" s="74" t="str">
        <x:v>0</x:v>
      </x:c>
      <x:c r="AC746" s="74" t="str">
        <x:v>0</x:v>
      </x:c>
      <x:c r="AD746" s="74" t="str">
        <x:v>0</x:v>
      </x:c>
      <x:c r="AE746" s="74" t="str">
        <x:v>0</x:v>
      </x:c>
      <x:c r="AF746" s="74" t="str"/>
      <x:c r="AG746" s="74" t="str">
        <x:v>0</x:v>
      </x:c>
      <x:c r="AH746" s="74" t="str">
        <x:v>0</x:v>
      </x:c>
      <x:c r="AI746" s="74" t="str">
        <x:v>0</x:v>
      </x:c>
      <x:c r="AJ746" s="74" t="str">
        <x:v>0</x:v>
      </x:c>
      <x:c r="AK746" s="74" t="str">
        <x:v>1</x:v>
      </x:c>
      <x:c r="AL746" s="74" t="str">
        <x:v>0</x:v>
      </x:c>
      <x:c r="AM746" s="74" t="str">
        <x:v>1</x:v>
      </x:c>
      <x:c r="AN746" s="74" t="str">
        <x:v>0</x:v>
      </x:c>
      <x:c r="AO746" s="60" t="str">
        <x:v>2026</x:v>
      </x:c>
      <x:c r="AP746" s="76" t="str">
        <x:v>101 Google reviews; no embedded homepage video found</x:v>
      </x:c>
      <x:c r="AQ746" s="76" t="str">
        <x:v>visible service offer; no embedded homepage video detected</x:v>
      </x:c>
      <x:c r="AR746" s="76" t="str">
        <x:v>Wright Way Plumbing, LLC has 101 Google reviews—strong proof that could be turned into short-form ad concepts.</x:v>
      </x:c>
      <x:c r="AS746" s="76" t="str">
        <x:v>small symptom to prevented-emergency ad</x:v>
      </x:c>
      <x:c r="AT746" s="76" t="str">
        <x:v>Wright Way Plumbing, LLC ad concept</x:v>
      </x:c>
      <x:c r="AU746" s="76" t="str">
        <x:v>Hi Wright Way Plumbing, LLC — Wright Way Plumbing, LLC has 101 Google reviews—strong proof that could be turned into short-form ad concepts. I mapped a private 15-second small symptom to prevented-emergency ad for Wright Way Plumbing, LLC using only public brand context—not for publishing, just to show the angle. We build three client-approved video ad concepts in seven days, then turn the winners into fresh variations. No filming day required. Worth sending the private sample?</x:v>
      </x:c>
      <x:c r="AV746" s="76" t="str">
        <x:v>Quick follow-up: the sample angle is a small symptom to prevented-emergency ad. If it misses the mark, no problem—I won't keep chasing. Should I send it?</x:v>
      </x:c>
      <x:c r="AW746" s="76" t="str">
        <x:v>Hi Wright Way Plumbing, LLC, Ryan here. I was looking at Wright Way Plumbing, LLC's public marketing and noticed: 101 google reviews; no embedded homepage video found. I mapped one private small symptom to prevented-emergency ad as an example. Did I catch you with 30 seconds?</x:v>
      </x:c>
      <x:c r="AX746" s="60" t="str">
        <x:v>https://www.facebook.com/ads/library/?active_status=active&amp;ad_type=all&amp;country=US&amp;q=Wright%20Way%20Plumbing%2C%20LLC&amp;search_type=keyword_unordered</x:v>
      </x:c>
      <x:c r="AY746" s="60" t="str">
        <x:v>ok:200</x:v>
      </x:c>
      <x:c r="AZ746" s="60" t="n">
        <x:v>46232.722858796296</x:v>
      </x:c>
      <x:c r="BA746" s="60" t="str">
        <x:v>Google Maps home-services export</x:v>
      </x:c>
      <x:c r="BB746" s="60" t="str">
        <x:v>https://maps.google.com/?cid=8522049617924401322&amp;g_mp=Cidnb29nbGUubWFwcy5wbGFjZXMudjEuUGxhY2VzLlNlYXJjaFRleHQQAhgEIAA | https://wrightwayplumbingllc.com</x:v>
      </x:c>
      <x:c r="BC746" s="60" t="str"/>
    </x:row>
    <x:row r="747" ht="18" customHeight="1">
      <x:c r="A747" s="70" t="str">
        <x:v>746</x:v>
      </x:c>
      <x:c r="B747" s="70" t="str">
        <x:v>C - Verify</x:v>
      </x:c>
      <x:c r="C747" s="72" t="str">
        <x:v>45</x:v>
      </x:c>
      <x:c r="D747" s="60" t="str">
        <x:v>Citadel Electric</x:v>
      </x:c>
      <x:c r="E747" s="60" t="str">
        <x:v>https://citadelelectric.org</x:v>
      </x:c>
      <x:c r="F747" s="60" t="str">
        <x:v>https://www.citadelelectric.org/</x:v>
      </x:c>
      <x:c r="G747" s="60" t="str">
        <x:v>Hilton Head</x:v>
      </x:c>
      <x:c r="H747" s="60" t="str">
        <x:v>South Carolina</x:v>
      </x:c>
      <x:c r="I747" s="60" t="str">
        <x:v>Electrical</x:v>
      </x:c>
      <x:c r="J747" s="60" t="str">
        <x:v>Citadel Electric</x:v>
      </x:c>
      <x:c r="K747" s="60" t="str"/>
      <x:c r="L747" s="60" t="str">
        <x:v>Owner / decision maker to verify</x:v>
      </x:c>
      <x:c r="M747" s="60" t="str"/>
      <x:c r="N747" s="60" t="str"/>
      <x:c r="O747" s="60" t="str">
        <x:v>(843) 949-7862</x:v>
      </x:c>
      <x:c r="P747" s="60" t="str"/>
      <x:c r="Q747" s="60" t="str"/>
      <x:c r="R747" s="60" t="str"/>
      <x:c r="S747" s="60" t="str">
        <x:v>4.9</x:v>
      </x:c>
      <x:c r="T747" s="74" t="str">
        <x:v>441</x:v>
      </x:c>
      <x:c r="U747" s="60" t="str"/>
      <x:c r="V747" s="74" t="str">
        <x:v>24</x:v>
      </x:c>
      <x:c r="W747" s="74" t="str">
        <x:v>0</x:v>
      </x:c>
      <x:c r="X747" s="74" t="str">
        <x:v>10</x:v>
      </x:c>
      <x:c r="Y747" s="74" t="str">
        <x:v>6</x:v>
      </x:c>
      <x:c r="Z747" s="74" t="str">
        <x:v>5</x:v>
      </x:c>
      <x:c r="AA747" s="74" t="str">
        <x:v>0</x:v>
      </x:c>
      <x:c r="AB747" s="74" t="str">
        <x:v>0</x:v>
      </x:c>
      <x:c r="AC747" s="74" t="str">
        <x:v>0</x:v>
      </x:c>
      <x:c r="AD747" s="74" t="str">
        <x:v>0</x:v>
      </x:c>
      <x:c r="AE747" s="74" t="str">
        <x:v>0</x:v>
      </x:c>
      <x:c r="AF747" s="74" t="str"/>
      <x:c r="AG747" s="74" t="str">
        <x:v>0</x:v>
      </x:c>
      <x:c r="AH747" s="74" t="str">
        <x:v>0</x:v>
      </x:c>
      <x:c r="AI747" s="74" t="str">
        <x:v>0</x:v>
      </x:c>
      <x:c r="AJ747" s="74" t="str">
        <x:v>0</x:v>
      </x:c>
      <x:c r="AK747" s="74" t="str">
        <x:v>1</x:v>
      </x:c>
      <x:c r="AL747" s="74" t="str">
        <x:v>0</x:v>
      </x:c>
      <x:c r="AM747" s="74" t="str">
        <x:v>0</x:v>
      </x:c>
      <x:c r="AN747" s="74" t="str">
        <x:v>0</x:v>
      </x:c>
      <x:c r="AO747" s="60" t="str">
        <x:v>0</x:v>
      </x:c>
      <x:c r="AP747" s="76" t="str">
        <x:v>441 Google reviews; no embedded homepage video found</x:v>
      </x:c>
      <x:c r="AQ747" s="76" t="str">
        <x:v>visible service offer; no embedded homepage video detected</x:v>
      </x:c>
      <x:c r="AR747" s="76" t="str">
        <x:v>Citadel Electric has 441 Google reviews—strong proof that could be turned into short-form ad concepts.</x:v>
      </x:c>
      <x:c r="AS747" s="76" t="str">
        <x:v>safety inspection problem/solution ad</x:v>
      </x:c>
      <x:c r="AT747" s="76" t="str">
        <x:v>Citadel Electric ad concept</x:v>
      </x:c>
      <x:c r="AU747" s="76" t="str">
        <x:v>Hi Citadel Electric — Citadel Electric has 441 Google reviews—strong proof that could be turned into short-form ad concepts. I mapped a private 15-second safety inspection problem/solution ad for Citadel Electric using only public brand context—not for publishing, just to show the angle. We build three client-approved video ad concepts in seven days, then turn the winners into fresh variations. No filming day required. Worth sending the private sample?</x:v>
      </x:c>
      <x:c r="AV747" s="76" t="str">
        <x:v>Quick follow-up: the sample angle is a safety inspection problem/solution ad. If it misses the mark, no problem—I won't keep chasing. Should I send it?</x:v>
      </x:c>
      <x:c r="AW747" s="76" t="str">
        <x:v>Hi Citadel Electric, Ryan here. I was looking at Citadel Electric's public marketing and noticed: 441 google reviews; no embedded homepage video found. I mapped one private safety inspection problem/solution ad as an example. Did I catch you with 30 seconds?</x:v>
      </x:c>
      <x:c r="AX747" s="60" t="str">
        <x:v>https://www.facebook.com/ads/library/?active_status=active&amp;ad_type=all&amp;country=US&amp;q=Citadel%20Electric&amp;search_type=keyword_unordered</x:v>
      </x:c>
      <x:c r="AY747" s="60" t="str">
        <x:v>ok:200</x:v>
      </x:c>
      <x:c r="AZ747" s="60" t="n">
        <x:v>46232.722858796296</x:v>
      </x:c>
      <x:c r="BA747" s="60" t="str">
        <x:v>Google Maps home-services export</x:v>
      </x:c>
      <x:c r="BB747" s="60" t="str">
        <x:v>https://citadelelectric.org | https://maps.google.com/?cid=1415785122526292705&amp;g_mp=Cidnb29nbGUubWFwcy5wbGFjZXMudjEuUGxhY2VzLlNlYXJjaFRleHQQAhgEIAA</x:v>
      </x:c>
      <x:c r="BC747" s="60" t="str"/>
    </x:row>
    <x:row r="748" ht="18" customHeight="1">
      <x:c r="A748" s="70" t="str">
        <x:v>747</x:v>
      </x:c>
      <x:c r="B748" s="70" t="str">
        <x:v>C - Verify</x:v>
      </x:c>
      <x:c r="C748" s="72" t="str">
        <x:v>45</x:v>
      </x:c>
      <x:c r="D748" s="60" t="str">
        <x:v>Aero Plumbing Inc.</x:v>
      </x:c>
      <x:c r="E748" s="60" t="str">
        <x:v>https://aeroplumbing.com</x:v>
      </x:c>
      <x:c r="F748" s="60" t="str">
        <x:v>https://aeroplumbing.com</x:v>
      </x:c>
      <x:c r="G748" s="60" t="str">
        <x:v>Columbia</x:v>
      </x:c>
      <x:c r="H748" s="60" t="str">
        <x:v>South Carolina</x:v>
      </x:c>
      <x:c r="I748" s="60" t="str">
        <x:v>Plumbing</x:v>
      </x:c>
      <x:c r="J748" s="60" t="str">
        <x:v>Aero Plumbing Inc.</x:v>
      </x:c>
      <x:c r="K748" s="60" t="str"/>
      <x:c r="L748" s="60" t="str">
        <x:v>Owner / decision maker to verify</x:v>
      </x:c>
      <x:c r="M748" s="60" t="str"/>
      <x:c r="N748" s="60" t="str"/>
      <x:c r="O748" s="60" t="str">
        <x:v>(803) 736-9300</x:v>
      </x:c>
      <x:c r="P748" s="60" t="str"/>
      <x:c r="Q748" s="60" t="str"/>
      <x:c r="R748" s="60" t="str"/>
      <x:c r="S748" s="60" t="str">
        <x:v>4.1</x:v>
      </x:c>
      <x:c r="T748" s="74" t="str">
        <x:v>174</x:v>
      </x:c>
      <x:c r="U748" s="60" t="str"/>
      <x:c r="V748" s="74" t="str">
        <x:v>24</x:v>
      </x:c>
      <x:c r="W748" s="74" t="str">
        <x:v>0</x:v>
      </x:c>
      <x:c r="X748" s="74" t="str">
        <x:v>10</x:v>
      </x:c>
      <x:c r="Y748" s="74" t="str">
        <x:v>6</x:v>
      </x:c>
      <x:c r="Z748" s="74" t="str">
        <x:v>5</x:v>
      </x:c>
      <x:c r="AA748" s="74" t="str">
        <x:v>0</x:v>
      </x:c>
      <x:c r="AB748" s="74" t="str">
        <x:v>0</x:v>
      </x:c>
      <x:c r="AC748" s="74" t="str">
        <x:v>0</x:v>
      </x:c>
      <x:c r="AD748" s="74" t="str">
        <x:v>0</x:v>
      </x:c>
      <x:c r="AE748" s="74" t="str">
        <x:v>0</x:v>
      </x:c>
      <x:c r="AF748" s="74" t="str"/>
      <x:c r="AG748" s="74" t="str">
        <x:v>0</x:v>
      </x:c>
      <x:c r="AH748" s="74" t="str">
        <x:v>0</x:v>
      </x:c>
      <x:c r="AI748" s="74" t="str">
        <x:v>0</x:v>
      </x:c>
      <x:c r="AJ748" s="74" t="str">
        <x:v>0</x:v>
      </x:c>
      <x:c r="AK748" s="74" t="str">
        <x:v>1</x:v>
      </x:c>
      <x:c r="AL748" s="74" t="str">
        <x:v>0</x:v>
      </x:c>
      <x:c r="AM748" s="74" t="str">
        <x:v>1</x:v>
      </x:c>
      <x:c r="AN748" s="74" t="str">
        <x:v>0</x:v>
      </x:c>
      <x:c r="AO748" s="60" t="str">
        <x:v>2025</x:v>
      </x:c>
      <x:c r="AP748" s="76" t="str">
        <x:v>174 Google reviews; no embedded homepage video found</x:v>
      </x:c>
      <x:c r="AQ748" s="76" t="str">
        <x:v>visible service offer; no embedded homepage video detected</x:v>
      </x:c>
      <x:c r="AR748" s="76" t="str">
        <x:v>Aero Plumbing Inc. has 174 Google reviews—strong proof that could be turned into short-form ad concepts.</x:v>
      </x:c>
      <x:c r="AS748" s="76" t="str">
        <x:v>small symptom to prevented-emergency ad</x:v>
      </x:c>
      <x:c r="AT748" s="76" t="str">
        <x:v>Aero Plumbing Inc. ad concept</x:v>
      </x:c>
      <x:c r="AU748" s="76" t="str">
        <x:v>Hi Aero Plumbing Inc. — Aero Plumbing Inc. has 174 Google reviews—strong proof that could be turned into short-form ad concepts. I mapped a private 15-second small symptom to prevented-emergency ad for Aero Plumbing Inc. using only public brand context—not for publishing, just to show the angle. We build three client-approved video ad concepts in seven days, then turn the winners into fresh variations. No filming day required. Worth sending the private sample?</x:v>
      </x:c>
      <x:c r="AV748" s="76" t="str">
        <x:v>Quick follow-up: the sample angle is a small symptom to prevented-emergency ad. If it misses the mark, no problem—I won't keep chasing. Should I send it?</x:v>
      </x:c>
      <x:c r="AW748" s="76" t="str">
        <x:v>Hi Aero Plumbing Inc., Ryan here. I was looking at Aero Plumbing Inc.'s public marketing and noticed: 174 google reviews; no embedded homepage video found. I mapped one private small symptom to prevented-emergency ad as an example. Did I catch you with 30 seconds?</x:v>
      </x:c>
      <x:c r="AX748" s="60" t="str">
        <x:v>https://www.facebook.com/ads/library/?active_status=active&amp;ad_type=all&amp;country=US&amp;q=Aero%20Plumbing%20Inc.&amp;search_type=keyword_unordered</x:v>
      </x:c>
      <x:c r="AY748" s="60" t="str">
        <x:v>ok:200</x:v>
      </x:c>
      <x:c r="AZ748" s="60" t="n">
        <x:v>46232.722858796296</x:v>
      </x:c>
      <x:c r="BA748" s="60" t="str">
        <x:v>Google Maps home-services export</x:v>
      </x:c>
      <x:c r="BB748" s="60" t="str">
        <x:v>https://aeroplumbing.com | https://maps.google.com/?cid=15038184644007098048&amp;g_mp=Cidnb29nbGUubWFwcy5wbGFjZXMudjEuUGxhY2VzLlNlYXJjaFRleHQQAhgEIAA</x:v>
      </x:c>
      <x:c r="BC748" s="60" t="str"/>
    </x:row>
    <x:row r="749" ht="18" customHeight="1">
      <x:c r="A749" s="70" t="str">
        <x:v>748</x:v>
      </x:c>
      <x:c r="B749" s="70" t="str">
        <x:v>C - Verify</x:v>
      </x:c>
      <x:c r="C749" s="72" t="str">
        <x:v>45</x:v>
      </x:c>
      <x:c r="D749" s="60" t="str">
        <x:v>JJ Brothers Contractors, LLC</x:v>
      </x:c>
      <x:c r="E749" s="60" t="str">
        <x:v>https://jjbrotherscontractors.com</x:v>
      </x:c>
      <x:c r="F749" s="60" t="str">
        <x:v>https://www.jjbrotherscontractors.com/</x:v>
      </x:c>
      <x:c r="G749" s="60" t="str">
        <x:v>Simpsonville</x:v>
      </x:c>
      <x:c r="H749" s="60" t="str">
        <x:v>South Carolina</x:v>
      </x:c>
      <x:c r="I749" s="60" t="str">
        <x:v>General Contractor</x:v>
      </x:c>
      <x:c r="J749" s="60" t="str">
        <x:v>Jhonn</x:v>
      </x:c>
      <x:c r="K749" s="60" t="str">
        <x:v>Alvarado</x:v>
      </x:c>
      <x:c r="L749" s="60" t="str">
        <x:v>Owner</x:v>
      </x:c>
      <x:c r="M749" s="60" t="str">
        <x:v>jhonn@jjbrotherscontractors.com</x:v>
      </x:c>
      <x:c r="N749" s="60" t="str">
        <x:v>Verified with BounceBan on 08 Jun 26 12:06</x:v>
      </x:c>
      <x:c r="O749" s="60" t="str">
        <x:v>+1 864 551 7336</x:v>
      </x:c>
      <x:c r="P749" s="60" t="str">
        <x:v>https://www.linkedin.com/in/jhonn-alvarado-886bb81b4</x:v>
      </x:c>
      <x:c r="Q749" s="60" t="str">
        <x:v>2-10</x:v>
      </x:c>
      <x:c r="R749" s="60" t="str">
        <x:v>100000-499999</x:v>
      </x:c>
      <x:c r="S749" s="60" t="str"/>
      <x:c r="T749" s="74" t="str">
        <x:v>0</x:v>
      </x:c>
      <x:c r="U749" s="60" t="str"/>
      <x:c r="V749" s="74" t="str">
        <x:v>20</x:v>
      </x:c>
      <x:c r="W749" s="74" t="str">
        <x:v>0</x:v>
      </x:c>
      <x:c r="X749" s="74" t="str">
        <x:v>10</x:v>
      </x:c>
      <x:c r="Y749" s="74" t="str">
        <x:v>5</x:v>
      </x:c>
      <x:c r="Z749" s="74" t="str">
        <x:v>10</x:v>
      </x:c>
      <x:c r="AA749" s="74" t="str">
        <x:v>0</x:v>
      </x:c>
      <x:c r="AB749" s="74" t="str">
        <x:v>0</x:v>
      </x:c>
      <x:c r="AC749" s="74" t="str">
        <x:v>0</x:v>
      </x:c>
      <x:c r="AD749" s="74" t="str">
        <x:v>0</x:v>
      </x:c>
      <x:c r="AE749" s="74" t="str">
        <x:v>0</x:v>
      </x:c>
      <x:c r="AF749" s="74" t="str"/>
      <x:c r="AG749" s="74" t="str">
        <x:v>0</x:v>
      </x:c>
      <x:c r="AH749" s="74" t="str">
        <x:v>1</x:v>
      </x:c>
      <x:c r="AI749" s="74" t="str">
        <x:v>0</x:v>
      </x:c>
      <x:c r="AJ749" s="74" t="str">
        <x:v>0</x:v>
      </x:c>
      <x:c r="AK749" s="74" t="str">
        <x:v>0</x:v>
      </x:c>
      <x:c r="AL749" s="74" t="str">
        <x:v>0</x:v>
      </x:c>
      <x:c r="AM749" s="74" t="str">
        <x:v>1</x:v>
      </x:c>
      <x:c r="AN749" s="74" t="str">
        <x:v>0</x:v>
      </x:c>
      <x:c r="AO749" s="60" t="str">
        <x:v>0</x:v>
      </x:c>
      <x:c r="AP749" s="76" t="str">
        <x:v>Project/gallery proof found; no embedded homepage video found</x:v>
      </x:c>
      <x:c r="AQ749" s="76" t="str">
        <x:v>project/gallery proof; no embedded homepage video detected</x:v>
      </x:c>
      <x:c r="AR749" s="76" t="str">
        <x:v>I found project/gallery proof on JJ Brothers Contractors, LLC's site that could be repackaged into short-form ad concepts.</x:v>
      </x:c>
      <x:c r="AS749" s="76" t="str">
        <x:v>project walkthrough with proof milestones</x:v>
      </x:c>
      <x:c r="AT749" s="76" t="str">
        <x:v>JJ Brothers Contractors, LLC ad concept</x:v>
      </x:c>
      <x:c r="AU749" s="76" t="str">
        <x:v>Hi Jhonn — I found project/gallery proof on JJ Brothers Contractors, LLC's site that could be repackaged into short-form ad concepts. I mapped a private 15-second project walkthrough with proof milestones for JJ Brothers Contractors, LLC using only public brand context—not for publishing, just to show the angle. We build three client-approved video ad concepts in seven days, then turn the winners into fresh variations. No filming day required. Worth sending the private sample?</x:v>
      </x:c>
      <x:c r="AV749" s="76" t="str">
        <x:v>Quick follow-up: the sample angle is a project walkthrough with proof milestones. If it misses the mark, no problem—I won't keep chasing. Should I send it?</x:v>
      </x:c>
      <x:c r="AW749" s="76" t="str">
        <x:v>Hi Jhonn, Ryan here. I was looking at JJ Brothers Contractors, LLC's public marketing and noticed: project/gallery proof found; no embedded homepage video found. I mapped one private project walkthrough with proof milestones as an example. Did I catch you with 30 seconds?</x:v>
      </x:c>
      <x:c r="AX749" s="60" t="str">
        <x:v>https://www.facebook.com/ads/library/?active_status=active&amp;ad_type=all&amp;country=US&amp;q=JJ%20Brothers%20Contractors%2C%20LLC&amp;search_type=keyword_unordered</x:v>
      </x:c>
      <x:c r="AY749" s="60" t="str">
        <x:v>ok:200</x:v>
      </x:c>
      <x:c r="AZ749" s="60" t="n">
        <x:v>46232.722858796296</x:v>
      </x:c>
      <x:c r="BA749" s="60" t="str">
        <x:v>AI Ark SC trades export</x:v>
      </x:c>
      <x:c r="BB749" s="60" t="str">
        <x:v>https://jjbrotherscontractors.com | https://www.linkedin.com/company/jj-brothers-contractors-llc</x:v>
      </x:c>
      <x:c r="BC749" s="60" t="str"/>
    </x:row>
    <x:row r="750" ht="18" customHeight="1">
      <x:c r="A750" s="70" t="str">
        <x:v>749</x:v>
      </x:c>
      <x:c r="B750" s="70" t="str">
        <x:v>C - Verify</x:v>
      </x:c>
      <x:c r="C750" s="72" t="str">
        <x:v>45</x:v>
      </x:c>
      <x:c r="D750" s="60" t="str">
        <x:v>ABRASIVE BLASTING &amp; COATING SERVICE</x:v>
      </x:c>
      <x:c r="E750" s="60" t="str">
        <x:v>https://goabcservices.com</x:v>
      </x:c>
      <x:c r="F750" s="60" t="str">
        <x:v>https://goabcservices.com</x:v>
      </x:c>
      <x:c r="G750" s="60" t="str">
        <x:v>Spartanburg</x:v>
      </x:c>
      <x:c r="H750" s="60" t="str">
        <x:v>South Carolina</x:v>
      </x:c>
      <x:c r="I750" s="60" t="str">
        <x:v>General Contractor</x:v>
      </x:c>
      <x:c r="J750" s="60" t="str">
        <x:v>Jim</x:v>
      </x:c>
      <x:c r="K750" s="60" t="str">
        <x:v>Odom</x:v>
      </x:c>
      <x:c r="L750" s="60" t="str">
        <x:v>Owner</x:v>
      </x:c>
      <x:c r="M750" s="60" t="str">
        <x:v>jim@goabcservices.com</x:v>
      </x:c>
      <x:c r="N750" s="60" t="str">
        <x:v>Verified with BounceBan on 08 Jun 26 12:07</x:v>
      </x:c>
      <x:c r="O750" s="60" t="str">
        <x:v>+1 864 670 0199</x:v>
      </x:c>
      <x:c r="P750" s="60" t="str">
        <x:v>https://www.linkedin.com/in/jim-odom-9396251b3</x:v>
      </x:c>
      <x:c r="Q750" s="60" t="str">
        <x:v>2-10</x:v>
      </x:c>
      <x:c r="R750" s="60" t="str">
        <x:v>100000-499999</x:v>
      </x:c>
      <x:c r="S750" s="60" t="str"/>
      <x:c r="T750" s="74" t="str">
        <x:v>0</x:v>
      </x:c>
      <x:c r="U750" s="60" t="str"/>
      <x:c r="V750" s="74" t="str">
        <x:v>20</x:v>
      </x:c>
      <x:c r="W750" s="74" t="str">
        <x:v>0</x:v>
      </x:c>
      <x:c r="X750" s="74" t="str">
        <x:v>10</x:v>
      </x:c>
      <x:c r="Y750" s="74" t="str">
        <x:v>5</x:v>
      </x:c>
      <x:c r="Z750" s="74" t="str">
        <x:v>10</x:v>
      </x:c>
      <x:c r="AA750" s="74" t="str">
        <x:v>0</x:v>
      </x:c>
      <x:c r="AB750" s="74" t="str">
        <x:v>0</x:v>
      </x:c>
      <x:c r="AC750" s="74" t="str">
        <x:v>0</x:v>
      </x:c>
      <x:c r="AD750" s="74" t="str">
        <x:v>0</x:v>
      </x:c>
      <x:c r="AE750" s="74" t="str">
        <x:v>0</x:v>
      </x:c>
      <x:c r="AF750" s="74" t="str"/>
      <x:c r="AG750" s="74" t="str">
        <x:v>0</x:v>
      </x:c>
      <x:c r="AH750" s="74" t="str">
        <x:v>1</x:v>
      </x:c>
      <x:c r="AI750" s="74" t="str">
        <x:v>0</x:v>
      </x:c>
      <x:c r="AJ750" s="74" t="str">
        <x:v>0</x:v>
      </x:c>
      <x:c r="AK750" s="74" t="str">
        <x:v>0</x:v>
      </x:c>
      <x:c r="AL750" s="74" t="str">
        <x:v>0</x:v>
      </x:c>
      <x:c r="AM750" s="74" t="str">
        <x:v>0</x:v>
      </x:c>
      <x:c r="AN750" s="74" t="str">
        <x:v>0</x:v>
      </x:c>
      <x:c r="AO750" s="60" t="str">
        <x:v>2025</x:v>
      </x:c>
      <x:c r="AP750" s="76" t="str">
        <x:v>Project/gallery proof found; no embedded homepage video found</x:v>
      </x:c>
      <x:c r="AQ750" s="76" t="str">
        <x:v>project/gallery proof; no embedded homepage video detected</x:v>
      </x:c>
      <x:c r="AR750" s="76" t="str">
        <x:v>I found project/gallery proof on ABRASIVE BLASTING &amp; COATING SERVICE's site that could be repackaged into short-form ad concepts.</x:v>
      </x:c>
      <x:c r="AS750" s="76" t="str">
        <x:v>project walkthrough with proof milestones</x:v>
      </x:c>
      <x:c r="AT750" s="76" t="str">
        <x:v>ABRASIVE BLASTING &amp; COATING SERVICE ad concept</x:v>
      </x:c>
      <x:c r="AU750" s="76" t="str">
        <x:v>Hi Jim — I found project/gallery proof on ABRASIVE BLASTING &amp; COATING SERVICE's site that could be repackaged into short-form ad concepts. I mapped a private 15-second project walkthrough with proof milestones for ABRASIVE BLASTING &amp; COATING SERVICE using only public brand context—not for publishing, just to show the angle. We build three client-approved video ad concepts in seven days, then turn the winners into fresh variations. No filming day required. Worth sending the private sample?</x:v>
      </x:c>
      <x:c r="AV750" s="76" t="str">
        <x:v>Quick follow-up: the sample angle is a project walkthrough with proof milestones. If it misses the mark, no problem—I won't keep chasing. Should I send it?</x:v>
      </x:c>
      <x:c r="AW750" s="76" t="str">
        <x:v>Hi Jim, Ryan here. I was looking at ABRASIVE BLASTING &amp; COATING SERVICE's public marketing and noticed: project/gallery proof found; no embedded homepage video found. I mapped one private project walkthrough with proof milestones as an example. Did I catch you with 30 seconds?</x:v>
      </x:c>
      <x:c r="AX750" s="60" t="str">
        <x:v>https://www.facebook.com/ads/library/?active_status=active&amp;ad_type=all&amp;country=US&amp;q=ABRASIVE%20BLASTING%20%26%20COATING%20SERVICE&amp;search_type=keyword_unordered</x:v>
      </x:c>
      <x:c r="AY750" s="60" t="str">
        <x:v>ok:200</x:v>
      </x:c>
      <x:c r="AZ750" s="60" t="n">
        <x:v>46232.722858796296</x:v>
      </x:c>
      <x:c r="BA750" s="60" t="str">
        <x:v>AI Ark SC trades export</x:v>
      </x:c>
      <x:c r="BB750" s="60" t="str">
        <x:v>https://goabcservices.com | https://www.linkedin.com/company/abrasive-blasting-&amp;-coating-service</x:v>
      </x:c>
      <x:c r="BC750" s="60" t="str"/>
    </x:row>
    <x:row r="751" ht="18" customHeight="1">
      <x:c r="A751" s="70" t="str">
        <x:v>750</x:v>
      </x:c>
      <x:c r="B751" s="70" t="str">
        <x:v>C - Verify</x:v>
      </x:c>
      <x:c r="C751" s="72" t="str">
        <x:v>45</x:v>
      </x:c>
      <x:c r="D751" s="60" t="str">
        <x:v>S&amp;S Electrical Services, Inc.</x:v>
      </x:c>
      <x:c r="E751" s="60" t="str">
        <x:v>https://sselectrical.com</x:v>
      </x:c>
      <x:c r="F751" s="60" t="str">
        <x:v>https://www.sselectrical.com/</x:v>
      </x:c>
      <x:c r="G751" s="60" t="str">
        <x:v>Charleston</x:v>
      </x:c>
      <x:c r="H751" s="60" t="str">
        <x:v>South Carolina</x:v>
      </x:c>
      <x:c r="I751" s="60" t="str">
        <x:v>General Contractor</x:v>
      </x:c>
      <x:c r="J751" s="60" t="str">
        <x:v>irvin</x:v>
      </x:c>
      <x:c r="K751" s="60" t="str">
        <x:v>sullivan</x:v>
      </x:c>
      <x:c r="L751" s="60" t="str">
        <x:v>Owner</x:v>
      </x:c>
      <x:c r="M751" s="60" t="str"/>
      <x:c r="N751" s="60" t="str"/>
      <x:c r="O751" s="60" t="str">
        <x:v>+1 843 801 5516</x:v>
      </x:c>
      <x:c r="P751" s="60" t="str">
        <x:v>https://www.linkedin.com/in/irvin-sullivan-7a0b7b60</x:v>
      </x:c>
      <x:c r="Q751" s="60" t="str">
        <x:v>11-50</x:v>
      </x:c>
      <x:c r="R751" s="60" t="str">
        <x:v>500000-999999</x:v>
      </x:c>
      <x:c r="S751" s="60" t="str"/>
      <x:c r="T751" s="74" t="str">
        <x:v>0</x:v>
      </x:c>
      <x:c r="U751" s="60" t="str"/>
      <x:c r="V751" s="74" t="str">
        <x:v>25</x:v>
      </x:c>
      <x:c r="W751" s="74" t="str">
        <x:v>0</x:v>
      </x:c>
      <x:c r="X751" s="74" t="str">
        <x:v>10</x:v>
      </x:c>
      <x:c r="Y751" s="74" t="str">
        <x:v>5</x:v>
      </x:c>
      <x:c r="Z751" s="74" t="str">
        <x:v>5</x:v>
      </x:c>
      <x:c r="AA751" s="74" t="str">
        <x:v>0</x:v>
      </x:c>
      <x:c r="AB751" s="74" t="str">
        <x:v>0</x:v>
      </x:c>
      <x:c r="AC751" s="74" t="str">
        <x:v>0</x:v>
      </x:c>
      <x:c r="AD751" s="74" t="str">
        <x:v>0</x:v>
      </x:c>
      <x:c r="AE751" s="74" t="str">
        <x:v>0</x:v>
      </x:c>
      <x:c r="AF751" s="74" t="str"/>
      <x:c r="AG751" s="74" t="str">
        <x:v>0</x:v>
      </x:c>
      <x:c r="AH751" s="74" t="str">
        <x:v>1</x:v>
      </x:c>
      <x:c r="AI751" s="74" t="str">
        <x:v>0</x:v>
      </x:c>
      <x:c r="AJ751" s="74" t="str">
        <x:v>0</x:v>
      </x:c>
      <x:c r="AK751" s="74" t="str">
        <x:v>0</x:v>
      </x:c>
      <x:c r="AL751" s="74" t="str">
        <x:v>0</x:v>
      </x:c>
      <x:c r="AM751" s="74" t="str">
        <x:v>0</x:v>
      </x:c>
      <x:c r="AN751" s="74" t="str">
        <x:v>0</x:v>
      </x:c>
      <x:c r="AO751" s="60" t="str">
        <x:v>0</x:v>
      </x:c>
      <x:c r="AP751" s="76" t="str">
        <x:v>Project/gallery proof found; no embedded homepage video found</x:v>
      </x:c>
      <x:c r="AQ751" s="76" t="str">
        <x:v>project/gallery proof; no embedded homepage video detected</x:v>
      </x:c>
      <x:c r="AR751" s="76" t="str">
        <x:v>I found project/gallery proof on S&amp;S Electrical Services, Inc.'s site that could be repackaged into short-form ad concepts.</x:v>
      </x:c>
      <x:c r="AS751" s="76" t="str">
        <x:v>project walkthrough with proof milestones</x:v>
      </x:c>
      <x:c r="AT751" s="76" t="str">
        <x:v>S&amp;S Electrical Services, Inc. ad concept</x:v>
      </x:c>
      <x:c r="AU751" s="76" t="str">
        <x:v>Hi irvin — I found project/gallery proof on S&amp;S Electrical Services, Inc.'s site that could be repackaged into short-form ad concepts. I mapped a private 15-second project walkthrough with proof milestones for S&amp;S Electrical Services, Inc. using only public brand context—not for publishing, just to show the angle. We build three client-approved video ad concepts in seven days, then turn the winners into fresh variations. No filming day required. Worth sending the private sample?</x:v>
      </x:c>
      <x:c r="AV751" s="76" t="str">
        <x:v>Quick follow-up: the sample angle is a project walkthrough with proof milestones. If it misses the mark, no problem—I won't keep chasing. Should I send it?</x:v>
      </x:c>
      <x:c r="AW751" s="76" t="str">
        <x:v>Hi irvin, Ryan here. I was looking at S&amp;S Electrical Services, Inc.'s public marketing and noticed: project/gallery proof found; no embedded homepage video found. I mapped one private project walkthrough with proof milestones as an example. Did I catch you with 30 seconds?</x:v>
      </x:c>
      <x:c r="AX751" s="60" t="str">
        <x:v>https://www.facebook.com/ads/library/?active_status=active&amp;ad_type=all&amp;country=US&amp;q=S%26S%20Electrical%20Services%2C%20Inc.&amp;search_type=keyword_unordered</x:v>
      </x:c>
      <x:c r="AY751" s="60" t="str">
        <x:v>ok:200</x:v>
      </x:c>
      <x:c r="AZ751" s="60" t="n">
        <x:v>46232.722858796296</x:v>
      </x:c>
      <x:c r="BA751" s="60" t="str">
        <x:v>AI Ark SC trades export</x:v>
      </x:c>
      <x:c r="BB751" s="60" t="str">
        <x:v>https://sselectrical.com | https://www.linkedin.com/company/s&amp;s-electrical</x:v>
      </x:c>
      <x:c r="BC751" s="60" t="str"/>
    </x:row>
    <x:row r="752" ht="18" customHeight="1">
      <x:c r="A752" s="70" t="str">
        <x:v>751</x:v>
      </x:c>
      <x:c r="B752" s="70" t="str">
        <x:v>C - Verify</x:v>
      </x:c>
      <x:c r="C752" s="72" t="str">
        <x:v>45</x:v>
      </x:c>
      <x:c r="D752" s="60" t="str">
        <x:v>Don Juan Roofing and Painting</x:v>
      </x:c>
      <x:c r="E752" s="60" t="str">
        <x:v>https://donjuanroofingllc.com</x:v>
      </x:c>
      <x:c r="F752" s="60" t="str">
        <x:v>https://www.donjuanroofingllc.com/</x:v>
      </x:c>
      <x:c r="G752" s="60" t="str">
        <x:v>Beaufort</x:v>
      </x:c>
      <x:c r="H752" s="60" t="str">
        <x:v>South Carolina</x:v>
      </x:c>
      <x:c r="I752" s="60" t="str">
        <x:v>Roofing</x:v>
      </x:c>
      <x:c r="J752" s="60" t="str">
        <x:v>Don Juan Roofing and Painting</x:v>
      </x:c>
      <x:c r="K752" s="60" t="str"/>
      <x:c r="L752" s="60" t="str">
        <x:v>Owner / decision maker to verify</x:v>
      </x:c>
      <x:c r="M752" s="60" t="str"/>
      <x:c r="N752" s="60" t="str"/>
      <x:c r="O752" s="60" t="str">
        <x:v>(843) 575-1603</x:v>
      </x:c>
      <x:c r="P752" s="60" t="str"/>
      <x:c r="Q752" s="60" t="str"/>
      <x:c r="R752" s="60" t="str"/>
      <x:c r="S752" s="60" t="str">
        <x:v>4.6</x:v>
      </x:c>
      <x:c r="T752" s="74" t="str">
        <x:v>14</x:v>
      </x:c>
      <x:c r="U752" s="60" t="str"/>
      <x:c r="V752" s="74" t="str">
        <x:v>25</x:v>
      </x:c>
      <x:c r="W752" s="74" t="str">
        <x:v>0</x:v>
      </x:c>
      <x:c r="X752" s="74" t="str">
        <x:v>10</x:v>
      </x:c>
      <x:c r="Y752" s="74" t="str">
        <x:v>5</x:v>
      </x:c>
      <x:c r="Z752" s="74" t="str">
        <x:v>5</x:v>
      </x:c>
      <x:c r="AA752" s="74" t="str">
        <x:v>0</x:v>
      </x:c>
      <x:c r="AB752" s="74" t="str">
        <x:v>0</x:v>
      </x:c>
      <x:c r="AC752" s="74" t="str">
        <x:v>0</x:v>
      </x:c>
      <x:c r="AD752" s="74" t="str">
        <x:v>0</x:v>
      </x:c>
      <x:c r="AE752" s="74" t="str">
        <x:v>0</x:v>
      </x:c>
      <x:c r="AF752" s="74" t="str"/>
      <x:c r="AG752" s="74" t="str">
        <x:v>0</x:v>
      </x:c>
      <x:c r="AH752" s="74" t="str">
        <x:v>1</x:v>
      </x:c>
      <x:c r="AI752" s="74" t="str">
        <x:v>0</x:v>
      </x:c>
      <x:c r="AJ752" s="74" t="str">
        <x:v>0</x:v>
      </x:c>
      <x:c r="AK752" s="74" t="str">
        <x:v>0</x:v>
      </x:c>
      <x:c r="AL752" s="74" t="str">
        <x:v>0</x:v>
      </x:c>
      <x:c r="AM752" s="74" t="str">
        <x:v>0</x:v>
      </x:c>
      <x:c r="AN752" s="74" t="str">
        <x:v>0</x:v>
      </x:c>
      <x:c r="AO752" s="60" t="str">
        <x:v>2026</x:v>
      </x:c>
      <x:c r="AP752" s="76" t="str">
        <x:v>Project/gallery proof found; no embedded homepage video found</x:v>
      </x:c>
      <x:c r="AQ752" s="76" t="str">
        <x:v>project/gallery proof; no embedded homepage video detected</x:v>
      </x:c>
      <x:c r="AR752" s="76" t="str">
        <x:v>I found project/gallery proof on Don Juan Roofing and Painting's site that could be repackaged into short-form ad concepts.</x:v>
      </x:c>
      <x:c r="AS752" s="76" t="str">
        <x:v>storm-to-inspection before/after ad</x:v>
      </x:c>
      <x:c r="AT752" s="76" t="str">
        <x:v>Don Juan Roofing and Painting ad concept</x:v>
      </x:c>
      <x:c r="AU752" s="76" t="str">
        <x:v>Hi Don Juan Roofing and Painting — I found project/gallery proof on Don Juan Roofing and Painting's site that could be repackaged into short-form ad concepts. I mapped a private 15-second storm-to-inspection before/after ad for Don Juan Roofing and Painting using only public brand context—not for publishing, just to show the angle. We build three client-approved video ad concepts in seven days, then turn the winners into fresh variations. No filming day required. Worth sending the private sample?</x:v>
      </x:c>
      <x:c r="AV752" s="76" t="str">
        <x:v>Quick follow-up: the sample angle is a storm-to-inspection before/after ad. If it misses the mark, no problem—I won't keep chasing. Should I send it?</x:v>
      </x:c>
      <x:c r="AW752" s="76" t="str">
        <x:v>Hi Don Juan Roofing and Painting, Ryan here. I was looking at Don Juan Roofing and Painting's public marketing and noticed: project/gallery proof found; no embedded homepage video found. I mapped one private storm-to-inspection before/after ad as an example. Did I catch you with 30 seconds?</x:v>
      </x:c>
      <x:c r="AX752" s="60" t="str">
        <x:v>https://www.facebook.com/ads/library/?active_status=active&amp;ad_type=all&amp;country=US&amp;q=Don%20Juan%20Roofing%20and%20Painting&amp;search_type=keyword_unordered</x:v>
      </x:c>
      <x:c r="AY752" s="60" t="str">
        <x:v>ok:200</x:v>
      </x:c>
      <x:c r="AZ752" s="60" t="n">
        <x:v>46232.722858796296</x:v>
      </x:c>
      <x:c r="BA752" s="60" t="str">
        <x:v>Google Maps home-services export</x:v>
      </x:c>
      <x:c r="BB752" s="60" t="str">
        <x:v>https://donjuanroofingllc.com | https://maps.google.com/?cid=16630790207001638404&amp;g_mp=Cidnb29nbGUubWFwcy5wbGFjZXMudjEuUGxhY2VzLlNlYXJjaFRleHQQAhgEIAA</x:v>
      </x:c>
      <x:c r="BC752" s="60" t="str"/>
    </x:row>
    <x:row r="753" ht="18" customHeight="1">
      <x:c r="A753" s="70" t="str">
        <x:v>752</x:v>
      </x:c>
      <x:c r="B753" s="70" t="str">
        <x:v>C - Verify</x:v>
      </x:c>
      <x:c r="C753" s="72" t="str">
        <x:v>45</x:v>
      </x:c>
      <x:c r="D753" s="60" t="str">
        <x:v>Cove Construction LLC</x:v>
      </x:c>
      <x:c r="E753" s="60" t="str">
        <x:v>https://coveconstructionmb.com</x:v>
      </x:c>
      <x:c r="F753" s="60" t="str">
        <x:v>https://www.coveconstructionmb.com/</x:v>
      </x:c>
      <x:c r="G753" s="60" t="str">
        <x:v>Myrtle Beach</x:v>
      </x:c>
      <x:c r="H753" s="60" t="str">
        <x:v>South Carolina</x:v>
      </x:c>
      <x:c r="I753" s="60" t="str">
        <x:v>Roofing</x:v>
      </x:c>
      <x:c r="J753" s="60" t="str">
        <x:v>Kate</x:v>
      </x:c>
      <x:c r="K753" s="60" t="str">
        <x:v>Wernig</x:v>
      </x:c>
      <x:c r="L753" s="60" t="str">
        <x:v>Owner/Office Manager</x:v>
      </x:c>
      <x:c r="M753" s="60" t="str">
        <x:v>kate@coveconstructionmb.com</x:v>
      </x:c>
      <x:c r="N753" s="60" t="str">
        <x:v>Verified with BounceBan on 08 Jun 26 12:06</x:v>
      </x:c>
      <x:c r="O753" s="60" t="str">
        <x:v>+1 843 360 8163</x:v>
      </x:c>
      <x:c r="P753" s="60" t="str">
        <x:v>https://www.linkedin.com/in/katerdonovan</x:v>
      </x:c>
      <x:c r="Q753" s="60" t="str">
        <x:v>2-10</x:v>
      </x:c>
      <x:c r="R753" s="60" t="str">
        <x:v>100000-499999</x:v>
      </x:c>
      <x:c r="S753" s="60" t="str"/>
      <x:c r="T753" s="74" t="str">
        <x:v>0</x:v>
      </x:c>
      <x:c r="U753" s="60" t="str"/>
      <x:c r="V753" s="74" t="str">
        <x:v>28</x:v>
      </x:c>
      <x:c r="W753" s="74" t="str">
        <x:v>0</x:v>
      </x:c>
      <x:c r="X753" s="74" t="str">
        <x:v>3</x:v>
      </x:c>
      <x:c r="Y753" s="74" t="str">
        <x:v>4</x:v>
      </x:c>
      <x:c r="Z753" s="74" t="str">
        <x:v>10</x:v>
      </x:c>
      <x:c r="AA753" s="74" t="str">
        <x:v>0</x:v>
      </x:c>
      <x:c r="AB753" s="74" t="str">
        <x:v>0</x:v>
      </x:c>
      <x:c r="AC753" s="74" t="str">
        <x:v>0</x:v>
      </x:c>
      <x:c r="AD753" s="74" t="str">
        <x:v>0</x:v>
      </x:c>
      <x:c r="AE753" s="74" t="str">
        <x:v>0</x:v>
      </x:c>
      <x:c r="AF753" s="74" t="str"/>
      <x:c r="AG753" s="74" t="str">
        <x:v>1</x:v>
      </x:c>
      <x:c r="AH753" s="74" t="str">
        <x:v>0</x:v>
      </x:c>
      <x:c r="AI753" s="74" t="str">
        <x:v>1</x:v>
      </x:c>
      <x:c r="AJ753" s="74" t="str">
        <x:v>0</x:v>
      </x:c>
      <x:c r="AK753" s="74" t="str">
        <x:v>0</x:v>
      </x:c>
      <x:c r="AL753" s="74" t="str">
        <x:v>1</x:v>
      </x:c>
      <x:c r="AM753" s="74" t="str">
        <x:v>1</x:v>
      </x:c>
      <x:c r="AN753" s="74" t="str">
        <x:v>0</x:v>
      </x:c>
      <x:c r="AO753" s="60" t="str">
        <x:v>2016</x:v>
      </x:c>
      <x:c r="AP753" s="76" t="str">
        <x:v>ICP fit; paid-demand need requires manual verification</x:v>
      </x:c>
      <x:c r="AQ753" s="76" t="str">
        <x:v>testimonials</x:v>
      </x:c>
      <x:c r="AR753" s="76" t="str">
        <x:v>I was reviewing roofing companies in Myrtle Beach, South Carolina and Cove Construction LLC looked like a strong fit for a creative test.</x:v>
      </x:c>
      <x:c r="AS753" s="76" t="str">
        <x:v>storm-to-inspection before/after ad</x:v>
      </x:c>
      <x:c r="AT753" s="76" t="str">
        <x:v>Cove Construction LLC ad concept</x:v>
      </x:c>
      <x:c r="AU753" s="76" t="str">
        <x:v>Hi Kate — I was reviewing roofing companies in Myrtle Beach, South Carolina and Cove Construction LLC looked like a strong fit for a creative test. I mapped a private 15-second storm-to-inspection before/after ad for Cove Construction LLC using only public brand context—not for publishing, just to show the angle. We build three client-approved video ad concepts in seven days, then turn the winners into fresh variations. No filming day required. Worth sending the private sample?</x:v>
      </x:c>
      <x:c r="AV753" s="76" t="str">
        <x:v>Quick follow-up: the sample angle is a storm-to-inspection before/after ad. If it misses the mark, no problem—I won't keep chasing. Should I send it?</x:v>
      </x:c>
      <x:c r="AW753" s="76" t="str">
        <x:v>Hi Kate, Ryan here. I was looking at Cove Construction LLC's public marketing and noticed: icp fit; paid-demand need requires manual verification. I mapped one private storm-to-inspection before/after ad as an example. Did I catch you with 30 seconds?</x:v>
      </x:c>
      <x:c r="AX753" s="60" t="str">
        <x:v>https://www.facebook.com/ads/library/?active_status=active&amp;ad_type=all&amp;country=US&amp;q=Cove%20Construction%20LLC&amp;search_type=keyword_unordered</x:v>
      </x:c>
      <x:c r="AY753" s="60" t="str">
        <x:v>ok:200</x:v>
      </x:c>
      <x:c r="AZ753" s="60" t="n">
        <x:v>46232.722858796296</x:v>
      </x:c>
      <x:c r="BA753" s="60" t="str">
        <x:v>AI Ark SC trades export</x:v>
      </x:c>
      <x:c r="BB753" s="60" t="str">
        <x:v>https://coveconstructionmb.com | https://www.linkedin.com/company/cove-construction-llc</x:v>
      </x:c>
      <x:c r="BC753" s="60" t="str"/>
    </x:row>
    <x:row r="754" ht="18" customHeight="1">
      <x:c r="A754" s="70" t="str">
        <x:v>753</x:v>
      </x:c>
      <x:c r="B754" s="70" t="str">
        <x:v>C - Verify</x:v>
      </x:c>
      <x:c r="C754" s="72" t="str">
        <x:v>45</x:v>
      </x:c>
      <x:c r="D754" s="60" t="str">
        <x:v>US Roofing</x:v>
      </x:c>
      <x:c r="E754" s="60" t="str">
        <x:v>https://usroofing.us</x:v>
      </x:c>
      <x:c r="F754" s="60" t="str">
        <x:v>https://usroofing.us</x:v>
      </x:c>
      <x:c r="G754" s="60" t="str">
        <x:v>Aiken</x:v>
      </x:c>
      <x:c r="H754" s="60" t="str">
        <x:v>South Carolina</x:v>
      </x:c>
      <x:c r="I754" s="60" t="str">
        <x:v>Roofing</x:v>
      </x:c>
      <x:c r="J754" s="60" t="str">
        <x:v>US Roofing</x:v>
      </x:c>
      <x:c r="K754" s="60" t="str"/>
      <x:c r="L754" s="60" t="str">
        <x:v>Owner / decision maker to verify</x:v>
      </x:c>
      <x:c r="M754" s="60" t="str"/>
      <x:c r="N754" s="60" t="str"/>
      <x:c r="O754" s="60" t="str">
        <x:v>(706) 287-5261</x:v>
      </x:c>
      <x:c r="P754" s="60" t="str"/>
      <x:c r="Q754" s="60" t="str"/>
      <x:c r="R754" s="60" t="str"/>
      <x:c r="S754" s="60" t="str">
        <x:v>4.8</x:v>
      </x:c>
      <x:c r="T754" s="74" t="str">
        <x:v>299</x:v>
      </x:c>
      <x:c r="U754" s="60" t="str"/>
      <x:c r="V754" s="74" t="str">
        <x:v>30</x:v>
      </x:c>
      <x:c r="W754" s="74" t="str">
        <x:v>0</x:v>
      </x:c>
      <x:c r="X754" s="74" t="str">
        <x:v>10</x:v>
      </x:c>
      <x:c r="Y754" s="74" t="str">
        <x:v>3</x:v>
      </x:c>
      <x:c r="Z754" s="74" t="str">
        <x:v>5</x:v>
      </x:c>
      <x:c r="AA754" s="74" t="str">
        <x:v>0</x:v>
      </x:c>
      <x:c r="AB754" s="74" t="str">
        <x:v>0</x:v>
      </x:c>
      <x:c r="AC754" s="74" t="str">
        <x:v>0</x:v>
      </x:c>
      <x:c r="AD754" s="74" t="str">
        <x:v>0</x:v>
      </x:c>
      <x:c r="AE754" s="74" t="str">
        <x:v>0</x:v>
      </x:c>
      <x:c r="AF754" s="74" t="str"/>
      <x:c r="AG754" s="74" t="str">
        <x:v>0</x:v>
      </x:c>
      <x:c r="AH754" s="74" t="str">
        <x:v>0</x:v>
      </x:c>
      <x:c r="AI754" s="74" t="str">
        <x:v>0</x:v>
      </x:c>
      <x:c r="AJ754" s="74" t="str">
        <x:v>0</x:v>
      </x:c>
      <x:c r="AK754" s="74" t="str">
        <x:v>0</x:v>
      </x:c>
      <x:c r="AL754" s="74" t="str">
        <x:v>0</x:v>
      </x:c>
      <x:c r="AM754" s="74" t="str">
        <x:v>0</x:v>
      </x:c>
      <x:c r="AN754" s="74" t="str">
        <x:v>0</x:v>
      </x:c>
      <x:c r="AO754" s="60" t="str">
        <x:v>0</x:v>
      </x:c>
      <x:c r="AP754" s="76" t="str">
        <x:v>299 Google reviews; no embedded homepage video found</x:v>
      </x:c>
      <x:c r="AQ754" s="76" t="str">
        <x:v>no embedded homepage video detected</x:v>
      </x:c>
      <x:c r="AR754" s="76" t="str">
        <x:v>US Roofing has 299 Google reviews—strong proof that could be turned into short-form ad concepts.</x:v>
      </x:c>
      <x:c r="AS754" s="76" t="str">
        <x:v>storm-to-inspection before/after ad</x:v>
      </x:c>
      <x:c r="AT754" s="76" t="str">
        <x:v>US Roofing ad concept</x:v>
      </x:c>
      <x:c r="AU754" s="76" t="str">
        <x:v>Hi US Roofing — US Roofing has 299 Google reviews—strong proof that could be turned into short-form ad concepts. I mapped a private 15-second storm-to-inspection before/after ad for US Roofing using only public brand context—not for publishing, just to show the angle. We build three client-approved video ad concepts in seven days, then turn the winners into fresh variations. No filming day required. Worth sending the private sample?</x:v>
      </x:c>
      <x:c r="AV754" s="76" t="str">
        <x:v>Quick follow-up: the sample angle is a storm-to-inspection before/after ad. If it misses the mark, no problem—I won't keep chasing. Should I send it?</x:v>
      </x:c>
      <x:c r="AW754" s="76" t="str">
        <x:v>Hi US Roofing, Ryan here. I was looking at US Roofing's public marketing and noticed: 299 google reviews; no embedded homepage video found. I mapped one private storm-to-inspection before/after ad as an example. Did I catch you with 30 seconds?</x:v>
      </x:c>
      <x:c r="AX754" s="60" t="str">
        <x:v>https://www.facebook.com/ads/library/?active_status=active&amp;ad_type=all&amp;country=US&amp;q=US%20Roofing&amp;search_type=keyword_unordered</x:v>
      </x:c>
      <x:c r="AY754" s="60" t="str">
        <x:v>url_error:TimeoutError</x:v>
      </x:c>
      <x:c r="AZ754" s="60" t="n">
        <x:v>46232.722858796296</x:v>
      </x:c>
      <x:c r="BA754" s="60" t="str">
        <x:v>Google Maps home-services export</x:v>
      </x:c>
      <x:c r="BB754" s="60" t="str">
        <x:v>https://maps.google.com/?cid=7285768455608998109&amp;g_mp=Cidnb29nbGUubWFwcy5wbGFjZXMudjEuUGxhY2VzLlNlYXJjaFRleHQQAhgEIAA | https://usroofing.us</x:v>
      </x:c>
      <x:c r="BC754" s="60" t="str"/>
    </x:row>
    <x:row r="755" ht="18" customHeight="1">
      <x:c r="A755" s="70" t="str">
        <x:v>754</x:v>
      </x:c>
      <x:c r="B755" s="70" t="str">
        <x:v>C - Verify</x:v>
      </x:c>
      <x:c r="C755" s="72" t="str">
        <x:v>45</x:v>
      </x:c>
      <x:c r="D755" s="60" t="str">
        <x:v>Thames Lawn Care, Pressure Washing, &amp; Septic Service</x:v>
      </x:c>
      <x:c r="E755" s="60" t="str">
        <x:v>https://thameslawncare.com</x:v>
      </x:c>
      <x:c r="F755" s="60" t="str">
        <x:v>https://thameslawncare.com</x:v>
      </x:c>
      <x:c r="G755" s="60" t="str">
        <x:v>Sumter</x:v>
      </x:c>
      <x:c r="H755" s="60" t="str">
        <x:v>South Carolina</x:v>
      </x:c>
      <x:c r="I755" s="60" t="str">
        <x:v>Plumbing</x:v>
      </x:c>
      <x:c r="J755" s="60" t="str">
        <x:v>Thames Lawn Care, Pressure Washing, &amp; Septic Service</x:v>
      </x:c>
      <x:c r="K755" s="60" t="str"/>
      <x:c r="L755" s="60" t="str">
        <x:v>Owner / decision maker to verify</x:v>
      </x:c>
      <x:c r="M755" s="60" t="str"/>
      <x:c r="N755" s="60" t="str"/>
      <x:c r="O755" s="60" t="str">
        <x:v>(803) 481-2344</x:v>
      </x:c>
      <x:c r="P755" s="60" t="str"/>
      <x:c r="Q755" s="60" t="str"/>
      <x:c r="R755" s="60" t="str"/>
      <x:c r="S755" s="60" t="str">
        <x:v>4.8</x:v>
      </x:c>
      <x:c r="T755" s="74" t="str">
        <x:v>282</x:v>
      </x:c>
      <x:c r="U755" s="60" t="str">
        <x:v>slow_response</x:v>
      </x:c>
      <x:c r="V755" s="74" t="str">
        <x:v>25</x:v>
      </x:c>
      <x:c r="W755" s="74" t="str">
        <x:v>0</x:v>
      </x:c>
      <x:c r="X755" s="74" t="str">
        <x:v>12</x:v>
      </x:c>
      <x:c r="Y755" s="74" t="str">
        <x:v>3</x:v>
      </x:c>
      <x:c r="Z755" s="74" t="str">
        <x:v>5</x:v>
      </x:c>
      <x:c r="AA755" s="74" t="str">
        <x:v>0</x:v>
      </x:c>
      <x:c r="AB755" s="74" t="str">
        <x:v>0</x:v>
      </x:c>
      <x:c r="AC755" s="74" t="str">
        <x:v>0</x:v>
      </x:c>
      <x:c r="AD755" s="74" t="str">
        <x:v>0</x:v>
      </x:c>
      <x:c r="AE755" s="74" t="str">
        <x:v>0</x:v>
      </x:c>
      <x:c r="AF755" s="74" t="str"/>
      <x:c r="AG755" s="74" t="str">
        <x:v>0</x:v>
      </x:c>
      <x:c r="AH755" s="74" t="str">
        <x:v>0</x:v>
      </x:c>
      <x:c r="AI755" s="74" t="str">
        <x:v>0</x:v>
      </x:c>
      <x:c r="AJ755" s="74" t="str">
        <x:v>0</x:v>
      </x:c>
      <x:c r="AK755" s="74" t="str">
        <x:v>0</x:v>
      </x:c>
      <x:c r="AL755" s="74" t="str">
        <x:v>0</x:v>
      </x:c>
      <x:c r="AM755" s="74" t="str">
        <x:v>0</x:v>
      </x:c>
      <x:c r="AN755" s="74" t="str">
        <x:v>0</x:v>
      </x:c>
      <x:c r="AO755" s="60" t="str">
        <x:v>2026</x:v>
      </x:c>
      <x:c r="AP755" s="76" t="str">
        <x:v>282 Google reviews; no embedded homepage video found</x:v>
      </x:c>
      <x:c r="AQ755" s="76" t="str">
        <x:v>no embedded homepage video detected</x:v>
      </x:c>
      <x:c r="AR755" s="76" t="str">
        <x:v>Thames Lawn Care, Pressure Washing, &amp; Septic Service has 282 Google reviews—strong proof that could be turned into short-form ad concepts.</x:v>
      </x:c>
      <x:c r="AS755" s="76" t="str">
        <x:v>small symptom to prevented-emergency ad</x:v>
      </x:c>
      <x:c r="AT755" s="76" t="str">
        <x:v>Thames Lawn Care, Pressure Washing, &amp; Septic Service ad concept</x:v>
      </x:c>
      <x:c r="AU755" s="76" t="str">
        <x:v>Hi Thames Lawn Care, Pressure Washing, &amp; Septic Service — Thames Lawn Care, Pressure Washing, &amp; Septic Service has 282 Google reviews—strong proof that could be turned into short-form ad concepts. I mapped a private 15-second small symptom to prevented-emergency ad for Thames Lawn Care, Pressure Washing, &amp; Septic Service using only public brand context—not for publishing, just to show the angle. We build three client-approved video ad concepts in seven days, then turn the winners into fresh variations. No filming day required. Worth sending the private sample?</x:v>
      </x:c>
      <x:c r="AV755" s="76" t="str">
        <x:v>Quick follow-up: the sample angle is a small symptom to prevented-emergency ad. If it misses the mark, no problem—I won't keep chasing. Should I send it?</x:v>
      </x:c>
      <x:c r="AW755" s="76" t="str">
        <x:v>Hi Thames Lawn Care, Pressure Washing, &amp; Septic Service, Ryan here. I was looking at Thames Lawn Care, Pressure Washing, &amp; Septic Service's public marketing and noticed: 282 google reviews; no embedded homepage video found. I mapped one private small symptom to prevented-emergency ad as an example. Did I catch you with 30 seconds?</x:v>
      </x:c>
      <x:c r="AX755" s="60" t="str">
        <x:v>https://www.facebook.com/ads/library/?active_status=active&amp;ad_type=all&amp;country=US&amp;q=Thames%20Lawn%20Care%2C%20Pressure%20Washing%2C%20%26%20Septic%20Service&amp;search_type=keyword_unordered</x:v>
      </x:c>
      <x:c r="AY755" s="60" t="str">
        <x:v>ok:200</x:v>
      </x:c>
      <x:c r="AZ755" s="60" t="n">
        <x:v>46232.722858796296</x:v>
      </x:c>
      <x:c r="BA755" s="60" t="str">
        <x:v>Google Maps home-services export</x:v>
      </x:c>
      <x:c r="BB755" s="60" t="str">
        <x:v>https://maps.google.com/?cid=2260447172186069253&amp;g_mp=Cidnb29nbGUubWFwcy5wbGFjZXMudjEuUGxhY2VzLlNlYXJjaFRleHQQAhgEIAA | https://thameslawncare.com</x:v>
      </x:c>
      <x:c r="BC755" s="60" t="str"/>
    </x:row>
    <x:row r="756" ht="18" customHeight="1">
      <x:c r="A756" s="70" t="str">
        <x:v>755</x:v>
      </x:c>
      <x:c r="B756" s="70" t="str">
        <x:v>C - Verify</x:v>
      </x:c>
      <x:c r="C756" s="72" t="str">
        <x:v>45</x:v>
      </x:c>
      <x:c r="D756" s="60" t="str">
        <x:v>MD Roofing</x:v>
      </x:c>
      <x:c r="E756" s="60" t="str">
        <x:v>https://mdroofing.us</x:v>
      </x:c>
      <x:c r="F756" s="60" t="str">
        <x:v>https://mdroofing.us</x:v>
      </x:c>
      <x:c r="G756" s="60" t="str">
        <x:v>Myrtle Beach</x:v>
      </x:c>
      <x:c r="H756" s="60" t="str">
        <x:v>South Carolina</x:v>
      </x:c>
      <x:c r="I756" s="60" t="str">
        <x:v>Roofing</x:v>
      </x:c>
      <x:c r="J756" s="60" t="str">
        <x:v>MD Roofing</x:v>
      </x:c>
      <x:c r="K756" s="60" t="str"/>
      <x:c r="L756" s="60" t="str">
        <x:v>Owner / decision maker to verify</x:v>
      </x:c>
      <x:c r="M756" s="60" t="str"/>
      <x:c r="N756" s="60" t="str"/>
      <x:c r="O756" s="60" t="str">
        <x:v>(843) 631-7663</x:v>
      </x:c>
      <x:c r="P756" s="60" t="str"/>
      <x:c r="Q756" s="60" t="str"/>
      <x:c r="R756" s="60" t="str"/>
      <x:c r="S756" s="60" t="str">
        <x:v>4.8</x:v>
      </x:c>
      <x:c r="T756" s="74" t="str">
        <x:v>500</x:v>
      </x:c>
      <x:c r="U756" s="60" t="str"/>
      <x:c r="V756" s="74" t="str">
        <x:v>30</x:v>
      </x:c>
      <x:c r="W756" s="74" t="str">
        <x:v>0</x:v>
      </x:c>
      <x:c r="X756" s="74" t="str">
        <x:v>10</x:v>
      </x:c>
      <x:c r="Y756" s="74" t="str">
        <x:v>3</x:v>
      </x:c>
      <x:c r="Z756" s="74" t="str">
        <x:v>5</x:v>
      </x:c>
      <x:c r="AA756" s="74" t="str">
        <x:v>0</x:v>
      </x:c>
      <x:c r="AB756" s="74" t="str">
        <x:v>0</x:v>
      </x:c>
      <x:c r="AC756" s="74" t="str">
        <x:v>0</x:v>
      </x:c>
      <x:c r="AD756" s="74" t="str">
        <x:v>0</x:v>
      </x:c>
      <x:c r="AE756" s="74" t="str">
        <x:v>0</x:v>
      </x:c>
      <x:c r="AF756" s="74" t="str"/>
      <x:c r="AG756" s="74" t="str">
        <x:v>0</x:v>
      </x:c>
      <x:c r="AH756" s="74" t="str">
        <x:v>0</x:v>
      </x:c>
      <x:c r="AI756" s="74" t="str">
        <x:v>0</x:v>
      </x:c>
      <x:c r="AJ756" s="74" t="str">
        <x:v>0</x:v>
      </x:c>
      <x:c r="AK756" s="74" t="str">
        <x:v>0</x:v>
      </x:c>
      <x:c r="AL756" s="74" t="str">
        <x:v>0</x:v>
      </x:c>
      <x:c r="AM756" s="74" t="str">
        <x:v>0</x:v>
      </x:c>
      <x:c r="AN756" s="74" t="str">
        <x:v>0</x:v>
      </x:c>
      <x:c r="AO756" s="60" t="str">
        <x:v>0</x:v>
      </x:c>
      <x:c r="AP756" s="76" t="str">
        <x:v>500 Google reviews; no embedded homepage video found</x:v>
      </x:c>
      <x:c r="AQ756" s="76" t="str">
        <x:v>no embedded homepage video detected</x:v>
      </x:c>
      <x:c r="AR756" s="76" t="str">
        <x:v>MD Roofing has 500 Google reviews—strong proof that could be turned into short-form ad concepts.</x:v>
      </x:c>
      <x:c r="AS756" s="76" t="str">
        <x:v>storm-to-inspection before/after ad</x:v>
      </x:c>
      <x:c r="AT756" s="76" t="str">
        <x:v>MD Roofing ad concept</x:v>
      </x:c>
      <x:c r="AU756" s="76" t="str">
        <x:v>Hi MD Roofing — MD Roofing has 500 Google reviews—strong proof that could be turned into short-form ad concepts. I mapped a private 15-second storm-to-inspection before/after ad for MD Roofing using only public brand context—not for publishing, just to show the angle. We build three client-approved video ad concepts in seven days, then turn the winners into fresh variations. No filming day required. Worth sending the private sample?</x:v>
      </x:c>
      <x:c r="AV756" s="76" t="str">
        <x:v>Quick follow-up: the sample angle is a storm-to-inspection before/after ad. If it misses the mark, no problem—I won't keep chasing. Should I send it?</x:v>
      </x:c>
      <x:c r="AW756" s="76" t="str">
        <x:v>Hi MD Roofing, Ryan here. I was looking at MD Roofing's public marketing and noticed: 500 google reviews; no embedded homepage video found. I mapped one private storm-to-inspection before/after ad as an example. Did I catch you with 30 seconds?</x:v>
      </x:c>
      <x:c r="AX756" s="60" t="str">
        <x:v>https://www.facebook.com/ads/library/?active_status=active&amp;ad_type=all&amp;country=US&amp;q=MD%20Roofing&amp;search_type=keyword_unordered</x:v>
      </x:c>
      <x:c r="AY756" s="60" t="str">
        <x:v>url_error:TimeoutError</x:v>
      </x:c>
      <x:c r="AZ756" s="60" t="n">
        <x:v>46232.722858796296</x:v>
      </x:c>
      <x:c r="BA756" s="60" t="str">
        <x:v>Google Maps home-services export</x:v>
      </x:c>
      <x:c r="BB756" s="60" t="str">
        <x:v>https://maps.google.com/?cid=13198771705591517149&amp;g_mp=Cidnb29nbGUubWFwcy5wbGFjZXMudjEuUGxhY2VzLlNlYXJjaFRleHQQAhgEIAA | https://mdroofing.us</x:v>
      </x:c>
      <x:c r="BC756" s="60" t="str"/>
    </x:row>
    <x:row r="757" ht="18" customHeight="1">
      <x:c r="A757" s="70" t="str">
        <x:v>756</x:v>
      </x:c>
      <x:c r="B757" s="70" t="str">
        <x:v>C - Verify</x:v>
      </x:c>
      <x:c r="C757" s="72" t="str">
        <x:v>45</x:v>
      </x:c>
      <x:c r="D757" s="60" t="str">
        <x:v>Mack Heating &amp; Cooling, Inc.</x:v>
      </x:c>
      <x:c r="E757" s="60" t="str">
        <x:v>https://mackheatingandcooling.com</x:v>
      </x:c>
      <x:c r="F757" s="60" t="str">
        <x:v>https://mackheatingandcooling.com</x:v>
      </x:c>
      <x:c r="G757" s="60" t="str">
        <x:v>Columbia</x:v>
      </x:c>
      <x:c r="H757" s="60" t="str">
        <x:v>South Carolina</x:v>
      </x:c>
      <x:c r="I757" s="60" t="str">
        <x:v>HVAC</x:v>
      </x:c>
      <x:c r="J757" s="60" t="str">
        <x:v>Mack Heating &amp; Cooling, Inc.</x:v>
      </x:c>
      <x:c r="K757" s="60" t="str"/>
      <x:c r="L757" s="60" t="str">
        <x:v>Owner / decision maker to verify</x:v>
      </x:c>
      <x:c r="M757" s="60" t="str"/>
      <x:c r="N757" s="60" t="str"/>
      <x:c r="O757" s="60" t="str">
        <x:v>(803) 996-4791</x:v>
      </x:c>
      <x:c r="P757" s="60" t="str"/>
      <x:c r="Q757" s="60" t="str"/>
      <x:c r="R757" s="60" t="str"/>
      <x:c r="S757" s="60" t="str">
        <x:v>4.8</x:v>
      </x:c>
      <x:c r="T757" s="74" t="str">
        <x:v>116</x:v>
      </x:c>
      <x:c r="U757" s="60" t="str">
        <x:v>missed_calls, slow_response</x:v>
      </x:c>
      <x:c r="V757" s="74" t="str">
        <x:v>28</x:v>
      </x:c>
      <x:c r="W757" s="74" t="str">
        <x:v>0</x:v>
      </x:c>
      <x:c r="X757" s="74" t="str">
        <x:v>12</x:v>
      </x:c>
      <x:c r="Y757" s="74" t="str">
        <x:v>3</x:v>
      </x:c>
      <x:c r="Z757" s="74" t="str">
        <x:v>5</x:v>
      </x:c>
      <x:c r="AA757" s="74" t="str">
        <x:v>0</x:v>
      </x:c>
      <x:c r="AB757" s="74" t="str">
        <x:v>0</x:v>
      </x:c>
      <x:c r="AC757" s="74" t="str">
        <x:v>0</x:v>
      </x:c>
      <x:c r="AD757" s="74" t="str">
        <x:v>0</x:v>
      </x:c>
      <x:c r="AE757" s="74" t="str">
        <x:v>0</x:v>
      </x:c>
      <x:c r="AF757" s="74" t="str"/>
      <x:c r="AG757" s="74" t="str">
        <x:v>0</x:v>
      </x:c>
      <x:c r="AH757" s="74" t="str">
        <x:v>0</x:v>
      </x:c>
      <x:c r="AI757" s="74" t="str">
        <x:v>0</x:v>
      </x:c>
      <x:c r="AJ757" s="74" t="str">
        <x:v>0</x:v>
      </x:c>
      <x:c r="AK757" s="74" t="str">
        <x:v>0</x:v>
      </x:c>
      <x:c r="AL757" s="74" t="str">
        <x:v>0</x:v>
      </x:c>
      <x:c r="AM757" s="74" t="str">
        <x:v>0</x:v>
      </x:c>
      <x:c r="AN757" s="74" t="str">
        <x:v>0</x:v>
      </x:c>
      <x:c r="AO757" s="60" t="str">
        <x:v>0</x:v>
      </x:c>
      <x:c r="AP757" s="76" t="str">
        <x:v>116 Google reviews; no embedded homepage video found</x:v>
      </x:c>
      <x:c r="AQ757" s="76" t="str">
        <x:v>no embedded homepage video detected</x:v>
      </x:c>
      <x:c r="AR757" s="76" t="str">
        <x:v>Mack Heating &amp; Cooling, Inc. has 116 Google reviews—strong proof that could be turned into short-form ad concepts.</x:v>
      </x:c>
      <x:c r="AS757" s="76" t="str">
        <x:v>no-cool-call to same-day comfort ad</x:v>
      </x:c>
      <x:c r="AT757" s="76" t="str">
        <x:v>Mack Heating &amp; Cooling, Inc. ad concept</x:v>
      </x:c>
      <x:c r="AU757" s="76" t="str">
        <x:v>Hi Mack Heating &amp; Cooling, Inc. — Mack Heating &amp; Cooling, Inc. has 116 Google reviews—strong proof that could be turned into short-form ad concepts. I mapped a private 15-second no-cool-call to same-day comfort ad for Mack Heating &amp; Cooling, Inc. using only public brand context—not for publishing, just to show the angle. We build three client-approved video ad concepts in seven days, then turn the winners into fresh variations. No filming day required. Worth sending the private sample?</x:v>
      </x:c>
      <x:c r="AV757" s="76" t="str">
        <x:v>Quick follow-up: the sample angle is a no-cool-call to same-day comfort ad. If it misses the mark, no problem—I won't keep chasing. Should I send it?</x:v>
      </x:c>
      <x:c r="AW757" s="76" t="str">
        <x:v>Hi Mack Heating &amp; Cooling, Inc., Ryan here. I was looking at Mack Heating &amp; Cooling, Inc.'s public marketing and noticed: 116 google reviews; no embedded homepage video found. I mapped one private no-cool-call to same-day comfort ad as an example. Did I catch you with 30 seconds?</x:v>
      </x:c>
      <x:c r="AX757" s="60" t="str">
        <x:v>https://www.facebook.com/ads/library/?active_status=active&amp;ad_type=all&amp;country=US&amp;q=Mack%20Heating%20%26%20Cooling%2C%20Inc.&amp;search_type=keyword_unordered</x:v>
      </x:c>
      <x:c r="AY757" s="60" t="str">
        <x:v>url_error:SSLCertVerificationError</x:v>
      </x:c>
      <x:c r="AZ757" s="60" t="n">
        <x:v>46232.722858796296</x:v>
      </x:c>
      <x:c r="BA757" s="60" t="str">
        <x:v>Google Maps home-services export</x:v>
      </x:c>
      <x:c r="BB757" s="60" t="str">
        <x:v>https://mackheatingandcooling.com | https://maps.google.com/?cid=3772855364191778239&amp;g_mp=Cidnb29nbGUubWFwcy5wbGFjZXMudjEuUGxhY2VzLlNlYXJjaFRleHQQAhgEIAA</x:v>
      </x:c>
      <x:c r="BC757" s="60" t="str"/>
    </x:row>
    <x:row r="758" ht="18" customHeight="1">
      <x:c r="A758" s="70" t="str">
        <x:v>757</x:v>
      </x:c>
      <x:c r="B758" s="70" t="str">
        <x:v>C - Verify</x:v>
      </x:c>
      <x:c r="C758" s="72" t="str">
        <x:v>45</x:v>
      </x:c>
      <x:c r="D758" s="60" t="str">
        <x:v>Affordable Home Repairs</x:v>
      </x:c>
      <x:c r="E758" s="60" t="str">
        <x:v>https://affordablehome-repairs.com</x:v>
      </x:c>
      <x:c r="F758" s="60" t="str">
        <x:v>http://affordablehome-repairs.com</x:v>
      </x:c>
      <x:c r="G758" s="60" t="str">
        <x:v>Abbeville County</x:v>
      </x:c>
      <x:c r="H758" s="60" t="str">
        <x:v>South Carolina</x:v>
      </x:c>
      <x:c r="I758" s="60" t="str">
        <x:v>General Contractor</x:v>
      </x:c>
      <x:c r="J758" s="60" t="str">
        <x:v>Danny</x:v>
      </x:c>
      <x:c r="K758" s="60" t="str">
        <x:v>Smith</x:v>
      </x:c>
      <x:c r="L758" s="60" t="str">
        <x:v>owner</x:v>
      </x:c>
      <x:c r="M758" s="60" t="str"/>
      <x:c r="N758" s="60" t="str"/>
      <x:c r="O758" s="60" t="str">
        <x:v>+1 864 436 3084, +1 901 354 4524</x:v>
      </x:c>
      <x:c r="P758" s="60" t="str">
        <x:v>https://www.linkedin.com/in/danny-smith-1119b8104</x:v>
      </x:c>
      <x:c r="Q758" s="60" t="str">
        <x:v>11-50</x:v>
      </x:c>
      <x:c r="R758" s="60" t="str">
        <x:v>1000000-4999999</x:v>
      </x:c>
      <x:c r="S758" s="60" t="str"/>
      <x:c r="T758" s="74" t="str">
        <x:v>0</x:v>
      </x:c>
      <x:c r="U758" s="60" t="str"/>
      <x:c r="V758" s="74" t="str">
        <x:v>27</x:v>
      </x:c>
      <x:c r="W758" s="74" t="str">
        <x:v>0</x:v>
      </x:c>
      <x:c r="X758" s="74" t="str">
        <x:v>10</x:v>
      </x:c>
      <x:c r="Y758" s="74" t="str">
        <x:v>3</x:v>
      </x:c>
      <x:c r="Z758" s="74" t="str">
        <x:v>5</x:v>
      </x:c>
      <x:c r="AA758" s="74" t="str">
        <x:v>0</x:v>
      </x:c>
      <x:c r="AB758" s="74" t="str">
        <x:v>0</x:v>
      </x:c>
      <x:c r="AC758" s="74" t="str">
        <x:v>0</x:v>
      </x:c>
      <x:c r="AD758" s="74" t="str">
        <x:v>0</x:v>
      </x:c>
      <x:c r="AE758" s="74" t="str">
        <x:v>0</x:v>
      </x:c>
      <x:c r="AF758" s="74" t="str"/>
      <x:c r="AG758" s="74" t="str">
        <x:v>0</x:v>
      </x:c>
      <x:c r="AH758" s="74" t="str">
        <x:v>0</x:v>
      </x:c>
      <x:c r="AI758" s="74" t="str">
        <x:v>0</x:v>
      </x:c>
      <x:c r="AJ758" s="74" t="str">
        <x:v>0</x:v>
      </x:c>
      <x:c r="AK758" s="74" t="str">
        <x:v>1</x:v>
      </x:c>
      <x:c r="AL758" s="74" t="str">
        <x:v>0</x:v>
      </x:c>
      <x:c r="AM758" s="74" t="str">
        <x:v>0</x:v>
      </x:c>
      <x:c r="AN758" s="74" t="str">
        <x:v>0</x:v>
      </x:c>
      <x:c r="AO758" s="60" t="str">
        <x:v>0</x:v>
      </x:c>
      <x:c r="AP758" s="76" t="str">
        <x:v>ICP fit; paid-demand need requires manual verification</x:v>
      </x:c>
      <x:c r="AQ758" s="76" t="str">
        <x:v>visible service offer; no embedded homepage video detected</x:v>
      </x:c>
      <x:c r="AR758" s="76" t="str">
        <x:v>I was reviewing general contractor companies in Abbeville County, South Carolina and Affordable Home Repairs looked like a strong fit for a creative test.</x:v>
      </x:c>
      <x:c r="AS758" s="76" t="str">
        <x:v>project walkthrough with proof milestones</x:v>
      </x:c>
      <x:c r="AT758" s="76" t="str">
        <x:v>Affordable Home Repairs ad concept</x:v>
      </x:c>
      <x:c r="AU758" s="76" t="str">
        <x:v>Hi Danny — I was reviewing general contractor companies in Abbeville County, South Carolina and Affordable Home Repairs looked like a strong fit for a creative test. I mapped a private 15-second project walkthrough with proof milestones for Affordable Home Repairs using only public brand context—not for publishing, just to show the angle. We build three client-approved video ad concepts in seven days, then turn the winners into fresh variations. No filming day required. Worth sending the private sample?</x:v>
      </x:c>
      <x:c r="AV758" s="76" t="str">
        <x:v>Quick follow-up: the sample angle is a project walkthrough with proof milestones. If it misses the mark, no problem—I won't keep chasing. Should I send it?</x:v>
      </x:c>
      <x:c r="AW758" s="76" t="str">
        <x:v>Hi Danny, Ryan here. I was looking at Affordable Home Repairs's public marketing and noticed: icp fit; paid-demand need requires manual verification. I mapped one private project walkthrough with proof milestones as an example. Did I catch you with 30 seconds?</x:v>
      </x:c>
      <x:c r="AX758" s="60" t="str">
        <x:v>https://www.facebook.com/ads/library/?active_status=active&amp;ad_type=all&amp;country=US&amp;q=Affordable%20Home%20Repairs&amp;search_type=keyword_unordered</x:v>
      </x:c>
      <x:c r="AY758" s="60" t="str">
        <x:v>ok:200</x:v>
      </x:c>
      <x:c r="AZ758" s="60" t="n">
        <x:v>46232.722858796296</x:v>
      </x:c>
      <x:c r="BA758" s="60" t="str">
        <x:v>AI Ark SC trades export</x:v>
      </x:c>
      <x:c r="BB758" s="60" t="str">
        <x:v>https://affordablehome-repairs.com | https://www.linkedin.com/company/affordable-home-repairs</x:v>
      </x:c>
      <x:c r="BC758" s="60" t="str"/>
    </x:row>
    <x:row r="759" ht="18" customHeight="1">
      <x:c r="A759" s="70" t="str">
        <x:v>758</x:v>
      </x:c>
      <x:c r="B759" s="70" t="str">
        <x:v>C - Verify</x:v>
      </x:c>
      <x:c r="C759" s="72" t="str">
        <x:v>45</x:v>
      </x:c>
      <x:c r="D759" s="60" t="str">
        <x:v>SouthCon Building Group</x:v>
      </x:c>
      <x:c r="E759" s="60" t="str">
        <x:v>https://southconbuilding.com</x:v>
      </x:c>
      <x:c r="F759" s="60" t="str">
        <x:v>https://www.southconbuilding.com/</x:v>
      </x:c>
      <x:c r="G759" s="60" t="str">
        <x:v>Mount Pleasant</x:v>
      </x:c>
      <x:c r="H759" s="60" t="str">
        <x:v>South Carolina</x:v>
      </x:c>
      <x:c r="I759" s="60" t="str">
        <x:v>General Contractor</x:v>
      </x:c>
      <x:c r="J759" s="60" t="str">
        <x:v>Chris</x:v>
      </x:c>
      <x:c r="K759" s="60" t="str">
        <x:v>Spach</x:v>
      </x:c>
      <x:c r="L759" s="60" t="str">
        <x:v>Owner</x:v>
      </x:c>
      <x:c r="M759" s="60" t="str">
        <x:v>cspach@southconbuilding.com</x:v>
      </x:c>
      <x:c r="N759" s="60" t="str">
        <x:v>Verified with BounceBan on 08 Jun 26 12:06</x:v>
      </x:c>
      <x:c r="O759" s="60" t="str">
        <x:v>+1 843 296 0669, +1 843 628 2915</x:v>
      </x:c>
      <x:c r="P759" s="60" t="str">
        <x:v>https://www.linkedin.com/in/chris-spach-95126432</x:v>
      </x:c>
      <x:c r="Q759" s="60" t="str">
        <x:v>11-50</x:v>
      </x:c>
      <x:c r="R759" s="60" t="str">
        <x:v>500000-999999</x:v>
      </x:c>
      <x:c r="S759" s="60" t="str"/>
      <x:c r="T759" s="74" t="str">
        <x:v>0</x:v>
      </x:c>
      <x:c r="U759" s="60" t="str"/>
      <x:c r="V759" s="74" t="str">
        <x:v>25</x:v>
      </x:c>
      <x:c r="W759" s="74" t="str">
        <x:v>0</x:v>
      </x:c>
      <x:c r="X759" s="74" t="str">
        <x:v>10</x:v>
      </x:c>
      <x:c r="Y759" s="74" t="str">
        <x:v>0</x:v>
      </x:c>
      <x:c r="Z759" s="74" t="str">
        <x:v>10</x:v>
      </x:c>
      <x:c r="AA759" s="74" t="str">
        <x:v>0</x:v>
      </x:c>
      <x:c r="AB759" s="74" t="str">
        <x:v>0</x:v>
      </x:c>
      <x:c r="AC759" s="74" t="str">
        <x:v>0</x:v>
      </x:c>
      <x:c r="AD759" s="74" t="str">
        <x:v>0</x:v>
      </x:c>
      <x:c r="AE759" s="74" t="str">
        <x:v>0</x:v>
      </x:c>
      <x:c r="AF759" s="74" t="str"/>
      <x:c r="AG759" s="74" t="str">
        <x:v>0</x:v>
      </x:c>
      <x:c r="AH759" s="74" t="str">
        <x:v>0</x:v>
      </x:c>
      <x:c r="AI759" s="74" t="str">
        <x:v>0</x:v>
      </x:c>
      <x:c r="AJ759" s="74" t="str">
        <x:v>0</x:v>
      </x:c>
      <x:c r="AK759" s="74" t="str">
        <x:v>0</x:v>
      </x:c>
      <x:c r="AL759" s="74" t="str">
        <x:v>0</x:v>
      </x:c>
      <x:c r="AM759" s="74" t="str">
        <x:v>0</x:v>
      </x:c>
      <x:c r="AN759" s="74" t="str">
        <x:v>0</x:v>
      </x:c>
      <x:c r="AO759" s="60" t="str">
        <x:v>0</x:v>
      </x:c>
      <x:c r="AP759" s="76" t="str">
        <x:v>ICP fit; paid-demand need requires manual verification</x:v>
      </x:c>
      <x:c r="AQ759" s="76" t="str">
        <x:v>no embedded homepage video detected</x:v>
      </x:c>
      <x:c r="AR759" s="76" t="str">
        <x:v>I was reviewing general contractor companies in Mount Pleasant, South Carolina and SouthCon Building Group looked like a strong fit for a creative test.</x:v>
      </x:c>
      <x:c r="AS759" s="76" t="str">
        <x:v>project walkthrough with proof milestones</x:v>
      </x:c>
      <x:c r="AT759" s="76" t="str">
        <x:v>SouthCon Building Group ad concept</x:v>
      </x:c>
      <x:c r="AU759" s="76" t="str">
        <x:v>Hi Chris — I was reviewing general contractor companies in Mount Pleasant, South Carolina and SouthCon Building Group looked like a strong fit for a creative test. I mapped a private 15-second project walkthrough with proof milestones for SouthCon Building Group using only public brand context—not for publishing, just to show the angle. We build three client-approved video ad concepts in seven days, then turn the winners into fresh variations. No filming day required. Worth sending the private sample?</x:v>
      </x:c>
      <x:c r="AV759" s="76" t="str">
        <x:v>Quick follow-up: the sample angle is a project walkthrough with proof milestones. If it misses the mark, no problem—I won't keep chasing. Should I send it?</x:v>
      </x:c>
      <x:c r="AW759" s="76" t="str">
        <x:v>Hi Chris, Ryan here. I was looking at SouthCon Building Group's public marketing and noticed: icp fit; paid-demand need requires manual verification. I mapped one private project walkthrough with proof milestones as an example. Did I catch you with 30 seconds?</x:v>
      </x:c>
      <x:c r="AX759" s="60" t="str">
        <x:v>https://www.facebook.com/ads/library/?active_status=active&amp;ad_type=all&amp;country=US&amp;q=SouthCon%20Building%20Group&amp;search_type=keyword_unordered</x:v>
      </x:c>
      <x:c r="AY759" s="60" t="str">
        <x:v>ok:200</x:v>
      </x:c>
      <x:c r="AZ759" s="60" t="n">
        <x:v>46232.722858796296</x:v>
      </x:c>
      <x:c r="BA759" s="60" t="str">
        <x:v>AI Ark SC trades export</x:v>
      </x:c>
      <x:c r="BB759" s="60" t="str">
        <x:v>https://southconbuilding.com | https://www.linkedin.com/company/southcon-building-group</x:v>
      </x:c>
      <x:c r="BC759" s="60" t="str"/>
    </x:row>
    <x:row r="760" ht="18" customHeight="1">
      <x:c r="A760" s="70" t="str">
        <x:v>759</x:v>
      </x:c>
      <x:c r="B760" s="70" t="str">
        <x:v>C - Verify</x:v>
      </x:c>
      <x:c r="C760" s="72" t="str">
        <x:v>45</x:v>
      </x:c>
      <x:c r="D760" s="60" t="str">
        <x:v>McAlister Realty</x:v>
      </x:c>
      <x:c r="E760" s="60" t="str">
        <x:v>https://builderpeople.com</x:v>
      </x:c>
      <x:c r="F760" s="60" t="str">
        <x:v>https://www.builderpeople.com/</x:v>
      </x:c>
      <x:c r="G760" s="60" t="str">
        <x:v>Greenville-spartanburg-anderson</x:v>
      </x:c>
      <x:c r="H760" s="60" t="str">
        <x:v>South Carolina Area</x:v>
      </x:c>
      <x:c r="I760" s="60" t="str">
        <x:v>General Contractor</x:v>
      </x:c>
      <x:c r="J760" s="60" t="str">
        <x:v>Stan</x:v>
      </x:c>
      <x:c r="K760" s="60" t="str">
        <x:v>McAlister</x:v>
      </x:c>
      <x:c r="L760" s="60" t="str">
        <x:v>Owner</x:v>
      </x:c>
      <x:c r="M760" s="60" t="str">
        <x:v>stan@builderpeople.com</x:v>
      </x:c>
      <x:c r="N760" s="60" t="str">
        <x:v>Verified with BounceBan on 08 Jun 26 12:06</x:v>
      </x:c>
      <x:c r="O760" s="60" t="str">
        <x:v>+1 864 313 5999</x:v>
      </x:c>
      <x:c r="P760" s="60" t="str">
        <x:v>https://www.linkedin.com/in/stan-mcalister-42727a121</x:v>
      </x:c>
      <x:c r="Q760" s="60" t="str">
        <x:v>11-50</x:v>
      </x:c>
      <x:c r="R760" s="60" t="str">
        <x:v>500000-999999</x:v>
      </x:c>
      <x:c r="S760" s="60" t="str"/>
      <x:c r="T760" s="74" t="str">
        <x:v>0</x:v>
      </x:c>
      <x:c r="U760" s="60" t="str"/>
      <x:c r="V760" s="74" t="str">
        <x:v>25</x:v>
      </x:c>
      <x:c r="W760" s="74" t="str">
        <x:v>0</x:v>
      </x:c>
      <x:c r="X760" s="74" t="str">
        <x:v>10</x:v>
      </x:c>
      <x:c r="Y760" s="74" t="str">
        <x:v>0</x:v>
      </x:c>
      <x:c r="Z760" s="74" t="str">
        <x:v>10</x:v>
      </x:c>
      <x:c r="AA760" s="74" t="str">
        <x:v>0</x:v>
      </x:c>
      <x:c r="AB760" s="74" t="str">
        <x:v>0</x:v>
      </x:c>
      <x:c r="AC760" s="74" t="str">
        <x:v>0</x:v>
      </x:c>
      <x:c r="AD760" s="74" t="str">
        <x:v>0</x:v>
      </x:c>
      <x:c r="AE760" s="74" t="str">
        <x:v>0</x:v>
      </x:c>
      <x:c r="AF760" s="74" t="str"/>
      <x:c r="AG760" s="74" t="str">
        <x:v>0</x:v>
      </x:c>
      <x:c r="AH760" s="74" t="str">
        <x:v>0</x:v>
      </x:c>
      <x:c r="AI760" s="74" t="str">
        <x:v>0</x:v>
      </x:c>
      <x:c r="AJ760" s="74" t="str">
        <x:v>0</x:v>
      </x:c>
      <x:c r="AK760" s="74" t="str">
        <x:v>0</x:v>
      </x:c>
      <x:c r="AL760" s="74" t="str">
        <x:v>0</x:v>
      </x:c>
      <x:c r="AM760" s="74" t="str">
        <x:v>0</x:v>
      </x:c>
      <x:c r="AN760" s="74" t="str">
        <x:v>0</x:v>
      </x:c>
      <x:c r="AO760" s="60" t="str">
        <x:v>0</x:v>
      </x:c>
      <x:c r="AP760" s="76" t="str">
        <x:v>ICP fit; paid-demand need requires manual verification</x:v>
      </x:c>
      <x:c r="AQ760" s="76" t="str">
        <x:v>no embedded homepage video detected</x:v>
      </x:c>
      <x:c r="AR760" s="76" t="str">
        <x:v>I was reviewing general contractor companies in Greenville-spartanburg-anderson, South Carolina Area and McAlister Realty looked like a strong fit for a creative test.</x:v>
      </x:c>
      <x:c r="AS760" s="76" t="str">
        <x:v>project walkthrough with proof milestones</x:v>
      </x:c>
      <x:c r="AT760" s="76" t="str">
        <x:v>McAlister Realty ad concept</x:v>
      </x:c>
      <x:c r="AU760" s="76" t="str">
        <x:v>Hi Stan — I was reviewing general contractor companies in Greenville-spartanburg-anderson, South Carolina Area and McAlister Realty looked like a strong fit for a creative test. I mapped a private 15-second project walkthrough with proof milestones for McAlister Realty using only public brand context—not for publishing, just to show the angle. We build three client-approved video ad concepts in seven days, then turn the winners into fresh variations. No filming day required. Worth sending the private sample?</x:v>
      </x:c>
      <x:c r="AV760" s="76" t="str">
        <x:v>Quick follow-up: the sample angle is a project walkthrough with proof milestones. If it misses the mark, no problem—I won't keep chasing. Should I send it?</x:v>
      </x:c>
      <x:c r="AW760" s="76" t="str">
        <x:v>Hi Stan, Ryan here. I was looking at McAlister Realty's public marketing and noticed: icp fit; paid-demand need requires manual verification. I mapped one private project walkthrough with proof milestones as an example. Did I catch you with 30 seconds?</x:v>
      </x:c>
      <x:c r="AX760" s="60" t="str">
        <x:v>https://www.facebook.com/ads/library/?active_status=active&amp;ad_type=all&amp;country=US&amp;q=McAlister%20Realty&amp;search_type=keyword_unordered</x:v>
      </x:c>
      <x:c r="AY760" s="60" t="str">
        <x:v>ok:200</x:v>
      </x:c>
      <x:c r="AZ760" s="60" t="n">
        <x:v>46232.722858796296</x:v>
      </x:c>
      <x:c r="BA760" s="60" t="str">
        <x:v>AI Ark SC trades export</x:v>
      </x:c>
      <x:c r="BB760" s="60" t="str">
        <x:v>https://builderpeople.com | https://www.linkedin.com/company/mcalister-realty</x:v>
      </x:c>
      <x:c r="BC760" s="60" t="str"/>
    </x:row>
    <x:row r="761" ht="18" customHeight="1">
      <x:c r="A761" s="70" t="str">
        <x:v>760</x:v>
      </x:c>
      <x:c r="B761" s="70" t="str">
        <x:v>C - Verify</x:v>
      </x:c>
      <x:c r="C761" s="72" t="str">
        <x:v>45</x:v>
      </x:c>
      <x:c r="D761" s="60" t="str">
        <x:v>Joye Roofing</x:v>
      </x:c>
      <x:c r="E761" s="60" t="str">
        <x:v>https://joyeroofing.com</x:v>
      </x:c>
      <x:c r="F761" s="60" t="str">
        <x:v>https://joyeroofing.com</x:v>
      </x:c>
      <x:c r="G761" s="60" t="str">
        <x:v>Lexington County</x:v>
      </x:c>
      <x:c r="H761" s="60" t="str">
        <x:v>South Carolina</x:v>
      </x:c>
      <x:c r="I761" s="60" t="str">
        <x:v>Roofing</x:v>
      </x:c>
      <x:c r="J761" s="60" t="str">
        <x:v>Derek</x:v>
      </x:c>
      <x:c r="K761" s="60" t="str">
        <x:v>Joye</x:v>
      </x:c>
      <x:c r="L761" s="60" t="str">
        <x:v>Owner</x:v>
      </x:c>
      <x:c r="M761" s="60" t="str">
        <x:v>derek@joyeroofing.com</x:v>
      </x:c>
      <x:c r="N761" s="60" t="str">
        <x:v>Verified with BounceBan on 08 Jun 26 12:06</x:v>
      </x:c>
      <x:c r="O761" s="60" t="str">
        <x:v>+1 803 513 6549</x:v>
      </x:c>
      <x:c r="P761" s="60" t="str">
        <x:v>https://www.linkedin.com/in/derek-joye-83141ba6</x:v>
      </x:c>
      <x:c r="Q761" s="60" t="str">
        <x:v>2-10</x:v>
      </x:c>
      <x:c r="R761" s="60" t="str">
        <x:v>0-99999</x:v>
      </x:c>
      <x:c r="S761" s="60" t="str"/>
      <x:c r="T761" s="74" t="str">
        <x:v>0</x:v>
      </x:c>
      <x:c r="U761" s="60" t="str"/>
      <x:c r="V761" s="74" t="str">
        <x:v>28</x:v>
      </x:c>
      <x:c r="W761" s="74" t="str">
        <x:v>0</x:v>
      </x:c>
      <x:c r="X761" s="74" t="str">
        <x:v>10</x:v>
      </x:c>
      <x:c r="Y761" s="74" t="str">
        <x:v>0</x:v>
      </x:c>
      <x:c r="Z761" s="74" t="str">
        <x:v>10</x:v>
      </x:c>
      <x:c r="AA761" s="74" t="str">
        <x:v>0</x:v>
      </x:c>
      <x:c r="AB761" s="74" t="str">
        <x:v>0</x:v>
      </x:c>
      <x:c r="AC761" s="74" t="str">
        <x:v>0</x:v>
      </x:c>
      <x:c r="AD761" s="74" t="str">
        <x:v>0</x:v>
      </x:c>
      <x:c r="AE761" s="74" t="str">
        <x:v>0</x:v>
      </x:c>
      <x:c r="AF761" s="74" t="str"/>
      <x:c r="AG761" s="74" t="str">
        <x:v>0</x:v>
      </x:c>
      <x:c r="AH761" s="74" t="str">
        <x:v>0</x:v>
      </x:c>
      <x:c r="AI761" s="74" t="str">
        <x:v>0</x:v>
      </x:c>
      <x:c r="AJ761" s="74" t="str">
        <x:v>0</x:v>
      </x:c>
      <x:c r="AK761" s="74" t="str">
        <x:v>0</x:v>
      </x:c>
      <x:c r="AL761" s="74" t="str">
        <x:v>0</x:v>
      </x:c>
      <x:c r="AM761" s="74" t="str">
        <x:v>0</x:v>
      </x:c>
      <x:c r="AN761" s="74" t="str">
        <x:v>0</x:v>
      </x:c>
      <x:c r="AO761" s="60" t="str">
        <x:v>0</x:v>
      </x:c>
      <x:c r="AP761" s="76" t="str">
        <x:v>ICP fit; paid-demand need requires manual verification</x:v>
      </x:c>
      <x:c r="AQ761" s="76" t="str">
        <x:v>no embedded homepage video detected</x:v>
      </x:c>
      <x:c r="AR761" s="76" t="str">
        <x:v>I was reviewing roofing companies in Lexington County, South Carolina and Joye Roofing looked like a strong fit for a creative test.</x:v>
      </x:c>
      <x:c r="AS761" s="76" t="str">
        <x:v>storm-to-inspection before/after ad</x:v>
      </x:c>
      <x:c r="AT761" s="76" t="str">
        <x:v>Joye Roofing ad concept</x:v>
      </x:c>
      <x:c r="AU761" s="76" t="str">
        <x:v>Hi Derek — I was reviewing roofing companies in Lexington County, South Carolina and Joye Roofing looked like a strong fit for a creative test. I mapped a private 15-second storm-to-inspection before/after ad for Joye Roofing using only public brand context—not for publishing, just to show the angle. We build three client-approved video ad concepts in seven days, then turn the winners into fresh variations. No filming day required. Worth sending the private sample?</x:v>
      </x:c>
      <x:c r="AV761" s="76" t="str">
        <x:v>Quick follow-up: the sample angle is a storm-to-inspection before/after ad. If it misses the mark, no problem—I won't keep chasing. Should I send it?</x:v>
      </x:c>
      <x:c r="AW761" s="76" t="str">
        <x:v>Hi Derek, Ryan here. I was looking at Joye Roofing's public marketing and noticed: icp fit; paid-demand need requires manual verification. I mapped one private storm-to-inspection before/after ad as an example. Did I catch you with 30 seconds?</x:v>
      </x:c>
      <x:c r="AX761" s="60" t="str">
        <x:v>https://www.facebook.com/ads/library/?active_status=active&amp;ad_type=all&amp;country=US&amp;q=Joye%20Roofing&amp;search_type=keyword_unordered</x:v>
      </x:c>
      <x:c r="AY761" s="60" t="str">
        <x:v>http:404</x:v>
      </x:c>
      <x:c r="AZ761" s="60" t="n">
        <x:v>46232.722858796296</x:v>
      </x:c>
      <x:c r="BA761" s="60" t="str">
        <x:v>AI Ark SC trades export</x:v>
      </x:c>
      <x:c r="BB761" s="60" t="str">
        <x:v>https://joyeroofing.com | https://www.linkedin.com/company/joye-roofing</x:v>
      </x:c>
      <x:c r="BC761" s="60" t="str"/>
    </x:row>
    <x:row r="762" ht="18" customHeight="1">
      <x:c r="A762" s="70" t="str">
        <x:v>761</x:v>
      </x:c>
      <x:c r="B762" s="70" t="str">
        <x:v>C - Verify</x:v>
      </x:c>
      <x:c r="C762" s="72" t="str">
        <x:v>45</x:v>
      </x:c>
      <x:c r="D762" s="60" t="str">
        <x:v>Compass Designs</x:v>
      </x:c>
      <x:c r="E762" s="60" t="str">
        <x:v>https://compassprotect.com</x:v>
      </x:c>
      <x:c r="F762" s="60" t="str">
        <x:v>https://www.compassprotect.com/</x:v>
      </x:c>
      <x:c r="G762" s="60" t="str">
        <x:v>Myrtle Beach</x:v>
      </x:c>
      <x:c r="H762" s="60" t="str">
        <x:v>South Carolina</x:v>
      </x:c>
      <x:c r="I762" s="60" t="str">
        <x:v>Roofing</x:v>
      </x:c>
      <x:c r="J762" s="60" t="str">
        <x:v>Dan</x:v>
      </x:c>
      <x:c r="K762" s="60" t="str">
        <x:v>Bowden</x:v>
      </x:c>
      <x:c r="L762" s="60" t="str">
        <x:v>Owner</x:v>
      </x:c>
      <x:c r="M762" s="60" t="str">
        <x:v>dan@compassprotect.com</x:v>
      </x:c>
      <x:c r="N762" s="60" t="str">
        <x:v>Verified with BounceBan on 08 Jun 26 12:06</x:v>
      </x:c>
      <x:c r="O762" s="60" t="str">
        <x:v>+1 843 455 2587, +1 843 455 2062</x:v>
      </x:c>
      <x:c r="P762" s="60" t="str">
        <x:v>https://www.linkedin.com/in/dan-bowden-12828512</x:v>
      </x:c>
      <x:c r="Q762" s="60" t="str">
        <x:v>2-10</x:v>
      </x:c>
      <x:c r="R762" s="60" t="str">
        <x:v>100000-499999</x:v>
      </x:c>
      <x:c r="S762" s="60" t="str"/>
      <x:c r="T762" s="74" t="str">
        <x:v>0</x:v>
      </x:c>
      <x:c r="U762" s="60" t="str"/>
      <x:c r="V762" s="74" t="str">
        <x:v>28</x:v>
      </x:c>
      <x:c r="W762" s="74" t="str">
        <x:v>0</x:v>
      </x:c>
      <x:c r="X762" s="74" t="str">
        <x:v>7</x:v>
      </x:c>
      <x:c r="Y762" s="74" t="str">
        <x:v>0</x:v>
      </x:c>
      <x:c r="Z762" s="74" t="str">
        <x:v>10</x:v>
      </x:c>
      <x:c r="AA762" s="74" t="str">
        <x:v>0</x:v>
      </x:c>
      <x:c r="AB762" s="74" t="str">
        <x:v>0</x:v>
      </x:c>
      <x:c r="AC762" s="74" t="str">
        <x:v>0</x:v>
      </x:c>
      <x:c r="AD762" s="74" t="str">
        <x:v>0</x:v>
      </x:c>
      <x:c r="AE762" s="74" t="str">
        <x:v>0</x:v>
      </x:c>
      <x:c r="AF762" s="74" t="str"/>
      <x:c r="AG762" s="74" t="str">
        <x:v>1</x:v>
      </x:c>
      <x:c r="AH762" s="74" t="str">
        <x:v>0</x:v>
      </x:c>
      <x:c r="AI762" s="74" t="str">
        <x:v>0</x:v>
      </x:c>
      <x:c r="AJ762" s="74" t="str">
        <x:v>0</x:v>
      </x:c>
      <x:c r="AK762" s="74" t="str">
        <x:v>0</x:v>
      </x:c>
      <x:c r="AL762" s="74" t="str">
        <x:v>0</x:v>
      </x:c>
      <x:c r="AM762" s="74" t="str">
        <x:v>1</x:v>
      </x:c>
      <x:c r="AN762" s="74" t="str">
        <x:v>0</x:v>
      </x:c>
      <x:c r="AO762" s="60" t="str">
        <x:v>2023</x:v>
      </x:c>
      <x:c r="AP762" s="76" t="str">
        <x:v>ICP fit; paid-demand need requires manual verification</x:v>
      </x:c>
      <x:c r="AQ762" s="76" t="str">
        <x:v>No strong homepage signal detected</x:v>
      </x:c>
      <x:c r="AR762" s="76" t="str">
        <x:v>I was reviewing roofing companies in Myrtle Beach, South Carolina and Compass Designs looked like a strong fit for a creative test.</x:v>
      </x:c>
      <x:c r="AS762" s="76" t="str">
        <x:v>storm-to-inspection before/after ad</x:v>
      </x:c>
      <x:c r="AT762" s="76" t="str">
        <x:v>Compass Designs ad concept</x:v>
      </x:c>
      <x:c r="AU762" s="76" t="str">
        <x:v>Hi Dan — I was reviewing roofing companies in Myrtle Beach, South Carolina and Compass Designs looked like a strong fit for a creative test. I mapped a private 15-second storm-to-inspection before/after ad for Compass Designs using only public brand context—not for publishing, just to show the angle. We build three client-approved video ad concepts in seven days, then turn the winners into fresh variations. No filming day required. Worth sending the private sample?</x:v>
      </x:c>
      <x:c r="AV762" s="76" t="str">
        <x:v>Quick follow-up: the sample angle is a storm-to-inspection before/after ad. If it misses the mark, no problem—I won't keep chasing. Should I send it?</x:v>
      </x:c>
      <x:c r="AW762" s="76" t="str">
        <x:v>Hi Dan, Ryan here. I was looking at Compass Designs's public marketing and noticed: icp fit; paid-demand need requires manual verification. I mapped one private storm-to-inspection before/after ad as an example. Did I catch you with 30 seconds?</x:v>
      </x:c>
      <x:c r="AX762" s="60" t="str">
        <x:v>https://www.facebook.com/ads/library/?active_status=active&amp;ad_type=all&amp;country=US&amp;q=Compass%20Designs&amp;search_type=keyword_unordered</x:v>
      </x:c>
      <x:c r="AY762" s="60" t="str">
        <x:v>ok:200</x:v>
      </x:c>
      <x:c r="AZ762" s="60" t="n">
        <x:v>46232.722858796296</x:v>
      </x:c>
      <x:c r="BA762" s="60" t="str">
        <x:v>AI Ark SC trades export</x:v>
      </x:c>
      <x:c r="BB762" s="60" t="str">
        <x:v>https://compassprotect.com | https://www.linkedin.com/company/compass-designs-llc</x:v>
      </x:c>
      <x:c r="BC762" s="60" t="str"/>
    </x:row>
    <x:row r="763" ht="18" customHeight="1">
      <x:c r="A763" s="70" t="str">
        <x:v>762</x:v>
      </x:c>
      <x:c r="B763" s="70" t="str">
        <x:v>C - Verify</x:v>
      </x:c>
      <x:c r="C763" s="72" t="str">
        <x:v>45</x:v>
      </x:c>
      <x:c r="D763" s="60" t="str">
        <x:v>Broad River Construction</x:v>
      </x:c>
      <x:c r="E763" s="60" t="str">
        <x:v>https://broadriverconstruction.com</x:v>
      </x:c>
      <x:c r="F763" s="60" t="str">
        <x:v>http://broadriverconstruction.com</x:v>
      </x:c>
      <x:c r="G763" s="60" t="str">
        <x:v>Beaufort</x:v>
      </x:c>
      <x:c r="H763" s="60" t="str">
        <x:v>South Carolina</x:v>
      </x:c>
      <x:c r="I763" s="60" t="str">
        <x:v>Remodeling</x:v>
      </x:c>
      <x:c r="J763" s="60" t="str">
        <x:v>Patrick</x:v>
      </x:c>
      <x:c r="K763" s="60" t="str">
        <x:v>McMichael</x:v>
      </x:c>
      <x:c r="L763" s="60" t="str">
        <x:v>Owner</x:v>
      </x:c>
      <x:c r="M763" s="60" t="str">
        <x:v>patrick@broadriverconstruction.com</x:v>
      </x:c>
      <x:c r="N763" s="60" t="str">
        <x:v>Verified with BounceBan on 08 Jun 26 12:06</x:v>
      </x:c>
      <x:c r="O763" s="60" t="str">
        <x:v>+1 843 812 4126</x:v>
      </x:c>
      <x:c r="P763" s="60" t="str">
        <x:v>https://www.linkedin.com/in/patrick-mcmichael-50822a15</x:v>
      </x:c>
      <x:c r="Q763" s="60" t="str">
        <x:v>2-10</x:v>
      </x:c>
      <x:c r="R763" s="60" t="str">
        <x:v>100000-499999</x:v>
      </x:c>
      <x:c r="S763" s="60" t="str"/>
      <x:c r="T763" s="74" t="str">
        <x:v>0</x:v>
      </x:c>
      <x:c r="U763" s="60" t="str"/>
      <x:c r="V763" s="74" t="str">
        <x:v>25</x:v>
      </x:c>
      <x:c r="W763" s="74" t="str">
        <x:v>0</x:v>
      </x:c>
      <x:c r="X763" s="74" t="str">
        <x:v>10</x:v>
      </x:c>
      <x:c r="Y763" s="74" t="str">
        <x:v>0</x:v>
      </x:c>
      <x:c r="Z763" s="74" t="str">
        <x:v>10</x:v>
      </x:c>
      <x:c r="AA763" s="74" t="str">
        <x:v>0</x:v>
      </x:c>
      <x:c r="AB763" s="74" t="str">
        <x:v>0</x:v>
      </x:c>
      <x:c r="AC763" s="74" t="str">
        <x:v>0</x:v>
      </x:c>
      <x:c r="AD763" s="74" t="str">
        <x:v>0</x:v>
      </x:c>
      <x:c r="AE763" s="74" t="str">
        <x:v>0</x:v>
      </x:c>
      <x:c r="AF763" s="74" t="str"/>
      <x:c r="AG763" s="74" t="str">
        <x:v>0</x:v>
      </x:c>
      <x:c r="AH763" s="74" t="str">
        <x:v>0</x:v>
      </x:c>
      <x:c r="AI763" s="74" t="str">
        <x:v>0</x:v>
      </x:c>
      <x:c r="AJ763" s="74" t="str">
        <x:v>0</x:v>
      </x:c>
      <x:c r="AK763" s="74" t="str">
        <x:v>0</x:v>
      </x:c>
      <x:c r="AL763" s="74" t="str">
        <x:v>0</x:v>
      </x:c>
      <x:c r="AM763" s="74" t="str">
        <x:v>0</x:v>
      </x:c>
      <x:c r="AN763" s="74" t="str">
        <x:v>0</x:v>
      </x:c>
      <x:c r="AO763" s="60" t="str">
        <x:v>0</x:v>
      </x:c>
      <x:c r="AP763" s="76" t="str">
        <x:v>ICP fit; paid-demand need requires manual verification</x:v>
      </x:c>
      <x:c r="AQ763" s="76" t="str">
        <x:v>no embedded homepage video detected</x:v>
      </x:c>
      <x:c r="AR763" s="76" t="str">
        <x:v>I was reviewing remodeling companies in Beaufort, South Carolina and Broad River Construction looked like a strong fit for a creative test.</x:v>
      </x:c>
      <x:c r="AS763" s="76" t="str">
        <x:v>project reveal with budget-and-timeline proof</x:v>
      </x:c>
      <x:c r="AT763" s="76" t="str">
        <x:v>Broad River Construction ad concept</x:v>
      </x:c>
      <x:c r="AU763" s="76" t="str">
        <x:v>Hi Patrick — I was reviewing remodeling companies in Beaufort, South Carolina and Broad River Construction looked like a strong fit for a creative test. I mapped a private 15-second project reveal with budget-and-timeline proof for Broad River Construction using only public brand context—not for publishing, just to show the angle. We build three client-approved video ad concepts in seven days, then turn the winners into fresh variations. No filming day required. Worth sending the private sample?</x:v>
      </x:c>
      <x:c r="AV763" s="76" t="str">
        <x:v>Quick follow-up: the sample angle is a project reveal with budget-and-timeline proof. If it misses the mark, no problem—I won't keep chasing. Should I send it?</x:v>
      </x:c>
      <x:c r="AW763" s="76" t="str">
        <x:v>Hi Patrick, Ryan here. I was looking at Broad River Construction's public marketing and noticed: icp fit; paid-demand need requires manual verification. I mapped one private project reveal with budget-and-timeline proof as an example. Did I catch you with 30 seconds?</x:v>
      </x:c>
      <x:c r="AX763" s="60" t="str">
        <x:v>https://www.facebook.com/ads/library/?active_status=active&amp;ad_type=all&amp;country=US&amp;q=Broad%20River%20Construction&amp;search_type=keyword_unordered</x:v>
      </x:c>
      <x:c r="AY763" s="60" t="str">
        <x:v>ok:200</x:v>
      </x:c>
      <x:c r="AZ763" s="60" t="n">
        <x:v>46232.722858796296</x:v>
      </x:c>
      <x:c r="BA763" s="60" t="str">
        <x:v>AI Ark SC trades export</x:v>
      </x:c>
      <x:c r="BB763" s="60" t="str">
        <x:v>https://broadriverconstruction.com | https://www.linkedin.com/company/broad-river-construction</x:v>
      </x:c>
      <x:c r="BC763" s="60" t="str"/>
    </x:row>
    <x:row r="764" ht="18" customHeight="1">
      <x:c r="A764" s="70" t="str">
        <x:v>763</x:v>
      </x:c>
      <x:c r="B764" s="70" t="str">
        <x:v>C - Verify</x:v>
      </x:c>
      <x:c r="C764" s="72" t="str">
        <x:v>45</x:v>
      </x:c>
      <x:c r="D764" s="60" t="str">
        <x:v>AAA REMODELING, LLC</x:v>
      </x:c>
      <x:c r="E764" s="60" t="str">
        <x:v>https://aaahomeremodel.com</x:v>
      </x:c>
      <x:c r="F764" s="60" t="str">
        <x:v>https://aaahomeremodel.com</x:v>
      </x:c>
      <x:c r="G764" s="60" t="str">
        <x:v>Greenville</x:v>
      </x:c>
      <x:c r="H764" s="60" t="str">
        <x:v>South Carolina</x:v>
      </x:c>
      <x:c r="I764" s="60" t="str">
        <x:v>Remodeling</x:v>
      </x:c>
      <x:c r="J764" s="60" t="str">
        <x:v>Mike</x:v>
      </x:c>
      <x:c r="K764" s="60" t="str">
        <x:v>Walsh</x:v>
      </x:c>
      <x:c r="L764" s="60" t="str">
        <x:v>Owner and President</x:v>
      </x:c>
      <x:c r="M764" s="60" t="str">
        <x:v>mwalsh@aaahomeremodel.com</x:v>
      </x:c>
      <x:c r="N764" s="60" t="str">
        <x:v>Verified with BounceBan on 08 Jun 26 12:06</x:v>
      </x:c>
      <x:c r="O764" s="60" t="str">
        <x:v>+1 864 616 8590</x:v>
      </x:c>
      <x:c r="P764" s="60" t="str">
        <x:v>https://www.linkedin.com/in/mike-walsh-88701710</x:v>
      </x:c>
      <x:c r="Q764" s="60" t="str">
        <x:v>2-10</x:v>
      </x:c>
      <x:c r="R764" s="60" t="str">
        <x:v>100000-499999</x:v>
      </x:c>
      <x:c r="S764" s="60" t="str"/>
      <x:c r="T764" s="74" t="str">
        <x:v>0</x:v>
      </x:c>
      <x:c r="U764" s="60" t="str"/>
      <x:c r="V764" s="74" t="str">
        <x:v>25</x:v>
      </x:c>
      <x:c r="W764" s="74" t="str">
        <x:v>0</x:v>
      </x:c>
      <x:c r="X764" s="74" t="str">
        <x:v>10</x:v>
      </x:c>
      <x:c r="Y764" s="74" t="str">
        <x:v>0</x:v>
      </x:c>
      <x:c r="Z764" s="74" t="str">
        <x:v>10</x:v>
      </x:c>
      <x:c r="AA764" s="74" t="str">
        <x:v>0</x:v>
      </x:c>
      <x:c r="AB764" s="74" t="str">
        <x:v>0</x:v>
      </x:c>
      <x:c r="AC764" s="74" t="str">
        <x:v>0</x:v>
      </x:c>
      <x:c r="AD764" s="74" t="str">
        <x:v>0</x:v>
      </x:c>
      <x:c r="AE764" s="74" t="str">
        <x:v>0</x:v>
      </x:c>
      <x:c r="AF764" s="74" t="str"/>
      <x:c r="AG764" s="74" t="str">
        <x:v>0</x:v>
      </x:c>
      <x:c r="AH764" s="74" t="str">
        <x:v>0</x:v>
      </x:c>
      <x:c r="AI764" s="74" t="str">
        <x:v>0</x:v>
      </x:c>
      <x:c r="AJ764" s="74" t="str">
        <x:v>0</x:v>
      </x:c>
      <x:c r="AK764" s="74" t="str">
        <x:v>0</x:v>
      </x:c>
      <x:c r="AL764" s="74" t="str">
        <x:v>0</x:v>
      </x:c>
      <x:c r="AM764" s="74" t="str">
        <x:v>0</x:v>
      </x:c>
      <x:c r="AN764" s="74" t="str">
        <x:v>0</x:v>
      </x:c>
      <x:c r="AO764" s="60" t="str">
        <x:v>0</x:v>
      </x:c>
      <x:c r="AP764" s="76" t="str">
        <x:v>ICP fit; paid-demand need requires manual verification</x:v>
      </x:c>
      <x:c r="AQ764" s="76" t="str">
        <x:v>no embedded homepage video detected</x:v>
      </x:c>
      <x:c r="AR764" s="76" t="str">
        <x:v>I was reviewing remodeling companies in Greenville, South Carolina and AAA REMODELING, LLC looked like a strong fit for a creative test.</x:v>
      </x:c>
      <x:c r="AS764" s="76" t="str">
        <x:v>project reveal with budget-and-timeline proof</x:v>
      </x:c>
      <x:c r="AT764" s="76" t="str">
        <x:v>AAA REMODELING, LLC ad concept</x:v>
      </x:c>
      <x:c r="AU764" s="76" t="str">
        <x:v>Hi Mike — I was reviewing remodeling companies in Greenville, South Carolina and AAA REMODELING, LLC looked like a strong fit for a creative test. I mapped a private 15-second project reveal with budget-and-timeline proof for AAA REMODELING, LLC using only public brand context—not for publishing, just to show the angle. We build three client-approved video ad concepts in seven days, then turn the winners into fresh variations. No filming day required. Worth sending the private sample?</x:v>
      </x:c>
      <x:c r="AV764" s="76" t="str">
        <x:v>Quick follow-up: the sample angle is a project reveal with budget-and-timeline proof. If it misses the mark, no problem—I won't keep chasing. Should I send it?</x:v>
      </x:c>
      <x:c r="AW764" s="76" t="str">
        <x:v>Hi Mike, Ryan here. I was looking at AAA REMODELING, LLC's public marketing and noticed: icp fit; paid-demand need requires manual verification. I mapped one private project reveal with budget-and-timeline proof as an example. Did I catch you with 30 seconds?</x:v>
      </x:c>
      <x:c r="AX764" s="60" t="str">
        <x:v>https://www.facebook.com/ads/library/?active_status=active&amp;ad_type=all&amp;country=US&amp;q=AAA%20REMODELING%2C%20LLC&amp;search_type=keyword_unordered</x:v>
      </x:c>
      <x:c r="AY764" s="60" t="str">
        <x:v>ok:200</x:v>
      </x:c>
      <x:c r="AZ764" s="60" t="n">
        <x:v>46232.722858796296</x:v>
      </x:c>
      <x:c r="BA764" s="60" t="str">
        <x:v>AI Ark SC trades export</x:v>
      </x:c>
      <x:c r="BB764" s="60" t="str">
        <x:v>https://aaahomeremodel.com | https://www.linkedin.com/company/aaa-remodeling-llc</x:v>
      </x:c>
      <x:c r="BC764" s="60" t="str"/>
    </x:row>
    <x:row r="765" ht="18" customHeight="1">
      <x:c r="A765" s="70" t="str">
        <x:v>764</x:v>
      </x:c>
      <x:c r="B765" s="70" t="str">
        <x:v>C - Verify</x:v>
      </x:c>
      <x:c r="C765" s="72" t="str">
        <x:v>45</x:v>
      </x:c>
      <x:c r="D765" s="60" t="str">
        <x:v>Scout Restoration LLC</x:v>
      </x:c>
      <x:c r="E765" s="60" t="str">
        <x:v>https://scoutrestoration.com</x:v>
      </x:c>
      <x:c r="F765" s="60" t="str">
        <x:v>https://scoutrestoration.com</x:v>
      </x:c>
      <x:c r="G765" s="60" t="str">
        <x:v>Greenville</x:v>
      </x:c>
      <x:c r="H765" s="60" t="str">
        <x:v>South Carolina</x:v>
      </x:c>
      <x:c r="I765" s="60" t="str">
        <x:v>Roofing</x:v>
      </x:c>
      <x:c r="J765" s="60" t="str">
        <x:v>Chris</x:v>
      </x:c>
      <x:c r="K765" s="60" t="str">
        <x:v>Bundy</x:v>
      </x:c>
      <x:c r="L765" s="60" t="str">
        <x:v>Business Owner</x:v>
      </x:c>
      <x:c r="M765" s="60" t="str"/>
      <x:c r="N765" s="60" t="str"/>
      <x:c r="O765" s="60" t="str">
        <x:v>+1 803 397 6976</x:v>
      </x:c>
      <x:c r="P765" s="60" t="str">
        <x:v>https://www.linkedin.com/in/chris-bundy-970b7715</x:v>
      </x:c>
      <x:c r="Q765" s="60" t="str">
        <x:v>11-50</x:v>
      </x:c>
      <x:c r="R765" s="60" t="str">
        <x:v>0-99999</x:v>
      </x:c>
      <x:c r="S765" s="60" t="str"/>
      <x:c r="T765" s="74" t="str">
        <x:v>0</x:v>
      </x:c>
      <x:c r="U765" s="60" t="str"/>
      <x:c r="V765" s="74" t="str">
        <x:v>30</x:v>
      </x:c>
      <x:c r="W765" s="74" t="str">
        <x:v>0</x:v>
      </x:c>
      <x:c r="X765" s="74" t="str">
        <x:v>10</x:v>
      </x:c>
      <x:c r="Y765" s="74" t="str">
        <x:v>0</x:v>
      </x:c>
      <x:c r="Z765" s="74" t="str">
        <x:v>5</x:v>
      </x:c>
      <x:c r="AA765" s="74" t="str">
        <x:v>0</x:v>
      </x:c>
      <x:c r="AB765" s="74" t="str">
        <x:v>0</x:v>
      </x:c>
      <x:c r="AC765" s="74" t="str">
        <x:v>0</x:v>
      </x:c>
      <x:c r="AD765" s="74" t="str">
        <x:v>0</x:v>
      </x:c>
      <x:c r="AE765" s="74" t="str">
        <x:v>0</x:v>
      </x:c>
      <x:c r="AF765" s="74" t="str"/>
      <x:c r="AG765" s="74" t="str">
        <x:v>0</x:v>
      </x:c>
      <x:c r="AH765" s="74" t="str">
        <x:v>0</x:v>
      </x:c>
      <x:c r="AI765" s="74" t="str">
        <x:v>0</x:v>
      </x:c>
      <x:c r="AJ765" s="74" t="str">
        <x:v>0</x:v>
      </x:c>
      <x:c r="AK765" s="74" t="str">
        <x:v>0</x:v>
      </x:c>
      <x:c r="AL765" s="74" t="str">
        <x:v>0</x:v>
      </x:c>
      <x:c r="AM765" s="74" t="str">
        <x:v>0</x:v>
      </x:c>
      <x:c r="AN765" s="74" t="str">
        <x:v>0</x:v>
      </x:c>
      <x:c r="AO765" s="60" t="str">
        <x:v>2025</x:v>
      </x:c>
      <x:c r="AP765" s="76" t="str">
        <x:v>ICP fit; paid-demand need requires manual verification</x:v>
      </x:c>
      <x:c r="AQ765" s="76" t="str">
        <x:v>no embedded homepage video detected</x:v>
      </x:c>
      <x:c r="AR765" s="76" t="str">
        <x:v>I was reviewing roofing companies in Greenville, South Carolina and Scout Restoration LLC looked like a strong fit for a creative test.</x:v>
      </x:c>
      <x:c r="AS765" s="76" t="str">
        <x:v>storm-to-inspection before/after ad</x:v>
      </x:c>
      <x:c r="AT765" s="76" t="str">
        <x:v>Scout Restoration LLC ad concept</x:v>
      </x:c>
      <x:c r="AU765" s="76" t="str">
        <x:v>Hi Chris — I was reviewing roofing companies in Greenville, South Carolina and Scout Restoration LLC looked like a strong fit for a creative test. I mapped a private 15-second storm-to-inspection before/after ad for Scout Restoration LLC using only public brand context—not for publishing, just to show the angle. We build three client-approved video ad concepts in seven days, then turn the winners into fresh variations. No filming day required. Worth sending the private sample?</x:v>
      </x:c>
      <x:c r="AV765" s="76" t="str">
        <x:v>Quick follow-up: the sample angle is a storm-to-inspection before/after ad. If it misses the mark, no problem—I won't keep chasing. Should I send it?</x:v>
      </x:c>
      <x:c r="AW765" s="76" t="str">
        <x:v>Hi Chris, Ryan here. I was looking at Scout Restoration LLC's public marketing and noticed: icp fit; paid-demand need requires manual verification. I mapped one private storm-to-inspection before/after ad as an example. Did I catch you with 30 seconds?</x:v>
      </x:c>
      <x:c r="AX765" s="60" t="str">
        <x:v>https://www.facebook.com/ads/library/?active_status=active&amp;ad_type=all&amp;country=US&amp;q=Scout%20Restoration%20LLC&amp;search_type=keyword_unordered</x:v>
      </x:c>
      <x:c r="AY765" s="60" t="str">
        <x:v>ok:200</x:v>
      </x:c>
      <x:c r="AZ765" s="60" t="n">
        <x:v>46232.722858796296</x:v>
      </x:c>
      <x:c r="BA765" s="60" t="str">
        <x:v>AI Ark SC trades export</x:v>
      </x:c>
      <x:c r="BB765" s="60" t="str">
        <x:v>https://scoutrestoration.com | https://www.linkedin.com/company/scout-restoration</x:v>
      </x:c>
      <x:c r="BC765" s="60" t="str"/>
    </x:row>
    <x:row r="766" ht="18" customHeight="1">
      <x:c r="A766" s="70" t="str">
        <x:v>765</x:v>
      </x:c>
      <x:c r="B766" s="70" t="str">
        <x:v>C - Verify</x:v>
      </x:c>
      <x:c r="C766" s="72" t="str">
        <x:v>45</x:v>
      </x:c>
      <x:c r="D766" s="60" t="str">
        <x:v>PRO PTG INC</x:v>
      </x:c>
      <x:c r="E766" s="60" t="str">
        <x:v>https://propaintingonline.com</x:v>
      </x:c>
      <x:c r="F766" s="60" t="str">
        <x:v>https://propaintingonline.com</x:v>
      </x:c>
      <x:c r="G766" s="60" t="str">
        <x:v>Hardeeville</x:v>
      </x:c>
      <x:c r="H766" s="60" t="str">
        <x:v>South Carolina</x:v>
      </x:c>
      <x:c r="I766" s="60" t="str">
        <x:v>Remodeling</x:v>
      </x:c>
      <x:c r="J766" s="60" t="str">
        <x:v>Jack</x:v>
      </x:c>
      <x:c r="K766" s="60" t="str">
        <x:v>Simmons</x:v>
      </x:c>
      <x:c r="L766" s="60" t="str">
        <x:v>Owner</x:v>
      </x:c>
      <x:c r="M766" s="60" t="str"/>
      <x:c r="N766" s="60" t="str"/>
      <x:c r="O766" s="60" t="str">
        <x:v>+1 469 576 3439</x:v>
      </x:c>
      <x:c r="P766" s="60" t="str">
        <x:v>https://www.linkedin.com/in/jack-simmons-6b937b93</x:v>
      </x:c>
      <x:c r="Q766" s="60" t="str">
        <x:v>11-50</x:v>
      </x:c>
      <x:c r="R766" s="60" t="str">
        <x:v>500000-999999</x:v>
      </x:c>
      <x:c r="S766" s="60" t="str"/>
      <x:c r="T766" s="74" t="str">
        <x:v>0</x:v>
      </x:c>
      <x:c r="U766" s="60" t="str"/>
      <x:c r="V766" s="74" t="str">
        <x:v>30</x:v>
      </x:c>
      <x:c r="W766" s="74" t="str">
        <x:v>0</x:v>
      </x:c>
      <x:c r="X766" s="74" t="str">
        <x:v>10</x:v>
      </x:c>
      <x:c r="Y766" s="74" t="str">
        <x:v>0</x:v>
      </x:c>
      <x:c r="Z766" s="74" t="str">
        <x:v>5</x:v>
      </x:c>
      <x:c r="AA766" s="74" t="str">
        <x:v>0</x:v>
      </x:c>
      <x:c r="AB766" s="74" t="str">
        <x:v>0</x:v>
      </x:c>
      <x:c r="AC766" s="74" t="str">
        <x:v>0</x:v>
      </x:c>
      <x:c r="AD766" s="74" t="str">
        <x:v>0</x:v>
      </x:c>
      <x:c r="AE766" s="74" t="str">
        <x:v>0</x:v>
      </x:c>
      <x:c r="AF766" s="74" t="str"/>
      <x:c r="AG766" s="74" t="str">
        <x:v>0</x:v>
      </x:c>
      <x:c r="AH766" s="74" t="str">
        <x:v>0</x:v>
      </x:c>
      <x:c r="AI766" s="74" t="str">
        <x:v>0</x:v>
      </x:c>
      <x:c r="AJ766" s="74" t="str">
        <x:v>0</x:v>
      </x:c>
      <x:c r="AK766" s="74" t="str">
        <x:v>0</x:v>
      </x:c>
      <x:c r="AL766" s="74" t="str">
        <x:v>0</x:v>
      </x:c>
      <x:c r="AM766" s="74" t="str">
        <x:v>0</x:v>
      </x:c>
      <x:c r="AN766" s="74" t="str">
        <x:v>0</x:v>
      </x:c>
      <x:c r="AO766" s="60" t="str">
        <x:v>2026</x:v>
      </x:c>
      <x:c r="AP766" s="76" t="str">
        <x:v>ICP fit; paid-demand need requires manual verification</x:v>
      </x:c>
      <x:c r="AQ766" s="76" t="str">
        <x:v>no embedded homepage video detected</x:v>
      </x:c>
      <x:c r="AR766" s="76" t="str">
        <x:v>I was reviewing remodeling companies in Hardeeville, South Carolina and PRO PTG INC looked like a strong fit for a creative test.</x:v>
      </x:c>
      <x:c r="AS766" s="76" t="str">
        <x:v>project reveal with budget-and-timeline proof</x:v>
      </x:c>
      <x:c r="AT766" s="76" t="str">
        <x:v>PRO PTG INC ad concept</x:v>
      </x:c>
      <x:c r="AU766" s="76" t="str">
        <x:v>Hi Jack — I was reviewing remodeling companies in Hardeeville, South Carolina and PRO PTG INC looked like a strong fit for a creative test. I mapped a private 15-second project reveal with budget-and-timeline proof for PRO PTG INC using only public brand context—not for publishing, just to show the angle. We build three client-approved video ad concepts in seven days, then turn the winners into fresh variations. No filming day required. Worth sending the private sample?</x:v>
      </x:c>
      <x:c r="AV766" s="76" t="str">
        <x:v>Quick follow-up: the sample angle is a project reveal with budget-and-timeline proof. If it misses the mark, no problem—I won't keep chasing. Should I send it?</x:v>
      </x:c>
      <x:c r="AW766" s="76" t="str">
        <x:v>Hi Jack, Ryan here. I was looking at PRO PTG INC's public marketing and noticed: icp fit; paid-demand need requires manual verification. I mapped one private project reveal with budget-and-timeline proof as an example. Did I catch you with 30 seconds?</x:v>
      </x:c>
      <x:c r="AX766" s="60" t="str">
        <x:v>https://www.facebook.com/ads/library/?active_status=active&amp;ad_type=all&amp;country=US&amp;q=PRO%20PTG%20INC&amp;search_type=keyword_unordered</x:v>
      </x:c>
      <x:c r="AY766" s="60" t="str">
        <x:v>ok:200</x:v>
      </x:c>
      <x:c r="AZ766" s="60" t="n">
        <x:v>46232.722858796296</x:v>
      </x:c>
      <x:c r="BA766" s="60" t="str">
        <x:v>AI Ark SC trades export</x:v>
      </x:c>
      <x:c r="BB766" s="60" t="str">
        <x:v>https://propaintingonline.com | https://www.linkedin.com/company/pro-painting-co</x:v>
      </x:c>
      <x:c r="BC766" s="60" t="str"/>
    </x:row>
    <x:row r="767" ht="18" customHeight="1">
      <x:c r="A767" s="70" t="str">
        <x:v>766</x:v>
      </x:c>
      <x:c r="B767" s="70" t="str">
        <x:v>C - Verify</x:v>
      </x:c>
      <x:c r="C767" s="72" t="str">
        <x:v>45</x:v>
      </x:c>
      <x:c r="D767" s="60" t="str">
        <x:v>Precision Home Improvement</x:v>
      </x:c>
      <x:c r="E767" s="60" t="str">
        <x:v>https://precisionhomeimprovementllc.com</x:v>
      </x:c>
      <x:c r="F767" s="60" t="str">
        <x:v>https://precisionhomeimprovementllc.com</x:v>
      </x:c>
      <x:c r="G767" s="60" t="str">
        <x:v>Rock Hill</x:v>
      </x:c>
      <x:c r="H767" s="60" t="str">
        <x:v>South Carolina</x:v>
      </x:c>
      <x:c r="I767" s="60" t="str">
        <x:v>Remodeling</x:v>
      </x:c>
      <x:c r="J767" s="60" t="str">
        <x:v>Precision Home</x:v>
      </x:c>
      <x:c r="K767" s="60" t="str">
        <x:v>Improvement</x:v>
      </x:c>
      <x:c r="L767" s="60" t="str">
        <x:v>Owner</x:v>
      </x:c>
      <x:c r="M767" s="60" t="str"/>
      <x:c r="N767" s="60" t="str"/>
      <x:c r="O767" s="60" t="str">
        <x:v>+1 262 673 2844</x:v>
      </x:c>
      <x:c r="P767" s="60" t="str">
        <x:v>https://www.linkedin.com/in/precision-home-improvement-89b021b4</x:v>
      </x:c>
      <x:c r="Q767" s="60" t="str">
        <x:v>11-50</x:v>
      </x:c>
      <x:c r="R767" s="60" t="str">
        <x:v>1000000-4999999</x:v>
      </x:c>
      <x:c r="S767" s="60" t="str"/>
      <x:c r="T767" s="74" t="str">
        <x:v>0</x:v>
      </x:c>
      <x:c r="U767" s="60" t="str"/>
      <x:c r="V767" s="74" t="str">
        <x:v>30</x:v>
      </x:c>
      <x:c r="W767" s="74" t="str">
        <x:v>0</x:v>
      </x:c>
      <x:c r="X767" s="74" t="str">
        <x:v>10</x:v>
      </x:c>
      <x:c r="Y767" s="74" t="str">
        <x:v>0</x:v>
      </x:c>
      <x:c r="Z767" s="74" t="str">
        <x:v>5</x:v>
      </x:c>
      <x:c r="AA767" s="74" t="str">
        <x:v>0</x:v>
      </x:c>
      <x:c r="AB767" s="74" t="str">
        <x:v>0</x:v>
      </x:c>
      <x:c r="AC767" s="74" t="str">
        <x:v>0</x:v>
      </x:c>
      <x:c r="AD767" s="74" t="str">
        <x:v>0</x:v>
      </x:c>
      <x:c r="AE767" s="74" t="str">
        <x:v>0</x:v>
      </x:c>
      <x:c r="AF767" s="74" t="str"/>
      <x:c r="AG767" s="74" t="str">
        <x:v>0</x:v>
      </x:c>
      <x:c r="AH767" s="74" t="str">
        <x:v>0</x:v>
      </x:c>
      <x:c r="AI767" s="74" t="str">
        <x:v>0</x:v>
      </x:c>
      <x:c r="AJ767" s="74" t="str">
        <x:v>0</x:v>
      </x:c>
      <x:c r="AK767" s="74" t="str">
        <x:v>0</x:v>
      </x:c>
      <x:c r="AL767" s="74" t="str">
        <x:v>0</x:v>
      </x:c>
      <x:c r="AM767" s="74" t="str">
        <x:v>0</x:v>
      </x:c>
      <x:c r="AN767" s="74" t="str">
        <x:v>0</x:v>
      </x:c>
      <x:c r="AO767" s="60" t="str">
        <x:v>0</x:v>
      </x:c>
      <x:c r="AP767" s="76" t="str">
        <x:v>ICP fit; paid-demand need requires manual verification</x:v>
      </x:c>
      <x:c r="AQ767" s="76" t="str">
        <x:v>no embedded homepage video detected</x:v>
      </x:c>
      <x:c r="AR767" s="76" t="str">
        <x:v>I was reviewing remodeling companies in Rock Hill, South Carolina and Precision Home Improvement looked like a strong fit for a creative test.</x:v>
      </x:c>
      <x:c r="AS767" s="76" t="str">
        <x:v>project reveal with budget-and-timeline proof</x:v>
      </x:c>
      <x:c r="AT767" s="76" t="str">
        <x:v>Precision Home Improvement ad concept</x:v>
      </x:c>
      <x:c r="AU767" s="76" t="str">
        <x:v>Hi Precision Home — I was reviewing remodeling companies in Rock Hill, South Carolina and Precision Home Improvement looked like a strong fit for a creative test. I mapped a private 15-second project reveal with budget-and-timeline proof for Precision Home Improvement using only public brand context—not for publishing, just to show the angle. We build three client-approved video ad concepts in seven days, then turn the winners into fresh variations. No filming day required. Worth sending the private sample?</x:v>
      </x:c>
      <x:c r="AV767" s="76" t="str">
        <x:v>Quick follow-up: the sample angle is a project reveal with budget-and-timeline proof. If it misses the mark, no problem—I won't keep chasing. Should I send it?</x:v>
      </x:c>
      <x:c r="AW767" s="76" t="str">
        <x:v>Hi Precision Home, Ryan here. I was looking at Precision Home Improvement's public marketing and noticed: icp fit; paid-demand need requires manual verification. I mapped one private project reveal with budget-and-timeline proof as an example. Did I catch you with 30 seconds?</x:v>
      </x:c>
      <x:c r="AX767" s="60" t="str">
        <x:v>https://www.facebook.com/ads/library/?active_status=active&amp;ad_type=all&amp;country=US&amp;q=Precision%20Home%20Improvement&amp;search_type=keyword_unordered</x:v>
      </x:c>
      <x:c r="AY767" s="60" t="str">
        <x:v>ok:200</x:v>
      </x:c>
      <x:c r="AZ767" s="60" t="n">
        <x:v>46232.722858796296</x:v>
      </x:c>
      <x:c r="BA767" s="60" t="str">
        <x:v>AI Ark SC trades export</x:v>
      </x:c>
      <x:c r="BB767" s="60" t="str">
        <x:v>https://precisionhomeimprovementllc.com | https://www.linkedin.com/company/precision-home-improvement</x:v>
      </x:c>
      <x:c r="BC767" s="60" t="str"/>
    </x:row>
    <x:row r="768" ht="18" customHeight="1">
      <x:c r="A768" s="70" t="str">
        <x:v>767</x:v>
      </x:c>
      <x:c r="B768" s="70" t="str">
        <x:v>C - Verify</x:v>
      </x:c>
      <x:c r="C768" s="72" t="str">
        <x:v>45</x:v>
      </x:c>
      <x:c r="D768" s="60" t="str">
        <x:v>Paint Pros</x:v>
      </x:c>
      <x:c r="E768" s="60" t="str">
        <x:v>https://ozarkpaintpros.com</x:v>
      </x:c>
      <x:c r="F768" s="60" t="str">
        <x:v>https://ozarkpaintpros.com</x:v>
      </x:c>
      <x:c r="G768" s="60" t="str">
        <x:v>Spartanburg</x:v>
      </x:c>
      <x:c r="H768" s="60" t="str">
        <x:v>South Carolina</x:v>
      </x:c>
      <x:c r="I768" s="60" t="str">
        <x:v>Restoration</x:v>
      </x:c>
      <x:c r="J768" s="60" t="str">
        <x:v>james</x:v>
      </x:c>
      <x:c r="K768" s="60" t="str">
        <x:v>lawson</x:v>
      </x:c>
      <x:c r="L768" s="60" t="str">
        <x:v>Small Business Owner</x:v>
      </x:c>
      <x:c r="M768" s="60" t="str"/>
      <x:c r="N768" s="60" t="str"/>
      <x:c r="O768" s="60" t="str">
        <x:v>+1 479 981 0573</x:v>
      </x:c>
      <x:c r="P768" s="60" t="str">
        <x:v>https://www.linkedin.com/in/james-lawson-a6104292</x:v>
      </x:c>
      <x:c r="Q768" s="60" t="str">
        <x:v>2-10</x:v>
      </x:c>
      <x:c r="R768" s="60" t="str">
        <x:v>1000000-4999999</x:v>
      </x:c>
      <x:c r="S768" s="60" t="str"/>
      <x:c r="T768" s="74" t="str">
        <x:v>0</x:v>
      </x:c>
      <x:c r="U768" s="60" t="str"/>
      <x:c r="V768" s="74" t="str">
        <x:v>30</x:v>
      </x:c>
      <x:c r="W768" s="74" t="str">
        <x:v>0</x:v>
      </x:c>
      <x:c r="X768" s="74" t="str">
        <x:v>10</x:v>
      </x:c>
      <x:c r="Y768" s="74" t="str">
        <x:v>0</x:v>
      </x:c>
      <x:c r="Z768" s="74" t="str">
        <x:v>5</x:v>
      </x:c>
      <x:c r="AA768" s="74" t="str">
        <x:v>0</x:v>
      </x:c>
      <x:c r="AB768" s="74" t="str">
        <x:v>0</x:v>
      </x:c>
      <x:c r="AC768" s="74" t="str">
        <x:v>0</x:v>
      </x:c>
      <x:c r="AD768" s="74" t="str">
        <x:v>0</x:v>
      </x:c>
      <x:c r="AE768" s="74" t="str">
        <x:v>0</x:v>
      </x:c>
      <x:c r="AF768" s="74" t="str"/>
      <x:c r="AG768" s="74" t="str">
        <x:v>0</x:v>
      </x:c>
      <x:c r="AH768" s="74" t="str">
        <x:v>0</x:v>
      </x:c>
      <x:c r="AI768" s="74" t="str">
        <x:v>0</x:v>
      </x:c>
      <x:c r="AJ768" s="74" t="str">
        <x:v>0</x:v>
      </x:c>
      <x:c r="AK768" s="74" t="str">
        <x:v>0</x:v>
      </x:c>
      <x:c r="AL768" s="74" t="str">
        <x:v>0</x:v>
      </x:c>
      <x:c r="AM768" s="74" t="str">
        <x:v>0</x:v>
      </x:c>
      <x:c r="AN768" s="74" t="str">
        <x:v>0</x:v>
      </x:c>
      <x:c r="AO768" s="60" t="str">
        <x:v>0</x:v>
      </x:c>
      <x:c r="AP768" s="76" t="str">
        <x:v>ICP fit; paid-demand need requires manual verification</x:v>
      </x:c>
      <x:c r="AQ768" s="76" t="str">
        <x:v>no embedded homepage video detected</x:v>
      </x:c>
      <x:c r="AR768" s="76" t="str">
        <x:v>I was reviewing restoration companies in Spartanburg, South Carolina and Paint Pros looked like a strong fit for a creative test.</x:v>
      </x:c>
      <x:c r="AS768" s="76" t="str">
        <x:v>first-24-hours emergency-response ad</x:v>
      </x:c>
      <x:c r="AT768" s="76" t="str">
        <x:v>Paint Pros ad concept</x:v>
      </x:c>
      <x:c r="AU768" s="76" t="str">
        <x:v>Hi james — I was reviewing restoration companies in Spartanburg, South Carolina and Paint Pros looked like a strong fit for a creative test. I mapped a private 15-second first-24-hours emergency-response ad for Paint Pros using only public brand context—not for publishing, just to show the angle. We build three client-approved video ad concepts in seven days, then turn the winners into fresh variations. No filming day required. Worth sending the private sample?</x:v>
      </x:c>
      <x:c r="AV768" s="76" t="str">
        <x:v>Quick follow-up: the sample angle is a first-24-hours emergency-response ad. If it misses the mark, no problem—I won't keep chasing. Should I send it?</x:v>
      </x:c>
      <x:c r="AW768" s="76" t="str">
        <x:v>Hi james, Ryan here. I was looking at Paint Pros's public marketing and noticed: icp fit; paid-demand need requires manual verification. I mapped one private first-24-hours emergency-response ad as an example. Did I catch you with 30 seconds?</x:v>
      </x:c>
      <x:c r="AX768" s="60" t="str">
        <x:v>https://www.facebook.com/ads/library/?active_status=active&amp;ad_type=all&amp;country=US&amp;q=Paint%20Pros&amp;search_type=keyword_unordered</x:v>
      </x:c>
      <x:c r="AY768" s="60" t="str">
        <x:v>ok:200</x:v>
      </x:c>
      <x:c r="AZ768" s="60" t="n">
        <x:v>46232.722858796296</x:v>
      </x:c>
      <x:c r="BA768" s="60" t="str">
        <x:v>AI Ark SC trades export</x:v>
      </x:c>
      <x:c r="BB768" s="60" t="str">
        <x:v>https://ozarkpaintpros.com | https://www.linkedin.com/company/paint-pros</x:v>
      </x:c>
      <x:c r="BC768" s="60" t="str"/>
    </x:row>
    <x:row r="769" ht="18" customHeight="1">
      <x:c r="A769" s="70" t="str">
        <x:v>768</x:v>
      </x:c>
      <x:c r="B769" s="70" t="str">
        <x:v>C - Verify</x:v>
      </x:c>
      <x:c r="C769" s="72" t="str">
        <x:v>45</x:v>
      </x:c>
      <x:c r="D769" s="60" t="str">
        <x:v>Olympus Home: Roofing and Solar</x:v>
      </x:c>
      <x:c r="E769" s="60" t="str">
        <x:v>https://olympushome.org</x:v>
      </x:c>
      <x:c r="F769" s="60" t="str">
        <x:v>https://olympushome.org</x:v>
      </x:c>
      <x:c r="G769" s="60" t="str">
        <x:v>Anderson</x:v>
      </x:c>
      <x:c r="H769" s="60" t="str">
        <x:v>South Carolina</x:v>
      </x:c>
      <x:c r="I769" s="60" t="str">
        <x:v>Roofing</x:v>
      </x:c>
      <x:c r="J769" s="60" t="str">
        <x:v>Josh</x:v>
      </x:c>
      <x:c r="K769" s="60" t="str">
        <x:v>Westmoreland</x:v>
      </x:c>
      <x:c r="L769" s="60" t="str">
        <x:v>Co-Owner/CMO</x:v>
      </x:c>
      <x:c r="M769" s="60" t="str"/>
      <x:c r="N769" s="60" t="str"/>
      <x:c r="O769" s="60" t="str">
        <x:v>+1 843 422 4797, +1 864 884 6439</x:v>
      </x:c>
      <x:c r="P769" s="60" t="str">
        <x:v>https://www.linkedin.com/in/westmorelandjosh</x:v>
      </x:c>
      <x:c r="Q769" s="60" t="str">
        <x:v>11-50</x:v>
      </x:c>
      <x:c r="R769" s="60" t="str">
        <x:v>500000-999999</x:v>
      </x:c>
      <x:c r="S769" s="60" t="str"/>
      <x:c r="T769" s="74" t="str">
        <x:v>0</x:v>
      </x:c>
      <x:c r="U769" s="60" t="str"/>
      <x:c r="V769" s="74" t="str">
        <x:v>30</x:v>
      </x:c>
      <x:c r="W769" s="74" t="str">
        <x:v>0</x:v>
      </x:c>
      <x:c r="X769" s="74" t="str">
        <x:v>10</x:v>
      </x:c>
      <x:c r="Y769" s="74" t="str">
        <x:v>0</x:v>
      </x:c>
      <x:c r="Z769" s="74" t="str">
        <x:v>5</x:v>
      </x:c>
      <x:c r="AA769" s="74" t="str">
        <x:v>0</x:v>
      </x:c>
      <x:c r="AB769" s="74" t="str">
        <x:v>0</x:v>
      </x:c>
      <x:c r="AC769" s="74" t="str">
        <x:v>0</x:v>
      </x:c>
      <x:c r="AD769" s="74" t="str">
        <x:v>0</x:v>
      </x:c>
      <x:c r="AE769" s="74" t="str">
        <x:v>0</x:v>
      </x:c>
      <x:c r="AF769" s="74" t="str"/>
      <x:c r="AG769" s="74" t="str">
        <x:v>0</x:v>
      </x:c>
      <x:c r="AH769" s="74" t="str">
        <x:v>0</x:v>
      </x:c>
      <x:c r="AI769" s="74" t="str">
        <x:v>0</x:v>
      </x:c>
      <x:c r="AJ769" s="74" t="str">
        <x:v>0</x:v>
      </x:c>
      <x:c r="AK769" s="74" t="str">
        <x:v>0</x:v>
      </x:c>
      <x:c r="AL769" s="74" t="str">
        <x:v>0</x:v>
      </x:c>
      <x:c r="AM769" s="74" t="str">
        <x:v>0</x:v>
      </x:c>
      <x:c r="AN769" s="74" t="str">
        <x:v>0</x:v>
      </x:c>
      <x:c r="AO769" s="60" t="str">
        <x:v>0</x:v>
      </x:c>
      <x:c r="AP769" s="76" t="str">
        <x:v>ICP fit; paid-demand need requires manual verification</x:v>
      </x:c>
      <x:c r="AQ769" s="76" t="str">
        <x:v>no embedded homepage video detected</x:v>
      </x:c>
      <x:c r="AR769" s="76" t="str">
        <x:v>I was reviewing roofing companies in Anderson, South Carolina and Olympus Home: Roofing and Solar looked like a strong fit for a creative test.</x:v>
      </x:c>
      <x:c r="AS769" s="76" t="str">
        <x:v>storm-to-inspection before/after ad</x:v>
      </x:c>
      <x:c r="AT769" s="76" t="str">
        <x:v>Olympus Home: Roofing and Solar ad concept</x:v>
      </x:c>
      <x:c r="AU769" s="76" t="str">
        <x:v>Hi Josh — I was reviewing roofing companies in Anderson, South Carolina and Olympus Home: Roofing and Solar looked like a strong fit for a creative test. I mapped a private 15-second storm-to-inspection before/after ad for Olympus Home: Roofing and Solar using only public brand context—not for publishing, just to show the angle. We build three client-approved video ad concepts in seven days, then turn the winners into fresh variations. No filming day required. Worth sending the private sample?</x:v>
      </x:c>
      <x:c r="AV769" s="76" t="str">
        <x:v>Quick follow-up: the sample angle is a storm-to-inspection before/after ad. If it misses the mark, no problem—I won't keep chasing. Should I send it?</x:v>
      </x:c>
      <x:c r="AW769" s="76" t="str">
        <x:v>Hi Josh, Ryan here. I was looking at Olympus Home: Roofing and Solar's public marketing and noticed: icp fit; paid-demand need requires manual verification. I mapped one private storm-to-inspection before/after ad as an example. Did I catch you with 30 seconds?</x:v>
      </x:c>
      <x:c r="AX769" s="60" t="str">
        <x:v>https://www.facebook.com/ads/library/?active_status=active&amp;ad_type=all&amp;country=US&amp;q=Olympus%20Home%3A%20Roofing%20and%20Solar&amp;search_type=keyword_unordered</x:v>
      </x:c>
      <x:c r="AY769" s="60" t="str">
        <x:v>ok:200</x:v>
      </x:c>
      <x:c r="AZ769" s="60" t="n">
        <x:v>46232.722858796296</x:v>
      </x:c>
      <x:c r="BA769" s="60" t="str">
        <x:v>AI Ark SC trades export</x:v>
      </x:c>
      <x:c r="BB769" s="60" t="str">
        <x:v>https://olympushome.org | https://www.linkedin.com/company/olympus-home</x:v>
      </x:c>
      <x:c r="BC769" s="60" t="str"/>
    </x:row>
    <x:row r="770" ht="18" customHeight="1">
      <x:c r="A770" s="70" t="str">
        <x:v>769</x:v>
      </x:c>
      <x:c r="B770" s="70" t="str">
        <x:v>C - Verify</x:v>
      </x:c>
      <x:c r="C770" s="72" t="str">
        <x:v>45</x:v>
      </x:c>
      <x:c r="D770" s="60" t="str">
        <x:v>Fine Construction, LLC.</x:v>
      </x:c>
      <x:c r="E770" s="60" t="str">
        <x:v>https://finebuildersllc.com</x:v>
      </x:c>
      <x:c r="F770" s="60" t="str">
        <x:v>https://finebuildersllc.com</x:v>
      </x:c>
      <x:c r="G770" s="60" t="str">
        <x:v>Charleston</x:v>
      </x:c>
      <x:c r="H770" s="60" t="str">
        <x:v>South Carolina Metropolitan Area</x:v>
      </x:c>
      <x:c r="I770" s="60" t="str">
        <x:v>HVAC</x:v>
      </x:c>
      <x:c r="J770" s="60" t="str">
        <x:v>Rafael</x:v>
      </x:c>
      <x:c r="K770" s="60" t="str">
        <x:v>Mendes</x:v>
      </x:c>
      <x:c r="L770" s="60" t="str">
        <x:v>Business Owner</x:v>
      </x:c>
      <x:c r="M770" s="60" t="str"/>
      <x:c r="N770" s="60" t="str"/>
      <x:c r="O770" s="60" t="str">
        <x:v>+1 253 347 6044</x:v>
      </x:c>
      <x:c r="P770" s="60" t="str">
        <x:v>https://www.linkedin.com/in/rafael-mendes-2334a316a</x:v>
      </x:c>
      <x:c r="Q770" s="60" t="str">
        <x:v>11-50</x:v>
      </x:c>
      <x:c r="R770" s="60" t="str">
        <x:v>100000-499999</x:v>
      </x:c>
      <x:c r="S770" s="60" t="str"/>
      <x:c r="T770" s="74" t="str">
        <x:v>0</x:v>
      </x:c>
      <x:c r="U770" s="60" t="str"/>
      <x:c r="V770" s="74" t="str">
        <x:v>30</x:v>
      </x:c>
      <x:c r="W770" s="74" t="str">
        <x:v>0</x:v>
      </x:c>
      <x:c r="X770" s="74" t="str">
        <x:v>10</x:v>
      </x:c>
      <x:c r="Y770" s="74" t="str">
        <x:v>0</x:v>
      </x:c>
      <x:c r="Z770" s="74" t="str">
        <x:v>5</x:v>
      </x:c>
      <x:c r="AA770" s="74" t="str">
        <x:v>0</x:v>
      </x:c>
      <x:c r="AB770" s="74" t="str">
        <x:v>0</x:v>
      </x:c>
      <x:c r="AC770" s="74" t="str">
        <x:v>0</x:v>
      </x:c>
      <x:c r="AD770" s="74" t="str">
        <x:v>0</x:v>
      </x:c>
      <x:c r="AE770" s="74" t="str">
        <x:v>0</x:v>
      </x:c>
      <x:c r="AF770" s="74" t="str"/>
      <x:c r="AG770" s="74" t="str">
        <x:v>0</x:v>
      </x:c>
      <x:c r="AH770" s="74" t="str">
        <x:v>0</x:v>
      </x:c>
      <x:c r="AI770" s="74" t="str">
        <x:v>0</x:v>
      </x:c>
      <x:c r="AJ770" s="74" t="str">
        <x:v>0</x:v>
      </x:c>
      <x:c r="AK770" s="74" t="str">
        <x:v>0</x:v>
      </x:c>
      <x:c r="AL770" s="74" t="str">
        <x:v>0</x:v>
      </x:c>
      <x:c r="AM770" s="74" t="str">
        <x:v>0</x:v>
      </x:c>
      <x:c r="AN770" s="74" t="str">
        <x:v>0</x:v>
      </x:c>
      <x:c r="AO770" s="60" t="str">
        <x:v>2026</x:v>
      </x:c>
      <x:c r="AP770" s="76" t="str">
        <x:v>ICP fit; paid-demand need requires manual verification</x:v>
      </x:c>
      <x:c r="AQ770" s="76" t="str">
        <x:v>no embedded homepage video detected</x:v>
      </x:c>
      <x:c r="AR770" s="76" t="str">
        <x:v>I was reviewing hvac companies in Charleston, South Carolina Metropolitan Area and Fine Construction, LLC. looked like a strong fit for a creative test.</x:v>
      </x:c>
      <x:c r="AS770" s="76" t="str">
        <x:v>no-cool-call to same-day comfort ad</x:v>
      </x:c>
      <x:c r="AT770" s="76" t="str">
        <x:v>Fine Construction, LLC. ad concept</x:v>
      </x:c>
      <x:c r="AU770" s="76" t="str">
        <x:v>Hi Rafael — I was reviewing hvac companies in Charleston, South Carolina Metropolitan Area and Fine Construction, LLC. looked like a strong fit for a creative test. I mapped a private 15-second no-cool-call to same-day comfort ad for Fine Construction, LLC. using only public brand context—not for publishing, just to show the angle. We build three client-approved video ad concepts in seven days, then turn the winners into fresh variations. No filming day required. Worth sending the private sample?</x:v>
      </x:c>
      <x:c r="AV770" s="76" t="str">
        <x:v>Quick follow-up: the sample angle is a no-cool-call to same-day comfort ad. If it misses the mark, no problem—I won't keep chasing. Should I send it?</x:v>
      </x:c>
      <x:c r="AW770" s="76" t="str">
        <x:v>Hi Rafael, Ryan here. I was looking at Fine Construction, LLC.'s public marketing and noticed: icp fit; paid-demand need requires manual verification. I mapped one private no-cool-call to same-day comfort ad as an example. Did I catch you with 30 seconds?</x:v>
      </x:c>
      <x:c r="AX770" s="60" t="str">
        <x:v>https://www.facebook.com/ads/library/?active_status=active&amp;ad_type=all&amp;country=US&amp;q=Fine%20Construction%2C%20LLC.&amp;search_type=keyword_unordered</x:v>
      </x:c>
      <x:c r="AY770" s="60" t="str">
        <x:v>ok:200</x:v>
      </x:c>
      <x:c r="AZ770" s="60" t="n">
        <x:v>46232.722858796296</x:v>
      </x:c>
      <x:c r="BA770" s="60" t="str">
        <x:v>AI Ark SC trades export</x:v>
      </x:c>
      <x:c r="BB770" s="60" t="str">
        <x:v>https://finebuildersllc.com | https://www.linkedin.com/company/fine-construction-llc</x:v>
      </x:c>
      <x:c r="BC770" s="60" t="str"/>
    </x:row>
    <x:row r="771" ht="18" customHeight="1">
      <x:c r="A771" s="70" t="str">
        <x:v>770</x:v>
      </x:c>
      <x:c r="B771" s="70" t="str">
        <x:v>C - Verify</x:v>
      </x:c>
      <x:c r="C771" s="72" t="str">
        <x:v>45</x:v>
      </x:c>
      <x:c r="D771" s="60" t="str">
        <x:v>AOS Specialty Contractors, Inc.</x:v>
      </x:c>
      <x:c r="E771" s="60" t="str">
        <x:v>https://aossc.org</x:v>
      </x:c>
      <x:c r="F771" s="60" t="str">
        <x:v>https://www.aossc.org/</x:v>
      </x:c>
      <x:c r="G771" s="60" t="str">
        <x:v>Columbia</x:v>
      </x:c>
      <x:c r="H771" s="60" t="str">
        <x:v>South Carolina</x:v>
      </x:c>
      <x:c r="I771" s="60" t="str">
        <x:v>Roofing</x:v>
      </x:c>
      <x:c r="J771" s="60" t="str">
        <x:v>Jane</x:v>
      </x:c>
      <x:c r="K771" s="60" t="str">
        <x:v>Chesnutt</x:v>
      </x:c>
      <x:c r="L771" s="60" t="str">
        <x:v>Co-Owner/Vice President</x:v>
      </x:c>
      <x:c r="M771" s="60" t="str"/>
      <x:c r="N771" s="60" t="str"/>
      <x:c r="O771" s="60" t="str">
        <x:v>+1 803 798 6831</x:v>
      </x:c>
      <x:c r="P771" s="60" t="str">
        <x:v>https://www.linkedin.com/in/jane-chesnutt-1309b264</x:v>
      </x:c>
      <x:c r="Q771" s="60" t="str">
        <x:v>11-50</x:v>
      </x:c>
      <x:c r="R771" s="60" t="str">
        <x:v>1000000-4999999</x:v>
      </x:c>
      <x:c r="S771" s="60" t="str"/>
      <x:c r="T771" s="74" t="str">
        <x:v>0</x:v>
      </x:c>
      <x:c r="U771" s="60" t="str"/>
      <x:c r="V771" s="74" t="str">
        <x:v>30</x:v>
      </x:c>
      <x:c r="W771" s="74" t="str">
        <x:v>0</x:v>
      </x:c>
      <x:c r="X771" s="74" t="str">
        <x:v>10</x:v>
      </x:c>
      <x:c r="Y771" s="74" t="str">
        <x:v>0</x:v>
      </x:c>
      <x:c r="Z771" s="74" t="str">
        <x:v>5</x:v>
      </x:c>
      <x:c r="AA771" s="74" t="str">
        <x:v>0</x:v>
      </x:c>
      <x:c r="AB771" s="74" t="str">
        <x:v>0</x:v>
      </x:c>
      <x:c r="AC771" s="74" t="str">
        <x:v>0</x:v>
      </x:c>
      <x:c r="AD771" s="74" t="str">
        <x:v>0</x:v>
      </x:c>
      <x:c r="AE771" s="74" t="str">
        <x:v>0</x:v>
      </x:c>
      <x:c r="AF771" s="74" t="str"/>
      <x:c r="AG771" s="74" t="str">
        <x:v>0</x:v>
      </x:c>
      <x:c r="AH771" s="74" t="str">
        <x:v>0</x:v>
      </x:c>
      <x:c r="AI771" s="74" t="str">
        <x:v>0</x:v>
      </x:c>
      <x:c r="AJ771" s="74" t="str">
        <x:v>0</x:v>
      </x:c>
      <x:c r="AK771" s="74" t="str">
        <x:v>0</x:v>
      </x:c>
      <x:c r="AL771" s="74" t="str">
        <x:v>0</x:v>
      </x:c>
      <x:c r="AM771" s="74" t="str">
        <x:v>1</x:v>
      </x:c>
      <x:c r="AN771" s="74" t="str">
        <x:v>0</x:v>
      </x:c>
      <x:c r="AO771" s="60" t="str">
        <x:v>2026</x:v>
      </x:c>
      <x:c r="AP771" s="76" t="str">
        <x:v>ICP fit; paid-demand need requires manual verification</x:v>
      </x:c>
      <x:c r="AQ771" s="76" t="str">
        <x:v>no embedded homepage video detected</x:v>
      </x:c>
      <x:c r="AR771" s="76" t="str">
        <x:v>I was reviewing roofing companies in Columbia, South Carolina and AOS Specialty Contractors, Inc. looked like a strong fit for a creative test.</x:v>
      </x:c>
      <x:c r="AS771" s="76" t="str">
        <x:v>storm-to-inspection before/after ad</x:v>
      </x:c>
      <x:c r="AT771" s="76" t="str">
        <x:v>AOS Specialty Contractors, Inc. ad concept</x:v>
      </x:c>
      <x:c r="AU771" s="76" t="str">
        <x:v>Hi Jane — I was reviewing roofing companies in Columbia, South Carolina and AOS Specialty Contractors, Inc. looked like a strong fit for a creative test. I mapped a private 15-second storm-to-inspection before/after ad for AOS Specialty Contractors, Inc. using only public brand context—not for publishing, just to show the angle. We build three client-approved video ad concepts in seven days, then turn the winners into fresh variations. No filming day required. Worth sending the private sample?</x:v>
      </x:c>
      <x:c r="AV771" s="76" t="str">
        <x:v>Quick follow-up: the sample angle is a storm-to-inspection before/after ad. If it misses the mark, no problem—I won't keep chasing. Should I send it?</x:v>
      </x:c>
      <x:c r="AW771" s="76" t="str">
        <x:v>Hi Jane, Ryan here. I was looking at AOS Specialty Contractors, Inc.'s public marketing and noticed: icp fit; paid-demand need requires manual verification. I mapped one private storm-to-inspection before/after ad as an example. Did I catch you with 30 seconds?</x:v>
      </x:c>
      <x:c r="AX771" s="60" t="str">
        <x:v>https://www.facebook.com/ads/library/?active_status=active&amp;ad_type=all&amp;country=US&amp;q=AOS%20Specialty%20Contractors%2C%20Inc.&amp;search_type=keyword_unordered</x:v>
      </x:c>
      <x:c r="AY771" s="60" t="str">
        <x:v>ok:200</x:v>
      </x:c>
      <x:c r="AZ771" s="60" t="n">
        <x:v>46232.722858796296</x:v>
      </x:c>
      <x:c r="BA771" s="60" t="str">
        <x:v>AI Ark SC trades export</x:v>
      </x:c>
      <x:c r="BB771" s="60" t="str">
        <x:v>https://aossc.org | https://www.linkedin.com/company/aos-specialty-contractors-inc-</x:v>
      </x:c>
      <x:c r="BC771" s="60" t="str"/>
    </x:row>
    <x:row r="772" ht="18" customHeight="1">
      <x:c r="A772" s="70" t="str">
        <x:v>771</x:v>
      </x:c>
      <x:c r="B772" s="70" t="str">
        <x:v>C - Verify</x:v>
      </x:c>
      <x:c r="C772" s="72" t="str">
        <x:v>45</x:v>
      </x:c>
      <x:c r="D772" s="60" t="str">
        <x:v>American Landscape Inc.</x:v>
      </x:c>
      <x:c r="E772" s="60" t="str">
        <x:v>https://americanlandscape.com</x:v>
      </x:c>
      <x:c r="F772" s="60" t="str">
        <x:v>http://americanlandscape.com</x:v>
      </x:c>
      <x:c r="G772" s="60" t="str">
        <x:v>Simpsonville</x:v>
      </x:c>
      <x:c r="H772" s="60" t="str">
        <x:v>South Carolina</x:v>
      </x:c>
      <x:c r="I772" s="60" t="str">
        <x:v>Foundation &amp; Waterproofing</x:v>
      </x:c>
      <x:c r="J772" s="60" t="str">
        <x:v>Marshall</x:v>
      </x:c>
      <x:c r="K772" s="60" t="str">
        <x:v>Fowler</x:v>
      </x:c>
      <x:c r="L772" s="60" t="str">
        <x:v>Owner</x:v>
      </x:c>
      <x:c r="M772" s="60" t="str"/>
      <x:c r="N772" s="60" t="str"/>
      <x:c r="O772" s="60" t="str"/>
      <x:c r="P772" s="60" t="str">
        <x:v>https://www.linkedin.com/in/marshall-fowler-76a1882a</x:v>
      </x:c>
      <x:c r="Q772" s="60" t="str">
        <x:v>201-500</x:v>
      </x:c>
      <x:c r="R772" s="60" t="str">
        <x:v>1000000-4999999</x:v>
      </x:c>
      <x:c r="S772" s="60" t="str"/>
      <x:c r="T772" s="74" t="str">
        <x:v>0</x:v>
      </x:c>
      <x:c r="U772" s="60" t="str"/>
      <x:c r="V772" s="74" t="str">
        <x:v>30</x:v>
      </x:c>
      <x:c r="W772" s="74" t="str">
        <x:v>0</x:v>
      </x:c>
      <x:c r="X772" s="74" t="str">
        <x:v>13</x:v>
      </x:c>
      <x:c r="Y772" s="74" t="str">
        <x:v>0</x:v>
      </x:c>
      <x:c r="Z772" s="74" t="str">
        <x:v>2</x:v>
      </x:c>
      <x:c r="AA772" s="74" t="str">
        <x:v>0</x:v>
      </x:c>
      <x:c r="AB772" s="74" t="str">
        <x:v>0</x:v>
      </x:c>
      <x:c r="AC772" s="74" t="str">
        <x:v>0</x:v>
      </x:c>
      <x:c r="AD772" s="74" t="str">
        <x:v>0</x:v>
      </x:c>
      <x:c r="AE772" s="74" t="str">
        <x:v>0</x:v>
      </x:c>
      <x:c r="AF772" s="74" t="str"/>
      <x:c r="AG772" s="74" t="str">
        <x:v>0</x:v>
      </x:c>
      <x:c r="AH772" s="74" t="str">
        <x:v>0</x:v>
      </x:c>
      <x:c r="AI772" s="74" t="str">
        <x:v>0</x:v>
      </x:c>
      <x:c r="AJ772" s="74" t="str">
        <x:v>0</x:v>
      </x:c>
      <x:c r="AK772" s="74" t="str">
        <x:v>0</x:v>
      </x:c>
      <x:c r="AL772" s="74" t="str">
        <x:v>0</x:v>
      </x:c>
      <x:c r="AM772" s="74" t="str">
        <x:v>1</x:v>
      </x:c>
      <x:c r="AN772" s="74" t="str">
        <x:v>0</x:v>
      </x:c>
      <x:c r="AO772" s="60" t="str">
        <x:v>2015</x:v>
      </x:c>
      <x:c r="AP772" s="76" t="str">
        <x:v>ICP fit; paid-demand need requires manual verification</x:v>
      </x:c>
      <x:c r="AQ772" s="76" t="str">
        <x:v>no embedded homepage video detected</x:v>
      </x:c>
      <x:c r="AR772" s="76" t="str">
        <x:v>I was reviewing foundation &amp; waterproofing companies in Simpsonville, South Carolina and American Landscape Inc. looked like a strong fit for a creative test.</x:v>
      </x:c>
      <x:c r="AS772" s="76" t="str">
        <x:v>visible-warning-signs inspection ad</x:v>
      </x:c>
      <x:c r="AT772" s="76" t="str">
        <x:v>American Landscape Inc. ad concept</x:v>
      </x:c>
      <x:c r="AU772" s="76" t="str">
        <x:v>Hi Marshall — I was reviewing foundation &amp; waterproofing companies in Simpsonville, South Carolina and American Landscape Inc. looked like a strong fit for a creative test. I mapped a private 15-second visible-warning-signs inspection ad for American Landscape Inc. using only public brand context—not for publishing, just to show the angle. We build three client-approved video ad concepts in seven days, then turn the winners into fresh variations. No filming day required. Worth sending the private sample?</x:v>
      </x:c>
      <x:c r="AV772" s="76" t="str">
        <x:v>Quick follow-up: the sample angle is a visible-warning-signs inspection ad. If it misses the mark, no problem—I won't keep chasing. Should I send it?</x:v>
      </x:c>
      <x:c r="AW772" s="76" t="str">
        <x:v>Hi Marshall, Ryan here. I was looking at American Landscape Inc.'s public marketing and noticed: icp fit; paid-demand need requires manual verification. I mapped one private visible-warning-signs inspection ad as an example. Did I catch you with 30 seconds?</x:v>
      </x:c>
      <x:c r="AX772" s="60" t="str">
        <x:v>https://www.facebook.com/ads/library/?active_status=active&amp;ad_type=all&amp;country=US&amp;q=American%20Landscape%20Inc.&amp;search_type=keyword_unordered</x:v>
      </x:c>
      <x:c r="AY772" s="60" t="str">
        <x:v>ok:200</x:v>
      </x:c>
      <x:c r="AZ772" s="60" t="n">
        <x:v>46232.722858796296</x:v>
      </x:c>
      <x:c r="BA772" s="60" t="str">
        <x:v>AI Ark SC trades export</x:v>
      </x:c>
      <x:c r="BB772" s="60" t="str">
        <x:v>https://americanlandscape.com | https://www.linkedin.com/company/american-landscape-inc.</x:v>
      </x:c>
      <x:c r="BC772" s="60" t="str"/>
    </x:row>
    <x:row r="773" ht="18" customHeight="1">
      <x:c r="A773" s="70" t="str">
        <x:v>772</x:v>
      </x:c>
      <x:c r="B773" s="70" t="str">
        <x:v>C - Verify</x:v>
      </x:c>
      <x:c r="C773" s="72" t="str">
        <x:v>44</x:v>
      </x:c>
      <x:c r="D773" s="60" t="str">
        <x:v>Craig’s Handyman and Service</x:v>
      </x:c>
      <x:c r="E773" s="60" t="str">
        <x:v>https://craigshandyman.com</x:v>
      </x:c>
      <x:c r="F773" s="60" t="str">
        <x:v>https://craigshandyman.com</x:v>
      </x:c>
      <x:c r="G773" s="60" t="str">
        <x:v>Aiken</x:v>
      </x:c>
      <x:c r="H773" s="60" t="str">
        <x:v>South Carolina</x:v>
      </x:c>
      <x:c r="I773" s="60" t="str">
        <x:v>Plumbing</x:v>
      </x:c>
      <x:c r="J773" s="60" t="str">
        <x:v>Craig’s Handyman and Service</x:v>
      </x:c>
      <x:c r="K773" s="60" t="str"/>
      <x:c r="L773" s="60" t="str">
        <x:v>Owner / decision maker to verify</x:v>
      </x:c>
      <x:c r="M773" s="60" t="str"/>
      <x:c r="N773" s="60" t="str"/>
      <x:c r="O773" s="60" t="str">
        <x:v>(803) 257-3696</x:v>
      </x:c>
      <x:c r="P773" s="60" t="str"/>
      <x:c r="Q773" s="60" t="str"/>
      <x:c r="R773" s="60" t="str"/>
      <x:c r="S773" s="60" t="str">
        <x:v>4.3</x:v>
      </x:c>
      <x:c r="T773" s="74" t="str">
        <x:v>21</x:v>
      </x:c>
      <x:c r="U773" s="60" t="str"/>
      <x:c r="V773" s="74" t="str">
        <x:v>20</x:v>
      </x:c>
      <x:c r="W773" s="74" t="str">
        <x:v>15</x:v>
      </x:c>
      <x:c r="X773" s="74" t="str">
        <x:v>4</x:v>
      </x:c>
      <x:c r="Y773" s="74" t="str">
        <x:v>0</x:v>
      </x:c>
      <x:c r="Z773" s="74" t="str">
        <x:v>5</x:v>
      </x:c>
      <x:c r="AA773" s="74" t="str">
        <x:v>1</x:v>
      </x:c>
      <x:c r="AB773" s="74" t="str">
        <x:v>0</x:v>
      </x:c>
      <x:c r="AC773" s="74" t="str">
        <x:v>1</x:v>
      </x:c>
      <x:c r="AD773" s="74" t="str">
        <x:v>0</x:v>
      </x:c>
      <x:c r="AE773" s="74" t="str">
        <x:v>0</x:v>
      </x:c>
      <x:c r="AF773" s="74" t="str"/>
      <x:c r="AG773" s="74" t="str">
        <x:v>1</x:v>
      </x:c>
      <x:c r="AH773" s="74" t="str">
        <x:v>0</x:v>
      </x:c>
      <x:c r="AI773" s="74" t="str">
        <x:v>0</x:v>
      </x:c>
      <x:c r="AJ773" s="74" t="str">
        <x:v>0</x:v>
      </x:c>
      <x:c r="AK773" s="74" t="str">
        <x:v>0</x:v>
      </x:c>
      <x:c r="AL773" s="74" t="str">
        <x:v>0</x:v>
      </x:c>
      <x:c r="AM773" s="74" t="str">
        <x:v>1</x:v>
      </x:c>
      <x:c r="AN773" s="74" t="str">
        <x:v>0</x:v>
      </x:c>
      <x:c r="AO773" s="60" t="str">
        <x:v>2025</x:v>
      </x:c>
      <x:c r="AP773" s="76" t="str">
        <x:v>Paid-demand technology detected; creative refresh hypothesis</x:v>
      </x:c>
      <x:c r="AQ773" s="76" t="str">
        <x:v>Meta Pixel</x:v>
      </x:c>
      <x:c r="AR773" s="76" t="str">
        <x:v>I was reviewing plumbing companies in Aiken, South Carolina and Craig’s Handyman and Service looked like a strong fit for a creative test.</x:v>
      </x:c>
      <x:c r="AS773" s="76" t="str">
        <x:v>small symptom to prevented-emergency ad</x:v>
      </x:c>
      <x:c r="AT773" s="76" t="str">
        <x:v>Craig’s Handyman and Service ad concept</x:v>
      </x:c>
      <x:c r="AU773" s="76" t="str">
        <x:v>Hi Craig’s Handyman and Service — I was reviewing plumbing companies in Aiken, South Carolina and Craig’s Handyman and Service looked like a strong fit for a creative test. I mapped a private 15-second small symptom to prevented-emergency ad for Craig’s Handyman and Service using only public brand context—not for publishing, just to show the angle. We build three client-approved video ad concepts in seven days, then turn the winners into fresh variations. No filming day required. Worth sending the private sample?</x:v>
      </x:c>
      <x:c r="AV773" s="76" t="str">
        <x:v>Quick follow-up: the sample angle is a small symptom to prevented-emergency ad. If it misses the mark, no problem—I won't keep chasing. Should I send it?</x:v>
      </x:c>
      <x:c r="AW773" s="76" t="str">
        <x:v>Hi Craig’s Handyman and Service, Ryan here. I was looking at Craig’s Handyman and Service's public marketing and noticed: paid-demand technology detected; creative refresh hypothesis. I mapped one private small symptom to prevented-emergency ad as an example. Did I catch you with 30 seconds?</x:v>
      </x:c>
      <x:c r="AX773" s="60" t="str">
        <x:v>https://www.facebook.com/ads/library/?active_status=active&amp;ad_type=all&amp;country=US&amp;q=Craig%E2%80%99s%20Handyman%20and%20Service&amp;search_type=keyword_unordered</x:v>
      </x:c>
      <x:c r="AY773" s="60" t="str">
        <x:v>ok:200</x:v>
      </x:c>
      <x:c r="AZ773" s="60" t="n">
        <x:v>46232.722858796296</x:v>
      </x:c>
      <x:c r="BA773" s="60" t="str">
        <x:v>Google Maps home-services export</x:v>
      </x:c>
      <x:c r="BB773" s="60" t="str">
        <x:v>https://craigshandyman.com | https://maps.google.com/?cid=8459665643928497948&amp;g_mp=Cidnb29nbGUubWFwcy5wbGFjZXMudjEuUGxhY2VzLlNlYXJjaFRleHQQAhgEIAA</x:v>
      </x:c>
      <x:c r="BC773" s="60" t="str"/>
    </x:row>
    <x:row r="774" ht="18" customHeight="1">
      <x:c r="A774" s="70" t="str">
        <x:v>773</x:v>
      </x:c>
      <x:c r="B774" s="70" t="str">
        <x:v>C - Verify</x:v>
      </x:c>
      <x:c r="C774" s="72" t="str">
        <x:v>44</x:v>
      </x:c>
      <x:c r="D774" s="60" t="str">
        <x:v>SDF Electrical Pty Ltd</x:v>
      </x:c>
      <x:c r="E774" s="60" t="str">
        <x:v>https://sdf.net.au</x:v>
      </x:c>
      <x:c r="F774" s="60" t="str">
        <x:v>https://www.sdf.net.au/</x:v>
      </x:c>
      <x:c r="G774" s="60" t="str">
        <x:v>Bluffton</x:v>
      </x:c>
      <x:c r="H774" s="60" t="str">
        <x:v>South Carolina</x:v>
      </x:c>
      <x:c r="I774" s="60" t="str">
        <x:v>General Contractor</x:v>
      </x:c>
      <x:c r="J774" s="60" t="str">
        <x:v>Michael</x:v>
      </x:c>
      <x:c r="K774" s="60" t="str">
        <x:v>Holmquist</x:v>
      </x:c>
      <x:c r="L774" s="60" t="str">
        <x:v>Company Owner</x:v>
      </x:c>
      <x:c r="M774" s="60" t="str"/>
      <x:c r="N774" s="60" t="str"/>
      <x:c r="O774" s="60" t="str"/>
      <x:c r="P774" s="60" t="str">
        <x:v>https://www.linkedin.com/in/michael-holmquist-a63a6824a</x:v>
      </x:c>
      <x:c r="Q774" s="60" t="str">
        <x:v>51-200</x:v>
      </x:c>
      <x:c r="R774" s="60" t="str">
        <x:v>5000000-9999999</x:v>
      </x:c>
      <x:c r="S774" s="60" t="str"/>
      <x:c r="T774" s="74" t="str">
        <x:v>0</x:v>
      </x:c>
      <x:c r="U774" s="60" t="str"/>
      <x:c r="V774" s="74" t="str">
        <x:v>27</x:v>
      </x:c>
      <x:c r="W774" s="74" t="str">
        <x:v>15</x:v>
      </x:c>
      <x:c r="X774" s="74" t="str">
        <x:v>0</x:v>
      </x:c>
      <x:c r="Y774" s="74" t="str">
        <x:v>0</x:v>
      </x:c>
      <x:c r="Z774" s="74" t="str">
        <x:v>2</x:v>
      </x:c>
      <x:c r="AA774" s="74" t="str">
        <x:v>1</x:v>
      </x:c>
      <x:c r="AB774" s="74" t="str">
        <x:v>0</x:v>
      </x:c>
      <x:c r="AC774" s="74" t="str">
        <x:v>1</x:v>
      </x:c>
      <x:c r="AD774" s="74" t="str">
        <x:v>0</x:v>
      </x:c>
      <x:c r="AE774" s="74" t="str">
        <x:v>0</x:v>
      </x:c>
      <x:c r="AF774" s="74" t="str"/>
      <x:c r="AG774" s="74" t="str">
        <x:v>1</x:v>
      </x:c>
      <x:c r="AH774" s="74" t="str">
        <x:v>0</x:v>
      </x:c>
      <x:c r="AI774" s="74" t="str">
        <x:v>0</x:v>
      </x:c>
      <x:c r="AJ774" s="74" t="str">
        <x:v>0</x:v>
      </x:c>
      <x:c r="AK774" s="74" t="str">
        <x:v>0</x:v>
      </x:c>
      <x:c r="AL774" s="74" t="str">
        <x:v>1</x:v>
      </x:c>
      <x:c r="AM774" s="74" t="str">
        <x:v>1</x:v>
      </x:c>
      <x:c r="AN774" s="74" t="str">
        <x:v>0</x:v>
      </x:c>
      <x:c r="AO774" s="60" t="str">
        <x:v>2026</x:v>
      </x:c>
      <x:c r="AP774" s="76" t="str">
        <x:v>Paid-demand technology detected; creative refresh hypothesis</x:v>
      </x:c>
      <x:c r="AQ774" s="76" t="str">
        <x:v>Meta Pixel</x:v>
      </x:c>
      <x:c r="AR774" s="76" t="str">
        <x:v>I was reviewing general contractor companies in Bluffton, South Carolina and SDF Electrical Pty Ltd looked like a strong fit for a creative test.</x:v>
      </x:c>
      <x:c r="AS774" s="76" t="str">
        <x:v>project walkthrough with proof milestones</x:v>
      </x:c>
      <x:c r="AT774" s="76" t="str">
        <x:v>SDF Electrical Pty Ltd ad concept</x:v>
      </x:c>
      <x:c r="AU774" s="76" t="str">
        <x:v>Hi Michael — I was reviewing general contractor companies in Bluffton, South Carolina and SDF Electrical Pty Ltd looked like a strong fit for a creative test. I mapped a private 15-second project walkthrough with proof milestones for SDF Electrical Pty Ltd using only public brand context—not for publishing, just to show the angle. We build three client-approved video ad concepts in seven days, then turn the winners into fresh variations. No filming day required. Worth sending the private sample?</x:v>
      </x:c>
      <x:c r="AV774" s="76" t="str">
        <x:v>Quick follow-up: the sample angle is a project walkthrough with proof milestones. If it misses the mark, no problem—I won't keep chasing. Should I send it?</x:v>
      </x:c>
      <x:c r="AW774" s="76" t="str">
        <x:v>Hi Michael, Ryan here. I was looking at SDF Electrical Pty Ltd's public marketing and noticed: paid-demand technology detected; creative refresh hypothesis. I mapped one private project walkthrough with proof milestones as an example. Did I catch you with 30 seconds?</x:v>
      </x:c>
      <x:c r="AX774" s="60" t="str">
        <x:v>https://www.facebook.com/ads/library/?active_status=active&amp;ad_type=all&amp;country=US&amp;q=SDF%20Electrical%20Pty%20Ltd&amp;search_type=keyword_unordered</x:v>
      </x:c>
      <x:c r="AY774" s="60" t="str">
        <x:v>ok:200</x:v>
      </x:c>
      <x:c r="AZ774" s="60" t="n">
        <x:v>46232.722858796296</x:v>
      </x:c>
      <x:c r="BA774" s="60" t="str">
        <x:v>AI Ark SC trades export</x:v>
      </x:c>
      <x:c r="BB774" s="60" t="str">
        <x:v>https://sdf.net.au | https://www.linkedin.com/company/sdf-electrical</x:v>
      </x:c>
      <x:c r="BC774" s="60" t="str"/>
    </x:row>
    <x:row r="775" ht="18" customHeight="1">
      <x:c r="A775" s="70" t="str">
        <x:v>774</x:v>
      </x:c>
      <x:c r="B775" s="70" t="str">
        <x:v>C - Verify</x:v>
      </x:c>
      <x:c r="C775" s="72" t="str">
        <x:v>44</x:v>
      </x:c>
      <x:c r="D775" s="60" t="str">
        <x:v>Superior Plumbing &amp; Gas</x:v>
      </x:c>
      <x:c r="E775" s="60" t="str">
        <x:v>https://superiorplumbingandgas.com</x:v>
      </x:c>
      <x:c r="F775" s="60" t="str">
        <x:v>https://superiorplumbingandgas.com</x:v>
      </x:c>
      <x:c r="G775" s="60" t="str">
        <x:v>Columbia</x:v>
      </x:c>
      <x:c r="H775" s="60" t="str">
        <x:v>South Carolina Metropolitan Area</x:v>
      </x:c>
      <x:c r="I775" s="60" t="str">
        <x:v>Plumbing</x:v>
      </x:c>
      <x:c r="J775" s="60" t="str">
        <x:v>Julius</x:v>
      </x:c>
      <x:c r="K775" s="60" t="str">
        <x:v>Weathers</x:v>
      </x:c>
      <x:c r="L775" s="60" t="str">
        <x:v>Owner</x:v>
      </x:c>
      <x:c r="M775" s="60" t="str"/>
      <x:c r="N775" s="60" t="str"/>
      <x:c r="O775" s="60" t="str">
        <x:v>+1 803 402 5216</x:v>
      </x:c>
      <x:c r="P775" s="60" t="str">
        <x:v>https://www.linkedin.com/in/julius-weathers</x:v>
      </x:c>
      <x:c r="Q775" s="60" t="str">
        <x:v>2-10</x:v>
      </x:c>
      <x:c r="R775" s="60" t="str">
        <x:v>0-99999</x:v>
      </x:c>
      <x:c r="S775" s="60" t="str">
        <x:v>4.8</x:v>
      </x:c>
      <x:c r="T775" s="74" t="str">
        <x:v>169</x:v>
      </x:c>
      <x:c r="U775" s="60" t="str"/>
      <x:c r="V775" s="74" t="str">
        <x:v>27</x:v>
      </x:c>
      <x:c r="W775" s="74" t="str">
        <x:v>6</x:v>
      </x:c>
      <x:c r="X775" s="74" t="str">
        <x:v>0</x:v>
      </x:c>
      <x:c r="Y775" s="74" t="str">
        <x:v>6</x:v>
      </x:c>
      <x:c r="Z775" s="74" t="str">
        <x:v>5</x:v>
      </x:c>
      <x:c r="AA775" s="74" t="str">
        <x:v>0</x:v>
      </x:c>
      <x:c r="AB775" s="74" t="str">
        <x:v>0</x:v>
      </x:c>
      <x:c r="AC775" s="74" t="str">
        <x:v>1</x:v>
      </x:c>
      <x:c r="AD775" s="74" t="str">
        <x:v>0</x:v>
      </x:c>
      <x:c r="AE775" s="74" t="str">
        <x:v>0</x:v>
      </x:c>
      <x:c r="AF775" s="74" t="str">
        <x:v>servicetitan</x:v>
      </x:c>
      <x:c r="AG775" s="74" t="str">
        <x:v>1</x:v>
      </x:c>
      <x:c r="AH775" s="74" t="str">
        <x:v>0</x:v>
      </x:c>
      <x:c r="AI775" s="74" t="str">
        <x:v>0</x:v>
      </x:c>
      <x:c r="AJ775" s="74" t="str">
        <x:v>0</x:v>
      </x:c>
      <x:c r="AK775" s="74" t="str">
        <x:v>1</x:v>
      </x:c>
      <x:c r="AL775" s="74" t="str">
        <x:v>1</x:v>
      </x:c>
      <x:c r="AM775" s="74" t="str">
        <x:v>1</x:v>
      </x:c>
      <x:c r="AN775" s="74" t="str">
        <x:v>0</x:v>
      </x:c>
      <x:c r="AO775" s="60" t="str">
        <x:v>2026</x:v>
      </x:c>
      <x:c r="AP775" s="76" t="str">
        <x:v>ICP fit; paid-demand need requires manual verification</x:v>
      </x:c>
      <x:c r="AQ775" s="76" t="str">
        <x:v>visible service offer</x:v>
      </x:c>
      <x:c r="AR775" s="76" t="str">
        <x:v>I was reviewing plumbing companies in Columbia, South Carolina Metropolitan Area and Superior Plumbing &amp; Gas looked like a strong fit for a creative test.</x:v>
      </x:c>
      <x:c r="AS775" s="76" t="str">
        <x:v>small symptom to prevented-emergency ad</x:v>
      </x:c>
      <x:c r="AT775" s="76" t="str">
        <x:v>Superior Plumbing &amp; Gas ad concept</x:v>
      </x:c>
      <x:c r="AU775" s="76" t="str">
        <x:v>Hi Julius — I was reviewing plumbing companies in Columbia, South Carolina Metropolitan Area and Superior Plumbing &amp; Gas looked like a strong fit for a creative test. I mapped a private 15-second small symptom to prevented-emergency ad for Superior Plumbing &amp; Gas using only public brand context—not for publishing, just to show the angle. We build three client-approved video ad concepts in seven days, then turn the winners into fresh variations. No filming day required. Worth sending the private sample?</x:v>
      </x:c>
      <x:c r="AV775" s="76" t="str">
        <x:v>Quick follow-up: the sample angle is a small symptom to prevented-emergency ad. If it misses the mark, no problem—I won't keep chasing. Should I send it?</x:v>
      </x:c>
      <x:c r="AW775" s="76" t="str">
        <x:v>Hi Julius, Ryan here. I was looking at Superior Plumbing &amp; Gas's public marketing and noticed: icp fit; paid-demand need requires manual verification. I mapped one private small symptom to prevented-emergency ad as an example. Did I catch you with 30 seconds?</x:v>
      </x:c>
      <x:c r="AX775" s="60" t="str">
        <x:v>https://www.facebook.com/ads/library/?active_status=active&amp;ad_type=all&amp;country=US&amp;q=Superior%20Plumbing%20%26%20Gas&amp;search_type=keyword_unordered</x:v>
      </x:c>
      <x:c r="AY775" s="60" t="str">
        <x:v>ok:200</x:v>
      </x:c>
      <x:c r="AZ775" s="60" t="n">
        <x:v>46232.722858796296</x:v>
      </x:c>
      <x:c r="BA775" s="60" t="str">
        <x:v>AI Ark SC trades export | Google Maps home-services export</x:v>
      </x:c>
      <x:c r="BB775" s="60" t="str">
        <x:v>https://maps.google.com/?cid=12223276666483517039&amp;g_mp=Cidnb29nbGUubWFwcy5wbGFjZXMudjEuUGxhY2VzLlNlYXJjaFRleHQQAhgEIAA | https://superiorplumbingandgas.com | https://www.linkedin.com/company/superior-plumbing-gas</x:v>
      </x:c>
      <x:c r="BC775" s="60" t="str"/>
    </x:row>
    <x:row r="776" ht="18" customHeight="1">
      <x:c r="A776" s="70" t="str">
        <x:v>775</x:v>
      </x:c>
      <x:c r="B776" s="70" t="str">
        <x:v>C - Verify</x:v>
      </x:c>
      <x:c r="C776" s="72" t="str">
        <x:v>44</x:v>
      </x:c>
      <x:c r="D776" s="60" t="str">
        <x:v>Premier Pools &amp; Spas</x:v>
      </x:c>
      <x:c r="E776" s="60" t="str">
        <x:v>https://premierpoolsandspas.com</x:v>
      </x:c>
      <x:c r="F776" s="60" t="str">
        <x:v>https://premierpoolsandspas.com</x:v>
      </x:c>
      <x:c r="G776" s="60" t="str">
        <x:v>Greenville</x:v>
      </x:c>
      <x:c r="H776" s="60" t="str">
        <x:v>South Carolina</x:v>
      </x:c>
      <x:c r="I776" s="60" t="str">
        <x:v>Remodeling</x:v>
      </x:c>
      <x:c r="J776" s="60" t="str">
        <x:v>Cassidy</x:v>
      </x:c>
      <x:c r="K776" s="60" t="str">
        <x:v>Mehlhaff</x:v>
      </x:c>
      <x:c r="L776" s="60" t="str">
        <x:v>Business Owner</x:v>
      </x:c>
      <x:c r="M776" s="60" t="str"/>
      <x:c r="N776" s="60" t="str"/>
      <x:c r="O776" s="60" t="str"/>
      <x:c r="P776" s="60" t="str">
        <x:v>https://www.linkedin.com/in/cassidymehlhaff</x:v>
      </x:c>
      <x:c r="Q776" s="60" t="str">
        <x:v>501-1000</x:v>
      </x:c>
      <x:c r="R776" s="60" t="str">
        <x:v>25000000-49999999</x:v>
      </x:c>
      <x:c r="S776" s="60" t="str"/>
      <x:c r="T776" s="74" t="str">
        <x:v>0</x:v>
      </x:c>
      <x:c r="U776" s="60" t="str"/>
      <x:c r="V776" s="74" t="str">
        <x:v>27</x:v>
      </x:c>
      <x:c r="W776" s="74" t="str">
        <x:v>3</x:v>
      </x:c>
      <x:c r="X776" s="74" t="str">
        <x:v>0</x:v>
      </x:c>
      <x:c r="Y776" s="74" t="str">
        <x:v>12</x:v>
      </x:c>
      <x:c r="Z776" s="74" t="str">
        <x:v>2</x:v>
      </x:c>
      <x:c r="AA776" s="74" t="str">
        <x:v>0</x:v>
      </x:c>
      <x:c r="AB776" s="74" t="str">
        <x:v>0</x:v>
      </x:c>
      <x:c r="AC776" s="74" t="str">
        <x:v>1</x:v>
      </x:c>
      <x:c r="AD776" s="74" t="str">
        <x:v>0</x:v>
      </x:c>
      <x:c r="AE776" s="74" t="str">
        <x:v>0</x:v>
      </x:c>
      <x:c r="AF776" s="74" t="str"/>
      <x:c r="AG776" s="74" t="str">
        <x:v>1</x:v>
      </x:c>
      <x:c r="AH776" s="74" t="str">
        <x:v>1</x:v>
      </x:c>
      <x:c r="AI776" s="74" t="str">
        <x:v>1</x:v>
      </x:c>
      <x:c r="AJ776" s="74" t="str">
        <x:v>1</x:v>
      </x:c>
      <x:c r="AK776" s="74" t="str">
        <x:v>0</x:v>
      </x:c>
      <x:c r="AL776" s="74" t="str">
        <x:v>1</x:v>
      </x:c>
      <x:c r="AM776" s="74" t="str">
        <x:v>1</x:v>
      </x:c>
      <x:c r="AN776" s="74" t="str">
        <x:v>1</x:v>
      </x:c>
      <x:c r="AO776" s="60" t="str">
        <x:v>2026</x:v>
      </x:c>
      <x:c r="AP776" s="76" t="str">
        <x:v>ICP fit; paid-demand need requires manual verification</x:v>
      </x:c>
      <x:c r="AQ776" s="76" t="str">
        <x:v>project/gallery proof; testimonials; financing</x:v>
      </x:c>
      <x:c r="AR776" s="76" t="str">
        <x:v>I was reviewing remodeling companies in Greenville, South Carolina and Premier Pools &amp; Spas looked like a strong fit for a creative test.</x:v>
      </x:c>
      <x:c r="AS776" s="76" t="str">
        <x:v>project reveal with budget-and-timeline proof</x:v>
      </x:c>
      <x:c r="AT776" s="76" t="str">
        <x:v>Premier Pools &amp; Spas ad concept</x:v>
      </x:c>
      <x:c r="AU776" s="76" t="str">
        <x:v>Hi Cassidy — I was reviewing remodeling companies in Greenville, South Carolina and Premier Pools &amp; Spas looked like a strong fit for a creative test. I mapped a private 15-second project reveal with budget-and-timeline proof for Premier Pools &amp; Spas using only public brand context—not for publishing, just to show the angle. We build three client-approved video ad concepts in seven days, then turn the winners into fresh variations. No filming day required. Worth sending the private sample?</x:v>
      </x:c>
      <x:c r="AV776" s="76" t="str">
        <x:v>Quick follow-up: the sample angle is a project reveal with budget-and-timeline proof. If it misses the mark, no problem—I won't keep chasing. Should I send it?</x:v>
      </x:c>
      <x:c r="AW776" s="76" t="str">
        <x:v>Hi Cassidy, Ryan here. I was looking at Premier Pools &amp; Spas's public marketing and noticed: icp fit; paid-demand need requires manual verification. I mapped one private project reveal with budget-and-timeline proof as an example. Did I catch you with 30 seconds?</x:v>
      </x:c>
      <x:c r="AX776" s="60" t="str">
        <x:v>https://www.facebook.com/ads/library/?active_status=active&amp;ad_type=all&amp;country=US&amp;q=Premier%20Pools%20%26%20Spas&amp;search_type=keyword_unordered</x:v>
      </x:c>
      <x:c r="AY776" s="60" t="str">
        <x:v>ok:200</x:v>
      </x:c>
      <x:c r="AZ776" s="60" t="n">
        <x:v>46232.722858796296</x:v>
      </x:c>
      <x:c r="BA776" s="60" t="str">
        <x:v>AI Ark SC trades export</x:v>
      </x:c>
      <x:c r="BB776" s="60" t="str">
        <x:v>https://premierpoolsandspas.com | https://www.linkedin.com/company/premier-pools-and-spa</x:v>
      </x:c>
      <x:c r="BC776" s="60" t="str"/>
    </x:row>
    <x:row r="777" ht="18" customHeight="1">
      <x:c r="A777" s="70" t="str">
        <x:v>776</x:v>
      </x:c>
      <x:c r="B777" s="70" t="str">
        <x:v>C - Verify</x:v>
      </x:c>
      <x:c r="C777" s="72" t="str">
        <x:v>44</x:v>
      </x:c>
      <x:c r="D777" s="60" t="str">
        <x:v>Pyramid Electric Service Inc.</x:v>
      </x:c>
      <x:c r="E777" s="60" t="str">
        <x:v>https://pyramidelectricservice.com</x:v>
      </x:c>
      <x:c r="F777" s="60" t="str">
        <x:v>https://pyramidelectricservice.com</x:v>
      </x:c>
      <x:c r="G777" s="60" t="str">
        <x:v>Rock Hill</x:v>
      </x:c>
      <x:c r="H777" s="60" t="str">
        <x:v>South Carolina</x:v>
      </x:c>
      <x:c r="I777" s="60" t="str">
        <x:v>Electrical</x:v>
      </x:c>
      <x:c r="J777" s="60" t="str">
        <x:v>Pyramid Electric Service Inc.</x:v>
      </x:c>
      <x:c r="K777" s="60" t="str"/>
      <x:c r="L777" s="60" t="str">
        <x:v>Owner / decision maker to verify</x:v>
      </x:c>
      <x:c r="M777" s="60" t="str"/>
      <x:c r="N777" s="60" t="str"/>
      <x:c r="O777" s="60" t="str">
        <x:v>(803) 728-5335</x:v>
      </x:c>
      <x:c r="P777" s="60" t="str"/>
      <x:c r="Q777" s="60" t="str"/>
      <x:c r="R777" s="60" t="str"/>
      <x:c r="S777" s="60" t="str">
        <x:v>4.9</x:v>
      </x:c>
      <x:c r="T777" s="74" t="str">
        <x:v>74</x:v>
      </x:c>
      <x:c r="U777" s="60" t="str"/>
      <x:c r="V777" s="74" t="str">
        <x:v>21</x:v>
      </x:c>
      <x:c r="W777" s="74" t="str">
        <x:v>3</x:v>
      </x:c>
      <x:c r="X777" s="74" t="str">
        <x:v>6</x:v>
      </x:c>
      <x:c r="Y777" s="74" t="str">
        <x:v>9</x:v>
      </x:c>
      <x:c r="Z777" s="74" t="str">
        <x:v>5</x:v>
      </x:c>
      <x:c r="AA777" s="74" t="str">
        <x:v>0</x:v>
      </x:c>
      <x:c r="AB777" s="74" t="str">
        <x:v>0</x:v>
      </x:c>
      <x:c r="AC777" s="74" t="str">
        <x:v>1</x:v>
      </x:c>
      <x:c r="AD777" s="74" t="str">
        <x:v>0</x:v>
      </x:c>
      <x:c r="AE777" s="74" t="str">
        <x:v>0</x:v>
      </x:c>
      <x:c r="AF777" s="74" t="str"/>
      <x:c r="AG777" s="74" t="str">
        <x:v>0</x:v>
      </x:c>
      <x:c r="AH777" s="74" t="str">
        <x:v>0</x:v>
      </x:c>
      <x:c r="AI777" s="74" t="str">
        <x:v>1</x:v>
      </x:c>
      <x:c r="AJ777" s="74" t="str">
        <x:v>0</x:v>
      </x:c>
      <x:c r="AK777" s="74" t="str">
        <x:v>1</x:v>
      </x:c>
      <x:c r="AL777" s="74" t="str">
        <x:v>1</x:v>
      </x:c>
      <x:c r="AM777" s="74" t="str">
        <x:v>1</x:v>
      </x:c>
      <x:c r="AN777" s="74" t="str">
        <x:v>1</x:v>
      </x:c>
      <x:c r="AO777" s="60" t="str">
        <x:v>2026</x:v>
      </x:c>
      <x:c r="AP777" s="76" t="str">
        <x:v>ICP fit; paid-demand need requires manual verification</x:v>
      </x:c>
      <x:c r="AQ777" s="76" t="str">
        <x:v>testimonials; visible service offer; no embedded homepage video detected</x:v>
      </x:c>
      <x:c r="AR777" s="76" t="str">
        <x:v>I was reviewing electrical companies in Rock Hill, South Carolina and Pyramid Electric Service Inc. looked like a strong fit for a creative test.</x:v>
      </x:c>
      <x:c r="AS777" s="76" t="str">
        <x:v>safety inspection problem/solution ad</x:v>
      </x:c>
      <x:c r="AT777" s="76" t="str">
        <x:v>Pyramid Electric Service Inc. ad concept</x:v>
      </x:c>
      <x:c r="AU777" s="76" t="str">
        <x:v>Hi Pyramid Electric Service Inc. — I was reviewing electrical companies in Rock Hill, South Carolina and Pyramid Electric Service Inc. looked like a strong fit for a creative test. I mapped a private 15-second safety inspection problem/solution ad for Pyramid Electric Service Inc. using only public brand context—not for publishing, just to show the angle. We build three client-approved video ad concepts in seven days, then turn the winners into fresh variations. No filming day required. Worth sending the private sample?</x:v>
      </x:c>
      <x:c r="AV777" s="76" t="str">
        <x:v>Quick follow-up: the sample angle is a safety inspection problem/solution ad. If it misses the mark, no problem—I won't keep chasing. Should I send it?</x:v>
      </x:c>
      <x:c r="AW777" s="76" t="str">
        <x:v>Hi Pyramid Electric Service Inc., Ryan here. I was looking at Pyramid Electric Service Inc.'s public marketing and noticed: icp fit; paid-demand need requires manual verification. I mapped one private safety inspection problem/solution ad as an example. Did I catch you with 30 seconds?</x:v>
      </x:c>
      <x:c r="AX777" s="60" t="str">
        <x:v>https://www.facebook.com/ads/library/?active_status=active&amp;ad_type=all&amp;country=US&amp;q=Pyramid%20Electric%20Service%20Inc.&amp;search_type=keyword_unordered</x:v>
      </x:c>
      <x:c r="AY777" s="60" t="str">
        <x:v>ok:200</x:v>
      </x:c>
      <x:c r="AZ777" s="60" t="n">
        <x:v>46232.722858796296</x:v>
      </x:c>
      <x:c r="BA777" s="60" t="str">
        <x:v>Google Maps home-services export</x:v>
      </x:c>
      <x:c r="BB777" s="60" t="str">
        <x:v>https://maps.google.com/?cid=11200922093240094359&amp;g_mp=Cidnb29nbGUubWFwcy5wbGFjZXMudjEuUGxhY2VzLlNlYXJjaFRleHQQAhgEIAA | https://pyramidelectricservice.com</x:v>
      </x:c>
      <x:c r="BC777" s="60" t="str"/>
    </x:row>
    <x:row r="778" ht="18" customHeight="1">
      <x:c r="A778" s="70" t="str">
        <x:v>777</x:v>
      </x:c>
      <x:c r="B778" s="70" t="str">
        <x:v>C - Verify</x:v>
      </x:c>
      <x:c r="C778" s="72" t="str">
        <x:v>44</x:v>
      </x:c>
      <x:c r="D778" s="60" t="str">
        <x:v>Palmetto Structural Detailing, LLC</x:v>
      </x:c>
      <x:c r="E778" s="60" t="str">
        <x:v>https://palmettosd.com</x:v>
      </x:c>
      <x:c r="F778" s="60" t="str">
        <x:v>https://palmettosd.com</x:v>
      </x:c>
      <x:c r="G778" s="60" t="str">
        <x:v>Chesnee</x:v>
      </x:c>
      <x:c r="H778" s="60" t="str">
        <x:v>South Carolina</x:v>
      </x:c>
      <x:c r="I778" s="60" t="str">
        <x:v>General Contractor</x:v>
      </x:c>
      <x:c r="J778" s="60" t="str">
        <x:v>Joshua A.</x:v>
      </x:c>
      <x:c r="K778" s="60" t="str">
        <x:v>Miller</x:v>
      </x:c>
      <x:c r="L778" s="60" t="str">
        <x:v>Owner</x:v>
      </x:c>
      <x:c r="M778" s="60" t="str"/>
      <x:c r="N778" s="60" t="str"/>
      <x:c r="O778" s="60" t="str">
        <x:v>+1 864 237 2975, +1 864 401 9792</x:v>
      </x:c>
      <x:c r="P778" s="60" t="str">
        <x:v>https://www.linkedin.com/in/joshuaamiller</x:v>
      </x:c>
      <x:c r="Q778" s="60" t="str">
        <x:v>2-10</x:v>
      </x:c>
      <x:c r="R778" s="60" t="str">
        <x:v>100000-499999</x:v>
      </x:c>
      <x:c r="S778" s="60" t="str"/>
      <x:c r="T778" s="74" t="str">
        <x:v>0</x:v>
      </x:c>
      <x:c r="U778" s="60" t="str"/>
      <x:c r="V778" s="74" t="str">
        <x:v>20</x:v>
      </x:c>
      <x:c r="W778" s="74" t="str">
        <x:v>3</x:v>
      </x:c>
      <x:c r="X778" s="74" t="str">
        <x:v>7</x:v>
      </x:c>
      <x:c r="Y778" s="74" t="str">
        <x:v>9</x:v>
      </x:c>
      <x:c r="Z778" s="74" t="str">
        <x:v>5</x:v>
      </x:c>
      <x:c r="AA778" s="74" t="str">
        <x:v>0</x:v>
      </x:c>
      <x:c r="AB778" s="74" t="str">
        <x:v>0</x:v>
      </x:c>
      <x:c r="AC778" s="74" t="str">
        <x:v>1</x:v>
      </x:c>
      <x:c r="AD778" s="74" t="str">
        <x:v>0</x:v>
      </x:c>
      <x:c r="AE778" s="74" t="str">
        <x:v>0</x:v>
      </x:c>
      <x:c r="AF778" s="74" t="str"/>
      <x:c r="AG778" s="74" t="str">
        <x:v>1</x:v>
      </x:c>
      <x:c r="AH778" s="74" t="str">
        <x:v>1</x:v>
      </x:c>
      <x:c r="AI778" s="74" t="str">
        <x:v>1</x:v>
      </x:c>
      <x:c r="AJ778" s="74" t="str">
        <x:v>0</x:v>
      </x:c>
      <x:c r="AK778" s="74" t="str">
        <x:v>0</x:v>
      </x:c>
      <x:c r="AL778" s="74" t="str">
        <x:v>0</x:v>
      </x:c>
      <x:c r="AM778" s="74" t="str">
        <x:v>0</x:v>
      </x:c>
      <x:c r="AN778" s="74" t="str">
        <x:v>0</x:v>
      </x:c>
      <x:c r="AO778" s="60" t="str">
        <x:v>2023</x:v>
      </x:c>
      <x:c r="AP778" s="76" t="str">
        <x:v>ICP fit; paid-demand need requires manual verification</x:v>
      </x:c>
      <x:c r="AQ778" s="76" t="str">
        <x:v>project/gallery proof; testimonials</x:v>
      </x:c>
      <x:c r="AR778" s="76" t="str">
        <x:v>I was reviewing general contractor companies in Chesnee, South Carolina and Palmetto Structural Detailing, LLC looked like a strong fit for a creative test.</x:v>
      </x:c>
      <x:c r="AS778" s="76" t="str">
        <x:v>project walkthrough with proof milestones</x:v>
      </x:c>
      <x:c r="AT778" s="76" t="str">
        <x:v>Palmetto Structural Detailing, LLC ad concept</x:v>
      </x:c>
      <x:c r="AU778" s="76" t="str">
        <x:v>Hi Joshua A. — I was reviewing general contractor companies in Chesnee, South Carolina and Palmetto Structural Detailing, LLC looked like a strong fit for a creative test. I mapped a private 15-second project walkthrough with proof milestones for Palmetto Structural Detailing, LLC using only public brand context—not for publishing, just to show the angle. We build three client-approved video ad concepts in seven days, then turn the winners into fresh variations. No filming day required. Worth sending the private sample?</x:v>
      </x:c>
      <x:c r="AV778" s="76" t="str">
        <x:v>Quick follow-up: the sample angle is a project walkthrough with proof milestones. If it misses the mark, no problem—I won't keep chasing. Should I send it?</x:v>
      </x:c>
      <x:c r="AW778" s="76" t="str">
        <x:v>Hi Joshua A., Ryan here. I was looking at Palmetto Structural Detailing, LLC's public marketing and noticed: icp fit; paid-demand need requires manual verification. I mapped one private project walkthrough with proof milestones as an example. Did I catch you with 30 seconds?</x:v>
      </x:c>
      <x:c r="AX778" s="60" t="str">
        <x:v>https://www.facebook.com/ads/library/?active_status=active&amp;ad_type=all&amp;country=US&amp;q=Palmetto%20Structural%20Detailing%2C%20LLC&amp;search_type=keyword_unordered</x:v>
      </x:c>
      <x:c r="AY778" s="60" t="str">
        <x:v>ok:200</x:v>
      </x:c>
      <x:c r="AZ778" s="60" t="n">
        <x:v>46232.722858796296</x:v>
      </x:c>
      <x:c r="BA778" s="60" t="str">
        <x:v>AI Ark SC trades export</x:v>
      </x:c>
      <x:c r="BB778" s="60" t="str">
        <x:v>https://palmettosd.com | https://www.linkedin.com/company/palmeto-structural-detailing-llc</x:v>
      </x:c>
      <x:c r="BC778" s="60" t="str"/>
    </x:row>
    <x:row r="779" ht="18" customHeight="1">
      <x:c r="A779" s="70" t="str">
        <x:v>778</x:v>
      </x:c>
      <x:c r="B779" s="70" t="str">
        <x:v>C - Verify</x:v>
      </x:c>
      <x:c r="C779" s="72" t="str">
        <x:v>44</x:v>
      </x:c>
      <x:c r="D779" s="60" t="str">
        <x:v>SUNDEK</x:v>
      </x:c>
      <x:c r="E779" s="60" t="str">
        <x:v>https://sundek.com</x:v>
      </x:c>
      <x:c r="F779" s="60" t="str">
        <x:v>https://www.sundek.com/</x:v>
      </x:c>
      <x:c r="G779" s="60" t="str">
        <x:v>North Charleston</x:v>
      </x:c>
      <x:c r="H779" s="60" t="str">
        <x:v>South Carolina</x:v>
      </x:c>
      <x:c r="I779" s="60" t="str">
        <x:v>Pools &amp; Spas</x:v>
      </x:c>
      <x:c r="J779" s="60" t="str">
        <x:v>Dave</x:v>
      </x:c>
      <x:c r="K779" s="60" t="str">
        <x:v>Kreber</x:v>
      </x:c>
      <x:c r="L779" s="60" t="str">
        <x:v>owner</x:v>
      </x:c>
      <x:c r="M779" s="60" t="str"/>
      <x:c r="N779" s="60" t="str"/>
      <x:c r="O779" s="60" t="str"/>
      <x:c r="P779" s="60" t="str">
        <x:v>https://www.linkedin.com/in/dave-kreber-99910240</x:v>
      </x:c>
      <x:c r="Q779" s="60" t="str">
        <x:v>51-200</x:v>
      </x:c>
      <x:c r="R779" s="60" t="str">
        <x:v>5000000-9999999</x:v>
      </x:c>
      <x:c r="S779" s="60" t="str"/>
      <x:c r="T779" s="74" t="str">
        <x:v>0</x:v>
      </x:c>
      <x:c r="U779" s="60" t="str"/>
      <x:c r="V779" s="74" t="str">
        <x:v>30</x:v>
      </x:c>
      <x:c r="W779" s="74" t="str">
        <x:v>3</x:v>
      </x:c>
      <x:c r="X779" s="74" t="str">
        <x:v>0</x:v>
      </x:c>
      <x:c r="Y779" s="74" t="str">
        <x:v>9</x:v>
      </x:c>
      <x:c r="Z779" s="74" t="str">
        <x:v>2</x:v>
      </x:c>
      <x:c r="AA779" s="74" t="str">
        <x:v>0</x:v>
      </x:c>
      <x:c r="AB779" s="74" t="str">
        <x:v>0</x:v>
      </x:c>
      <x:c r="AC779" s="74" t="str">
        <x:v>1</x:v>
      </x:c>
      <x:c r="AD779" s="74" t="str">
        <x:v>0</x:v>
      </x:c>
      <x:c r="AE779" s="74" t="str">
        <x:v>0</x:v>
      </x:c>
      <x:c r="AF779" s="74" t="str"/>
      <x:c r="AG779" s="74" t="str">
        <x:v>1</x:v>
      </x:c>
      <x:c r="AH779" s="74" t="str">
        <x:v>1</x:v>
      </x:c>
      <x:c r="AI779" s="74" t="str">
        <x:v>1</x:v>
      </x:c>
      <x:c r="AJ779" s="74" t="str">
        <x:v>0</x:v>
      </x:c>
      <x:c r="AK779" s="74" t="str">
        <x:v>0</x:v>
      </x:c>
      <x:c r="AL779" s="74" t="str">
        <x:v>1</x:v>
      </x:c>
      <x:c r="AM779" s="74" t="str">
        <x:v>1</x:v>
      </x:c>
      <x:c r="AN779" s="74" t="str">
        <x:v>1</x:v>
      </x:c>
      <x:c r="AO779" s="60" t="str">
        <x:v>2026</x:v>
      </x:c>
      <x:c r="AP779" s="76" t="str">
        <x:v>ICP fit; paid-demand need requires manual verification</x:v>
      </x:c>
      <x:c r="AQ779" s="76" t="str">
        <x:v>project/gallery proof; testimonials</x:v>
      </x:c>
      <x:c r="AR779" s="76" t="str">
        <x:v>I was reviewing pools &amp; spas companies in North Charleston, South Carolina and SUNDEK looked like a strong fit for a creative test.</x:v>
      </x:c>
      <x:c r="AS779" s="76" t="str">
        <x:v>backyard-before to finished-project reveal</x:v>
      </x:c>
      <x:c r="AT779" s="76" t="str">
        <x:v>SUNDEK ad concept</x:v>
      </x:c>
      <x:c r="AU779" s="76" t="str">
        <x:v>Hi Dave — I was reviewing pools &amp; spas companies in North Charleston, South Carolina and SUNDEK looked like a strong fit for a creative test. I mapped a private 15-second backyard-before to finished-project reveal for SUNDEK using only public brand context—not for publishing, just to show the angle. We build three client-approved video ad concepts in seven days, then turn the winners into fresh variations. No filming day required. Worth sending the private sample?</x:v>
      </x:c>
      <x:c r="AV779" s="76" t="str">
        <x:v>Quick follow-up: the sample angle is a backyard-before to finished-project reveal. If it misses the mark, no problem—I won't keep chasing. Should I send it?</x:v>
      </x:c>
      <x:c r="AW779" s="76" t="str">
        <x:v>Hi Dave, Ryan here. I was looking at SUNDEK's public marketing and noticed: icp fit; paid-demand need requires manual verification. I mapped one private backyard-before to finished-project reveal as an example. Did I catch you with 30 seconds?</x:v>
      </x:c>
      <x:c r="AX779" s="60" t="str">
        <x:v>https://www.facebook.com/ads/library/?active_status=active&amp;ad_type=all&amp;country=US&amp;q=SUNDEK&amp;search_type=keyword_unordered</x:v>
      </x:c>
      <x:c r="AY779" s="60" t="str">
        <x:v>ok:200</x:v>
      </x:c>
      <x:c r="AZ779" s="60" t="n">
        <x:v>46232.722858796296</x:v>
      </x:c>
      <x:c r="BA779" s="60" t="str">
        <x:v>AI Ark SC trades export</x:v>
      </x:c>
      <x:c r="BB779" s="60" t="str">
        <x:v>https://sundek.com | https://www.linkedin.com/company/sundek</x:v>
      </x:c>
      <x:c r="BC779" s="60" t="str"/>
    </x:row>
    <x:row r="780" ht="18" customHeight="1">
      <x:c r="A780" s="70" t="str">
        <x:v>779</x:v>
      </x:c>
      <x:c r="B780" s="70" t="str">
        <x:v>C - Verify</x:v>
      </x:c>
      <x:c r="C780" s="72" t="str">
        <x:v>44</x:v>
      </x:c>
      <x:c r="D780" s="60" t="str">
        <x:v>Quality Electrical Contractors</x:v>
      </x:c>
      <x:c r="E780" s="60" t="str">
        <x:v>https://qualityelectricalcontractors.org</x:v>
      </x:c>
      <x:c r="F780" s="60" t="str">
        <x:v>https://qualityelectricalcontractors.org</x:v>
      </x:c>
      <x:c r="G780" s="60" t="str">
        <x:v>Greenville</x:v>
      </x:c>
      <x:c r="H780" s="60" t="str">
        <x:v>South Carolina</x:v>
      </x:c>
      <x:c r="I780" s="60" t="str">
        <x:v>Electrical</x:v>
      </x:c>
      <x:c r="J780" s="60" t="str">
        <x:v>Quality Electrical Contractors</x:v>
      </x:c>
      <x:c r="K780" s="60" t="str"/>
      <x:c r="L780" s="60" t="str">
        <x:v>Owner / decision maker to verify</x:v>
      </x:c>
      <x:c r="M780" s="60" t="str"/>
      <x:c r="N780" s="60" t="str"/>
      <x:c r="O780" s="60" t="str">
        <x:v>(864) 477-5507</x:v>
      </x:c>
      <x:c r="P780" s="60" t="str"/>
      <x:c r="Q780" s="60" t="str"/>
      <x:c r="R780" s="60" t="str"/>
      <x:c r="S780" s="60" t="str">
        <x:v>4.9</x:v>
      </x:c>
      <x:c r="T780" s="74" t="str">
        <x:v>117</x:v>
      </x:c>
      <x:c r="U780" s="60" t="str"/>
      <x:c r="V780" s="74" t="str">
        <x:v>23</x:v>
      </x:c>
      <x:c r="W780" s="74" t="str">
        <x:v>3</x:v>
      </x:c>
      <x:c r="X780" s="74" t="str">
        <x:v>6</x:v>
      </x:c>
      <x:c r="Y780" s="74" t="str">
        <x:v>7</x:v>
      </x:c>
      <x:c r="Z780" s="74" t="str">
        <x:v>5</x:v>
      </x:c>
      <x:c r="AA780" s="74" t="str">
        <x:v>0</x:v>
      </x:c>
      <x:c r="AB780" s="74" t="str">
        <x:v>0</x:v>
      </x:c>
      <x:c r="AC780" s="74" t="str">
        <x:v>1</x:v>
      </x:c>
      <x:c r="AD780" s="74" t="str">
        <x:v>0</x:v>
      </x:c>
      <x:c r="AE780" s="74" t="str">
        <x:v>0</x:v>
      </x:c>
      <x:c r="AF780" s="74" t="str"/>
      <x:c r="AG780" s="74" t="str">
        <x:v>0</x:v>
      </x:c>
      <x:c r="AH780" s="74" t="str">
        <x:v>0</x:v>
      </x:c>
      <x:c r="AI780" s="74" t="str">
        <x:v>1</x:v>
      </x:c>
      <x:c r="AJ780" s="74" t="str">
        <x:v>0</x:v>
      </x:c>
      <x:c r="AK780" s="74" t="str">
        <x:v>0</x:v>
      </x:c>
      <x:c r="AL780" s="74" t="str">
        <x:v>0</x:v>
      </x:c>
      <x:c r="AM780" s="74" t="str">
        <x:v>1</x:v>
      </x:c>
      <x:c r="AN780" s="74" t="str">
        <x:v>1</x:v>
      </x:c>
      <x:c r="AO780" s="60" t="str">
        <x:v>2026</x:v>
      </x:c>
      <x:c r="AP780" s="76" t="str">
        <x:v>117 Google reviews; no embedded homepage video found</x:v>
      </x:c>
      <x:c r="AQ780" s="76" t="str">
        <x:v>testimonials; no embedded homepage video detected</x:v>
      </x:c>
      <x:c r="AR780" s="76" t="str">
        <x:v>Quality Electrical Contractors has 117 Google reviews—strong proof that could be turned into short-form ad concepts.</x:v>
      </x:c>
      <x:c r="AS780" s="76" t="str">
        <x:v>safety inspection problem/solution ad</x:v>
      </x:c>
      <x:c r="AT780" s="76" t="str">
        <x:v>Quality Electrical Contractors ad concept</x:v>
      </x:c>
      <x:c r="AU780" s="76" t="str">
        <x:v>Hi Quality Electrical Contractors — Quality Electrical Contractors has 117 Google reviews—strong proof that could be turned into short-form ad concepts. I mapped a private 15-second safety inspection problem/solution ad for Quality Electrical Contractors using only public brand context—not for publishing, just to show the angle. We build three client-approved video ad concepts in seven days, then turn the winners into fresh variations. No filming day required. Worth sending the private sample?</x:v>
      </x:c>
      <x:c r="AV780" s="76" t="str">
        <x:v>Quick follow-up: the sample angle is a safety inspection problem/solution ad. If it misses the mark, no problem—I won't keep chasing. Should I send it?</x:v>
      </x:c>
      <x:c r="AW780" s="76" t="str">
        <x:v>Hi Quality Electrical Contractors, Ryan here. I was looking at Quality Electrical Contractors's public marketing and noticed: 117 google reviews; no embedded homepage video found. I mapped one private safety inspection problem/solution ad as an example. Did I catch you with 30 seconds?</x:v>
      </x:c>
      <x:c r="AX780" s="60" t="str">
        <x:v>https://www.facebook.com/ads/library/?active_status=active&amp;ad_type=all&amp;country=US&amp;q=Quality%20Electrical%20Contractors&amp;search_type=keyword_unordered</x:v>
      </x:c>
      <x:c r="AY780" s="60" t="str">
        <x:v>ok:200</x:v>
      </x:c>
      <x:c r="AZ780" s="60" t="n">
        <x:v>46232.722858796296</x:v>
      </x:c>
      <x:c r="BA780" s="60" t="str">
        <x:v>Google Maps home-services export</x:v>
      </x:c>
      <x:c r="BB780" s="60" t="str">
        <x:v>https://maps.google.com/?cid=17151930061874141696&amp;g_mp=Cidnb29nbGUubWFwcy5wbGFjZXMudjEuUGxhY2VzLlNlYXJjaFRleHQQAhgEIAA | https://qualityelectricalcontractors.org</x:v>
      </x:c>
      <x:c r="BC780" s="60" t="str"/>
    </x:row>
    <x:row r="781" ht="18" customHeight="1">
      <x:c r="A781" s="70" t="str">
        <x:v>780</x:v>
      </x:c>
      <x:c r="B781" s="70" t="str">
        <x:v>C - Verify</x:v>
      </x:c>
      <x:c r="C781" s="72" t="str">
        <x:v>44</x:v>
      </x:c>
      <x:c r="D781" s="60" t="str">
        <x:v>Tnemec Company, Inc.</x:v>
      </x:c>
      <x:c r="E781" s="60" t="str">
        <x:v>https://tnemec.com</x:v>
      </x:c>
      <x:c r="F781" s="60" t="str">
        <x:v>https://tnemec.com</x:v>
      </x:c>
      <x:c r="G781" s="60" t="str">
        <x:v>Pendleton</x:v>
      </x:c>
      <x:c r="H781" s="60" t="str">
        <x:v>South Carolina</x:v>
      </x:c>
      <x:c r="I781" s="60" t="str">
        <x:v>General Contractor</x:v>
      </x:c>
      <x:c r="J781" s="60" t="str">
        <x:v>Sherry</x:v>
      </x:c>
      <x:c r="K781" s="60" t="str">
        <x:v>Amos</x:v>
      </x:c>
      <x:c r="L781" s="60" t="str">
        <x:v>Sales Rep/Co-Owner Amos And Associates</x:v>
      </x:c>
      <x:c r="M781" s="60" t="str"/>
      <x:c r="N781" s="60" t="str"/>
      <x:c r="O781" s="60" t="str">
        <x:v>+1 703 402 3476, +1 614 562 9035</x:v>
      </x:c>
      <x:c r="P781" s="60" t="str">
        <x:v>https://www.linkedin.com/in/sherry-amos-18a04382</x:v>
      </x:c>
      <x:c r="Q781" s="60" t="str">
        <x:v>201-500</x:v>
      </x:c>
      <x:c r="R781" s="60" t="str">
        <x:v>10000000-24999999</x:v>
      </x:c>
      <x:c r="S781" s="60" t="str"/>
      <x:c r="T781" s="74" t="str">
        <x:v>0</x:v>
      </x:c>
      <x:c r="U781" s="60" t="str"/>
      <x:c r="V781" s="74" t="str">
        <x:v>25</x:v>
      </x:c>
      <x:c r="W781" s="74" t="str">
        <x:v>3</x:v>
      </x:c>
      <x:c r="X781" s="74" t="str">
        <x:v>6</x:v>
      </x:c>
      <x:c r="Y781" s="74" t="str">
        <x:v>5</x:v>
      </x:c>
      <x:c r="Z781" s="74" t="str">
        <x:v>5</x:v>
      </x:c>
      <x:c r="AA781" s="74" t="str">
        <x:v>0</x:v>
      </x:c>
      <x:c r="AB781" s="74" t="str">
        <x:v>0</x:v>
      </x:c>
      <x:c r="AC781" s="74" t="str">
        <x:v>1</x:v>
      </x:c>
      <x:c r="AD781" s="74" t="str">
        <x:v>0</x:v>
      </x:c>
      <x:c r="AE781" s="74" t="str">
        <x:v>0</x:v>
      </x:c>
      <x:c r="AF781" s="74" t="str"/>
      <x:c r="AG781" s="74" t="str">
        <x:v>0</x:v>
      </x:c>
      <x:c r="AH781" s="74" t="str">
        <x:v>1</x:v>
      </x:c>
      <x:c r="AI781" s="74" t="str">
        <x:v>0</x:v>
      </x:c>
      <x:c r="AJ781" s="74" t="str">
        <x:v>0</x:v>
      </x:c>
      <x:c r="AK781" s="74" t="str">
        <x:v>0</x:v>
      </x:c>
      <x:c r="AL781" s="74" t="str">
        <x:v>0</x:v>
      </x:c>
      <x:c r="AM781" s="74" t="str">
        <x:v>1</x:v>
      </x:c>
      <x:c r="AN781" s="74" t="str">
        <x:v>1</x:v>
      </x:c>
      <x:c r="AO781" s="60" t="str">
        <x:v>0</x:v>
      </x:c>
      <x:c r="AP781" s="76" t="str">
        <x:v>Project/gallery proof found; no embedded homepage video found</x:v>
      </x:c>
      <x:c r="AQ781" s="76" t="str">
        <x:v>project/gallery proof; no embedded homepage video detected</x:v>
      </x:c>
      <x:c r="AR781" s="76" t="str">
        <x:v>I found project/gallery proof on Tnemec Company, Inc.'s site that could be repackaged into short-form ad concepts.</x:v>
      </x:c>
      <x:c r="AS781" s="76" t="str">
        <x:v>project walkthrough with proof milestones</x:v>
      </x:c>
      <x:c r="AT781" s="76" t="str">
        <x:v>Tnemec Company, Inc. ad concept</x:v>
      </x:c>
      <x:c r="AU781" s="76" t="str">
        <x:v>Hi Sherry — I found project/gallery proof on Tnemec Company, Inc.'s site that could be repackaged into short-form ad concepts. I mapped a private 15-second project walkthrough with proof milestones for Tnemec Company, Inc. using only public brand context—not for publishing, just to show the angle. We build three client-approved video ad concepts in seven days, then turn the winners into fresh variations. No filming day required. Worth sending the private sample?</x:v>
      </x:c>
      <x:c r="AV781" s="76" t="str">
        <x:v>Quick follow-up: the sample angle is a project walkthrough with proof milestones. If it misses the mark, no problem—I won't keep chasing. Should I send it?</x:v>
      </x:c>
      <x:c r="AW781" s="76" t="str">
        <x:v>Hi Sherry, Ryan here. I was looking at Tnemec Company, Inc.'s public marketing and noticed: project/gallery proof found; no embedded homepage video found. I mapped one private project walkthrough with proof milestones as an example. Did I catch you with 30 seconds?</x:v>
      </x:c>
      <x:c r="AX781" s="60" t="str">
        <x:v>https://www.facebook.com/ads/library/?active_status=active&amp;ad_type=all&amp;country=US&amp;q=Tnemec%20Company%2C%20Inc.&amp;search_type=keyword_unordered</x:v>
      </x:c>
      <x:c r="AY781" s="60" t="str">
        <x:v>ok:200</x:v>
      </x:c>
      <x:c r="AZ781" s="60" t="n">
        <x:v>46232.722858796296</x:v>
      </x:c>
      <x:c r="BA781" s="60" t="str">
        <x:v>AI Ark SC trades export</x:v>
      </x:c>
      <x:c r="BB781" s="60" t="str">
        <x:v>https://tnemec.com | https://www.linkedin.com/company/tnemec</x:v>
      </x:c>
      <x:c r="BC781" s="60" t="str"/>
    </x:row>
    <x:row r="782" ht="18" customHeight="1">
      <x:c r="A782" s="70" t="str">
        <x:v>781</x:v>
      </x:c>
      <x:c r="B782" s="70" t="str">
        <x:v>C - Verify</x:v>
      </x:c>
      <x:c r="C782" s="72" t="str">
        <x:v>44</x:v>
      </x:c>
      <x:c r="D782" s="60" t="str">
        <x:v>Planet Connections and Electrical, LLC.</x:v>
      </x:c>
      <x:c r="E782" s="60" t="str">
        <x:v>https://planetconnectionsllc.com</x:v>
      </x:c>
      <x:c r="F782" s="60" t="str">
        <x:v>https://www.planetconnectionsllc.com/</x:v>
      </x:c>
      <x:c r="G782" s="60" t="str">
        <x:v>Spartanburg</x:v>
      </x:c>
      <x:c r="H782" s="60" t="str">
        <x:v>South Carolina</x:v>
      </x:c>
      <x:c r="I782" s="60" t="str">
        <x:v>Electrical</x:v>
      </x:c>
      <x:c r="J782" s="60" t="str">
        <x:v>Planet Connections and Electrical, LLC.</x:v>
      </x:c>
      <x:c r="K782" s="60" t="str"/>
      <x:c r="L782" s="60" t="str">
        <x:v>Owner / decision maker to verify</x:v>
      </x:c>
      <x:c r="M782" s="60" t="str"/>
      <x:c r="N782" s="60" t="str"/>
      <x:c r="O782" s="60" t="str">
        <x:v>(855) 584-4243</x:v>
      </x:c>
      <x:c r="P782" s="60" t="str"/>
      <x:c r="Q782" s="60" t="str"/>
      <x:c r="R782" s="60" t="str"/>
      <x:c r="S782" s="60" t="str">
        <x:v>5</x:v>
      </x:c>
      <x:c r="T782" s="74" t="str">
        <x:v>30</x:v>
      </x:c>
      <x:c r="U782" s="60" t="str"/>
      <x:c r="V782" s="74" t="str">
        <x:v>21</x:v>
      </x:c>
      <x:c r="W782" s="74" t="str">
        <x:v>3</x:v>
      </x:c>
      <x:c r="X782" s="74" t="str">
        <x:v>10</x:v>
      </x:c>
      <x:c r="Y782" s="74" t="str">
        <x:v>5</x:v>
      </x:c>
      <x:c r="Z782" s="74" t="str">
        <x:v>5</x:v>
      </x:c>
      <x:c r="AA782" s="74" t="str">
        <x:v>0</x:v>
      </x:c>
      <x:c r="AB782" s="74" t="str">
        <x:v>0</x:v>
      </x:c>
      <x:c r="AC782" s="74" t="str">
        <x:v>0</x:v>
      </x:c>
      <x:c r="AD782" s="74" t="str">
        <x:v>0</x:v>
      </x:c>
      <x:c r="AE782" s="74" t="str">
        <x:v>0</x:v>
      </x:c>
      <x:c r="AF782" s="74" t="str">
        <x:v>jobber</x:v>
      </x:c>
      <x:c r="AG782" s="74" t="str">
        <x:v>0</x:v>
      </x:c>
      <x:c r="AH782" s="74" t="str">
        <x:v>0</x:v>
      </x:c>
      <x:c r="AI782" s="74" t="str">
        <x:v>0</x:v>
      </x:c>
      <x:c r="AJ782" s="74" t="str">
        <x:v>0</x:v>
      </x:c>
      <x:c r="AK782" s="74" t="str">
        <x:v>1</x:v>
      </x:c>
      <x:c r="AL782" s="74" t="str">
        <x:v>0</x:v>
      </x:c>
      <x:c r="AM782" s="74" t="str">
        <x:v>0</x:v>
      </x:c>
      <x:c r="AN782" s="74" t="str">
        <x:v>0</x:v>
      </x:c>
      <x:c r="AO782" s="60" t="str">
        <x:v>2026</x:v>
      </x:c>
      <x:c r="AP782" s="76" t="str">
        <x:v>ICP fit; paid-demand need requires manual verification</x:v>
      </x:c>
      <x:c r="AQ782" s="76" t="str">
        <x:v>visible service offer; no embedded homepage video detected</x:v>
      </x:c>
      <x:c r="AR782" s="76" t="str">
        <x:v>I was reviewing electrical companies in Spartanburg, South Carolina and Planet Connections and Electrical, LLC. looked like a strong fit for a creative test.</x:v>
      </x:c>
      <x:c r="AS782" s="76" t="str">
        <x:v>safety inspection problem/solution ad</x:v>
      </x:c>
      <x:c r="AT782" s="76" t="str">
        <x:v>Planet Connections and Electrical, LLC. ad concept</x:v>
      </x:c>
      <x:c r="AU782" s="76" t="str">
        <x:v>Hi Planet Connections and Electrical, LLC. — I was reviewing electrical companies in Spartanburg, South Carolina and Planet Connections and Electrical, LLC. looked like a strong fit for a creative test. I mapped a private 15-second safety inspection problem/solution ad for Planet Connections and Electrical, LLC. using only public brand context—not for publishing, just to show the angle. We build three client-approved video ad concepts in seven days, then turn the winners into fresh variations. No filming day required. Worth sending the private sample?</x:v>
      </x:c>
      <x:c r="AV782" s="76" t="str">
        <x:v>Quick follow-up: the sample angle is a safety inspection problem/solution ad. If it misses the mark, no problem—I won't keep chasing. Should I send it?</x:v>
      </x:c>
      <x:c r="AW782" s="76" t="str">
        <x:v>Hi Planet Connections and Electrical, LLC., Ryan here. I was looking at Planet Connections and Electrical, LLC.'s public marketing and noticed: icp fit; paid-demand need requires manual verification. I mapped one private safety inspection problem/solution ad as an example. Did I catch you with 30 seconds?</x:v>
      </x:c>
      <x:c r="AX782" s="60" t="str">
        <x:v>https://www.facebook.com/ads/library/?active_status=active&amp;ad_type=all&amp;country=US&amp;q=Planet%20Connections%20and%20Electrical%2C%20LLC.&amp;search_type=keyword_unordered</x:v>
      </x:c>
      <x:c r="AY782" s="60" t="str">
        <x:v>ok:200</x:v>
      </x:c>
      <x:c r="AZ782" s="60" t="n">
        <x:v>46232.722858796296</x:v>
      </x:c>
      <x:c r="BA782" s="60" t="str">
        <x:v>Google Maps home-services export</x:v>
      </x:c>
      <x:c r="BB782" s="60" t="str">
        <x:v>https://maps.google.com/?cid=6046642737686358704&amp;g_mp=Cidnb29nbGUubWFwcy5wbGFjZXMudjEuUGxhY2VzLlNlYXJjaFRleHQQAhgEIAA | https://planetconnectionsllc.com</x:v>
      </x:c>
      <x:c r="BC782" s="60" t="str"/>
    </x:row>
    <x:row r="783" ht="18" customHeight="1">
      <x:c r="A783" s="70" t="str">
        <x:v>782</x:v>
      </x:c>
      <x:c r="B783" s="70" t="str">
        <x:v>C - Verify</x:v>
      </x:c>
      <x:c r="C783" s="72" t="str">
        <x:v>44</x:v>
      </x:c>
      <x:c r="D783" s="60" t="str">
        <x:v>Blue Ridge Log Cabins</x:v>
      </x:c>
      <x:c r="E783" s="60" t="str">
        <x:v>https://blueridgelogcabins.com</x:v>
      </x:c>
      <x:c r="F783" s="60" t="str">
        <x:v>https://blueridgelogcabins.com</x:v>
      </x:c>
      <x:c r="G783" s="60" t="str">
        <x:v>Campobello</x:v>
      </x:c>
      <x:c r="H783" s="60" t="str">
        <x:v>South Carolina</x:v>
      </x:c>
      <x:c r="I783" s="60" t="str">
        <x:v>General Contractor</x:v>
      </x:c>
      <x:c r="J783" s="60" t="str">
        <x:v>Chip</x:v>
      </x:c>
      <x:c r="K783" s="60" t="str">
        <x:v>Smith</x:v>
      </x:c>
      <x:c r="L783" s="60" t="str">
        <x:v>Owner</x:v>
      </x:c>
      <x:c r="M783" s="60" t="str">
        <x:v>csmith@blueridgelogcabins.com</x:v>
      </x:c>
      <x:c r="N783" s="60" t="str">
        <x:v>Verified with BounceBan on 08 Jun 26 12:06</x:v>
      </x:c>
      <x:c r="O783" s="60" t="str">
        <x:v>+1 864 907 2740</x:v>
      </x:c>
      <x:c r="P783" s="60" t="str">
        <x:v>https://www.linkedin.com/in/chip-smith-28068516</x:v>
      </x:c>
      <x:c r="Q783" s="60" t="str">
        <x:v>51-200</x:v>
      </x:c>
      <x:c r="R783" s="60" t="str">
        <x:v>1000000-4999999</x:v>
      </x:c>
      <x:c r="S783" s="60" t="str"/>
      <x:c r="T783" s="74" t="str">
        <x:v>0</x:v>
      </x:c>
      <x:c r="U783" s="60" t="str"/>
      <x:c r="V783" s="74" t="str">
        <x:v>27</x:v>
      </x:c>
      <x:c r="W783" s="74" t="str">
        <x:v>3</x:v>
      </x:c>
      <x:c r="X783" s="74" t="str">
        <x:v>0</x:v>
      </x:c>
      <x:c r="Y783" s="74" t="str">
        <x:v>4</x:v>
      </x:c>
      <x:c r="Z783" s="74" t="str">
        <x:v>10</x:v>
      </x:c>
      <x:c r="AA783" s="74" t="str">
        <x:v>0</x:v>
      </x:c>
      <x:c r="AB783" s="74" t="str">
        <x:v>0</x:v>
      </x:c>
      <x:c r="AC783" s="74" t="str">
        <x:v>1</x:v>
      </x:c>
      <x:c r="AD783" s="74" t="str">
        <x:v>0</x:v>
      </x:c>
      <x:c r="AE783" s="74" t="str">
        <x:v>0</x:v>
      </x:c>
      <x:c r="AF783" s="74" t="str"/>
      <x:c r="AG783" s="74" t="str">
        <x:v>1</x:v>
      </x:c>
      <x:c r="AH783" s="74" t="str">
        <x:v>0</x:v>
      </x:c>
      <x:c r="AI783" s="74" t="str">
        <x:v>1</x:v>
      </x:c>
      <x:c r="AJ783" s="74" t="str">
        <x:v>0</x:v>
      </x:c>
      <x:c r="AK783" s="74" t="str">
        <x:v>0</x:v>
      </x:c>
      <x:c r="AL783" s="74" t="str">
        <x:v>1</x:v>
      </x:c>
      <x:c r="AM783" s="74" t="str">
        <x:v>1</x:v>
      </x:c>
      <x:c r="AN783" s="74" t="str">
        <x:v>1</x:v>
      </x:c>
      <x:c r="AO783" s="60" t="str">
        <x:v>2026</x:v>
      </x:c>
      <x:c r="AP783" s="76" t="str">
        <x:v>ICP fit; paid-demand need requires manual verification</x:v>
      </x:c>
      <x:c r="AQ783" s="76" t="str">
        <x:v>testimonials</x:v>
      </x:c>
      <x:c r="AR783" s="76" t="str">
        <x:v>I was reviewing general contractor companies in Campobello, South Carolina and Blue Ridge Log Cabins looked like a strong fit for a creative test.</x:v>
      </x:c>
      <x:c r="AS783" s="76" t="str">
        <x:v>project walkthrough with proof milestones</x:v>
      </x:c>
      <x:c r="AT783" s="76" t="str">
        <x:v>Blue Ridge Log Cabins ad concept</x:v>
      </x:c>
      <x:c r="AU783" s="76" t="str">
        <x:v>Hi Chip — I was reviewing general contractor companies in Campobello, South Carolina and Blue Ridge Log Cabins looked like a strong fit for a creative test. I mapped a private 15-second project walkthrough with proof milestones for Blue Ridge Log Cabins using only public brand context—not for publishing, just to show the angle. We build three client-approved video ad concepts in seven days, then turn the winners into fresh variations. No filming day required. Worth sending the private sample?</x:v>
      </x:c>
      <x:c r="AV783" s="76" t="str">
        <x:v>Quick follow-up: the sample angle is a project walkthrough with proof milestones. If it misses the mark, no problem—I won't keep chasing. Should I send it?</x:v>
      </x:c>
      <x:c r="AW783" s="76" t="str">
        <x:v>Hi Chip, Ryan here. I was looking at Blue Ridge Log Cabins's public marketing and noticed: icp fit; paid-demand need requires manual verification. I mapped one private project walkthrough with proof milestones as an example. Did I catch you with 30 seconds?</x:v>
      </x:c>
      <x:c r="AX783" s="60" t="str">
        <x:v>https://www.facebook.com/ads/library/?active_status=active&amp;ad_type=all&amp;country=US&amp;q=Blue%20Ridge%20Log%20Cabins&amp;search_type=keyword_unordered</x:v>
      </x:c>
      <x:c r="AY783" s="60" t="str">
        <x:v>ok:200</x:v>
      </x:c>
      <x:c r="AZ783" s="60" t="n">
        <x:v>46232.722858796296</x:v>
      </x:c>
      <x:c r="BA783" s="60" t="str">
        <x:v>AI Ark SC trades export</x:v>
      </x:c>
      <x:c r="BB783" s="60" t="str">
        <x:v>https://blueridgelogcabins.com | https://www.linkedin.com/company/blue-ridge-log-cabins</x:v>
      </x:c>
      <x:c r="BC783" s="60" t="str"/>
    </x:row>
    <x:row r="784" ht="18" customHeight="1">
      <x:c r="A784" s="70" t="str">
        <x:v>783</x:v>
      </x:c>
      <x:c r="B784" s="70" t="str">
        <x:v>C - Verify</x:v>
      </x:c>
      <x:c r="C784" s="72" t="str">
        <x:v>44</x:v>
      </x:c>
      <x:c r="D784" s="60" t="str">
        <x:v>Flowes Fencing</x:v>
      </x:c>
      <x:c r="E784" s="60" t="str">
        <x:v>https://flowesfencing.com</x:v>
      </x:c>
      <x:c r="F784" s="60" t="str">
        <x:v>https://www.flowesfencing.com/</x:v>
      </x:c>
      <x:c r="G784" s="60" t="str">
        <x:v>Greenville-spartanburg-anderson</x:v>
      </x:c>
      <x:c r="H784" s="60" t="str">
        <x:v>South Carolina Area</x:v>
      </x:c>
      <x:c r="I784" s="60" t="str">
        <x:v>Pools &amp; Spas</x:v>
      </x:c>
      <x:c r="J784" s="60" t="str">
        <x:v>Kelsey</x:v>
      </x:c>
      <x:c r="K784" s="60" t="str">
        <x:v>Caldwell</x:v>
      </x:c>
      <x:c r="L784" s="60" t="str">
        <x:v>Owner</x:v>
      </x:c>
      <x:c r="M784" s="60" t="str">
        <x:v>kelsey@flowesfencing.com</x:v>
      </x:c>
      <x:c r="N784" s="60" t="str">
        <x:v>Verified with BounceBan on 08 Jun 26 12:06</x:v>
      </x:c>
      <x:c r="O784" s="60" t="str"/>
      <x:c r="P784" s="60" t="str">
        <x:v>https://www.linkedin.com/in/kelsey-caldwell-9934a580</x:v>
      </x:c>
      <x:c r="Q784" s="60" t="str">
        <x:v>11-50</x:v>
      </x:c>
      <x:c r="R784" s="60" t="str">
        <x:v>100000-499999</x:v>
      </x:c>
      <x:c r="S784" s="60" t="str"/>
      <x:c r="T784" s="74" t="str">
        <x:v>0</x:v>
      </x:c>
      <x:c r="U784" s="60" t="str"/>
      <x:c r="V784" s="74" t="str">
        <x:v>27</x:v>
      </x:c>
      <x:c r="W784" s="74" t="str">
        <x:v>3</x:v>
      </x:c>
      <x:c r="X784" s="74" t="str">
        <x:v>3</x:v>
      </x:c>
      <x:c r="Y784" s="74" t="str">
        <x:v>4</x:v>
      </x:c>
      <x:c r="Z784" s="74" t="str">
        <x:v>7</x:v>
      </x:c>
      <x:c r="AA784" s="74" t="str">
        <x:v>0</x:v>
      </x:c>
      <x:c r="AB784" s="74" t="str">
        <x:v>0</x:v>
      </x:c>
      <x:c r="AC784" s="74" t="str">
        <x:v>1</x:v>
      </x:c>
      <x:c r="AD784" s="74" t="str">
        <x:v>0</x:v>
      </x:c>
      <x:c r="AE784" s="74" t="str">
        <x:v>0</x:v>
      </x:c>
      <x:c r="AF784" s="74" t="str"/>
      <x:c r="AG784" s="74" t="str">
        <x:v>1</x:v>
      </x:c>
      <x:c r="AH784" s="74" t="str">
        <x:v>0</x:v>
      </x:c>
      <x:c r="AI784" s="74" t="str">
        <x:v>1</x:v>
      </x:c>
      <x:c r="AJ784" s="74" t="str">
        <x:v>0</x:v>
      </x:c>
      <x:c r="AK784" s="74" t="str">
        <x:v>0</x:v>
      </x:c>
      <x:c r="AL784" s="74" t="str">
        <x:v>1</x:v>
      </x:c>
      <x:c r="AM784" s="74" t="str">
        <x:v>1</x:v>
      </x:c>
      <x:c r="AN784" s="74" t="str">
        <x:v>0</x:v>
      </x:c>
      <x:c r="AO784" s="60" t="str">
        <x:v>2022</x:v>
      </x:c>
      <x:c r="AP784" s="76" t="str">
        <x:v>ICP fit; paid-demand need requires manual verification</x:v>
      </x:c>
      <x:c r="AQ784" s="76" t="str">
        <x:v>testimonials</x:v>
      </x:c>
      <x:c r="AR784" s="76" t="str">
        <x:v>I was reviewing pools &amp; spas companies in Greenville-spartanburg-anderson, South Carolina Area and Flowes Fencing looked like a strong fit for a creative test.</x:v>
      </x:c>
      <x:c r="AS784" s="76" t="str">
        <x:v>backyard-before to finished-project reveal</x:v>
      </x:c>
      <x:c r="AT784" s="76" t="str">
        <x:v>Flowes Fencing ad concept</x:v>
      </x:c>
      <x:c r="AU784" s="76" t="str">
        <x:v>Hi Kelsey — I was reviewing pools &amp; spas companies in Greenville-spartanburg-anderson, South Carolina Area and Flowes Fencing looked like a strong fit for a creative test. I mapped a private 15-second backyard-before to finished-project reveal for Flowes Fencing using only public brand context—not for publishing, just to show the angle. We build three client-approved video ad concepts in seven days, then turn the winners into fresh variations. No filming day required. Worth sending the private sample?</x:v>
      </x:c>
      <x:c r="AV784" s="76" t="str">
        <x:v>Quick follow-up: the sample angle is a backyard-before to finished-project reveal. If it misses the mark, no problem—I won't keep chasing. Should I send it?</x:v>
      </x:c>
      <x:c r="AW784" s="76" t="str">
        <x:v>Hi Kelsey, Ryan here. I was looking at Flowes Fencing's public marketing and noticed: icp fit; paid-demand need requires manual verification. I mapped one private backyard-before to finished-project reveal as an example. Did I catch you with 30 seconds?</x:v>
      </x:c>
      <x:c r="AX784" s="60" t="str">
        <x:v>https://www.facebook.com/ads/library/?active_status=active&amp;ad_type=all&amp;country=US&amp;q=Flowes%20Fencing&amp;search_type=keyword_unordered</x:v>
      </x:c>
      <x:c r="AY784" s="60" t="str">
        <x:v>ok:200</x:v>
      </x:c>
      <x:c r="AZ784" s="60" t="n">
        <x:v>46232.722858796296</x:v>
      </x:c>
      <x:c r="BA784" s="60" t="str">
        <x:v>AI Ark SC trades export</x:v>
      </x:c>
      <x:c r="BB784" s="60" t="str">
        <x:v>https://flowesfencing.com | https://www.linkedin.com/company/flowes-fencing</x:v>
      </x:c>
      <x:c r="BC784" s="60" t="str"/>
    </x:row>
    <x:row r="785" ht="18" customHeight="1">
      <x:c r="A785" s="70" t="str">
        <x:v>784</x:v>
      </x:c>
      <x:c r="B785" s="70" t="str">
        <x:v>C - Verify</x:v>
      </x:c>
      <x:c r="C785" s="72" t="str">
        <x:v>44</x:v>
      </x:c>
      <x:c r="D785" s="60" t="str">
        <x:v>Fresh Start Solutions</x:v>
      </x:c>
      <x:c r="E785" s="60" t="str">
        <x:v>https://freshstartsol.com</x:v>
      </x:c>
      <x:c r="F785" s="60" t="str">
        <x:v>http://www.freshstartsol.com/</x:v>
      </x:c>
      <x:c r="G785" s="60" t="str">
        <x:v>Simpsonville</x:v>
      </x:c>
      <x:c r="H785" s="60" t="str">
        <x:v>South Carolina</x:v>
      </x:c>
      <x:c r="I785" s="60" t="str">
        <x:v>Cleaning &amp; Exterior Care</x:v>
      </x:c>
      <x:c r="J785" s="60" t="str">
        <x:v>Jonathan</x:v>
      </x:c>
      <x:c r="K785" s="60" t="str">
        <x:v>Escobar</x:v>
      </x:c>
      <x:c r="L785" s="60" t="str">
        <x:v>Owner</x:v>
      </x:c>
      <x:c r="M785" s="60" t="str"/>
      <x:c r="N785" s="60" t="str"/>
      <x:c r="O785" s="60" t="str">
        <x:v>+1 864 908 2962</x:v>
      </x:c>
      <x:c r="P785" s="60" t="str">
        <x:v>https://www.linkedin.com/in/jonathan-escobar-b8320a152</x:v>
      </x:c>
      <x:c r="Q785" s="60" t="str">
        <x:v>2-10</x:v>
      </x:c>
      <x:c r="R785" s="60" t="str">
        <x:v>500000-999999</x:v>
      </x:c>
      <x:c r="S785" s="60" t="str"/>
      <x:c r="T785" s="74" t="str">
        <x:v>0</x:v>
      </x:c>
      <x:c r="U785" s="60" t="str"/>
      <x:c r="V785" s="74" t="str">
        <x:v>20</x:v>
      </x:c>
      <x:c r="W785" s="74" t="str">
        <x:v>3</x:v>
      </x:c>
      <x:c r="X785" s="74" t="str">
        <x:v>13</x:v>
      </x:c>
      <x:c r="Y785" s="74" t="str">
        <x:v>3</x:v>
      </x:c>
      <x:c r="Z785" s="74" t="str">
        <x:v>5</x:v>
      </x:c>
      <x:c r="AA785" s="74" t="str">
        <x:v>0</x:v>
      </x:c>
      <x:c r="AB785" s="74" t="str">
        <x:v>0</x:v>
      </x:c>
      <x:c r="AC785" s="74" t="str">
        <x:v>1</x:v>
      </x:c>
      <x:c r="AD785" s="74" t="str">
        <x:v>0</x:v>
      </x:c>
      <x:c r="AE785" s="74" t="str">
        <x:v>0</x:v>
      </x:c>
      <x:c r="AF785" s="74" t="str"/>
      <x:c r="AG785" s="74" t="str">
        <x:v>0</x:v>
      </x:c>
      <x:c r="AH785" s="74" t="str">
        <x:v>0</x:v>
      </x:c>
      <x:c r="AI785" s="74" t="str">
        <x:v>0</x:v>
      </x:c>
      <x:c r="AJ785" s="74" t="str">
        <x:v>0</x:v>
      </x:c>
      <x:c r="AK785" s="74" t="str">
        <x:v>1</x:v>
      </x:c>
      <x:c r="AL785" s="74" t="str">
        <x:v>0</x:v>
      </x:c>
      <x:c r="AM785" s="74" t="str">
        <x:v>1</x:v>
      </x:c>
      <x:c r="AN785" s="74" t="str">
        <x:v>0</x:v>
      </x:c>
      <x:c r="AO785" s="60" t="str">
        <x:v>2019</x:v>
      </x:c>
      <x:c r="AP785" s="76" t="str">
        <x:v>ICP fit; paid-demand need requires manual verification</x:v>
      </x:c>
      <x:c r="AQ785" s="76" t="str">
        <x:v>visible service offer; no embedded homepage video detected</x:v>
      </x:c>
      <x:c r="AR785" s="76" t="str">
        <x:v>I was reviewing cleaning &amp; exterior care companies in Simpsonville, South Carolina and Fresh Start Solutions looked like a strong fit for a creative test.</x:v>
      </x:c>
      <x:c r="AS785" s="76" t="str">
        <x:v>high-contrast before/after ad</x:v>
      </x:c>
      <x:c r="AT785" s="76" t="str">
        <x:v>Fresh Start Solutions ad concept</x:v>
      </x:c>
      <x:c r="AU785" s="76" t="str">
        <x:v>Hi Jonathan — I was reviewing cleaning &amp; exterior care companies in Simpsonville, South Carolina and Fresh Start Solutions looked like a strong fit for a creative test. I mapped a private 15-second high-contrast before/after ad for Fresh Start Solutions using only public brand context—not for publishing, just to show the angle. We build three client-approved video ad concepts in seven days, then turn the winners into fresh variations. No filming day required. Worth sending the private sample?</x:v>
      </x:c>
      <x:c r="AV785" s="76" t="str">
        <x:v>Quick follow-up: the sample angle is a high-contrast before/after ad. If it misses the mark, no problem—I won't keep chasing. Should I send it?</x:v>
      </x:c>
      <x:c r="AW785" s="76" t="str">
        <x:v>Hi Jonathan, Ryan here. I was looking at Fresh Start Solutions's public marketing and noticed: icp fit; paid-demand need requires manual verification. I mapped one private high-contrast before/after ad as an example. Did I catch you with 30 seconds?</x:v>
      </x:c>
      <x:c r="AX785" s="60" t="str">
        <x:v>https://www.facebook.com/ads/library/?active_status=active&amp;ad_type=all&amp;country=US&amp;q=Fresh%20Start%20Solutions&amp;search_type=keyword_unordered</x:v>
      </x:c>
      <x:c r="AY785" s="60" t="str">
        <x:v>ok:200</x:v>
      </x:c>
      <x:c r="AZ785" s="60" t="n">
        <x:v>46232.722858796296</x:v>
      </x:c>
      <x:c r="BA785" s="60" t="str">
        <x:v>AI Ark SC trades export</x:v>
      </x:c>
      <x:c r="BB785" s="60" t="str">
        <x:v>https://freshstartsol.com | https://www.linkedin.com/company/freshstartsolutions</x:v>
      </x:c>
      <x:c r="BC785" s="60" t="str"/>
    </x:row>
    <x:row r="786" ht="18" customHeight="1">
      <x:c r="A786" s="70" t="str">
        <x:v>785</x:v>
      </x:c>
      <x:c r="B786" s="70" t="str">
        <x:v>C - Verify</x:v>
      </x:c>
      <x:c r="C786" s="72" t="str">
        <x:v>44</x:v>
      </x:c>
      <x:c r="D786" s="60" t="str">
        <x:v>Cleaning Concierge</x:v>
      </x:c>
      <x:c r="E786" s="60" t="str">
        <x:v>https://mycleaningconcierge.com</x:v>
      </x:c>
      <x:c r="F786" s="60" t="str">
        <x:v>https://mycleaningconcierge.com</x:v>
      </x:c>
      <x:c r="G786" s="60" t="str">
        <x:v>Hardeeville</x:v>
      </x:c>
      <x:c r="H786" s="60" t="str">
        <x:v>South Carolina</x:v>
      </x:c>
      <x:c r="I786" s="60" t="str">
        <x:v>Windows &amp; Doors</x:v>
      </x:c>
      <x:c r="J786" s="60" t="str">
        <x:v>Christy</x:v>
      </x:c>
      <x:c r="K786" s="60" t="str">
        <x:v>Tindal</x:v>
      </x:c>
      <x:c r="L786" s="60" t="str">
        <x:v>owner</x:v>
      </x:c>
      <x:c r="M786" s="60" t="str"/>
      <x:c r="N786" s="60" t="str"/>
      <x:c r="O786" s="60" t="str">
        <x:v>+1 843 784 5510</x:v>
      </x:c>
      <x:c r="P786" s="60" t="str">
        <x:v>https://www.linkedin.com/in/christy-tindal-a6a33026</x:v>
      </x:c>
      <x:c r="Q786" s="60" t="str">
        <x:v>11-50</x:v>
      </x:c>
      <x:c r="R786" s="60" t="str">
        <x:v>1000000-4999999</x:v>
      </x:c>
      <x:c r="S786" s="60" t="str"/>
      <x:c r="T786" s="74" t="str">
        <x:v>0</x:v>
      </x:c>
      <x:c r="U786" s="60" t="str"/>
      <x:c r="V786" s="74" t="str">
        <x:v>30</x:v>
      </x:c>
      <x:c r="W786" s="74" t="str">
        <x:v>3</x:v>
      </x:c>
      <x:c r="X786" s="74" t="str">
        <x:v>3</x:v>
      </x:c>
      <x:c r="Y786" s="74" t="str">
        <x:v>3</x:v>
      </x:c>
      <x:c r="Z786" s="74" t="str">
        <x:v>5</x:v>
      </x:c>
      <x:c r="AA786" s="74" t="str">
        <x:v>0</x:v>
      </x:c>
      <x:c r="AB786" s="74" t="str">
        <x:v>0</x:v>
      </x:c>
      <x:c r="AC786" s="74" t="str">
        <x:v>1</x:v>
      </x:c>
      <x:c r="AD786" s="74" t="str">
        <x:v>0</x:v>
      </x:c>
      <x:c r="AE786" s="74" t="str">
        <x:v>0</x:v>
      </x:c>
      <x:c r="AF786" s="74" t="str"/>
      <x:c r="AG786" s="74" t="str">
        <x:v>1</x:v>
      </x:c>
      <x:c r="AH786" s="74" t="str">
        <x:v>0</x:v>
      </x:c>
      <x:c r="AI786" s="74" t="str">
        <x:v>0</x:v>
      </x:c>
      <x:c r="AJ786" s="74" t="str">
        <x:v>0</x:v>
      </x:c>
      <x:c r="AK786" s="74" t="str">
        <x:v>1</x:v>
      </x:c>
      <x:c r="AL786" s="74" t="str">
        <x:v>0</x:v>
      </x:c>
      <x:c r="AM786" s="74" t="str">
        <x:v>1</x:v>
      </x:c>
      <x:c r="AN786" s="74" t="str">
        <x:v>1</x:v>
      </x:c>
      <x:c r="AO786" s="60" t="str">
        <x:v>2023</x:v>
      </x:c>
      <x:c r="AP786" s="76" t="str">
        <x:v>ICP fit; paid-demand need requires manual verification</x:v>
      </x:c>
      <x:c r="AQ786" s="76" t="str">
        <x:v>visible service offer</x:v>
      </x:c>
      <x:c r="AR786" s="76" t="str">
        <x:v>I was reviewing windows &amp; doors companies in Hardeeville, South Carolina and Cleaning Concierge looked like a strong fit for a creative test.</x:v>
      </x:c>
      <x:c r="AS786" s="76" t="str">
        <x:v>energy-loss to installed-window transformation ad</x:v>
      </x:c>
      <x:c r="AT786" s="76" t="str">
        <x:v>Cleaning Concierge ad concept</x:v>
      </x:c>
      <x:c r="AU786" s="76" t="str">
        <x:v>Hi Christy — I was reviewing windows &amp; doors companies in Hardeeville, South Carolina and Cleaning Concierge looked like a strong fit for a creative test. I mapped a private 15-second energy-loss to installed-window transformation ad for Cleaning Concierge using only public brand context—not for publishing, just to show the angle. We build three client-approved video ad concepts in seven days, then turn the winners into fresh variations. No filming day required. Worth sending the private sample?</x:v>
      </x:c>
      <x:c r="AV786" s="76" t="str">
        <x:v>Quick follow-up: the sample angle is a energy-loss to installed-window transformation ad. If it misses the mark, no problem—I won't keep chasing. Should I send it?</x:v>
      </x:c>
      <x:c r="AW786" s="76" t="str">
        <x:v>Hi Christy, Ryan here. I was looking at Cleaning Concierge's public marketing and noticed: icp fit; paid-demand need requires manual verification. I mapped one private energy-loss to installed-window transformation ad as an example. Did I catch you with 30 seconds?</x:v>
      </x:c>
      <x:c r="AX786" s="60" t="str">
        <x:v>https://www.facebook.com/ads/library/?active_status=active&amp;ad_type=all&amp;country=US&amp;q=Cleaning%20Concierge&amp;search_type=keyword_unordered</x:v>
      </x:c>
      <x:c r="AY786" s="60" t="str">
        <x:v>ok:200</x:v>
      </x:c>
      <x:c r="AZ786" s="60" t="n">
        <x:v>46232.722858796296</x:v>
      </x:c>
      <x:c r="BA786" s="60" t="str">
        <x:v>AI Ark SC trades export</x:v>
      </x:c>
      <x:c r="BB786" s="60" t="str">
        <x:v>https://mycleaningconcierge.com | https://www.linkedin.com/company/cleaning-concierge</x:v>
      </x:c>
      <x:c r="BC786" s="60" t="str"/>
    </x:row>
    <x:row r="787" ht="18" customHeight="1">
      <x:c r="A787" s="70" t="str">
        <x:v>786</x:v>
      </x:c>
      <x:c r="B787" s="70" t="str">
        <x:v>C - Verify</x:v>
      </x:c>
      <x:c r="C787" s="72" t="str">
        <x:v>44</x:v>
      </x:c>
      <x:c r="D787" s="60" t="str">
        <x:v>Acumen Builders, LLC</x:v>
      </x:c>
      <x:c r="E787" s="60" t="str">
        <x:v>https://acumenbuilders.com</x:v>
      </x:c>
      <x:c r="F787" s="60" t="str">
        <x:v>https://acumenbuilders.com</x:v>
      </x:c>
      <x:c r="G787" s="60" t="str">
        <x:v>Taylors</x:v>
      </x:c>
      <x:c r="H787" s="60" t="str">
        <x:v>South Carolina</x:v>
      </x:c>
      <x:c r="I787" s="60" t="str">
        <x:v>Remodeling</x:v>
      </x:c>
      <x:c r="J787" s="60" t="str">
        <x:v>Josh</x:v>
      </x:c>
      <x:c r="K787" s="60" t="str">
        <x:v>Bennett</x:v>
      </x:c>
      <x:c r="L787" s="60" t="str">
        <x:v>Managing Owner</x:v>
      </x:c>
      <x:c r="M787" s="60" t="str">
        <x:v>josh@acumenbuilders.com</x:v>
      </x:c>
      <x:c r="N787" s="60" t="str">
        <x:v>Verified with BounceBan on 08 Jun 26 12:06</x:v>
      </x:c>
      <x:c r="O787" s="60" t="str">
        <x:v>+1 864 884 7665</x:v>
      </x:c>
      <x:c r="P787" s="60" t="str">
        <x:v>https://www.linkedin.com/in/josh-bennett-9087b645</x:v>
      </x:c>
      <x:c r="Q787" s="60" t="str">
        <x:v>2-10</x:v>
      </x:c>
      <x:c r="R787" s="60" t="str">
        <x:v>100000-499999</x:v>
      </x:c>
      <x:c r="S787" s="60" t="str"/>
      <x:c r="T787" s="74" t="str">
        <x:v>0</x:v>
      </x:c>
      <x:c r="U787" s="60" t="str"/>
      <x:c r="V787" s="74" t="str">
        <x:v>25</x:v>
      </x:c>
      <x:c r="W787" s="74" t="str">
        <x:v>3</x:v>
      </x:c>
      <x:c r="X787" s="74" t="str">
        <x:v>6</x:v>
      </x:c>
      <x:c r="Y787" s="74" t="str">
        <x:v>0</x:v>
      </x:c>
      <x:c r="Z787" s="74" t="str">
        <x:v>10</x:v>
      </x:c>
      <x:c r="AA787" s="74" t="str">
        <x:v>0</x:v>
      </x:c>
      <x:c r="AB787" s="74" t="str">
        <x:v>0</x:v>
      </x:c>
      <x:c r="AC787" s="74" t="str">
        <x:v>1</x:v>
      </x:c>
      <x:c r="AD787" s="74" t="str">
        <x:v>0</x:v>
      </x:c>
      <x:c r="AE787" s="74" t="str">
        <x:v>0</x:v>
      </x:c>
      <x:c r="AF787" s="74" t="str"/>
      <x:c r="AG787" s="74" t="str">
        <x:v>0</x:v>
      </x:c>
      <x:c r="AH787" s="74" t="str">
        <x:v>0</x:v>
      </x:c>
      <x:c r="AI787" s="74" t="str">
        <x:v>0</x:v>
      </x:c>
      <x:c r="AJ787" s="74" t="str">
        <x:v>0</x:v>
      </x:c>
      <x:c r="AK787" s="74" t="str">
        <x:v>0</x:v>
      </x:c>
      <x:c r="AL787" s="74" t="str">
        <x:v>1</x:v>
      </x:c>
      <x:c r="AM787" s="74" t="str">
        <x:v>1</x:v>
      </x:c>
      <x:c r="AN787" s="74" t="str">
        <x:v>0</x:v>
      </x:c>
      <x:c r="AO787" s="60" t="str">
        <x:v>2026</x:v>
      </x:c>
      <x:c r="AP787" s="76" t="str">
        <x:v>ICP fit; paid-demand need requires manual verification</x:v>
      </x:c>
      <x:c r="AQ787" s="76" t="str">
        <x:v>no embedded homepage video detected</x:v>
      </x:c>
      <x:c r="AR787" s="76" t="str">
        <x:v>I was reviewing remodeling companies in Taylors, South Carolina and Acumen Builders, LLC looked like a strong fit for a creative test.</x:v>
      </x:c>
      <x:c r="AS787" s="76" t="str">
        <x:v>project reveal with budget-and-timeline proof</x:v>
      </x:c>
      <x:c r="AT787" s="76" t="str">
        <x:v>Acumen Builders, LLC ad concept</x:v>
      </x:c>
      <x:c r="AU787" s="76" t="str">
        <x:v>Hi Josh — I was reviewing remodeling companies in Taylors, South Carolina and Acumen Builders, LLC looked like a strong fit for a creative test. I mapped a private 15-second project reveal with budget-and-timeline proof for Acumen Builders, LLC using only public brand context—not for publishing, just to show the angle. We build three client-approved video ad concepts in seven days, then turn the winners into fresh variations. No filming day required. Worth sending the private sample?</x:v>
      </x:c>
      <x:c r="AV787" s="76" t="str">
        <x:v>Quick follow-up: the sample angle is a project reveal with budget-and-timeline proof. If it misses the mark, no problem—I won't keep chasing. Should I send it?</x:v>
      </x:c>
      <x:c r="AW787" s="76" t="str">
        <x:v>Hi Josh, Ryan here. I was looking at Acumen Builders, LLC's public marketing and noticed: icp fit; paid-demand need requires manual verification. I mapped one private project reveal with budget-and-timeline proof as an example. Did I catch you with 30 seconds?</x:v>
      </x:c>
      <x:c r="AX787" s="60" t="str">
        <x:v>https://www.facebook.com/ads/library/?active_status=active&amp;ad_type=all&amp;country=US&amp;q=Acumen%20Builders%2C%20LLC&amp;search_type=keyword_unordered</x:v>
      </x:c>
      <x:c r="AY787" s="60" t="str">
        <x:v>ok:200</x:v>
      </x:c>
      <x:c r="AZ787" s="60" t="n">
        <x:v>46232.722858796296</x:v>
      </x:c>
      <x:c r="BA787" s="60" t="str">
        <x:v>AI Ark SC trades export</x:v>
      </x:c>
      <x:c r="BB787" s="60" t="str">
        <x:v>https://acumenbuilders.com | https://www.linkedin.com/company/acumen-builders-llc</x:v>
      </x:c>
      <x:c r="BC787" s="60" t="str"/>
    </x:row>
    <x:row r="788" ht="18" customHeight="1">
      <x:c r="A788" s="70" t="str">
        <x:v>787</x:v>
      </x:c>
      <x:c r="B788" s="70" t="str">
        <x:v>C - Verify</x:v>
      </x:c>
      <x:c r="C788" s="72" t="str">
        <x:v>44</x:v>
      </x:c>
      <x:c r="D788" s="60" t="str">
        <x:v>Power Systems, Inc. of SC</x:v>
      </x:c>
      <x:c r="E788" s="60" t="str">
        <x:v>https://abb.com</x:v>
      </x:c>
      <x:c r="F788" s="60" t="str">
        <x:v>https://www.abb.com/global/en</x:v>
      </x:c>
      <x:c r="G788" s="60" t="str">
        <x:v>Batesburg-leesville</x:v>
      </x:c>
      <x:c r="H788" s="60" t="str">
        <x:v>South Carolina</x:v>
      </x:c>
      <x:c r="I788" s="60" t="str">
        <x:v>General Contractor</x:v>
      </x:c>
      <x:c r="J788" s="60" t="str">
        <x:v>Sandra</x:v>
      </x:c>
      <x:c r="K788" s="60" t="str">
        <x:v>Price</x:v>
      </x:c>
      <x:c r="L788" s="60" t="str">
        <x:v>owner</x:v>
      </x:c>
      <x:c r="M788" s="60" t="str">
        <x:v>price@abb.com</x:v>
      </x:c>
      <x:c r="N788" s="60" t="str">
        <x:v>Verified with BounceBan on 08 Jun 26 12:06</x:v>
      </x:c>
      <x:c r="O788" s="60" t="str"/>
      <x:c r="P788" s="60" t="str">
        <x:v>https://www.linkedin.com/in/sandra-price-0a98856a</x:v>
      </x:c>
      <x:c r="Q788" s="60" t="str">
        <x:v>2-10</x:v>
      </x:c>
      <x:c r="R788" s="60" t="str">
        <x:v>1000000-4999999</x:v>
      </x:c>
      <x:c r="S788" s="60" t="str"/>
      <x:c r="T788" s="74" t="str">
        <x:v>0</x:v>
      </x:c>
      <x:c r="U788" s="60" t="str"/>
      <x:c r="V788" s="74" t="str">
        <x:v>24</x:v>
      </x:c>
      <x:c r="W788" s="74" t="str">
        <x:v>3</x:v>
      </x:c>
      <x:c r="X788" s="74" t="str">
        <x:v>10</x:v>
      </x:c>
      <x:c r="Y788" s="74" t="str">
        <x:v>0</x:v>
      </x:c>
      <x:c r="Z788" s="74" t="str">
        <x:v>7</x:v>
      </x:c>
      <x:c r="AA788" s="74" t="str">
        <x:v>0</x:v>
      </x:c>
      <x:c r="AB788" s="74" t="str">
        <x:v>0</x:v>
      </x:c>
      <x:c r="AC788" s="74" t="str">
        <x:v>1</x:v>
      </x:c>
      <x:c r="AD788" s="74" t="str">
        <x:v>0</x:v>
      </x:c>
      <x:c r="AE788" s="74" t="str">
        <x:v>0</x:v>
      </x:c>
      <x:c r="AF788" s="74" t="str"/>
      <x:c r="AG788" s="74" t="str">
        <x:v>0</x:v>
      </x:c>
      <x:c r="AH788" s="74" t="str">
        <x:v>0</x:v>
      </x:c>
      <x:c r="AI788" s="74" t="str">
        <x:v>0</x:v>
      </x:c>
      <x:c r="AJ788" s="74" t="str">
        <x:v>0</x:v>
      </x:c>
      <x:c r="AK788" s="74" t="str">
        <x:v>0</x:v>
      </x:c>
      <x:c r="AL788" s="74" t="str">
        <x:v>0</x:v>
      </x:c>
      <x:c r="AM788" s="74" t="str">
        <x:v>0</x:v>
      </x:c>
      <x:c r="AN788" s="74" t="str">
        <x:v>0</x:v>
      </x:c>
      <x:c r="AO788" s="60" t="str">
        <x:v>0</x:v>
      </x:c>
      <x:c r="AP788" s="76" t="str">
        <x:v>ICP fit; paid-demand need requires manual verification</x:v>
      </x:c>
      <x:c r="AQ788" s="76" t="str">
        <x:v>no embedded homepage video detected</x:v>
      </x:c>
      <x:c r="AR788" s="76" t="str">
        <x:v>I was reviewing general contractor companies in Batesburg-leesville, South Carolina and Power Systems, Inc. of SC looked like a strong fit for a creative test.</x:v>
      </x:c>
      <x:c r="AS788" s="76" t="str">
        <x:v>project walkthrough with proof milestones</x:v>
      </x:c>
      <x:c r="AT788" s="76" t="str">
        <x:v>Power Systems, Inc. of SC ad concept</x:v>
      </x:c>
      <x:c r="AU788" s="76" t="str">
        <x:v>Hi Sandra — I was reviewing general contractor companies in Batesburg-leesville, South Carolina and Power Systems, Inc. of SC looked like a strong fit for a creative test. I mapped a private 15-second project walkthrough with proof milestones for Power Systems, Inc. of SC using only public brand context—not for publishing, just to show the angle. We build three client-approved video ad concepts in seven days, then turn the winners into fresh variations. No filming day required. Worth sending the private sample?</x:v>
      </x:c>
      <x:c r="AV788" s="76" t="str">
        <x:v>Quick follow-up: the sample angle is a project walkthrough with proof milestones. If it misses the mark, no problem—I won't keep chasing. Should I send it?</x:v>
      </x:c>
      <x:c r="AW788" s="76" t="str">
        <x:v>Hi Sandra, Ryan here. I was looking at Power Systems, Inc. of SC's public marketing and noticed: icp fit; paid-demand need requires manual verification. I mapped one private project walkthrough with proof milestones as an example. Did I catch you with 30 seconds?</x:v>
      </x:c>
      <x:c r="AX788" s="60" t="str">
        <x:v>https://www.facebook.com/ads/library/?active_status=active&amp;ad_type=all&amp;country=US&amp;q=Power%20Systems%2C%20Inc.%20of%20SC&amp;search_type=keyword_unordered</x:v>
      </x:c>
      <x:c r="AY788" s="60" t="str">
        <x:v>ok:200</x:v>
      </x:c>
      <x:c r="AZ788" s="60" t="n">
        <x:v>46232.722858796296</x:v>
      </x:c>
      <x:c r="BA788" s="60" t="str">
        <x:v>AI Ark SC trades export</x:v>
      </x:c>
      <x:c r="BB788" s="60" t="str">
        <x:v>https://abb.com | https://www.linkedin.com/company/power-systems-inc.-of-sc</x:v>
      </x:c>
      <x:c r="BC788" s="60" t="str"/>
    </x:row>
    <x:row r="789" ht="18" customHeight="1">
      <x:c r="A789" s="70" t="str">
        <x:v>788</x:v>
      </x:c>
      <x:c r="B789" s="70" t="str">
        <x:v>C - Verify</x:v>
      </x:c>
      <x:c r="C789" s="72" t="str">
        <x:v>44</x:v>
      </x:c>
      <x:c r="D789" s="60" t="str">
        <x:v>Handyman</x:v>
      </x:c>
      <x:c r="E789" s="60" t="str">
        <x:v>https://familyhandyman.com</x:v>
      </x:c>
      <x:c r="F789" s="60" t="str">
        <x:v>https://www.familyhandyman.com/</x:v>
      </x:c>
      <x:c r="G789" s="60" t="str">
        <x:v>Mccormick</x:v>
      </x:c>
      <x:c r="H789" s="60" t="str">
        <x:v>South Carolina</x:v>
      </x:c>
      <x:c r="I789" s="60" t="str">
        <x:v>Remodeling</x:v>
      </x:c>
      <x:c r="J789" s="60" t="str">
        <x:v>Martin</x:v>
      </x:c>
      <x:c r="K789" s="60" t="str">
        <x:v>Bailey</x:v>
      </x:c>
      <x:c r="L789" s="60" t="str">
        <x:v>Owner</x:v>
      </x:c>
      <x:c r="M789" s="60" t="str"/>
      <x:c r="N789" s="60" t="str"/>
      <x:c r="O789" s="60" t="str">
        <x:v>+1 352 307 0207</x:v>
      </x:c>
      <x:c r="P789" s="60" t="str">
        <x:v>https://www.linkedin.com/in/martin-bailey-3b4a7696</x:v>
      </x:c>
      <x:c r="Q789" s="60" t="str">
        <x:v>2-10</x:v>
      </x:c>
      <x:c r="R789" s="60" t="str">
        <x:v>25000000-49999999</x:v>
      </x:c>
      <x:c r="S789" s="60" t="str"/>
      <x:c r="T789" s="74" t="str">
        <x:v>0</x:v>
      </x:c>
      <x:c r="U789" s="60" t="str"/>
      <x:c r="V789" s="74" t="str">
        <x:v>30</x:v>
      </x:c>
      <x:c r="W789" s="74" t="str">
        <x:v>3</x:v>
      </x:c>
      <x:c r="X789" s="74" t="str">
        <x:v>6</x:v>
      </x:c>
      <x:c r="Y789" s="74" t="str">
        <x:v>0</x:v>
      </x:c>
      <x:c r="Z789" s="74" t="str">
        <x:v>5</x:v>
      </x:c>
      <x:c r="AA789" s="74" t="str">
        <x:v>0</x:v>
      </x:c>
      <x:c r="AB789" s="74" t="str">
        <x:v>0</x:v>
      </x:c>
      <x:c r="AC789" s="74" t="str">
        <x:v>1</x:v>
      </x:c>
      <x:c r="AD789" s="74" t="str">
        <x:v>0</x:v>
      </x:c>
      <x:c r="AE789" s="74" t="str">
        <x:v>0</x:v>
      </x:c>
      <x:c r="AF789" s="74" t="str"/>
      <x:c r="AG789" s="74" t="str">
        <x:v>0</x:v>
      </x:c>
      <x:c r="AH789" s="74" t="str">
        <x:v>0</x:v>
      </x:c>
      <x:c r="AI789" s="74" t="str">
        <x:v>0</x:v>
      </x:c>
      <x:c r="AJ789" s="74" t="str">
        <x:v>0</x:v>
      </x:c>
      <x:c r="AK789" s="74" t="str">
        <x:v>0</x:v>
      </x:c>
      <x:c r="AL789" s="74" t="str">
        <x:v>1</x:v>
      </x:c>
      <x:c r="AM789" s="74" t="str">
        <x:v>1</x:v>
      </x:c>
      <x:c r="AN789" s="74" t="str">
        <x:v>1</x:v>
      </x:c>
      <x:c r="AO789" s="60" t="str">
        <x:v>2026</x:v>
      </x:c>
      <x:c r="AP789" s="76" t="str">
        <x:v>ICP fit; paid-demand need requires manual verification</x:v>
      </x:c>
      <x:c r="AQ789" s="76" t="str">
        <x:v>no embedded homepage video detected</x:v>
      </x:c>
      <x:c r="AR789" s="76" t="str">
        <x:v>I was reviewing remodeling companies in Mccormick, South Carolina and Handyman looked like a strong fit for a creative test.</x:v>
      </x:c>
      <x:c r="AS789" s="76" t="str">
        <x:v>project reveal with budget-and-timeline proof</x:v>
      </x:c>
      <x:c r="AT789" s="76" t="str">
        <x:v>Handyman ad concept</x:v>
      </x:c>
      <x:c r="AU789" s="76" t="str">
        <x:v>Hi Martin — I was reviewing remodeling companies in Mccormick, South Carolina and Handyman looked like a strong fit for a creative test. I mapped a private 15-second project reveal with budget-and-timeline proof for Handyman using only public brand context—not for publishing, just to show the angle. We build three client-approved video ad concepts in seven days, then turn the winners into fresh variations. No filming day required. Worth sending the private sample?</x:v>
      </x:c>
      <x:c r="AV789" s="76" t="str">
        <x:v>Quick follow-up: the sample angle is a project reveal with budget-and-timeline proof. If it misses the mark, no problem—I won't keep chasing. Should I send it?</x:v>
      </x:c>
      <x:c r="AW789" s="76" t="str">
        <x:v>Hi Martin, Ryan here. I was looking at Handyman's public marketing and noticed: icp fit; paid-demand need requires manual verification. I mapped one private project reveal with budget-and-timeline proof as an example. Did I catch you with 30 seconds?</x:v>
      </x:c>
      <x:c r="AX789" s="60" t="str">
        <x:v>https://www.facebook.com/ads/library/?active_status=active&amp;ad_type=all&amp;country=US&amp;q=Handyman&amp;search_type=keyword_unordered</x:v>
      </x:c>
      <x:c r="AY789" s="60" t="str">
        <x:v>ok:200</x:v>
      </x:c>
      <x:c r="AZ789" s="60" t="n">
        <x:v>46232.722858796296</x:v>
      </x:c>
      <x:c r="BA789" s="60" t="str">
        <x:v>AI Ark SC trades export</x:v>
      </x:c>
      <x:c r="BB789" s="60" t="str">
        <x:v>https://familyhandyman.com | https://www.linkedin.com/company/handyman</x:v>
      </x:c>
      <x:c r="BC789" s="60" t="str"/>
    </x:row>
    <x:row r="790" ht="18" customHeight="1">
      <x:c r="A790" s="70" t="str">
        <x:v>789</x:v>
      </x:c>
      <x:c r="B790" s="70" t="str">
        <x:v>C - Verify</x:v>
      </x:c>
      <x:c r="C790" s="72" t="str">
        <x:v>44</x:v>
      </x:c>
      <x:c r="D790" s="60" t="str">
        <x:v>Lake Murray Roofing</x:v>
      </x:c>
      <x:c r="E790" s="60" t="str">
        <x:v>https://lakemurrayroofing.net</x:v>
      </x:c>
      <x:c r="F790" s="60" t="str">
        <x:v>https://lakemurrayroofing.net</x:v>
      </x:c>
      <x:c r="G790" s="60" t="str">
        <x:v>Columbia</x:v>
      </x:c>
      <x:c r="H790" s="60" t="str">
        <x:v>South Carolina</x:v>
      </x:c>
      <x:c r="I790" s="60" t="str">
        <x:v>Roofing</x:v>
      </x:c>
      <x:c r="J790" s="60" t="str">
        <x:v>Lake Murray Roofing</x:v>
      </x:c>
      <x:c r="K790" s="60" t="str"/>
      <x:c r="L790" s="60" t="str">
        <x:v>Owner / decision maker to verify</x:v>
      </x:c>
      <x:c r="M790" s="60" t="str"/>
      <x:c r="N790" s="60" t="str"/>
      <x:c r="O790" s="60" t="str">
        <x:v>(803) 454-5781</x:v>
      </x:c>
      <x:c r="P790" s="60" t="str"/>
      <x:c r="Q790" s="60" t="str"/>
      <x:c r="R790" s="60" t="str"/>
      <x:c r="S790" s="60" t="str">
        <x:v>5</x:v>
      </x:c>
      <x:c r="T790" s="74" t="str">
        <x:v>186</x:v>
      </x:c>
      <x:c r="U790" s="60" t="str"/>
      <x:c r="V790" s="74" t="str">
        <x:v>29</x:v>
      </x:c>
      <x:c r="W790" s="74" t="str">
        <x:v>0</x:v>
      </x:c>
      <x:c r="X790" s="74" t="str">
        <x:v>0</x:v>
      </x:c>
      <x:c r="Y790" s="74" t="str">
        <x:v>10</x:v>
      </x:c>
      <x:c r="Z790" s="74" t="str">
        <x:v>5</x:v>
      </x:c>
      <x:c r="AA790" s="74" t="str">
        <x:v>0</x:v>
      </x:c>
      <x:c r="AB790" s="74" t="str">
        <x:v>0</x:v>
      </x:c>
      <x:c r="AC790" s="74" t="str">
        <x:v>0</x:v>
      </x:c>
      <x:c r="AD790" s="74" t="str">
        <x:v>0</x:v>
      </x:c>
      <x:c r="AE790" s="74" t="str">
        <x:v>0</x:v>
      </x:c>
      <x:c r="AF790" s="74" t="str"/>
      <x:c r="AG790" s="74" t="str">
        <x:v>1</x:v>
      </x:c>
      <x:c r="AH790" s="74" t="str">
        <x:v>0</x:v>
      </x:c>
      <x:c r="AI790" s="74" t="str">
        <x:v>1</x:v>
      </x:c>
      <x:c r="AJ790" s="74" t="str">
        <x:v>0</x:v>
      </x:c>
      <x:c r="AK790" s="74" t="str">
        <x:v>1</x:v>
      </x:c>
      <x:c r="AL790" s="74" t="str">
        <x:v>1</x:v>
      </x:c>
      <x:c r="AM790" s="74" t="str">
        <x:v>1</x:v>
      </x:c>
      <x:c r="AN790" s="74" t="str">
        <x:v>0</x:v>
      </x:c>
      <x:c r="AO790" s="60" t="str">
        <x:v>2025</x:v>
      </x:c>
      <x:c r="AP790" s="76" t="str">
        <x:v>ICP fit; paid-demand need requires manual verification</x:v>
      </x:c>
      <x:c r="AQ790" s="76" t="str">
        <x:v>testimonials; visible service offer</x:v>
      </x:c>
      <x:c r="AR790" s="76" t="str">
        <x:v>I was reviewing roofing companies in Columbia, South Carolina and Lake Murray Roofing looked like a strong fit for a creative test.</x:v>
      </x:c>
      <x:c r="AS790" s="76" t="str">
        <x:v>storm-to-inspection before/after ad</x:v>
      </x:c>
      <x:c r="AT790" s="76" t="str">
        <x:v>Lake Murray Roofing ad concept</x:v>
      </x:c>
      <x:c r="AU790" s="76" t="str">
        <x:v>Hi Lake Murray Roofing — I was reviewing roofing companies in Columbia, South Carolina and Lake Murray Roofing looked like a strong fit for a creative test. I mapped a private 15-second storm-to-inspection before/after ad for Lake Murray Roofing using only public brand context—not for publishing, just to show the angle. We build three client-approved video ad concepts in seven days, then turn the winners into fresh variations. No filming day required. Worth sending the private sample?</x:v>
      </x:c>
      <x:c r="AV790" s="76" t="str">
        <x:v>Quick follow-up: the sample angle is a storm-to-inspection before/after ad. If it misses the mark, no problem—I won't keep chasing. Should I send it?</x:v>
      </x:c>
      <x:c r="AW790" s="76" t="str">
        <x:v>Hi Lake Murray Roofing, Ryan here. I was looking at Lake Murray Roofing's public marketing and noticed: icp fit; paid-demand need requires manual verification. I mapped one private storm-to-inspection before/after ad as an example. Did I catch you with 30 seconds?</x:v>
      </x:c>
      <x:c r="AX790" s="60" t="str">
        <x:v>https://www.facebook.com/ads/library/?active_status=active&amp;ad_type=all&amp;country=US&amp;q=Lake%20Murray%20Roofing&amp;search_type=keyword_unordered</x:v>
      </x:c>
      <x:c r="AY790" s="60" t="str">
        <x:v>ok:200</x:v>
      </x:c>
      <x:c r="AZ790" s="60" t="n">
        <x:v>46232.722858796296</x:v>
      </x:c>
      <x:c r="BA790" s="60" t="str">
        <x:v>Google Maps home-services export</x:v>
      </x:c>
      <x:c r="BB790" s="60" t="str">
        <x:v>https://lakemurrayroofing.net | https://maps.google.com/?cid=10119550486976132240&amp;g_mp=Cidnb29nbGUubWFwcy5wbGFjZXMudjEuUGxhY2VzLlNlYXJjaFRleHQQAhgEIAA</x:v>
      </x:c>
      <x:c r="BC790" s="60" t="str"/>
    </x:row>
    <x:row r="791" ht="18" customHeight="1">
      <x:c r="A791" s="70" t="str">
        <x:v>790</x:v>
      </x:c>
      <x:c r="B791" s="70" t="str">
        <x:v>C - Verify</x:v>
      </x:c>
      <x:c r="C791" s="72" t="str">
        <x:v>44</x:v>
      </x:c>
      <x:c r="D791" s="60" t="str">
        <x:v>George Pruitt Plumbing</x:v>
      </x:c>
      <x:c r="E791" s="60" t="str">
        <x:v>https://georgepruittplumbing.com</x:v>
      </x:c>
      <x:c r="F791" s="60" t="str">
        <x:v>https://georgepruittplumbing.com</x:v>
      </x:c>
      <x:c r="G791" s="60" t="str">
        <x:v>Spartanburg</x:v>
      </x:c>
      <x:c r="H791" s="60" t="str">
        <x:v>South Carolina</x:v>
      </x:c>
      <x:c r="I791" s="60" t="str">
        <x:v>Plumbing</x:v>
      </x:c>
      <x:c r="J791" s="60" t="str">
        <x:v>George Pruitt Plumbing</x:v>
      </x:c>
      <x:c r="K791" s="60" t="str"/>
      <x:c r="L791" s="60" t="str">
        <x:v>Owner / decision maker to verify</x:v>
      </x:c>
      <x:c r="M791" s="60" t="str"/>
      <x:c r="N791" s="60" t="str"/>
      <x:c r="O791" s="60" t="str">
        <x:v>(864) 285-6287</x:v>
      </x:c>
      <x:c r="P791" s="60" t="str"/>
      <x:c r="Q791" s="60" t="str"/>
      <x:c r="R791" s="60" t="str"/>
      <x:c r="S791" s="60" t="str">
        <x:v>4.5</x:v>
      </x:c>
      <x:c r="T791" s="74" t="str">
        <x:v>44</x:v>
      </x:c>
      <x:c r="U791" s="60" t="str"/>
      <x:c r="V791" s="74" t="str">
        <x:v>22</x:v>
      </x:c>
      <x:c r="W791" s="74" t="str">
        <x:v>0</x:v>
      </x:c>
      <x:c r="X791" s="74" t="str">
        <x:v>7</x:v>
      </x:c>
      <x:c r="Y791" s="74" t="str">
        <x:v>10</x:v>
      </x:c>
      <x:c r="Z791" s="74" t="str">
        <x:v>5</x:v>
      </x:c>
      <x:c r="AA791" s="74" t="str">
        <x:v>0</x:v>
      </x:c>
      <x:c r="AB791" s="74" t="str">
        <x:v>0</x:v>
      </x:c>
      <x:c r="AC791" s="74" t="str">
        <x:v>0</x:v>
      </x:c>
      <x:c r="AD791" s="74" t="str">
        <x:v>0</x:v>
      </x:c>
      <x:c r="AE791" s="74" t="str">
        <x:v>0</x:v>
      </x:c>
      <x:c r="AF791" s="74" t="str"/>
      <x:c r="AG791" s="74" t="str">
        <x:v>1</x:v>
      </x:c>
      <x:c r="AH791" s="74" t="str">
        <x:v>1</x:v>
      </x:c>
      <x:c r="AI791" s="74" t="str">
        <x:v>0</x:v>
      </x:c>
      <x:c r="AJ791" s="74" t="str">
        <x:v>0</x:v>
      </x:c>
      <x:c r="AK791" s="74" t="str">
        <x:v>1</x:v>
      </x:c>
      <x:c r="AL791" s="74" t="str">
        <x:v>0</x:v>
      </x:c>
      <x:c r="AM791" s="74" t="str">
        <x:v>1</x:v>
      </x:c>
      <x:c r="AN791" s="74" t="str">
        <x:v>0</x:v>
      </x:c>
      <x:c r="AO791" s="60" t="str">
        <x:v>2020</x:v>
      </x:c>
      <x:c r="AP791" s="76" t="str">
        <x:v>ICP fit; paid-demand need requires manual verification</x:v>
      </x:c>
      <x:c r="AQ791" s="76" t="str">
        <x:v>project/gallery proof; visible service offer</x:v>
      </x:c>
      <x:c r="AR791" s="76" t="str">
        <x:v>I was reviewing plumbing companies in Spartanburg, South Carolina and George Pruitt Plumbing looked like a strong fit for a creative test.</x:v>
      </x:c>
      <x:c r="AS791" s="76" t="str">
        <x:v>small symptom to prevented-emergency ad</x:v>
      </x:c>
      <x:c r="AT791" s="76" t="str">
        <x:v>George Pruitt Plumbing ad concept</x:v>
      </x:c>
      <x:c r="AU791" s="76" t="str">
        <x:v>Hi George Pruitt Plumbing — I was reviewing plumbing companies in Spartanburg, South Carolina and George Pruitt Plumbing looked like a strong fit for a creative test. I mapped a private 15-second small symptom to prevented-emergency ad for George Pruitt Plumbing using only public brand context—not for publishing, just to show the angle. We build three client-approved video ad concepts in seven days, then turn the winners into fresh variations. No filming day required. Worth sending the private sample?</x:v>
      </x:c>
      <x:c r="AV791" s="76" t="str">
        <x:v>Quick follow-up: the sample angle is a small symptom to prevented-emergency ad. If it misses the mark, no problem—I won't keep chasing. Should I send it?</x:v>
      </x:c>
      <x:c r="AW791" s="76" t="str">
        <x:v>Hi George Pruitt Plumbing, Ryan here. I was looking at George Pruitt Plumbing's public marketing and noticed: icp fit; paid-demand need requires manual verification. I mapped one private small symptom to prevented-emergency ad as an example. Did I catch you with 30 seconds?</x:v>
      </x:c>
      <x:c r="AX791" s="60" t="str">
        <x:v>https://www.facebook.com/ads/library/?active_status=active&amp;ad_type=all&amp;country=US&amp;q=George%20Pruitt%20Plumbing&amp;search_type=keyword_unordered</x:v>
      </x:c>
      <x:c r="AY791" s="60" t="str">
        <x:v>ok:200</x:v>
      </x:c>
      <x:c r="AZ791" s="60" t="n">
        <x:v>46232.722858796296</x:v>
      </x:c>
      <x:c r="BA791" s="60" t="str">
        <x:v>Google Maps home-services export</x:v>
      </x:c>
      <x:c r="BB791" s="60" t="str">
        <x:v>https://georgepruittplumbing.com | https://maps.google.com/?cid=13216141292520113221&amp;g_mp=Cidnb29nbGUubWFwcy5wbGFjZXMudjEuUGxhY2VzLlNlYXJjaFRleHQQAhgEIAA</x:v>
      </x:c>
      <x:c r="BC791" s="60" t="str"/>
    </x:row>
    <x:row r="792" ht="18" customHeight="1">
      <x:c r="A792" s="70" t="str">
        <x:v>791</x:v>
      </x:c>
      <x:c r="B792" s="70" t="str">
        <x:v>C - Verify</x:v>
      </x:c>
      <x:c r="C792" s="72" t="str">
        <x:v>44</x:v>
      </x:c>
      <x:c r="D792" s="60" t="str">
        <x:v>Victorias Cleaning Services</x:v>
      </x:c>
      <x:c r="E792" s="60" t="str">
        <x:v>https://victoriacleans.com</x:v>
      </x:c>
      <x:c r="F792" s="60" t="str">
        <x:v>http://victoriacleans.com</x:v>
      </x:c>
      <x:c r="G792" s="60" t="str">
        <x:v>Wadmalaw Island</x:v>
      </x:c>
      <x:c r="H792" s="60" t="str">
        <x:v>South Carolina</x:v>
      </x:c>
      <x:c r="I792" s="60" t="str">
        <x:v>Cleaning &amp; Exterior Care</x:v>
      </x:c>
      <x:c r="J792" s="60" t="str">
        <x:v>Victoria</x:v>
      </x:c>
      <x:c r="K792" s="60" t="str">
        <x:v>Salcedo</x:v>
      </x:c>
      <x:c r="L792" s="60" t="str">
        <x:v>Business Owner</x:v>
      </x:c>
      <x:c r="M792" s="60" t="str"/>
      <x:c r="N792" s="60" t="str"/>
      <x:c r="O792" s="60" t="str">
        <x:v>+1 843 817 7264</x:v>
      </x:c>
      <x:c r="P792" s="60" t="str">
        <x:v>https://www.linkedin.com/in/victoria-salcedo-822405142</x:v>
      </x:c>
      <x:c r="Q792" s="60" t="str">
        <x:v>2-10</x:v>
      </x:c>
      <x:c r="R792" s="60" t="str">
        <x:v>500000-999999</x:v>
      </x:c>
      <x:c r="S792" s="60" t="str"/>
      <x:c r="T792" s="74" t="str">
        <x:v>0</x:v>
      </x:c>
      <x:c r="U792" s="60" t="str"/>
      <x:c r="V792" s="74" t="str">
        <x:v>20</x:v>
      </x:c>
      <x:c r="W792" s="74" t="str">
        <x:v>0</x:v>
      </x:c>
      <x:c r="X792" s="74" t="str">
        <x:v>10</x:v>
      </x:c>
      <x:c r="Y792" s="74" t="str">
        <x:v>9</x:v>
      </x:c>
      <x:c r="Z792" s="74" t="str">
        <x:v>5</x:v>
      </x:c>
      <x:c r="AA792" s="74" t="str">
        <x:v>0</x:v>
      </x:c>
      <x:c r="AB792" s="74" t="str">
        <x:v>0</x:v>
      </x:c>
      <x:c r="AC792" s="74" t="str">
        <x:v>0</x:v>
      </x:c>
      <x:c r="AD792" s="74" t="str">
        <x:v>0</x:v>
      </x:c>
      <x:c r="AE792" s="74" t="str">
        <x:v>0</x:v>
      </x:c>
      <x:c r="AF792" s="74" t="str"/>
      <x:c r="AG792" s="74" t="str">
        <x:v>0</x:v>
      </x:c>
      <x:c r="AH792" s="74" t="str">
        <x:v>1</x:v>
      </x:c>
      <x:c r="AI792" s="74" t="str">
        <x:v>1</x:v>
      </x:c>
      <x:c r="AJ792" s="74" t="str">
        <x:v>0</x:v>
      </x:c>
      <x:c r="AK792" s="74" t="str">
        <x:v>0</x:v>
      </x:c>
      <x:c r="AL792" s="74" t="str">
        <x:v>0</x:v>
      </x:c>
      <x:c r="AM792" s="74" t="str">
        <x:v>0</x:v>
      </x:c>
      <x:c r="AN792" s="74" t="str">
        <x:v>0</x:v>
      </x:c>
      <x:c r="AO792" s="60" t="str">
        <x:v>2026</x:v>
      </x:c>
      <x:c r="AP792" s="76" t="str">
        <x:v>Project/gallery proof found; no embedded homepage video found</x:v>
      </x:c>
      <x:c r="AQ792" s="76" t="str">
        <x:v>project/gallery proof; testimonials; no embedded homepage video detected</x:v>
      </x:c>
      <x:c r="AR792" s="76" t="str">
        <x:v>I found project/gallery proof on Victorias Cleaning Services's site that could be repackaged into short-form ad concepts.</x:v>
      </x:c>
      <x:c r="AS792" s="76" t="str">
        <x:v>high-contrast before/after ad</x:v>
      </x:c>
      <x:c r="AT792" s="76" t="str">
        <x:v>Victorias Cleaning Services ad concept</x:v>
      </x:c>
      <x:c r="AU792" s="76" t="str">
        <x:v>Hi Victoria — I found project/gallery proof on Victorias Cleaning Services's site that could be repackaged into short-form ad concepts. I mapped a private 15-second high-contrast before/after ad for Victorias Cleaning Services using only public brand context—not for publishing, just to show the angle. We build three client-approved video ad concepts in seven days, then turn the winners into fresh variations. No filming day required. Worth sending the private sample?</x:v>
      </x:c>
      <x:c r="AV792" s="76" t="str">
        <x:v>Quick follow-up: the sample angle is a high-contrast before/after ad. If it misses the mark, no problem—I won't keep chasing. Should I send it?</x:v>
      </x:c>
      <x:c r="AW792" s="76" t="str">
        <x:v>Hi Victoria, Ryan here. I was looking at Victorias Cleaning Services's public marketing and noticed: project/gallery proof found; no embedded homepage video found. I mapped one private high-contrast before/after ad as an example. Did I catch you with 30 seconds?</x:v>
      </x:c>
      <x:c r="AX792" s="60" t="str">
        <x:v>https://www.facebook.com/ads/library/?active_status=active&amp;ad_type=all&amp;country=US&amp;q=Victorias%20Cleaning%20Services&amp;search_type=keyword_unordered</x:v>
      </x:c>
      <x:c r="AY792" s="60" t="str">
        <x:v>ok:200</x:v>
      </x:c>
      <x:c r="AZ792" s="60" t="n">
        <x:v>46232.722858796296</x:v>
      </x:c>
      <x:c r="BA792" s="60" t="str">
        <x:v>AI Ark SC trades export</x:v>
      </x:c>
      <x:c r="BB792" s="60" t="str">
        <x:v>https://victoriacleans.com | https://www.linkedin.com/company/victorias-cleaning-services</x:v>
      </x:c>
      <x:c r="BC792" s="60" t="str"/>
    </x:row>
    <x:row r="793" ht="18" customHeight="1">
      <x:c r="A793" s="70" t="str">
        <x:v>792</x:v>
      </x:c>
      <x:c r="B793" s="70" t="str">
        <x:v>C - Verify</x:v>
      </x:c>
      <x:c r="C793" s="72" t="str">
        <x:v>44</x:v>
      </x:c>
      <x:c r="D793" s="60" t="str">
        <x:v>Executive Image Building Services</x:v>
      </x:c>
      <x:c r="E793" s="60" t="str">
        <x:v>https://executiveimageco.com</x:v>
      </x:c>
      <x:c r="F793" s="60" t="str">
        <x:v>https://executiveimageco.com</x:v>
      </x:c>
      <x:c r="G793" s="60" t="str">
        <x:v>Charleston County</x:v>
      </x:c>
      <x:c r="H793" s="60" t="str">
        <x:v>South Carolina</x:v>
      </x:c>
      <x:c r="I793" s="60" t="str">
        <x:v>Windows &amp; Doors</x:v>
      </x:c>
      <x:c r="J793" s="60" t="str">
        <x:v>Stephen</x:v>
      </x:c>
      <x:c r="K793" s="60" t="str">
        <x:v>Vogt</x:v>
      </x:c>
      <x:c r="L793" s="60" t="str">
        <x:v>Co-Owner</x:v>
      </x:c>
      <x:c r="M793" s="60" t="str"/>
      <x:c r="N793" s="60" t="str"/>
      <x:c r="O793" s="60" t="str">
        <x:v>+1 859 619 6605</x:v>
      </x:c>
      <x:c r="P793" s="60" t="str">
        <x:v>https://www.linkedin.com/in/stephen-vogt-b70bb427</x:v>
      </x:c>
      <x:c r="Q793" s="60" t="str">
        <x:v>11-50</x:v>
      </x:c>
      <x:c r="R793" s="60" t="str">
        <x:v>500000-999999</x:v>
      </x:c>
      <x:c r="S793" s="60" t="str"/>
      <x:c r="T793" s="74" t="str">
        <x:v>0</x:v>
      </x:c>
      <x:c r="U793" s="60" t="str"/>
      <x:c r="V793" s="74" t="str">
        <x:v>30</x:v>
      </x:c>
      <x:c r="W793" s="74" t="str">
        <x:v>0</x:v>
      </x:c>
      <x:c r="X793" s="74" t="str">
        <x:v>0</x:v>
      </x:c>
      <x:c r="Y793" s="74" t="str">
        <x:v>9</x:v>
      </x:c>
      <x:c r="Z793" s="74" t="str">
        <x:v>5</x:v>
      </x:c>
      <x:c r="AA793" s="74" t="str">
        <x:v>0</x:v>
      </x:c>
      <x:c r="AB793" s="74" t="str">
        <x:v>0</x:v>
      </x:c>
      <x:c r="AC793" s="74" t="str">
        <x:v>0</x:v>
      </x:c>
      <x:c r="AD793" s="74" t="str">
        <x:v>0</x:v>
      </x:c>
      <x:c r="AE793" s="74" t="str">
        <x:v>0</x:v>
      </x:c>
      <x:c r="AF793" s="74" t="str"/>
      <x:c r="AG793" s="74" t="str">
        <x:v>1</x:v>
      </x:c>
      <x:c r="AH793" s="74" t="str">
        <x:v>1</x:v>
      </x:c>
      <x:c r="AI793" s="74" t="str">
        <x:v>1</x:v>
      </x:c>
      <x:c r="AJ793" s="74" t="str">
        <x:v>0</x:v>
      </x:c>
      <x:c r="AK793" s="74" t="str">
        <x:v>0</x:v>
      </x:c>
      <x:c r="AL793" s="74" t="str">
        <x:v>0</x:v>
      </x:c>
      <x:c r="AM793" s="74" t="str">
        <x:v>1</x:v>
      </x:c>
      <x:c r="AN793" s="74" t="str">
        <x:v>1</x:v>
      </x:c>
      <x:c r="AO793" s="60" t="str">
        <x:v>0</x:v>
      </x:c>
      <x:c r="AP793" s="76" t="str">
        <x:v>ICP fit; paid-demand need requires manual verification</x:v>
      </x:c>
      <x:c r="AQ793" s="76" t="str">
        <x:v>project/gallery proof; testimonials</x:v>
      </x:c>
      <x:c r="AR793" s="76" t="str">
        <x:v>I was reviewing windows &amp; doors companies in Charleston County, South Carolina and Executive Image Building Services looked like a strong fit for a creative test.</x:v>
      </x:c>
      <x:c r="AS793" s="76" t="str">
        <x:v>energy-loss to installed-window transformation ad</x:v>
      </x:c>
      <x:c r="AT793" s="76" t="str">
        <x:v>Executive Image Building Services ad concept</x:v>
      </x:c>
      <x:c r="AU793" s="76" t="str">
        <x:v>Hi Stephen — I was reviewing windows &amp; doors companies in Charleston County, South Carolina and Executive Image Building Services looked like a strong fit for a creative test. I mapped a private 15-second energy-loss to installed-window transformation ad for Executive Image Building Services using only public brand context—not for publishing, just to show the angle. We build three client-approved video ad concepts in seven days, then turn the winners into fresh variations. No filming day required. Worth sending the private sample?</x:v>
      </x:c>
      <x:c r="AV793" s="76" t="str">
        <x:v>Quick follow-up: the sample angle is a energy-loss to installed-window transformation ad. If it misses the mark, no problem—I won't keep chasing. Should I send it?</x:v>
      </x:c>
      <x:c r="AW793" s="76" t="str">
        <x:v>Hi Stephen, Ryan here. I was looking at Executive Image Building Services's public marketing and noticed: icp fit; paid-demand need requires manual verification. I mapped one private energy-loss to installed-window transformation ad as an example. Did I catch you with 30 seconds?</x:v>
      </x:c>
      <x:c r="AX793" s="60" t="str">
        <x:v>https://www.facebook.com/ads/library/?active_status=active&amp;ad_type=all&amp;country=US&amp;q=Executive%20Image%20Building%20Services&amp;search_type=keyword_unordered</x:v>
      </x:c>
      <x:c r="AY793" s="60" t="str">
        <x:v>ok:200</x:v>
      </x:c>
      <x:c r="AZ793" s="60" t="n">
        <x:v>46232.722858796296</x:v>
      </x:c>
      <x:c r="BA793" s="60" t="str">
        <x:v>AI Ark SC trades export</x:v>
      </x:c>
      <x:c r="BB793" s="60" t="str">
        <x:v>https://executiveimageco.com | https://www.linkedin.com/company/executive-image-building-services</x:v>
      </x:c>
      <x:c r="BC793" s="60" t="str"/>
    </x:row>
    <x:row r="794" ht="18" customHeight="1">
      <x:c r="A794" s="70" t="str">
        <x:v>793</x:v>
      </x:c>
      <x:c r="B794" s="70" t="str">
        <x:v>C - Verify</x:v>
      </x:c>
      <x:c r="C794" s="72" t="str">
        <x:v>44</x:v>
      </x:c>
      <x:c r="D794" s="60" t="str">
        <x:v>Dangerfield Construction</x:v>
      </x:c>
      <x:c r="E794" s="60" t="str">
        <x:v>https://dangerfieldconstruction.co.uk</x:v>
      </x:c>
      <x:c r="F794" s="60" t="str">
        <x:v>https://dangerfieldconstruction.co.uk</x:v>
      </x:c>
      <x:c r="G794" s="60" t="str">
        <x:v>Summerville</x:v>
      </x:c>
      <x:c r="H794" s="60" t="str">
        <x:v>South Carolina</x:v>
      </x:c>
      <x:c r="I794" s="60" t="str">
        <x:v>General Contractor</x:v>
      </x:c>
      <x:c r="J794" s="60" t="str">
        <x:v>Zach</x:v>
      </x:c>
      <x:c r="K794" s="60" t="str">
        <x:v>Dangerfield</x:v>
      </x:c>
      <x:c r="L794" s="60" t="str">
        <x:v>Business Owner</x:v>
      </x:c>
      <x:c r="M794" s="60" t="str"/>
      <x:c r="N794" s="60" t="str"/>
      <x:c r="O794" s="60" t="str">
        <x:v>+1 843 814 1274</x:v>
      </x:c>
      <x:c r="P794" s="60" t="str">
        <x:v>https://www.linkedin.com/in/zach-dangerfield-a5a65a162</x:v>
      </x:c>
      <x:c r="Q794" s="60" t="str">
        <x:v>2-10</x:v>
      </x:c>
      <x:c r="R794" s="60" t="str">
        <x:v>100000-499999</x:v>
      </x:c>
      <x:c r="S794" s="60" t="str"/>
      <x:c r="T794" s="74" t="str">
        <x:v>0</x:v>
      </x:c>
      <x:c r="U794" s="60" t="str"/>
      <x:c r="V794" s="74" t="str">
        <x:v>20</x:v>
      </x:c>
      <x:c r="W794" s="74" t="str">
        <x:v>0</x:v>
      </x:c>
      <x:c r="X794" s="74" t="str">
        <x:v>10</x:v>
      </x:c>
      <x:c r="Y794" s="74" t="str">
        <x:v>9</x:v>
      </x:c>
      <x:c r="Z794" s="74" t="str">
        <x:v>5</x:v>
      </x:c>
      <x:c r="AA794" s="74" t="str">
        <x:v>0</x:v>
      </x:c>
      <x:c r="AB794" s="74" t="str">
        <x:v>0</x:v>
      </x:c>
      <x:c r="AC794" s="74" t="str">
        <x:v>0</x:v>
      </x:c>
      <x:c r="AD794" s="74" t="str">
        <x:v>0</x:v>
      </x:c>
      <x:c r="AE794" s="74" t="str">
        <x:v>0</x:v>
      </x:c>
      <x:c r="AF794" s="74" t="str"/>
      <x:c r="AG794" s="74" t="str">
        <x:v>0</x:v>
      </x:c>
      <x:c r="AH794" s="74" t="str">
        <x:v>1</x:v>
      </x:c>
      <x:c r="AI794" s="74" t="str">
        <x:v>1</x:v>
      </x:c>
      <x:c r="AJ794" s="74" t="str">
        <x:v>0</x:v>
      </x:c>
      <x:c r="AK794" s="74" t="str">
        <x:v>0</x:v>
      </x:c>
      <x:c r="AL794" s="74" t="str">
        <x:v>0</x:v>
      </x:c>
      <x:c r="AM794" s="74" t="str">
        <x:v>0</x:v>
      </x:c>
      <x:c r="AN794" s="74" t="str">
        <x:v>0</x:v>
      </x:c>
      <x:c r="AO794" s="60" t="str">
        <x:v>2025</x:v>
      </x:c>
      <x:c r="AP794" s="76" t="str">
        <x:v>Project/gallery proof found; no embedded homepage video found</x:v>
      </x:c>
      <x:c r="AQ794" s="76" t="str">
        <x:v>project/gallery proof; testimonials; no embedded homepage video detected</x:v>
      </x:c>
      <x:c r="AR794" s="76" t="str">
        <x:v>I found project/gallery proof on Dangerfield Construction's site that could be repackaged into short-form ad concepts.</x:v>
      </x:c>
      <x:c r="AS794" s="76" t="str">
        <x:v>project walkthrough with proof milestones</x:v>
      </x:c>
      <x:c r="AT794" s="76" t="str">
        <x:v>Dangerfield Construction ad concept</x:v>
      </x:c>
      <x:c r="AU794" s="76" t="str">
        <x:v>Hi Zach — I found project/gallery proof on Dangerfield Construction's site that could be repackaged into short-form ad concepts. I mapped a private 15-second project walkthrough with proof milestones for Dangerfield Construction using only public brand context—not for publishing, just to show the angle. We build three client-approved video ad concepts in seven days, then turn the winners into fresh variations. No filming day required. Worth sending the private sample?</x:v>
      </x:c>
      <x:c r="AV794" s="76" t="str">
        <x:v>Quick follow-up: the sample angle is a project walkthrough with proof milestones. If it misses the mark, no problem—I won't keep chasing. Should I send it?</x:v>
      </x:c>
      <x:c r="AW794" s="76" t="str">
        <x:v>Hi Zach, Ryan here. I was looking at Dangerfield Construction's public marketing and noticed: project/gallery proof found; no embedded homepage video found. I mapped one private project walkthrough with proof milestones as an example. Did I catch you with 30 seconds?</x:v>
      </x:c>
      <x:c r="AX794" s="60" t="str">
        <x:v>https://www.facebook.com/ads/library/?active_status=active&amp;ad_type=all&amp;country=US&amp;q=Dangerfield%20Construction&amp;search_type=keyword_unordered</x:v>
      </x:c>
      <x:c r="AY794" s="60" t="str">
        <x:v>ok:200</x:v>
      </x:c>
      <x:c r="AZ794" s="60" t="n">
        <x:v>46232.722858796296</x:v>
      </x:c>
      <x:c r="BA794" s="60" t="str">
        <x:v>AI Ark SC trades export</x:v>
      </x:c>
      <x:c r="BB794" s="60" t="str">
        <x:v>https://dangerfieldconstruction.co.uk | https://www.linkedin.com/company/dangerfield-construction</x:v>
      </x:c>
      <x:c r="BC794" s="60" t="str"/>
    </x:row>
    <x:row r="795" ht="18" customHeight="1">
      <x:c r="A795" s="70" t="str">
        <x:v>794</x:v>
      </x:c>
      <x:c r="B795" s="70" t="str">
        <x:v>C - Verify</x:v>
      </x:c>
      <x:c r="C795" s="72" t="str">
        <x:v>44</x:v>
      </x:c>
      <x:c r="D795" s="60" t="str">
        <x:v>Thomas &amp; Sons Electrical Contractor</x:v>
      </x:c>
      <x:c r="E795" s="60" t="str">
        <x:v>https://thomasandsonsec.com</x:v>
      </x:c>
      <x:c r="F795" s="60" t="str">
        <x:v>https://thomasandsonsec.com</x:v>
      </x:c>
      <x:c r="G795" s="60" t="str">
        <x:v>Rock Hill</x:v>
      </x:c>
      <x:c r="H795" s="60" t="str">
        <x:v>South Carolina</x:v>
      </x:c>
      <x:c r="I795" s="60" t="str">
        <x:v>Electrical</x:v>
      </x:c>
      <x:c r="J795" s="60" t="str">
        <x:v>Thomas &amp; Sons Electrical Contractor</x:v>
      </x:c>
      <x:c r="K795" s="60" t="str"/>
      <x:c r="L795" s="60" t="str">
        <x:v>Owner / decision maker to verify</x:v>
      </x:c>
      <x:c r="M795" s="60" t="str"/>
      <x:c r="N795" s="60" t="str"/>
      <x:c r="O795" s="60" t="str">
        <x:v>(980) 236-1675</x:v>
      </x:c>
      <x:c r="P795" s="60" t="str"/>
      <x:c r="Q795" s="60" t="str"/>
      <x:c r="R795" s="60" t="str"/>
      <x:c r="S795" s="60" t="str">
        <x:v>5</x:v>
      </x:c>
      <x:c r="T795" s="74" t="str">
        <x:v>113</x:v>
      </x:c>
      <x:c r="U795" s="60" t="str"/>
      <x:c r="V795" s="74" t="str">
        <x:v>23</x:v>
      </x:c>
      <x:c r="W795" s="74" t="str">
        <x:v>0</x:v>
      </x:c>
      <x:c r="X795" s="74" t="str">
        <x:v>10</x:v>
      </x:c>
      <x:c r="Y795" s="74" t="str">
        <x:v>6</x:v>
      </x:c>
      <x:c r="Z795" s="74" t="str">
        <x:v>5</x:v>
      </x:c>
      <x:c r="AA795" s="74" t="str">
        <x:v>0</x:v>
      </x:c>
      <x:c r="AB795" s="74" t="str">
        <x:v>0</x:v>
      </x:c>
      <x:c r="AC795" s="74" t="str">
        <x:v>0</x:v>
      </x:c>
      <x:c r="AD795" s="74" t="str">
        <x:v>0</x:v>
      </x:c>
      <x:c r="AE795" s="74" t="str">
        <x:v>0</x:v>
      </x:c>
      <x:c r="AF795" s="74" t="str"/>
      <x:c r="AG795" s="74" t="str">
        <x:v>0</x:v>
      </x:c>
      <x:c r="AH795" s="74" t="str">
        <x:v>0</x:v>
      </x:c>
      <x:c r="AI795" s="74" t="str">
        <x:v>0</x:v>
      </x:c>
      <x:c r="AJ795" s="74" t="str">
        <x:v>0</x:v>
      </x:c>
      <x:c r="AK795" s="74" t="str">
        <x:v>1</x:v>
      </x:c>
      <x:c r="AL795" s="74" t="str">
        <x:v>0</x:v>
      </x:c>
      <x:c r="AM795" s="74" t="str">
        <x:v>0</x:v>
      </x:c>
      <x:c r="AN795" s="74" t="str">
        <x:v>0</x:v>
      </x:c>
      <x:c r="AO795" s="60" t="str">
        <x:v>2026</x:v>
      </x:c>
      <x:c r="AP795" s="76" t="str">
        <x:v>113 Google reviews; no embedded homepage video found</x:v>
      </x:c>
      <x:c r="AQ795" s="76" t="str">
        <x:v>visible service offer; no embedded homepage video detected</x:v>
      </x:c>
      <x:c r="AR795" s="76" t="str">
        <x:v>Thomas &amp; Sons Electrical Contractor has 113 Google reviews—strong proof that could be turned into short-form ad concepts.</x:v>
      </x:c>
      <x:c r="AS795" s="76" t="str">
        <x:v>safety inspection problem/solution ad</x:v>
      </x:c>
      <x:c r="AT795" s="76" t="str">
        <x:v>Thomas &amp; Sons Electrical Contractor ad concept</x:v>
      </x:c>
      <x:c r="AU795" s="76" t="str">
        <x:v>Hi Thomas &amp; Sons Electrical Contractor — Thomas &amp; Sons Electrical Contractor has 113 Google reviews—strong proof that could be turned into short-form ad concepts. I mapped a private 15-second safety inspection problem/solution ad for Thomas &amp; Sons Electrical Contractor using only public brand context—not for publishing, just to show the angle. We build three client-approved video ad concepts in seven days, then turn the winners into fresh variations. No filming day required. Worth sending the private sample?</x:v>
      </x:c>
      <x:c r="AV795" s="76" t="str">
        <x:v>Quick follow-up: the sample angle is a safety inspection problem/solution ad. If it misses the mark, no problem—I won't keep chasing. Should I send it?</x:v>
      </x:c>
      <x:c r="AW795" s="76" t="str">
        <x:v>Hi Thomas &amp; Sons Electrical Contractor, Ryan here. I was looking at Thomas &amp; Sons Electrical Contractor's public marketing and noticed: 113 google reviews; no embedded homepage video found. I mapped one private safety inspection problem/solution ad as an example. Did I catch you with 30 seconds?</x:v>
      </x:c>
      <x:c r="AX795" s="60" t="str">
        <x:v>https://www.facebook.com/ads/library/?active_status=active&amp;ad_type=all&amp;country=US&amp;q=Thomas%20%26%20Sons%20Electrical%20Contractor&amp;search_type=keyword_unordered</x:v>
      </x:c>
      <x:c r="AY795" s="60" t="str">
        <x:v>ok:200</x:v>
      </x:c>
      <x:c r="AZ795" s="60" t="n">
        <x:v>46232.722858796296</x:v>
      </x:c>
      <x:c r="BA795" s="60" t="str">
        <x:v>Google Maps home-services export</x:v>
      </x:c>
      <x:c r="BB795" s="60" t="str">
        <x:v>https://maps.google.com/?cid=7289701321196979326&amp;g_mp=Cidnb29nbGUubWFwcy5wbGFjZXMudjEuUGxhY2VzLlNlYXJjaFRleHQQAhgEIAA | https://thomasandsonsec.com</x:v>
      </x:c>
      <x:c r="BC795" s="60" t="str"/>
    </x:row>
    <x:row r="796" ht="18" customHeight="1">
      <x:c r="A796" s="70" t="str">
        <x:v>795</x:v>
      </x:c>
      <x:c r="B796" s="70" t="str">
        <x:v>C - Verify</x:v>
      </x:c>
      <x:c r="C796" s="72" t="str">
        <x:v>44</x:v>
      </x:c>
      <x:c r="D796" s="60" t="str">
        <x:v>Marlin Connections, LLC</x:v>
      </x:c>
      <x:c r="E796" s="60" t="str">
        <x:v>https://marlinconnections.com</x:v>
      </x:c>
      <x:c r="F796" s="60" t="str">
        <x:v>https://www.marlinconnections.com/</x:v>
      </x:c>
      <x:c r="G796" s="60" t="str">
        <x:v>Pendleton</x:v>
      </x:c>
      <x:c r="H796" s="60" t="str">
        <x:v>South Carolina</x:v>
      </x:c>
      <x:c r="I796" s="60" t="str">
        <x:v>General Contractor</x:v>
      </x:c>
      <x:c r="J796" s="60" t="str">
        <x:v>Jason</x:v>
      </x:c>
      <x:c r="K796" s="60" t="str">
        <x:v>Shannon</x:v>
      </x:c>
      <x:c r="L796" s="60" t="str">
        <x:v>Company Owner</x:v>
      </x:c>
      <x:c r="M796" s="60" t="str">
        <x:v>jshannon@marlinconnections.com</x:v>
      </x:c>
      <x:c r="N796" s="60" t="str">
        <x:v>Verified with BounceBan on 08 Jun 26 12:06</x:v>
      </x:c>
      <x:c r="O796" s="60" t="str">
        <x:v>+1 803 810 2200</x:v>
      </x:c>
      <x:c r="P796" s="60" t="str">
        <x:v>https://www.linkedin.com/in/jason-shannon-740128127</x:v>
      </x:c>
      <x:c r="Q796" s="60" t="str">
        <x:v>11-50</x:v>
      </x:c>
      <x:c r="R796" s="60" t="str">
        <x:v>0-99999</x:v>
      </x:c>
      <x:c r="S796" s="60" t="str"/>
      <x:c r="T796" s="74" t="str">
        <x:v>0</x:v>
      </x:c>
      <x:c r="U796" s="60" t="str"/>
      <x:c r="V796" s="74" t="str">
        <x:v>23</x:v>
      </x:c>
      <x:c r="W796" s="74" t="str">
        <x:v>0</x:v>
      </x:c>
      <x:c r="X796" s="74" t="str">
        <x:v>6</x:v>
      </x:c>
      <x:c r="Y796" s="74" t="str">
        <x:v>5</x:v>
      </x:c>
      <x:c r="Z796" s="74" t="str">
        <x:v>10</x:v>
      </x:c>
      <x:c r="AA796" s="74" t="str">
        <x:v>0</x:v>
      </x:c>
      <x:c r="AB796" s="74" t="str">
        <x:v>0</x:v>
      </x:c>
      <x:c r="AC796" s="74" t="str">
        <x:v>0</x:v>
      </x:c>
      <x:c r="AD796" s="74" t="str">
        <x:v>0</x:v>
      </x:c>
      <x:c r="AE796" s="74" t="str">
        <x:v>0</x:v>
      </x:c>
      <x:c r="AF796" s="74" t="str"/>
      <x:c r="AG796" s="74" t="str">
        <x:v>0</x:v>
      </x:c>
      <x:c r="AH796" s="74" t="str">
        <x:v>1</x:v>
      </x:c>
      <x:c r="AI796" s="74" t="str">
        <x:v>0</x:v>
      </x:c>
      <x:c r="AJ796" s="74" t="str">
        <x:v>0</x:v>
      </x:c>
      <x:c r="AK796" s="74" t="str">
        <x:v>0</x:v>
      </x:c>
      <x:c r="AL796" s="74" t="str">
        <x:v>1</x:v>
      </x:c>
      <x:c r="AM796" s="74" t="str">
        <x:v>1</x:v>
      </x:c>
      <x:c r="AN796" s="74" t="str">
        <x:v>0</x:v>
      </x:c>
      <x:c r="AO796" s="60" t="str">
        <x:v>0</x:v>
      </x:c>
      <x:c r="AP796" s="76" t="str">
        <x:v>Project/gallery proof found; no embedded homepage video found</x:v>
      </x:c>
      <x:c r="AQ796" s="76" t="str">
        <x:v>project/gallery proof; no embedded homepage video detected</x:v>
      </x:c>
      <x:c r="AR796" s="76" t="str">
        <x:v>I found project/gallery proof on Marlin Connections, LLC's site that could be repackaged into short-form ad concepts.</x:v>
      </x:c>
      <x:c r="AS796" s="76" t="str">
        <x:v>project walkthrough with proof milestones</x:v>
      </x:c>
      <x:c r="AT796" s="76" t="str">
        <x:v>Marlin Connections, LLC ad concept</x:v>
      </x:c>
      <x:c r="AU796" s="76" t="str">
        <x:v>Hi Jason — I found project/gallery proof on Marlin Connections, LLC's site that could be repackaged into short-form ad concepts. I mapped a private 15-second project walkthrough with proof milestones for Marlin Connections, LLC using only public brand context—not for publishing, just to show the angle. We build three client-approved video ad concepts in seven days, then turn the winners into fresh variations. No filming day required. Worth sending the private sample?</x:v>
      </x:c>
      <x:c r="AV796" s="76" t="str">
        <x:v>Quick follow-up: the sample angle is a project walkthrough with proof milestones. If it misses the mark, no problem—I won't keep chasing. Should I send it?</x:v>
      </x:c>
      <x:c r="AW796" s="76" t="str">
        <x:v>Hi Jason, Ryan here. I was looking at Marlin Connections, LLC's public marketing and noticed: project/gallery proof found; no embedded homepage video found. I mapped one private project walkthrough with proof milestones as an example. Did I catch you with 30 seconds?</x:v>
      </x:c>
      <x:c r="AX796" s="60" t="str">
        <x:v>https://www.facebook.com/ads/library/?active_status=active&amp;ad_type=all&amp;country=US&amp;q=Marlin%20Connections%2C%20LLC&amp;search_type=keyword_unordered</x:v>
      </x:c>
      <x:c r="AY796" s="60" t="str">
        <x:v>ok:200</x:v>
      </x:c>
      <x:c r="AZ796" s="60" t="n">
        <x:v>46232.722858796296</x:v>
      </x:c>
      <x:c r="BA796" s="60" t="str">
        <x:v>AI Ark SC trades export</x:v>
      </x:c>
      <x:c r="BB796" s="60" t="str">
        <x:v>https://marlinconnections.com | https://www.linkedin.com/company/marlin-connections-llc</x:v>
      </x:c>
      <x:c r="BC796" s="60" t="str"/>
    </x:row>
    <x:row r="797" ht="18" customHeight="1">
      <x:c r="A797" s="70" t="str">
        <x:v>796</x:v>
      </x:c>
      <x:c r="B797" s="70" t="str">
        <x:v>C - Verify</x:v>
      </x:c>
      <x:c r="C797" s="72" t="str">
        <x:v>44</x:v>
      </x:c>
      <x:c r="D797" s="60" t="str">
        <x:v>Keith's House Of Plumbing</x:v>
      </x:c>
      <x:c r="E797" s="60" t="str">
        <x:v>https://keithsplumbing.net</x:v>
      </x:c>
      <x:c r="F797" s="60" t="str">
        <x:v>https://keithsplumbing.net</x:v>
      </x:c>
      <x:c r="G797" s="60" t="str">
        <x:v>Beaufort</x:v>
      </x:c>
      <x:c r="H797" s="60" t="str">
        <x:v>South Carolina</x:v>
      </x:c>
      <x:c r="I797" s="60" t="str">
        <x:v>Plumbing</x:v>
      </x:c>
      <x:c r="J797" s="60" t="str">
        <x:v>Keith's House Of Plumbing</x:v>
      </x:c>
      <x:c r="K797" s="60" t="str"/>
      <x:c r="L797" s="60" t="str">
        <x:v>Owner / decision maker to verify</x:v>
      </x:c>
      <x:c r="M797" s="60" t="str"/>
      <x:c r="N797" s="60" t="str"/>
      <x:c r="O797" s="60" t="str">
        <x:v>(843) 524-7361</x:v>
      </x:c>
      <x:c r="P797" s="60" t="str"/>
      <x:c r="Q797" s="60" t="str"/>
      <x:c r="R797" s="60" t="str"/>
      <x:c r="S797" s="60" t="str">
        <x:v>4.7</x:v>
      </x:c>
      <x:c r="T797" s="74" t="str">
        <x:v>72</x:v>
      </x:c>
      <x:c r="U797" s="60" t="str">
        <x:v>missed_calls, slow_response</x:v>
      </x:c>
      <x:c r="V797" s="74" t="str">
        <x:v>22</x:v>
      </x:c>
      <x:c r="W797" s="74" t="str">
        <x:v>0</x:v>
      </x:c>
      <x:c r="X797" s="74" t="str">
        <x:v>12</x:v>
      </x:c>
      <x:c r="Y797" s="74" t="str">
        <x:v>5</x:v>
      </x:c>
      <x:c r="Z797" s="74" t="str">
        <x:v>5</x:v>
      </x:c>
      <x:c r="AA797" s="74" t="str">
        <x:v>0</x:v>
      </x:c>
      <x:c r="AB797" s="74" t="str">
        <x:v>0</x:v>
      </x:c>
      <x:c r="AC797" s="74" t="str">
        <x:v>0</x:v>
      </x:c>
      <x:c r="AD797" s="74" t="str">
        <x:v>0</x:v>
      </x:c>
      <x:c r="AE797" s="74" t="str">
        <x:v>0</x:v>
      </x:c>
      <x:c r="AF797" s="74" t="str"/>
      <x:c r="AG797" s="74" t="str">
        <x:v>0</x:v>
      </x:c>
      <x:c r="AH797" s="74" t="str">
        <x:v>0</x:v>
      </x:c>
      <x:c r="AI797" s="74" t="str">
        <x:v>0</x:v>
      </x:c>
      <x:c r="AJ797" s="74" t="str">
        <x:v>0</x:v>
      </x:c>
      <x:c r="AK797" s="74" t="str">
        <x:v>1</x:v>
      </x:c>
      <x:c r="AL797" s="74" t="str">
        <x:v>0</x:v>
      </x:c>
      <x:c r="AM797" s="74" t="str">
        <x:v>0</x:v>
      </x:c>
      <x:c r="AN797" s="74" t="str">
        <x:v>0</x:v>
      </x:c>
      <x:c r="AO797" s="60" t="str">
        <x:v>0</x:v>
      </x:c>
      <x:c r="AP797" s="76" t="str">
        <x:v>ICP fit; paid-demand need requires manual verification</x:v>
      </x:c>
      <x:c r="AQ797" s="76" t="str">
        <x:v>visible service offer; no embedded homepage video detected</x:v>
      </x:c>
      <x:c r="AR797" s="76" t="str">
        <x:v>I was reviewing plumbing companies in Beaufort, South Carolina and Keith's House Of Plumbing looked like a strong fit for a creative test.</x:v>
      </x:c>
      <x:c r="AS797" s="76" t="str">
        <x:v>small symptom to prevented-emergency ad</x:v>
      </x:c>
      <x:c r="AT797" s="76" t="str">
        <x:v>Keith's House Of Plumbing ad concept</x:v>
      </x:c>
      <x:c r="AU797" s="76" t="str">
        <x:v>Hi Keith's House Of Plumbing — I was reviewing plumbing companies in Beaufort, South Carolina and Keith's House Of Plumbing looked like a strong fit for a creative test. I mapped a private 15-second small symptom to prevented-emergency ad for Keith's House Of Plumbing using only public brand context—not for publishing, just to show the angle. We build three client-approved video ad concepts in seven days, then turn the winners into fresh variations. No filming day required. Worth sending the private sample?</x:v>
      </x:c>
      <x:c r="AV797" s="76" t="str">
        <x:v>Quick follow-up: the sample angle is a small symptom to prevented-emergency ad. If it misses the mark, no problem—I won't keep chasing. Should I send it?</x:v>
      </x:c>
      <x:c r="AW797" s="76" t="str">
        <x:v>Hi Keith's House Of Plumbing, Ryan here. I was looking at Keith's House Of Plumbing's public marketing and noticed: icp fit; paid-demand need requires manual verification. I mapped one private small symptom to prevented-emergency ad as an example. Did I catch you with 30 seconds?</x:v>
      </x:c>
      <x:c r="AX797" s="60" t="str">
        <x:v>https://www.facebook.com/ads/library/?active_status=active&amp;ad_type=all&amp;country=US&amp;q=Keith%27s%20House%20Of%20Plumbing&amp;search_type=keyword_unordered</x:v>
      </x:c>
      <x:c r="AY797" s="60" t="str">
        <x:v>ok:200</x:v>
      </x:c>
      <x:c r="AZ797" s="60" t="n">
        <x:v>46232.722858796296</x:v>
      </x:c>
      <x:c r="BA797" s="60" t="str">
        <x:v>Google Maps home-services export</x:v>
      </x:c>
      <x:c r="BB797" s="60" t="str">
        <x:v>https://keithsplumbing.net | https://maps.google.com/?cid=6368965909809292932&amp;g_mp=Cidnb29nbGUubWFwcy5wbGFjZXMudjEuUGxhY2VzLlNlYXJjaFRleHQQAhgEIAA</x:v>
      </x:c>
      <x:c r="BC797" s="60" t="str"/>
    </x:row>
    <x:row r="798" ht="18" customHeight="1">
      <x:c r="A798" s="70" t="str">
        <x:v>797</x:v>
      </x:c>
      <x:c r="B798" s="70" t="str">
        <x:v>C - Verify</x:v>
      </x:c>
      <x:c r="C798" s="72" t="str">
        <x:v>44</x:v>
      </x:c>
      <x:c r="D798" s="60" t="str">
        <x:v>Resolution Management Consultants, Inc.</x:v>
      </x:c>
      <x:c r="E798" s="60" t="str">
        <x:v>https://resmgt.com</x:v>
      </x:c>
      <x:c r="F798" s="60" t="str">
        <x:v>https://resmgt.com</x:v>
      </x:c>
      <x:c r="G798" s="60" t="str">
        <x:v>Mount Pleasant</x:v>
      </x:c>
      <x:c r="H798" s="60" t="str">
        <x:v>South Carolina</x:v>
      </x:c>
      <x:c r="I798" s="60" t="str">
        <x:v>General Contractor</x:v>
      </x:c>
      <x:c r="J798" s="60" t="str">
        <x:v>Gerard P.</x:v>
      </x:c>
      <x:c r="K798" s="60" t="str">
        <x:v>0'Keefe</x:v>
      </x:c>
      <x:c r="L798" s="60" t="str">
        <x:v>Owner</x:v>
      </x:c>
      <x:c r="M798" s="60" t="str"/>
      <x:c r="N798" s="60" t="str"/>
      <x:c r="O798" s="60" t="str"/>
      <x:c r="P798" s="60" t="str">
        <x:v>https://www.linkedin.com/in/gerard-p-0-keefe-143540</x:v>
      </x:c>
      <x:c r="Q798" s="60" t="str">
        <x:v>11-50</x:v>
      </x:c>
      <x:c r="R798" s="60" t="str">
        <x:v>1000000-4999999</x:v>
      </x:c>
      <x:c r="S798" s="60" t="str"/>
      <x:c r="T798" s="74" t="str">
        <x:v>0</x:v>
      </x:c>
      <x:c r="U798" s="60" t="str"/>
      <x:c r="V798" s="74" t="str">
        <x:v>27</x:v>
      </x:c>
      <x:c r="W798" s="74" t="str">
        <x:v>0</x:v>
      </x:c>
      <x:c r="X798" s="74" t="str">
        <x:v>10</x:v>
      </x:c>
      <x:c r="Y798" s="74" t="str">
        <x:v>5</x:v>
      </x:c>
      <x:c r="Z798" s="74" t="str">
        <x:v>2</x:v>
      </x:c>
      <x:c r="AA798" s="74" t="str">
        <x:v>0</x:v>
      </x:c>
      <x:c r="AB798" s="74" t="str">
        <x:v>0</x:v>
      </x:c>
      <x:c r="AC798" s="74" t="str">
        <x:v>0</x:v>
      </x:c>
      <x:c r="AD798" s="74" t="str">
        <x:v>0</x:v>
      </x:c>
      <x:c r="AE798" s="74" t="str">
        <x:v>0</x:v>
      </x:c>
      <x:c r="AF798" s="74" t="str"/>
      <x:c r="AG798" s="74" t="str">
        <x:v>0</x:v>
      </x:c>
      <x:c r="AH798" s="74" t="str">
        <x:v>1</x:v>
      </x:c>
      <x:c r="AI798" s="74" t="str">
        <x:v>0</x:v>
      </x:c>
      <x:c r="AJ798" s="74" t="str">
        <x:v>0</x:v>
      </x:c>
      <x:c r="AK798" s="74" t="str">
        <x:v>0</x:v>
      </x:c>
      <x:c r="AL798" s="74" t="str">
        <x:v>0</x:v>
      </x:c>
      <x:c r="AM798" s="74" t="str">
        <x:v>0</x:v>
      </x:c>
      <x:c r="AN798" s="74" t="str">
        <x:v>0</x:v>
      </x:c>
      <x:c r="AO798" s="60" t="str">
        <x:v>2026</x:v>
      </x:c>
      <x:c r="AP798" s="76" t="str">
        <x:v>Project/gallery proof found; no embedded homepage video found</x:v>
      </x:c>
      <x:c r="AQ798" s="76" t="str">
        <x:v>project/gallery proof; no embedded homepage video detected</x:v>
      </x:c>
      <x:c r="AR798" s="76" t="str">
        <x:v>I found project/gallery proof on Resolution Management Consultants, Inc.'s site that could be repackaged into short-form ad concepts.</x:v>
      </x:c>
      <x:c r="AS798" s="76" t="str">
        <x:v>project walkthrough with proof milestones</x:v>
      </x:c>
      <x:c r="AT798" s="76" t="str">
        <x:v>Resolution Management Consultants, Inc. ad concept</x:v>
      </x:c>
      <x:c r="AU798" s="76" t="str">
        <x:v>Hi Gerard P. — I found project/gallery proof on Resolution Management Consultants, Inc.'s site that could be repackaged into short-form ad concepts. I mapped a private 15-second project walkthrough with proof milestones for Resolution Management Consultants, Inc. using only public brand context—not for publishing, just to show the angle. We build three client-approved video ad concepts in seven days, then turn the winners into fresh variations. No filming day required. Worth sending the private sample?</x:v>
      </x:c>
      <x:c r="AV798" s="76" t="str">
        <x:v>Quick follow-up: the sample angle is a project walkthrough with proof milestones. If it misses the mark, no problem—I won't keep chasing. Should I send it?</x:v>
      </x:c>
      <x:c r="AW798" s="76" t="str">
        <x:v>Hi Gerard P., Ryan here. I was looking at Resolution Management Consultants, Inc.'s public marketing and noticed: project/gallery proof found; no embedded homepage video found. I mapped one private project walkthrough with proof milestones as an example. Did I catch you with 30 seconds?</x:v>
      </x:c>
      <x:c r="AX798" s="60" t="str">
        <x:v>https://www.facebook.com/ads/library/?active_status=active&amp;ad_type=all&amp;country=US&amp;q=Resolution%20Management%20Consultants%2C%20Inc.&amp;search_type=keyword_unordered</x:v>
      </x:c>
      <x:c r="AY798" s="60" t="str">
        <x:v>ok:200</x:v>
      </x:c>
      <x:c r="AZ798" s="60" t="n">
        <x:v>46232.722858796296</x:v>
      </x:c>
      <x:c r="BA798" s="60" t="str">
        <x:v>AI Ark SC trades export</x:v>
      </x:c>
      <x:c r="BB798" s="60" t="str">
        <x:v>https://resmgt.com | https://www.linkedin.com/company/resolutionmgt</x:v>
      </x:c>
      <x:c r="BC798" s="60" t="str"/>
    </x:row>
    <x:row r="799" ht="18" customHeight="1">
      <x:c r="A799" s="70" t="str">
        <x:v>798</x:v>
      </x:c>
      <x:c r="B799" s="70" t="str">
        <x:v>C - Verify</x:v>
      </x:c>
      <x:c r="C799" s="72" t="str">
        <x:v>44</x:v>
      </x:c>
      <x:c r="D799" s="60" t="str">
        <x:v>Magnolia Custom Homes LLC</x:v>
      </x:c>
      <x:c r="E799" s="60" t="str">
        <x:v>https://magnoliacustomhomesofsc.com</x:v>
      </x:c>
      <x:c r="F799" s="60" t="str">
        <x:v>https://www.magnoliacustomhomesofsc.com/</x:v>
      </x:c>
      <x:c r="G799" s="60" t="str">
        <x:v>Lexington</x:v>
      </x:c>
      <x:c r="H799" s="60" t="str">
        <x:v>South Carolina</x:v>
      </x:c>
      <x:c r="I799" s="60" t="str">
        <x:v>General Contractor</x:v>
      </x:c>
      <x:c r="J799" s="60" t="str">
        <x:v>Susan</x:v>
      </x:c>
      <x:c r="K799" s="60" t="str">
        <x:v>Walter</x:v>
      </x:c>
      <x:c r="L799" s="60" t="str">
        <x:v>President/Co-Owner</x:v>
      </x:c>
      <x:c r="M799" s="60" t="str">
        <x:v>susan@magnoliacustomhomesofsc.com</x:v>
      </x:c>
      <x:c r="N799" s="60" t="str">
        <x:v>Verified with BounceBan on 08 Jun 26 12:06</x:v>
      </x:c>
      <x:c r="O799" s="60" t="str"/>
      <x:c r="P799" s="60" t="str">
        <x:v>https://www.linkedin.com/in/susan-walter-40578826b</x:v>
      </x:c>
      <x:c r="Q799" s="60" t="str">
        <x:v>11-50</x:v>
      </x:c>
      <x:c r="R799" s="60" t="str">
        <x:v>100000-499999</x:v>
      </x:c>
      <x:c r="S799" s="60" t="str"/>
      <x:c r="T799" s="74" t="str">
        <x:v>0</x:v>
      </x:c>
      <x:c r="U799" s="60" t="str"/>
      <x:c r="V799" s="74" t="str">
        <x:v>23</x:v>
      </x:c>
      <x:c r="W799" s="74" t="str">
        <x:v>0</x:v>
      </x:c>
      <x:c r="X799" s="74" t="str">
        <x:v>10</x:v>
      </x:c>
      <x:c r="Y799" s="74" t="str">
        <x:v>4</x:v>
      </x:c>
      <x:c r="Z799" s="74" t="str">
        <x:v>7</x:v>
      </x:c>
      <x:c r="AA799" s="74" t="str">
        <x:v>0</x:v>
      </x:c>
      <x:c r="AB799" s="74" t="str">
        <x:v>0</x:v>
      </x:c>
      <x:c r="AC799" s="74" t="str">
        <x:v>0</x:v>
      </x:c>
      <x:c r="AD799" s="74" t="str">
        <x:v>0</x:v>
      </x:c>
      <x:c r="AE799" s="74" t="str">
        <x:v>0</x:v>
      </x:c>
      <x:c r="AF799" s="74" t="str"/>
      <x:c r="AG799" s="74" t="str">
        <x:v>0</x:v>
      </x:c>
      <x:c r="AH799" s="74" t="str">
        <x:v>0</x:v>
      </x:c>
      <x:c r="AI799" s="74" t="str">
        <x:v>1</x:v>
      </x:c>
      <x:c r="AJ799" s="74" t="str">
        <x:v>0</x:v>
      </x:c>
      <x:c r="AK799" s="74" t="str">
        <x:v>0</x:v>
      </x:c>
      <x:c r="AL799" s="74" t="str">
        <x:v>0</x:v>
      </x:c>
      <x:c r="AM799" s="74" t="str">
        <x:v>1</x:v>
      </x:c>
      <x:c r="AN799" s="74" t="str">
        <x:v>0</x:v>
      </x:c>
      <x:c r="AO799" s="60" t="str">
        <x:v>2026</x:v>
      </x:c>
      <x:c r="AP799" s="76" t="str">
        <x:v>ICP fit; paid-demand need requires manual verification</x:v>
      </x:c>
      <x:c r="AQ799" s="76" t="str">
        <x:v>testimonials; no embedded homepage video detected</x:v>
      </x:c>
      <x:c r="AR799" s="76" t="str">
        <x:v>I was reviewing general contractor companies in Lexington, South Carolina and Magnolia Custom Homes LLC looked like a strong fit for a creative test.</x:v>
      </x:c>
      <x:c r="AS799" s="76" t="str">
        <x:v>project walkthrough with proof milestones</x:v>
      </x:c>
      <x:c r="AT799" s="76" t="str">
        <x:v>Magnolia Custom Homes LLC ad concept</x:v>
      </x:c>
      <x:c r="AU799" s="76" t="str">
        <x:v>Hi Susan — I was reviewing general contractor companies in Lexington, South Carolina and Magnolia Custom Homes LLC looked like a strong fit for a creative test. I mapped a private 15-second project walkthrough with proof milestones for Magnolia Custom Homes LLC using only public brand context—not for publishing, just to show the angle. We build three client-approved video ad concepts in seven days, then turn the winners into fresh variations. No filming day required. Worth sending the private sample?</x:v>
      </x:c>
      <x:c r="AV799" s="76" t="str">
        <x:v>Quick follow-up: the sample angle is a project walkthrough with proof milestones. If it misses the mark, no problem—I won't keep chasing. Should I send it?</x:v>
      </x:c>
      <x:c r="AW799" s="76" t="str">
        <x:v>Hi Susan, Ryan here. I was looking at Magnolia Custom Homes LLC's public marketing and noticed: icp fit; paid-demand need requires manual verification. I mapped one private project walkthrough with proof milestones as an example. Did I catch you with 30 seconds?</x:v>
      </x:c>
      <x:c r="AX799" s="60" t="str">
        <x:v>https://www.facebook.com/ads/library/?active_status=active&amp;ad_type=all&amp;country=US&amp;q=Magnolia%20Custom%20Homes%20LLC&amp;search_type=keyword_unordered</x:v>
      </x:c>
      <x:c r="AY799" s="60" t="str">
        <x:v>ok:200</x:v>
      </x:c>
      <x:c r="AZ799" s="60" t="n">
        <x:v>46232.722858796296</x:v>
      </x:c>
      <x:c r="BA799" s="60" t="str">
        <x:v>AI Ark SC trades export</x:v>
      </x:c>
      <x:c r="BB799" s="60" t="str">
        <x:v>https://magnoliacustomhomesofsc.com | https://www.linkedin.com/company/magnolia-custom-homes-llc</x:v>
      </x:c>
      <x:c r="BC799" s="60" t="str"/>
    </x:row>
    <x:row r="800" ht="18" customHeight="1">
      <x:c r="A800" s="70" t="str">
        <x:v>799</x:v>
      </x:c>
      <x:c r="B800" s="70" t="str">
        <x:v>C - Verify</x:v>
      </x:c>
      <x:c r="C800" s="72" t="str">
        <x:v>44</x:v>
      </x:c>
      <x:c r="D800" s="60" t="str">
        <x:v>The Cornerstone Company</x:v>
      </x:c>
      <x:c r="E800" s="60" t="str">
        <x:v>https://thecornerstonecompany.net</x:v>
      </x:c>
      <x:c r="F800" s="60" t="str">
        <x:v>https://thecornerstonecompany.net</x:v>
      </x:c>
      <x:c r="G800" s="60" t="str">
        <x:v>Mount Pleasant</x:v>
      </x:c>
      <x:c r="H800" s="60" t="str">
        <x:v>South Carolina</x:v>
      </x:c>
      <x:c r="I800" s="60" t="str">
        <x:v>General Contractor</x:v>
      </x:c>
      <x:c r="J800" s="60" t="str">
        <x:v>Terry</x:v>
      </x:c>
      <x:c r="K800" s="60" t="str">
        <x:v>Weeks</x:v>
      </x:c>
      <x:c r="L800" s="60" t="str">
        <x:v>Owner and Managing Partner</x:v>
      </x:c>
      <x:c r="M800" s="60" t="str"/>
      <x:c r="N800" s="60" t="str"/>
      <x:c r="O800" s="60" t="str">
        <x:v>+1 702 383 3033, +1 843 478 2858</x:v>
      </x:c>
      <x:c r="P800" s="60" t="str">
        <x:v>https://www.linkedin.com/in/terryweeks</x:v>
      </x:c>
      <x:c r="Q800" s="60" t="str">
        <x:v>2-10</x:v>
      </x:c>
      <x:c r="R800" s="60" t="str">
        <x:v>500000-999999</x:v>
      </x:c>
      <x:c r="S800" s="60" t="str"/>
      <x:c r="T800" s="74" t="str">
        <x:v>0</x:v>
      </x:c>
      <x:c r="U800" s="60" t="str"/>
      <x:c r="V800" s="74" t="str">
        <x:v>22</x:v>
      </x:c>
      <x:c r="W800" s="74" t="str">
        <x:v>0</x:v>
      </x:c>
      <x:c r="X800" s="74" t="str">
        <x:v>13</x:v>
      </x:c>
      <x:c r="Y800" s="74" t="str">
        <x:v>4</x:v>
      </x:c>
      <x:c r="Z800" s="74" t="str">
        <x:v>5</x:v>
      </x:c>
      <x:c r="AA800" s="74" t="str">
        <x:v>0</x:v>
      </x:c>
      <x:c r="AB800" s="74" t="str">
        <x:v>0</x:v>
      </x:c>
      <x:c r="AC800" s="74" t="str">
        <x:v>0</x:v>
      </x:c>
      <x:c r="AD800" s="74" t="str">
        <x:v>0</x:v>
      </x:c>
      <x:c r="AE800" s="74" t="str">
        <x:v>0</x:v>
      </x:c>
      <x:c r="AF800" s="74" t="str"/>
      <x:c r="AG800" s="74" t="str">
        <x:v>0</x:v>
      </x:c>
      <x:c r="AH800" s="74" t="str">
        <x:v>0</x:v>
      </x:c>
      <x:c r="AI800" s="74" t="str">
        <x:v>1</x:v>
      </x:c>
      <x:c r="AJ800" s="74" t="str">
        <x:v>0</x:v>
      </x:c>
      <x:c r="AK800" s="74" t="str">
        <x:v>0</x:v>
      </x:c>
      <x:c r="AL800" s="74" t="str">
        <x:v>0</x:v>
      </x:c>
      <x:c r="AM800" s="74" t="str">
        <x:v>0</x:v>
      </x:c>
      <x:c r="AN800" s="74" t="str">
        <x:v>0</x:v>
      </x:c>
      <x:c r="AO800" s="60" t="str">
        <x:v>2020</x:v>
      </x:c>
      <x:c r="AP800" s="76" t="str">
        <x:v>ICP fit; paid-demand need requires manual verification</x:v>
      </x:c>
      <x:c r="AQ800" s="76" t="str">
        <x:v>testimonials; no embedded homepage video detected</x:v>
      </x:c>
      <x:c r="AR800" s="76" t="str">
        <x:v>I was reviewing general contractor companies in Mount Pleasant, South Carolina and The Cornerstone Company looked like a strong fit for a creative test.</x:v>
      </x:c>
      <x:c r="AS800" s="76" t="str">
        <x:v>project walkthrough with proof milestones</x:v>
      </x:c>
      <x:c r="AT800" s="76" t="str">
        <x:v>The Cornerstone Company ad concept</x:v>
      </x:c>
      <x:c r="AU800" s="76" t="str">
        <x:v>Hi Terry — I was reviewing general contractor companies in Mount Pleasant, South Carolina and The Cornerstone Company looked like a strong fit for a creative test. I mapped a private 15-second project walkthrough with proof milestones for The Cornerstone Company using only public brand context—not for publishing, just to show the angle. We build three client-approved video ad concepts in seven days, then turn the winners into fresh variations. No filming day required. Worth sending the private sample?</x:v>
      </x:c>
      <x:c r="AV800" s="76" t="str">
        <x:v>Quick follow-up: the sample angle is a project walkthrough with proof milestones. If it misses the mark, no problem—I won't keep chasing. Should I send it?</x:v>
      </x:c>
      <x:c r="AW800" s="76" t="str">
        <x:v>Hi Terry, Ryan here. I was looking at The Cornerstone Company's public marketing and noticed: icp fit; paid-demand need requires manual verification. I mapped one private project walkthrough with proof milestones as an example. Did I catch you with 30 seconds?</x:v>
      </x:c>
      <x:c r="AX800" s="60" t="str">
        <x:v>https://www.facebook.com/ads/library/?active_status=active&amp;ad_type=all&amp;country=US&amp;q=The%20Cornerstone%20Company&amp;search_type=keyword_unordered</x:v>
      </x:c>
      <x:c r="AY800" s="60" t="str">
        <x:v>ok:200</x:v>
      </x:c>
      <x:c r="AZ800" s="60" t="n">
        <x:v>46232.722858796296</x:v>
      </x:c>
      <x:c r="BA800" s="60" t="str">
        <x:v>AI Ark SC trades export</x:v>
      </x:c>
      <x:c r="BB800" s="60" t="str">
        <x:v>https://thecornerstonecompany.net | https://www.linkedin.com/company/the-cornerstone-company-of-charleston-llc</x:v>
      </x:c>
      <x:c r="BC800" s="60" t="str"/>
    </x:row>
    <x:row r="801" ht="18" customHeight="1">
      <x:c r="A801" s="70" t="str">
        <x:v>800</x:v>
      </x:c>
      <x:c r="B801" s="70" t="str">
        <x:v>C - Verify</x:v>
      </x:c>
      <x:c r="C801" s="72" t="str">
        <x:v>44</x:v>
      </x:c>
      <x:c r="D801" s="60" t="str">
        <x:v>Daughrity &amp; Sons Plumbing</x:v>
      </x:c>
      <x:c r="E801" s="60" t="str">
        <x:v>https://daughrityplumbingco.com</x:v>
      </x:c>
      <x:c r="F801" s="60" t="str">
        <x:v>https://daughrityplumbingco.com</x:v>
      </x:c>
      <x:c r="G801" s="60" t="str">
        <x:v>Sumter</x:v>
      </x:c>
      <x:c r="H801" s="60" t="str">
        <x:v>South Carolina</x:v>
      </x:c>
      <x:c r="I801" s="60" t="str">
        <x:v>Plumbing</x:v>
      </x:c>
      <x:c r="J801" s="60" t="str">
        <x:v>Daughrity &amp; Sons Plumbing</x:v>
      </x:c>
      <x:c r="K801" s="60" t="str"/>
      <x:c r="L801" s="60" t="str">
        <x:v>Owner / decision maker to verify</x:v>
      </x:c>
      <x:c r="M801" s="60" t="str"/>
      <x:c r="N801" s="60" t="str"/>
      <x:c r="O801" s="60" t="str">
        <x:v>(803) 481-8971</x:v>
      </x:c>
      <x:c r="P801" s="60" t="str"/>
      <x:c r="Q801" s="60" t="str"/>
      <x:c r="R801" s="60" t="str"/>
      <x:c r="S801" s="60" t="str">
        <x:v>4.5</x:v>
      </x:c>
      <x:c r="T801" s="74" t="str">
        <x:v>15</x:v>
      </x:c>
      <x:c r="U801" s="60" t="str">
        <x:v>communication</x:v>
      </x:c>
      <x:c r="V801" s="74" t="str">
        <x:v>20</x:v>
      </x:c>
      <x:c r="W801" s="74" t="str">
        <x:v>0</x:v>
      </x:c>
      <x:c r="X801" s="74" t="str">
        <x:v>15</x:v>
      </x:c>
      <x:c r="Y801" s="74" t="str">
        <x:v>4</x:v>
      </x:c>
      <x:c r="Z801" s="74" t="str">
        <x:v>5</x:v>
      </x:c>
      <x:c r="AA801" s="74" t="str">
        <x:v>0</x:v>
      </x:c>
      <x:c r="AB801" s="74" t="str">
        <x:v>0</x:v>
      </x:c>
      <x:c r="AC801" s="74" t="str">
        <x:v>0</x:v>
      </x:c>
      <x:c r="AD801" s="74" t="str">
        <x:v>0</x:v>
      </x:c>
      <x:c r="AE801" s="74" t="str">
        <x:v>0</x:v>
      </x:c>
      <x:c r="AF801" s="74" t="str"/>
      <x:c r="AG801" s="74" t="str">
        <x:v>0</x:v>
      </x:c>
      <x:c r="AH801" s="74" t="str">
        <x:v>0</x:v>
      </x:c>
      <x:c r="AI801" s="74" t="str">
        <x:v>1</x:v>
      </x:c>
      <x:c r="AJ801" s="74" t="str">
        <x:v>0</x:v>
      </x:c>
      <x:c r="AK801" s="74" t="str">
        <x:v>0</x:v>
      </x:c>
      <x:c r="AL801" s="74" t="str">
        <x:v>0</x:v>
      </x:c>
      <x:c r="AM801" s="74" t="str">
        <x:v>0</x:v>
      </x:c>
      <x:c r="AN801" s="74" t="str">
        <x:v>0</x:v>
      </x:c>
      <x:c r="AO801" s="60" t="str">
        <x:v>2022</x:v>
      </x:c>
      <x:c r="AP801" s="76" t="str">
        <x:v>ICP fit; paid-demand need requires manual verification</x:v>
      </x:c>
      <x:c r="AQ801" s="76" t="str">
        <x:v>testimonials; no embedded homepage video detected</x:v>
      </x:c>
      <x:c r="AR801" s="76" t="str">
        <x:v>I was reviewing plumbing companies in Sumter, South Carolina and Daughrity &amp; Sons Plumbing looked like a strong fit for a creative test.</x:v>
      </x:c>
      <x:c r="AS801" s="76" t="str">
        <x:v>small symptom to prevented-emergency ad</x:v>
      </x:c>
      <x:c r="AT801" s="76" t="str">
        <x:v>Daughrity &amp; Sons Plumbing ad concept</x:v>
      </x:c>
      <x:c r="AU801" s="76" t="str">
        <x:v>Hi Daughrity &amp; Sons Plumbing — I was reviewing plumbing companies in Sumter, South Carolina and Daughrity &amp; Sons Plumbing looked like a strong fit for a creative test. I mapped a private 15-second small symptom to prevented-emergency ad for Daughrity &amp; Sons Plumbing using only public brand context—not for publishing, just to show the angle. We build three client-approved video ad concepts in seven days, then turn the winners into fresh variations. No filming day required. Worth sending the private sample?</x:v>
      </x:c>
      <x:c r="AV801" s="76" t="str">
        <x:v>Quick follow-up: the sample angle is a small symptom to prevented-emergency ad. If it misses the mark, no problem—I won't keep chasing. Should I send it?</x:v>
      </x:c>
      <x:c r="AW801" s="76" t="str">
        <x:v>Hi Daughrity &amp; Sons Plumbing, Ryan here. I was looking at Daughrity &amp; Sons Plumbing's public marketing and noticed: icp fit; paid-demand need requires manual verification. I mapped one private small symptom to prevented-emergency ad as an example. Did I catch you with 30 seconds?</x:v>
      </x:c>
      <x:c r="AX801" s="60" t="str">
        <x:v>https://www.facebook.com/ads/library/?active_status=active&amp;ad_type=all&amp;country=US&amp;q=Daughrity%20%26%20Sons%20Plumbing&amp;search_type=keyword_unordered</x:v>
      </x:c>
      <x:c r="AY801" s="60" t="str">
        <x:v>ok:200</x:v>
      </x:c>
      <x:c r="AZ801" s="60" t="n">
        <x:v>46232.722858796296</x:v>
      </x:c>
      <x:c r="BA801" s="60" t="str">
        <x:v>Google Maps home-services export</x:v>
      </x:c>
      <x:c r="BB801" s="60" t="str">
        <x:v>https://daughrityplumbingco.com | https://maps.google.com/?cid=12140657144189403645&amp;g_mp=Cidnb29nbGUubWFwcy5wbGFjZXMudjEuUGxhY2VzLlNlYXJjaFRleHQQAhgEIAA</x:v>
      </x:c>
      <x:c r="BC801" s="60" t="str"/>
    </x:row>
    <x:row r="802" ht="18" customHeight="1">
      <x:c r="A802" s="70" t="str">
        <x:v>801</x:v>
      </x:c>
      <x:c r="B802" s="70" t="str">
        <x:v>C - Verify</x:v>
      </x:c>
      <x:c r="C802" s="72" t="str">
        <x:v>44</x:v>
      </x:c>
      <x:c r="D802" s="60" t="str">
        <x:v>Wilson's Refrigeration &amp; Air</x:v>
      </x:c>
      <x:c r="E802" s="60" t="str">
        <x:v>https://wilsonsair.com</x:v>
      </x:c>
      <x:c r="F802" s="60" t="str">
        <x:v>https://wilsonsair.com</x:v>
      </x:c>
      <x:c r="G802" s="60" t="str">
        <x:v>Columbia</x:v>
      </x:c>
      <x:c r="H802" s="60" t="str">
        <x:v>South Carolina</x:v>
      </x:c>
      <x:c r="I802" s="60" t="str">
        <x:v>HVAC</x:v>
      </x:c>
      <x:c r="J802" s="60" t="str">
        <x:v>Wilson's Refrigeration &amp; Air</x:v>
      </x:c>
      <x:c r="K802" s="60" t="str"/>
      <x:c r="L802" s="60" t="str">
        <x:v>Owner / decision maker to verify</x:v>
      </x:c>
      <x:c r="M802" s="60" t="str"/>
      <x:c r="N802" s="60" t="str"/>
      <x:c r="O802" s="60" t="str">
        <x:v>(803) 276-9685</x:v>
      </x:c>
      <x:c r="P802" s="60" t="str"/>
      <x:c r="Q802" s="60" t="str"/>
      <x:c r="R802" s="60" t="str"/>
      <x:c r="S802" s="60" t="str">
        <x:v>4.9</x:v>
      </x:c>
      <x:c r="T802" s="74" t="str">
        <x:v>329</x:v>
      </x:c>
      <x:c r="U802" s="60" t="str"/>
      <x:c r="V802" s="74" t="str">
        <x:v>29</x:v>
      </x:c>
      <x:c r="W802" s="74" t="str">
        <x:v>0</x:v>
      </x:c>
      <x:c r="X802" s="74" t="str">
        <x:v>10</x:v>
      </x:c>
      <x:c r="Y802" s="74" t="str">
        <x:v>3</x:v>
      </x:c>
      <x:c r="Z802" s="74" t="str">
        <x:v>5</x:v>
      </x:c>
      <x:c r="AA802" s="74" t="str">
        <x:v>0</x:v>
      </x:c>
      <x:c r="AB802" s="74" t="str">
        <x:v>0</x:v>
      </x:c>
      <x:c r="AC802" s="74" t="str">
        <x:v>0</x:v>
      </x:c>
      <x:c r="AD802" s="74" t="str">
        <x:v>0</x:v>
      </x:c>
      <x:c r="AE802" s="74" t="str">
        <x:v>0</x:v>
      </x:c>
      <x:c r="AF802" s="74" t="str"/>
      <x:c r="AG802" s="74" t="str">
        <x:v>0</x:v>
      </x:c>
      <x:c r="AH802" s="74" t="str">
        <x:v>0</x:v>
      </x:c>
      <x:c r="AI802" s="74" t="str">
        <x:v>0</x:v>
      </x:c>
      <x:c r="AJ802" s="74" t="str">
        <x:v>0</x:v>
      </x:c>
      <x:c r="AK802" s="74" t="str">
        <x:v>0</x:v>
      </x:c>
      <x:c r="AL802" s="74" t="str">
        <x:v>0</x:v>
      </x:c>
      <x:c r="AM802" s="74" t="str">
        <x:v>0</x:v>
      </x:c>
      <x:c r="AN802" s="74" t="str">
        <x:v>0</x:v>
      </x:c>
      <x:c r="AO802" s="60" t="str">
        <x:v>0</x:v>
      </x:c>
      <x:c r="AP802" s="76" t="str">
        <x:v>329 Google reviews; no embedded homepage video found</x:v>
      </x:c>
      <x:c r="AQ802" s="76" t="str">
        <x:v>no embedded homepage video detected</x:v>
      </x:c>
      <x:c r="AR802" s="76" t="str">
        <x:v>Wilson's Refrigeration &amp; Air has 329 Google reviews—strong proof that could be turned into short-form ad concepts.</x:v>
      </x:c>
      <x:c r="AS802" s="76" t="str">
        <x:v>no-cool-call to same-day comfort ad</x:v>
      </x:c>
      <x:c r="AT802" s="76" t="str">
        <x:v>Wilson's Refrigeration &amp; Air ad concept</x:v>
      </x:c>
      <x:c r="AU802" s="76" t="str">
        <x:v>Hi Wilson's Refrigeration &amp; Air — Wilson's Refrigeration &amp; Air has 329 Google reviews—strong proof that could be turned into short-form ad concepts. I mapped a private 15-second no-cool-call to same-day comfort ad for Wilson's Refrigeration &amp; Air using only public brand context—not for publishing, just to show the angle. We build three client-approved video ad concepts in seven days, then turn the winners into fresh variations. No filming day required. Worth sending the private sample?</x:v>
      </x:c>
      <x:c r="AV802" s="76" t="str">
        <x:v>Quick follow-up: the sample angle is a no-cool-call to same-day comfort ad. If it misses the mark, no problem—I won't keep chasing. Should I send it?</x:v>
      </x:c>
      <x:c r="AW802" s="76" t="str">
        <x:v>Hi Wilson's Refrigeration &amp; Air, Ryan here. I was looking at Wilson's Refrigeration &amp; Air's public marketing and noticed: 329 google reviews; no embedded homepage video found. I mapped one private no-cool-call to same-day comfort ad as an example. Did I catch you with 30 seconds?</x:v>
      </x:c>
      <x:c r="AX802" s="60" t="str">
        <x:v>https://www.facebook.com/ads/library/?active_status=active&amp;ad_type=all&amp;country=US&amp;q=Wilson%27s%20Refrigeration%20%26%20Air&amp;search_type=keyword_unordered</x:v>
      </x:c>
      <x:c r="AY802" s="60" t="str">
        <x:v>http:403</x:v>
      </x:c>
      <x:c r="AZ802" s="60" t="n">
        <x:v>46232.722858796296</x:v>
      </x:c>
      <x:c r="BA802" s="60" t="str">
        <x:v>Google Maps home-services export</x:v>
      </x:c>
      <x:c r="BB802" s="60" t="str">
        <x:v>https://maps.google.com/?cid=14259100262910849847&amp;g_mp=Cidnb29nbGUubWFwcy5wbGFjZXMudjEuUGxhY2VzLlNlYXJjaFRleHQQAhgEIAA | https://wilsonsair.com</x:v>
      </x:c>
      <x:c r="BC802" s="60" t="str"/>
    </x:row>
    <x:row r="803" ht="18" customHeight="1">
      <x:c r="A803" s="70" t="str">
        <x:v>802</x:v>
      </x:c>
      <x:c r="B803" s="70" t="str">
        <x:v>C - Verify</x:v>
      </x:c>
      <x:c r="C803" s="72" t="str">
        <x:v>44</x:v>
      </x:c>
      <x:c r="D803" s="60" t="str">
        <x:v>Roof Boost</x:v>
      </x:c>
      <x:c r="E803" s="60" t="str">
        <x:v>https://roofboost.com</x:v>
      </x:c>
      <x:c r="F803" s="60" t="str">
        <x:v>https://roofboost.com</x:v>
      </x:c>
      <x:c r="G803" s="60" t="str">
        <x:v>Spartanburg</x:v>
      </x:c>
      <x:c r="H803" s="60" t="str">
        <x:v>South Carolina</x:v>
      </x:c>
      <x:c r="I803" s="60" t="str">
        <x:v>Roofing</x:v>
      </x:c>
      <x:c r="J803" s="60" t="str">
        <x:v>Roof Boost</x:v>
      </x:c>
      <x:c r="K803" s="60" t="str"/>
      <x:c r="L803" s="60" t="str">
        <x:v>Owner / decision maker to verify</x:v>
      </x:c>
      <x:c r="M803" s="60" t="str"/>
      <x:c r="N803" s="60" t="str"/>
      <x:c r="O803" s="60" t="str">
        <x:v>(864) 384-3573</x:v>
      </x:c>
      <x:c r="P803" s="60" t="str"/>
      <x:c r="Q803" s="60" t="str"/>
      <x:c r="R803" s="60" t="str"/>
      <x:c r="S803" s="60" t="str">
        <x:v>5</x:v>
      </x:c>
      <x:c r="T803" s="74" t="str">
        <x:v>186</x:v>
      </x:c>
      <x:c r="U803" s="60" t="str"/>
      <x:c r="V803" s="74" t="str">
        <x:v>29</x:v>
      </x:c>
      <x:c r="W803" s="74" t="str">
        <x:v>0</x:v>
      </x:c>
      <x:c r="X803" s="74" t="str">
        <x:v>10</x:v>
      </x:c>
      <x:c r="Y803" s="74" t="str">
        <x:v>3</x:v>
      </x:c>
      <x:c r="Z803" s="74" t="str">
        <x:v>5</x:v>
      </x:c>
      <x:c r="AA803" s="74" t="str">
        <x:v>0</x:v>
      </x:c>
      <x:c r="AB803" s="74" t="str">
        <x:v>0</x:v>
      </x:c>
      <x:c r="AC803" s="74" t="str">
        <x:v>0</x:v>
      </x:c>
      <x:c r="AD803" s="74" t="str">
        <x:v>0</x:v>
      </x:c>
      <x:c r="AE803" s="74" t="str">
        <x:v>0</x:v>
      </x:c>
      <x:c r="AF803" s="74" t="str"/>
      <x:c r="AG803" s="74" t="str">
        <x:v>0</x:v>
      </x:c>
      <x:c r="AH803" s="74" t="str">
        <x:v>0</x:v>
      </x:c>
      <x:c r="AI803" s="74" t="str">
        <x:v>0</x:v>
      </x:c>
      <x:c r="AJ803" s="74" t="str">
        <x:v>0</x:v>
      </x:c>
      <x:c r="AK803" s="74" t="str">
        <x:v>0</x:v>
      </x:c>
      <x:c r="AL803" s="74" t="str">
        <x:v>0</x:v>
      </x:c>
      <x:c r="AM803" s="74" t="str">
        <x:v>0</x:v>
      </x:c>
      <x:c r="AN803" s="74" t="str">
        <x:v>0</x:v>
      </x:c>
      <x:c r="AO803" s="60" t="str">
        <x:v>0</x:v>
      </x:c>
      <x:c r="AP803" s="76" t="str">
        <x:v>186 Google reviews; no embedded homepage video found</x:v>
      </x:c>
      <x:c r="AQ803" s="76" t="str">
        <x:v>no embedded homepage video detected</x:v>
      </x:c>
      <x:c r="AR803" s="76" t="str">
        <x:v>Roof Boost has 186 Google reviews—strong proof that could be turned into short-form ad concepts.</x:v>
      </x:c>
      <x:c r="AS803" s="76" t="str">
        <x:v>storm-to-inspection before/after ad</x:v>
      </x:c>
      <x:c r="AT803" s="76" t="str">
        <x:v>Roof Boost ad concept</x:v>
      </x:c>
      <x:c r="AU803" s="76" t="str">
        <x:v>Hi Roof Boost — Roof Boost has 186 Google reviews—strong proof that could be turned into short-form ad concepts. I mapped a private 15-second storm-to-inspection before/after ad for Roof Boost using only public brand context—not for publishing, just to show the angle. We build three client-approved video ad concepts in seven days, then turn the winners into fresh variations. No filming day required. Worth sending the private sample?</x:v>
      </x:c>
      <x:c r="AV803" s="76" t="str">
        <x:v>Quick follow-up: the sample angle is a storm-to-inspection before/after ad. If it misses the mark, no problem—I won't keep chasing. Should I send it?</x:v>
      </x:c>
      <x:c r="AW803" s="76" t="str">
        <x:v>Hi Roof Boost, Ryan here. I was looking at Roof Boost's public marketing and noticed: 186 google reviews; no embedded homepage video found. I mapped one private storm-to-inspection before/after ad as an example. Did I catch you with 30 seconds?</x:v>
      </x:c>
      <x:c r="AX803" s="60" t="str">
        <x:v>https://www.facebook.com/ads/library/?active_status=active&amp;ad_type=all&amp;country=US&amp;q=Roof%20Boost&amp;search_type=keyword_unordered</x:v>
      </x:c>
      <x:c r="AY803" s="60" t="str">
        <x:v>http:500</x:v>
      </x:c>
      <x:c r="AZ803" s="60" t="n">
        <x:v>46232.722858796296</x:v>
      </x:c>
      <x:c r="BA803" s="60" t="str">
        <x:v>Google Maps home-services export</x:v>
      </x:c>
      <x:c r="BB803" s="60" t="str">
        <x:v>https://maps.google.com/?cid=14037031668843587090&amp;g_mp=Cidnb29nbGUubWFwcy5wbGFjZXMudjEuUGxhY2VzLlNlYXJjaFRleHQQAhgEIAA | https://roofboost.com</x:v>
      </x:c>
      <x:c r="BC803" s="60" t="str"/>
    </x:row>
    <x:row r="804" ht="18" customHeight="1">
      <x:c r="A804" s="70" t="str">
        <x:v>803</x:v>
      </x:c>
      <x:c r="B804" s="70" t="str">
        <x:v>C - Verify</x:v>
      </x:c>
      <x:c r="C804" s="72" t="str">
        <x:v>44</x:v>
      </x:c>
      <x:c r="D804" s="60" t="str">
        <x:v>Heights Solutions LLC</x:v>
      </x:c>
      <x:c r="E804" s="60" t="str">
        <x:v>https://heightsroof.com</x:v>
      </x:c>
      <x:c r="F804" s="60" t="str">
        <x:v>https://heightsroof.com</x:v>
      </x:c>
      <x:c r="G804" s="60" t="str">
        <x:v>Greenville</x:v>
      </x:c>
      <x:c r="H804" s="60" t="str">
        <x:v>South Carolina</x:v>
      </x:c>
      <x:c r="I804" s="60" t="str">
        <x:v>Roofing</x:v>
      </x:c>
      <x:c r="J804" s="60" t="str">
        <x:v>Heights Solutions LLC</x:v>
      </x:c>
      <x:c r="K804" s="60" t="str"/>
      <x:c r="L804" s="60" t="str">
        <x:v>Owner / decision maker to verify</x:v>
      </x:c>
      <x:c r="M804" s="60" t="str"/>
      <x:c r="N804" s="60" t="str"/>
      <x:c r="O804" s="60" t="str">
        <x:v>(864) 283-1486</x:v>
      </x:c>
      <x:c r="P804" s="60" t="str"/>
      <x:c r="Q804" s="60" t="str"/>
      <x:c r="R804" s="60" t="str"/>
      <x:c r="S804" s="60" t="str">
        <x:v>5</x:v>
      </x:c>
      <x:c r="T804" s="74" t="str">
        <x:v>116</x:v>
      </x:c>
      <x:c r="U804" s="60" t="str"/>
      <x:c r="V804" s="74" t="str">
        <x:v>29</x:v>
      </x:c>
      <x:c r="W804" s="74" t="str">
        <x:v>0</x:v>
      </x:c>
      <x:c r="X804" s="74" t="str">
        <x:v>10</x:v>
      </x:c>
      <x:c r="Y804" s="74" t="str">
        <x:v>3</x:v>
      </x:c>
      <x:c r="Z804" s="74" t="str">
        <x:v>5</x:v>
      </x:c>
      <x:c r="AA804" s="74" t="str">
        <x:v>0</x:v>
      </x:c>
      <x:c r="AB804" s="74" t="str">
        <x:v>0</x:v>
      </x:c>
      <x:c r="AC804" s="74" t="str">
        <x:v>0</x:v>
      </x:c>
      <x:c r="AD804" s="74" t="str">
        <x:v>0</x:v>
      </x:c>
      <x:c r="AE804" s="74" t="str">
        <x:v>0</x:v>
      </x:c>
      <x:c r="AF804" s="74" t="str"/>
      <x:c r="AG804" s="74" t="str">
        <x:v>0</x:v>
      </x:c>
      <x:c r="AH804" s="74" t="str">
        <x:v>0</x:v>
      </x:c>
      <x:c r="AI804" s="74" t="str">
        <x:v>0</x:v>
      </x:c>
      <x:c r="AJ804" s="74" t="str">
        <x:v>0</x:v>
      </x:c>
      <x:c r="AK804" s="74" t="str">
        <x:v>0</x:v>
      </x:c>
      <x:c r="AL804" s="74" t="str">
        <x:v>0</x:v>
      </x:c>
      <x:c r="AM804" s="74" t="str">
        <x:v>0</x:v>
      </x:c>
      <x:c r="AN804" s="74" t="str">
        <x:v>0</x:v>
      </x:c>
      <x:c r="AO804" s="60" t="str">
        <x:v>0</x:v>
      </x:c>
      <x:c r="AP804" s="76" t="str">
        <x:v>116 Google reviews; no embedded homepage video found</x:v>
      </x:c>
      <x:c r="AQ804" s="76" t="str">
        <x:v>no embedded homepage video detected</x:v>
      </x:c>
      <x:c r="AR804" s="76" t="str">
        <x:v>Heights Solutions LLC has 116 Google reviews—strong proof that could be turned into short-form ad concepts.</x:v>
      </x:c>
      <x:c r="AS804" s="76" t="str">
        <x:v>storm-to-inspection before/after ad</x:v>
      </x:c>
      <x:c r="AT804" s="76" t="str">
        <x:v>Heights Solutions LLC ad concept</x:v>
      </x:c>
      <x:c r="AU804" s="76" t="str">
        <x:v>Hi Heights Solutions LLC — Heights Solutions LLC has 116 Google reviews—strong proof that could be turned into short-form ad concepts. I mapped a private 15-second storm-to-inspection before/after ad for Heights Solutions LLC using only public brand context—not for publishing, just to show the angle. We build three client-approved video ad concepts in seven days, then turn the winners into fresh variations. No filming day required. Worth sending the private sample?</x:v>
      </x:c>
      <x:c r="AV804" s="76" t="str">
        <x:v>Quick follow-up: the sample angle is a storm-to-inspection before/after ad. If it misses the mark, no problem—I won't keep chasing. Should I send it?</x:v>
      </x:c>
      <x:c r="AW804" s="76" t="str">
        <x:v>Hi Heights Solutions LLC, Ryan here. I was looking at Heights Solutions LLC's public marketing and noticed: 116 google reviews; no embedded homepage video found. I mapped one private storm-to-inspection before/after ad as an example. Did I catch you with 30 seconds?</x:v>
      </x:c>
      <x:c r="AX804" s="60" t="str">
        <x:v>https://www.facebook.com/ads/library/?active_status=active&amp;ad_type=all&amp;country=US&amp;q=Heights%20Solutions%20LLC&amp;search_type=keyword_unordered</x:v>
      </x:c>
      <x:c r="AY804" s="60" t="str">
        <x:v>http:404</x:v>
      </x:c>
      <x:c r="AZ804" s="60" t="n">
        <x:v>46232.722858796296</x:v>
      </x:c>
      <x:c r="BA804" s="60" t="str">
        <x:v>Google Maps home-services export</x:v>
      </x:c>
      <x:c r="BB804" s="60" t="str">
        <x:v>https://heightsroof.com | https://maps.google.com/?cid=2579156499791154398&amp;g_mp=Cidnb29nbGUubWFwcy5wbGFjZXMudjEuUGxhY2VzLlNlYXJjaFRleHQQAhgEIAA</x:v>
      </x:c>
      <x:c r="BC804" s="60" t="str"/>
    </x:row>
    <x:row r="805" ht="18" customHeight="1">
      <x:c r="A805" s="70" t="str">
        <x:v>804</x:v>
      </x:c>
      <x:c r="B805" s="70" t="str">
        <x:v>C - Verify</x:v>
      </x:c>
      <x:c r="C805" s="72" t="str">
        <x:v>44</x:v>
      </x:c>
      <x:c r="D805" s="60" t="str">
        <x:v>Tritop Roofing and Restoration</x:v>
      </x:c>
      <x:c r="E805" s="60" t="str">
        <x:v>https://tritoproofingandrestoration.com</x:v>
      </x:c>
      <x:c r="F805" s="60" t="str">
        <x:v>https://tritoproofingandrestoration.com</x:v>
      </x:c>
      <x:c r="G805" s="60" t="str">
        <x:v>Greenville</x:v>
      </x:c>
      <x:c r="H805" s="60" t="str">
        <x:v>South Carolina</x:v>
      </x:c>
      <x:c r="I805" s="60" t="str">
        <x:v>Roofing</x:v>
      </x:c>
      <x:c r="J805" s="60" t="str">
        <x:v>Tritop Roofing and Restoration</x:v>
      </x:c>
      <x:c r="K805" s="60" t="str"/>
      <x:c r="L805" s="60" t="str">
        <x:v>Owner / decision maker to verify</x:v>
      </x:c>
      <x:c r="M805" s="60" t="str"/>
      <x:c r="N805" s="60" t="str"/>
      <x:c r="O805" s="60" t="str">
        <x:v>(864) 275-9183</x:v>
      </x:c>
      <x:c r="P805" s="60" t="str"/>
      <x:c r="Q805" s="60" t="str"/>
      <x:c r="R805" s="60" t="str"/>
      <x:c r="S805" s="60" t="str">
        <x:v>5</x:v>
      </x:c>
      <x:c r="T805" s="74" t="str">
        <x:v>92</x:v>
      </x:c>
      <x:c r="U805" s="60" t="str"/>
      <x:c r="V805" s="74" t="str">
        <x:v>27</x:v>
      </x:c>
      <x:c r="W805" s="74" t="str">
        <x:v>0</x:v>
      </x:c>
      <x:c r="X805" s="74" t="str">
        <x:v>10</x:v>
      </x:c>
      <x:c r="Y805" s="74" t="str">
        <x:v>2</x:v>
      </x:c>
      <x:c r="Z805" s="74" t="str">
        <x:v>5</x:v>
      </x:c>
      <x:c r="AA805" s="74" t="str">
        <x:v>0</x:v>
      </x:c>
      <x:c r="AB805" s="74" t="str">
        <x:v>0</x:v>
      </x:c>
      <x:c r="AC805" s="74" t="str">
        <x:v>0</x:v>
      </x:c>
      <x:c r="AD805" s="74" t="str">
        <x:v>0</x:v>
      </x:c>
      <x:c r="AE805" s="74" t="str">
        <x:v>0</x:v>
      </x:c>
      <x:c r="AF805" s="74" t="str"/>
      <x:c r="AG805" s="74" t="str">
        <x:v>0</x:v>
      </x:c>
      <x:c r="AH805" s="74" t="str">
        <x:v>0</x:v>
      </x:c>
      <x:c r="AI805" s="74" t="str">
        <x:v>0</x:v>
      </x:c>
      <x:c r="AJ805" s="74" t="str">
        <x:v>0</x:v>
      </x:c>
      <x:c r="AK805" s="74" t="str">
        <x:v>0</x:v>
      </x:c>
      <x:c r="AL805" s="74" t="str">
        <x:v>0</x:v>
      </x:c>
      <x:c r="AM805" s="74" t="str">
        <x:v>0</x:v>
      </x:c>
      <x:c r="AN805" s="74" t="str">
        <x:v>0</x:v>
      </x:c>
      <x:c r="AO805" s="60" t="str">
        <x:v>0</x:v>
      </x:c>
      <x:c r="AP805" s="76" t="str">
        <x:v>ICP fit; paid-demand need requires manual verification</x:v>
      </x:c>
      <x:c r="AQ805" s="76" t="str">
        <x:v>no embedded homepage video detected</x:v>
      </x:c>
      <x:c r="AR805" s="76" t="str">
        <x:v>I was reviewing roofing companies in Greenville, South Carolina and Tritop Roofing and Restoration looked like a strong fit for a creative test.</x:v>
      </x:c>
      <x:c r="AS805" s="76" t="str">
        <x:v>storm-to-inspection before/after ad</x:v>
      </x:c>
      <x:c r="AT805" s="76" t="str">
        <x:v>Tritop Roofing and Restoration ad concept</x:v>
      </x:c>
      <x:c r="AU805" s="76" t="str">
        <x:v>Hi Tritop Roofing and Restoration — I was reviewing roofing companies in Greenville, South Carolina and Tritop Roofing and Restoration looked like a strong fit for a creative test. I mapped a private 15-second storm-to-inspection before/after ad for Tritop Roofing and Restoration using only public brand context—not for publishing, just to show the angle. We build three client-approved video ad concepts in seven days, then turn the winners into fresh variations. No filming day required. Worth sending the private sample?</x:v>
      </x:c>
      <x:c r="AV805" s="76" t="str">
        <x:v>Quick follow-up: the sample angle is a storm-to-inspection before/after ad. If it misses the mark, no problem—I won't keep chasing. Should I send it?</x:v>
      </x:c>
      <x:c r="AW805" s="76" t="str">
        <x:v>Hi Tritop Roofing and Restoration, Ryan here. I was looking at Tritop Roofing and Restoration's public marketing and noticed: icp fit; paid-demand need requires manual verification. I mapped one private storm-to-inspection before/after ad as an example. Did I catch you with 30 seconds?</x:v>
      </x:c>
      <x:c r="AX805" s="60" t="str">
        <x:v>https://www.facebook.com/ads/library/?active_status=active&amp;ad_type=all&amp;country=US&amp;q=Tritop%20Roofing%20and%20Restoration&amp;search_type=keyword_unordered</x:v>
      </x:c>
      <x:c r="AY805" s="60" t="str">
        <x:v>ok:200</x:v>
      </x:c>
      <x:c r="AZ805" s="60" t="n">
        <x:v>46232.722858796296</x:v>
      </x:c>
      <x:c r="BA805" s="60" t="str">
        <x:v>Google Maps home-services export</x:v>
      </x:c>
      <x:c r="BB805" s="60" t="str">
        <x:v>https://maps.google.com/?cid=5316928822217780267&amp;g_mp=Cidnb29nbGUubWFwcy5wbGFjZXMudjEuUGxhY2VzLlNlYXJjaFRleHQQAhgEIAA | https://tritoproofingandrestoration.com</x:v>
      </x:c>
      <x:c r="BC805" s="60" t="str"/>
    </x:row>
    <x:row r="806" ht="18" customHeight="1">
      <x:c r="A806" s="70" t="str">
        <x:v>805</x:v>
      </x:c>
      <x:c r="B806" s="70" t="str">
        <x:v>C - Verify</x:v>
      </x:c>
      <x:c r="C806" s="72" t="str">
        <x:v>44</x:v>
      </x:c>
      <x:c r="D806" s="60" t="str">
        <x:v>Southern Restoration, Inc.</x:v>
      </x:c>
      <x:c r="E806" s="60" t="str">
        <x:v>https://southernrestorationinc.com</x:v>
      </x:c>
      <x:c r="F806" s="60" t="str">
        <x:v>https://southernrestorationinc.com</x:v>
      </x:c>
      <x:c r="G806" s="60" t="str">
        <x:v>Rock Hill</x:v>
      </x:c>
      <x:c r="H806" s="60" t="str">
        <x:v>South Carolina</x:v>
      </x:c>
      <x:c r="I806" s="60" t="str">
        <x:v>Roofing</x:v>
      </x:c>
      <x:c r="J806" s="60" t="str">
        <x:v>Southern Restoration, Inc.</x:v>
      </x:c>
      <x:c r="K806" s="60" t="str"/>
      <x:c r="L806" s="60" t="str">
        <x:v>Owner / decision maker to verify</x:v>
      </x:c>
      <x:c r="M806" s="60" t="str"/>
      <x:c r="N806" s="60" t="str"/>
      <x:c r="O806" s="60" t="str">
        <x:v>(803) 866-7663</x:v>
      </x:c>
      <x:c r="P806" s="60" t="str"/>
      <x:c r="Q806" s="60" t="str"/>
      <x:c r="R806" s="60" t="str"/>
      <x:c r="S806" s="60" t="str">
        <x:v>4.4</x:v>
      </x:c>
      <x:c r="T806" s="74" t="str">
        <x:v>41</x:v>
      </x:c>
      <x:c r="U806" s="60" t="str"/>
      <x:c r="V806" s="74" t="str">
        <x:v>27</x:v>
      </x:c>
      <x:c r="W806" s="74" t="str">
        <x:v>0</x:v>
      </x:c>
      <x:c r="X806" s="74" t="str">
        <x:v>10</x:v>
      </x:c>
      <x:c r="Y806" s="74" t="str">
        <x:v>2</x:v>
      </x:c>
      <x:c r="Z806" s="74" t="str">
        <x:v>5</x:v>
      </x:c>
      <x:c r="AA806" s="74" t="str">
        <x:v>0</x:v>
      </x:c>
      <x:c r="AB806" s="74" t="str">
        <x:v>0</x:v>
      </x:c>
      <x:c r="AC806" s="74" t="str">
        <x:v>0</x:v>
      </x:c>
      <x:c r="AD806" s="74" t="str">
        <x:v>0</x:v>
      </x:c>
      <x:c r="AE806" s="74" t="str">
        <x:v>0</x:v>
      </x:c>
      <x:c r="AF806" s="74" t="str"/>
      <x:c r="AG806" s="74" t="str">
        <x:v>0</x:v>
      </x:c>
      <x:c r="AH806" s="74" t="str">
        <x:v>0</x:v>
      </x:c>
      <x:c r="AI806" s="74" t="str">
        <x:v>0</x:v>
      </x:c>
      <x:c r="AJ806" s="74" t="str">
        <x:v>0</x:v>
      </x:c>
      <x:c r="AK806" s="74" t="str">
        <x:v>0</x:v>
      </x:c>
      <x:c r="AL806" s="74" t="str">
        <x:v>0</x:v>
      </x:c>
      <x:c r="AM806" s="74" t="str">
        <x:v>0</x:v>
      </x:c>
      <x:c r="AN806" s="74" t="str">
        <x:v>0</x:v>
      </x:c>
      <x:c r="AO806" s="60" t="str">
        <x:v>2026</x:v>
      </x:c>
      <x:c r="AP806" s="76" t="str">
        <x:v>ICP fit; paid-demand need requires manual verification</x:v>
      </x:c>
      <x:c r="AQ806" s="76" t="str">
        <x:v>no embedded homepage video detected</x:v>
      </x:c>
      <x:c r="AR806" s="76" t="str">
        <x:v>I was reviewing roofing companies in Rock Hill, South Carolina and Southern Restoration, Inc. looked like a strong fit for a creative test.</x:v>
      </x:c>
      <x:c r="AS806" s="76" t="str">
        <x:v>storm-to-inspection before/after ad</x:v>
      </x:c>
      <x:c r="AT806" s="76" t="str">
        <x:v>Southern Restoration, Inc. ad concept</x:v>
      </x:c>
      <x:c r="AU806" s="76" t="str">
        <x:v>Hi Southern Restoration, Inc. — I was reviewing roofing companies in Rock Hill, South Carolina and Southern Restoration, Inc. looked like a strong fit for a creative test. I mapped a private 15-second storm-to-inspection before/after ad for Southern Restoration, Inc. using only public brand context—not for publishing, just to show the angle. We build three client-approved video ad concepts in seven days, then turn the winners into fresh variations. No filming day required. Worth sending the private sample?</x:v>
      </x:c>
      <x:c r="AV806" s="76" t="str">
        <x:v>Quick follow-up: the sample angle is a storm-to-inspection before/after ad. If it misses the mark, no problem—I won't keep chasing. Should I send it?</x:v>
      </x:c>
      <x:c r="AW806" s="76" t="str">
        <x:v>Hi Southern Restoration, Inc., Ryan here. I was looking at Southern Restoration, Inc.'s public marketing and noticed: icp fit; paid-demand need requires manual verification. I mapped one private storm-to-inspection before/after ad as an example. Did I catch you with 30 seconds?</x:v>
      </x:c>
      <x:c r="AX806" s="60" t="str">
        <x:v>https://www.facebook.com/ads/library/?active_status=active&amp;ad_type=all&amp;country=US&amp;q=Southern%20Restoration%2C%20Inc.&amp;search_type=keyword_unordered</x:v>
      </x:c>
      <x:c r="AY806" s="60" t="str">
        <x:v>ok:200</x:v>
      </x:c>
      <x:c r="AZ806" s="60" t="n">
        <x:v>46232.722858796296</x:v>
      </x:c>
      <x:c r="BA806" s="60" t="str">
        <x:v>Google Maps home-services export</x:v>
      </x:c>
      <x:c r="BB806" s="60" t="str">
        <x:v>https://maps.google.com/?cid=16783410045073670923&amp;g_mp=Cidnb29nbGUubWFwcy5wbGFjZXMudjEuUGxhY2VzLlNlYXJjaFRleHQQAhgEIAA | https://southernrestorationinc.com</x:v>
      </x:c>
      <x:c r="BC806" s="60" t="str"/>
    </x:row>
    <x:row r="807" ht="18" customHeight="1">
      <x:c r="A807" s="70" t="str">
        <x:v>806</x:v>
      </x:c>
      <x:c r="B807" s="70" t="str">
        <x:v>C - Verify</x:v>
      </x:c>
      <x:c r="C807" s="72" t="str">
        <x:v>44</x:v>
      </x:c>
      <x:c r="D807" s="60" t="str">
        <x:v>Southern Custom Construction and Roofing (SCCR)</x:v>
      </x:c>
      <x:c r="E807" s="60" t="str">
        <x:v>https://sccroofing.com</x:v>
      </x:c>
      <x:c r="F807" s="60" t="str">
        <x:v>https://sccroofing.com</x:v>
      </x:c>
      <x:c r="G807" s="60" t="str">
        <x:v>Columbia</x:v>
      </x:c>
      <x:c r="H807" s="60" t="str">
        <x:v>South Carolina</x:v>
      </x:c>
      <x:c r="I807" s="60" t="str">
        <x:v>Roofing</x:v>
      </x:c>
      <x:c r="J807" s="60" t="str">
        <x:v>Southern Custom Construction and Roofing (SCCR)</x:v>
      </x:c>
      <x:c r="K807" s="60" t="str"/>
      <x:c r="L807" s="60" t="str">
        <x:v>Owner / decision maker to verify</x:v>
      </x:c>
      <x:c r="M807" s="60" t="str"/>
      <x:c r="N807" s="60" t="str"/>
      <x:c r="O807" s="60" t="str">
        <x:v>(803) 873-4888</x:v>
      </x:c>
      <x:c r="P807" s="60" t="str"/>
      <x:c r="Q807" s="60" t="str"/>
      <x:c r="R807" s="60" t="str"/>
      <x:c r="S807" s="60" t="str">
        <x:v>4.9</x:v>
      </x:c>
      <x:c r="T807" s="74" t="str">
        <x:v>78</x:v>
      </x:c>
      <x:c r="U807" s="60" t="str"/>
      <x:c r="V807" s="74" t="str">
        <x:v>27</x:v>
      </x:c>
      <x:c r="W807" s="74" t="str">
        <x:v>0</x:v>
      </x:c>
      <x:c r="X807" s="74" t="str">
        <x:v>10</x:v>
      </x:c>
      <x:c r="Y807" s="74" t="str">
        <x:v>2</x:v>
      </x:c>
      <x:c r="Z807" s="74" t="str">
        <x:v>5</x:v>
      </x:c>
      <x:c r="AA807" s="74" t="str">
        <x:v>0</x:v>
      </x:c>
      <x:c r="AB807" s="74" t="str">
        <x:v>0</x:v>
      </x:c>
      <x:c r="AC807" s="74" t="str">
        <x:v>0</x:v>
      </x:c>
      <x:c r="AD807" s="74" t="str">
        <x:v>0</x:v>
      </x:c>
      <x:c r="AE807" s="74" t="str">
        <x:v>0</x:v>
      </x:c>
      <x:c r="AF807" s="74" t="str"/>
      <x:c r="AG807" s="74" t="str">
        <x:v>0</x:v>
      </x:c>
      <x:c r="AH807" s="74" t="str">
        <x:v>0</x:v>
      </x:c>
      <x:c r="AI807" s="74" t="str">
        <x:v>0</x:v>
      </x:c>
      <x:c r="AJ807" s="74" t="str">
        <x:v>0</x:v>
      </x:c>
      <x:c r="AK807" s="74" t="str">
        <x:v>0</x:v>
      </x:c>
      <x:c r="AL807" s="74" t="str">
        <x:v>0</x:v>
      </x:c>
      <x:c r="AM807" s="74" t="str">
        <x:v>0</x:v>
      </x:c>
      <x:c r="AN807" s="74" t="str">
        <x:v>0</x:v>
      </x:c>
      <x:c r="AO807" s="60" t="str">
        <x:v>0</x:v>
      </x:c>
      <x:c r="AP807" s="76" t="str">
        <x:v>ICP fit; paid-demand need requires manual verification</x:v>
      </x:c>
      <x:c r="AQ807" s="76" t="str">
        <x:v>no embedded homepage video detected</x:v>
      </x:c>
      <x:c r="AR807" s="76" t="str">
        <x:v>I was reviewing roofing companies in Columbia, South Carolina and Southern Custom Construction and Roofing (SCCR) looked like a strong fit for a creative test.</x:v>
      </x:c>
      <x:c r="AS807" s="76" t="str">
        <x:v>storm-to-inspection before/after ad</x:v>
      </x:c>
      <x:c r="AT807" s="76" t="str">
        <x:v>Southern Custom Construction and Roofing (SCCR) ad concept</x:v>
      </x:c>
      <x:c r="AU807" s="76" t="str">
        <x:v>Hi Southern Custom Construction and Roofing (SCCR) — I was reviewing roofing companies in Columbia, South Carolina and Southern Custom Construction and Roofing (SCCR) looked like a strong fit for a creative test. I mapped a private 15-second storm-to-inspection before/after ad for Southern Custom Construction and Roofing (SCCR) using only public brand context—not for publishing, just to show the angle. We build three client-approved video ad concepts in seven days, then turn the winners into fresh variations. No filming day required. Worth sending the private sample?</x:v>
      </x:c>
      <x:c r="AV807" s="76" t="str">
        <x:v>Quick follow-up: the sample angle is a storm-to-inspection before/after ad. If it misses the mark, no problem—I won't keep chasing. Should I send it?</x:v>
      </x:c>
      <x:c r="AW807" s="76" t="str">
        <x:v>Hi Southern Custom Construction and Roofing (SCCR), Ryan here. I was looking at Southern Custom Construction and Roofing (SCCR)'s public marketing and noticed: icp fit; paid-demand need requires manual verification. I mapped one private storm-to-inspection before/after ad as an example. Did I catch you with 30 seconds?</x:v>
      </x:c>
      <x:c r="AX807" s="60" t="str">
        <x:v>https://www.facebook.com/ads/library/?active_status=active&amp;ad_type=all&amp;country=US&amp;q=Southern%20Custom%20Construction%20and%20Roofing%20%28SCCR%29&amp;search_type=keyword_unordered</x:v>
      </x:c>
      <x:c r="AY807" s="60" t="str">
        <x:v>ok:200</x:v>
      </x:c>
      <x:c r="AZ807" s="60" t="n">
        <x:v>46232.722858796296</x:v>
      </x:c>
      <x:c r="BA807" s="60" t="str">
        <x:v>Google Maps home-services export</x:v>
      </x:c>
      <x:c r="BB807" s="60" t="str">
        <x:v>https://maps.google.com/?cid=2150270996495238407&amp;g_mp=Cidnb29nbGUubWFwcy5wbGFjZXMudjEuUGxhY2VzLlNlYXJjaFRleHQQAhgEIAA | https://sccroofing.com</x:v>
      </x:c>
      <x:c r="BC807" s="60" t="str"/>
    </x:row>
    <x:row r="808" ht="18" customHeight="1">
      <x:c r="A808" s="70" t="str">
        <x:v>807</x:v>
      </x:c>
      <x:c r="B808" s="70" t="str">
        <x:v>C - Verify</x:v>
      </x:c>
      <x:c r="C808" s="72" t="str">
        <x:v>44</x:v>
      </x:c>
      <x:c r="D808" s="60" t="str">
        <x:v>Rigid Construction LLC.</x:v>
      </x:c>
      <x:c r="E808" s="60" t="str">
        <x:v>https://roofingchs.com</x:v>
      </x:c>
      <x:c r="F808" s="60" t="str">
        <x:v>https://www.roofingchs.com/</x:v>
      </x:c>
      <x:c r="G808" s="60" t="str">
        <x:v>Mount Pleasant</x:v>
      </x:c>
      <x:c r="H808" s="60" t="str">
        <x:v>South Carolina</x:v>
      </x:c>
      <x:c r="I808" s="60" t="str">
        <x:v>Roofing</x:v>
      </x:c>
      <x:c r="J808" s="60" t="str">
        <x:v>Rigid Construction LLC.</x:v>
      </x:c>
      <x:c r="K808" s="60" t="str"/>
      <x:c r="L808" s="60" t="str">
        <x:v>Owner / decision maker to verify</x:v>
      </x:c>
      <x:c r="M808" s="60" t="str"/>
      <x:c r="N808" s="60" t="str"/>
      <x:c r="O808" s="60" t="str">
        <x:v>(843) 560-0077</x:v>
      </x:c>
      <x:c r="P808" s="60" t="str"/>
      <x:c r="Q808" s="60" t="str"/>
      <x:c r="R808" s="60" t="str"/>
      <x:c r="S808" s="60" t="str">
        <x:v>5</x:v>
      </x:c>
      <x:c r="T808" s="74" t="str">
        <x:v>51</x:v>
      </x:c>
      <x:c r="U808" s="60" t="str"/>
      <x:c r="V808" s="74" t="str">
        <x:v>27</x:v>
      </x:c>
      <x:c r="W808" s="74" t="str">
        <x:v>0</x:v>
      </x:c>
      <x:c r="X808" s="74" t="str">
        <x:v>10</x:v>
      </x:c>
      <x:c r="Y808" s="74" t="str">
        <x:v>2</x:v>
      </x:c>
      <x:c r="Z808" s="74" t="str">
        <x:v>5</x:v>
      </x:c>
      <x:c r="AA808" s="74" t="str">
        <x:v>0</x:v>
      </x:c>
      <x:c r="AB808" s="74" t="str">
        <x:v>0</x:v>
      </x:c>
      <x:c r="AC808" s="74" t="str">
        <x:v>0</x:v>
      </x:c>
      <x:c r="AD808" s="74" t="str">
        <x:v>0</x:v>
      </x:c>
      <x:c r="AE808" s="74" t="str">
        <x:v>0</x:v>
      </x:c>
      <x:c r="AF808" s="74" t="str"/>
      <x:c r="AG808" s="74" t="str">
        <x:v>0</x:v>
      </x:c>
      <x:c r="AH808" s="74" t="str">
        <x:v>0</x:v>
      </x:c>
      <x:c r="AI808" s="74" t="str">
        <x:v>0</x:v>
      </x:c>
      <x:c r="AJ808" s="74" t="str">
        <x:v>0</x:v>
      </x:c>
      <x:c r="AK808" s="74" t="str">
        <x:v>0</x:v>
      </x:c>
      <x:c r="AL808" s="74" t="str">
        <x:v>0</x:v>
      </x:c>
      <x:c r="AM808" s="74" t="str">
        <x:v>0</x:v>
      </x:c>
      <x:c r="AN808" s="74" t="str">
        <x:v>0</x:v>
      </x:c>
      <x:c r="AO808" s="60" t="str">
        <x:v>0</x:v>
      </x:c>
      <x:c r="AP808" s="76" t="str">
        <x:v>ICP fit; paid-demand need requires manual verification</x:v>
      </x:c>
      <x:c r="AQ808" s="76" t="str">
        <x:v>no embedded homepage video detected</x:v>
      </x:c>
      <x:c r="AR808" s="76" t="str">
        <x:v>I was reviewing roofing companies in Mount Pleasant, South Carolina and Rigid Construction LLC. looked like a strong fit for a creative test.</x:v>
      </x:c>
      <x:c r="AS808" s="76" t="str">
        <x:v>storm-to-inspection before/after ad</x:v>
      </x:c>
      <x:c r="AT808" s="76" t="str">
        <x:v>Rigid Construction LLC. ad concept</x:v>
      </x:c>
      <x:c r="AU808" s="76" t="str">
        <x:v>Hi Rigid Construction LLC. — I was reviewing roofing companies in Mount Pleasant, South Carolina and Rigid Construction LLC. looked like a strong fit for a creative test. I mapped a private 15-second storm-to-inspection before/after ad for Rigid Construction LLC. using only public brand context—not for publishing, just to show the angle. We build three client-approved video ad concepts in seven days, then turn the winners into fresh variations. No filming day required. Worth sending the private sample?</x:v>
      </x:c>
      <x:c r="AV808" s="76" t="str">
        <x:v>Quick follow-up: the sample angle is a storm-to-inspection before/after ad. If it misses the mark, no problem—I won't keep chasing. Should I send it?</x:v>
      </x:c>
      <x:c r="AW808" s="76" t="str">
        <x:v>Hi Rigid Construction LLC., Ryan here. I was looking at Rigid Construction LLC.'s public marketing and noticed: icp fit; paid-demand need requires manual verification. I mapped one private storm-to-inspection before/after ad as an example. Did I catch you with 30 seconds?</x:v>
      </x:c>
      <x:c r="AX808" s="60" t="str">
        <x:v>https://www.facebook.com/ads/library/?active_status=active&amp;ad_type=all&amp;country=US&amp;q=Rigid%20Construction%20LLC.&amp;search_type=keyword_unordered</x:v>
      </x:c>
      <x:c r="AY808" s="60" t="str">
        <x:v>ok:200</x:v>
      </x:c>
      <x:c r="AZ808" s="60" t="n">
        <x:v>46232.722858796296</x:v>
      </x:c>
      <x:c r="BA808" s="60" t="str">
        <x:v>Google Maps home-services export</x:v>
      </x:c>
      <x:c r="BB808" s="60" t="str">
        <x:v>https://maps.google.com/?cid=243023712791046659&amp;g_mp=Cidnb29nbGUubWFwcy5wbGFjZXMudjEuUGxhY2VzLlNlYXJjaFRleHQQAhgEIAA | https://roofingchs.com</x:v>
      </x:c>
      <x:c r="BC808" s="60" t="str"/>
    </x:row>
    <x:row r="809" ht="18" customHeight="1">
      <x:c r="A809" s="70" t="str">
        <x:v>808</x:v>
      </x:c>
      <x:c r="B809" s="70" t="str">
        <x:v>C - Verify</x:v>
      </x:c>
      <x:c r="C809" s="72" t="str">
        <x:v>44</x:v>
      </x:c>
      <x:c r="D809" s="60" t="str">
        <x:v>Rhino Roofing</x:v>
      </x:c>
      <x:c r="E809" s="60" t="str">
        <x:v>https://rhinoroofpro.com</x:v>
      </x:c>
      <x:c r="F809" s="60" t="str">
        <x:v>https://rhinoroofpro.com</x:v>
      </x:c>
      <x:c r="G809" s="60" t="str">
        <x:v>Rock Hill</x:v>
      </x:c>
      <x:c r="H809" s="60" t="str">
        <x:v>South Carolina</x:v>
      </x:c>
      <x:c r="I809" s="60" t="str">
        <x:v>Roofing</x:v>
      </x:c>
      <x:c r="J809" s="60" t="str">
        <x:v>Rhino Roofing</x:v>
      </x:c>
      <x:c r="K809" s="60" t="str"/>
      <x:c r="L809" s="60" t="str">
        <x:v>Owner / decision maker to verify</x:v>
      </x:c>
      <x:c r="M809" s="60" t="str"/>
      <x:c r="N809" s="60" t="str"/>
      <x:c r="O809" s="60" t="str">
        <x:v>(803) 230-1649</x:v>
      </x:c>
      <x:c r="P809" s="60" t="str"/>
      <x:c r="Q809" s="60" t="str"/>
      <x:c r="R809" s="60" t="str"/>
      <x:c r="S809" s="60" t="str">
        <x:v>5</x:v>
      </x:c>
      <x:c r="T809" s="74" t="str">
        <x:v>68</x:v>
      </x:c>
      <x:c r="U809" s="60" t="str"/>
      <x:c r="V809" s="74" t="str">
        <x:v>27</x:v>
      </x:c>
      <x:c r="W809" s="74" t="str">
        <x:v>0</x:v>
      </x:c>
      <x:c r="X809" s="74" t="str">
        <x:v>10</x:v>
      </x:c>
      <x:c r="Y809" s="74" t="str">
        <x:v>2</x:v>
      </x:c>
      <x:c r="Z809" s="74" t="str">
        <x:v>5</x:v>
      </x:c>
      <x:c r="AA809" s="74" t="str">
        <x:v>0</x:v>
      </x:c>
      <x:c r="AB809" s="74" t="str">
        <x:v>0</x:v>
      </x:c>
      <x:c r="AC809" s="74" t="str">
        <x:v>0</x:v>
      </x:c>
      <x:c r="AD809" s="74" t="str">
        <x:v>0</x:v>
      </x:c>
      <x:c r="AE809" s="74" t="str">
        <x:v>0</x:v>
      </x:c>
      <x:c r="AF809" s="74" t="str"/>
      <x:c r="AG809" s="74" t="str">
        <x:v>0</x:v>
      </x:c>
      <x:c r="AH809" s="74" t="str">
        <x:v>0</x:v>
      </x:c>
      <x:c r="AI809" s="74" t="str">
        <x:v>0</x:v>
      </x:c>
      <x:c r="AJ809" s="74" t="str">
        <x:v>0</x:v>
      </x:c>
      <x:c r="AK809" s="74" t="str">
        <x:v>0</x:v>
      </x:c>
      <x:c r="AL809" s="74" t="str">
        <x:v>0</x:v>
      </x:c>
      <x:c r="AM809" s="74" t="str">
        <x:v>0</x:v>
      </x:c>
      <x:c r="AN809" s="74" t="str">
        <x:v>0</x:v>
      </x:c>
      <x:c r="AO809" s="60" t="str">
        <x:v>0</x:v>
      </x:c>
      <x:c r="AP809" s="76" t="str">
        <x:v>ICP fit; paid-demand need requires manual verification</x:v>
      </x:c>
      <x:c r="AQ809" s="76" t="str">
        <x:v>no embedded homepage video detected</x:v>
      </x:c>
      <x:c r="AR809" s="76" t="str">
        <x:v>I was reviewing roofing companies in Rock Hill, South Carolina and Rhino Roofing looked like a strong fit for a creative test.</x:v>
      </x:c>
      <x:c r="AS809" s="76" t="str">
        <x:v>storm-to-inspection before/after ad</x:v>
      </x:c>
      <x:c r="AT809" s="76" t="str">
        <x:v>Rhino Roofing ad concept</x:v>
      </x:c>
      <x:c r="AU809" s="76" t="str">
        <x:v>Hi Rhino Roofing — I was reviewing roofing companies in Rock Hill, South Carolina and Rhino Roofing looked like a strong fit for a creative test. I mapped a private 15-second storm-to-inspection before/after ad for Rhino Roofing using only public brand context—not for publishing, just to show the angle. We build three client-approved video ad concepts in seven days, then turn the winners into fresh variations. No filming day required. Worth sending the private sample?</x:v>
      </x:c>
      <x:c r="AV809" s="76" t="str">
        <x:v>Quick follow-up: the sample angle is a storm-to-inspection before/after ad. If it misses the mark, no problem—I won't keep chasing. Should I send it?</x:v>
      </x:c>
      <x:c r="AW809" s="76" t="str">
        <x:v>Hi Rhino Roofing, Ryan here. I was looking at Rhino Roofing's public marketing and noticed: icp fit; paid-demand need requires manual verification. I mapped one private storm-to-inspection before/after ad as an example. Did I catch you with 30 seconds?</x:v>
      </x:c>
      <x:c r="AX809" s="60" t="str">
        <x:v>https://www.facebook.com/ads/library/?active_status=active&amp;ad_type=all&amp;country=US&amp;q=Rhino%20Roofing&amp;search_type=keyword_unordered</x:v>
      </x:c>
      <x:c r="AY809" s="60" t="str">
        <x:v>ok:200</x:v>
      </x:c>
      <x:c r="AZ809" s="60" t="n">
        <x:v>46232.722858796296</x:v>
      </x:c>
      <x:c r="BA809" s="60" t="str">
        <x:v>Google Maps home-services export</x:v>
      </x:c>
      <x:c r="BB809" s="60" t="str">
        <x:v>https://maps.google.com/?cid=4232352932400187284&amp;g_mp=Cidnb29nbGUubWFwcy5wbGFjZXMudjEuUGxhY2VzLlNlYXJjaFRleHQQAhgEIAA | https://rhinoroofpro.com</x:v>
      </x:c>
      <x:c r="BC809" s="60" t="str"/>
    </x:row>
    <x:row r="810" ht="18" customHeight="1">
      <x:c r="A810" s="70" t="str">
        <x:v>809</x:v>
      </x:c>
      <x:c r="B810" s="70" t="str">
        <x:v>C - Verify</x:v>
      </x:c>
      <x:c r="C810" s="72" t="str">
        <x:v>44</x:v>
      </x:c>
      <x:c r="D810" s="60" t="str">
        <x:v>Peak Roofing and Siding</x:v>
      </x:c>
      <x:c r="E810" s="60" t="str">
        <x:v>https://roofingandsidingflorencecounty.com</x:v>
      </x:c>
      <x:c r="F810" s="60" t="str">
        <x:v>https://roofingandsidingflorencecounty.com</x:v>
      </x:c>
      <x:c r="G810" s="60" t="str">
        <x:v>Florence</x:v>
      </x:c>
      <x:c r="H810" s="60" t="str">
        <x:v>South Carolina</x:v>
      </x:c>
      <x:c r="I810" s="60" t="str">
        <x:v>Roofing</x:v>
      </x:c>
      <x:c r="J810" s="60" t="str">
        <x:v>Peak Roofing and Siding</x:v>
      </x:c>
      <x:c r="K810" s="60" t="str"/>
      <x:c r="L810" s="60" t="str">
        <x:v>Owner / decision maker to verify</x:v>
      </x:c>
      <x:c r="M810" s="60" t="str"/>
      <x:c r="N810" s="60" t="str"/>
      <x:c r="O810" s="60" t="str">
        <x:v>(843) 585-3289</x:v>
      </x:c>
      <x:c r="P810" s="60" t="str"/>
      <x:c r="Q810" s="60" t="str"/>
      <x:c r="R810" s="60" t="str"/>
      <x:c r="S810" s="60" t="str">
        <x:v>5</x:v>
      </x:c>
      <x:c r="T810" s="74" t="str">
        <x:v>39</x:v>
      </x:c>
      <x:c r="U810" s="60" t="str"/>
      <x:c r="V810" s="74" t="str">
        <x:v>27</x:v>
      </x:c>
      <x:c r="W810" s="74" t="str">
        <x:v>0</x:v>
      </x:c>
      <x:c r="X810" s="74" t="str">
        <x:v>10</x:v>
      </x:c>
      <x:c r="Y810" s="74" t="str">
        <x:v>2</x:v>
      </x:c>
      <x:c r="Z810" s="74" t="str">
        <x:v>5</x:v>
      </x:c>
      <x:c r="AA810" s="74" t="str">
        <x:v>0</x:v>
      </x:c>
      <x:c r="AB810" s="74" t="str">
        <x:v>0</x:v>
      </x:c>
      <x:c r="AC810" s="74" t="str">
        <x:v>0</x:v>
      </x:c>
      <x:c r="AD810" s="74" t="str">
        <x:v>0</x:v>
      </x:c>
      <x:c r="AE810" s="74" t="str">
        <x:v>0</x:v>
      </x:c>
      <x:c r="AF810" s="74" t="str"/>
      <x:c r="AG810" s="74" t="str">
        <x:v>0</x:v>
      </x:c>
      <x:c r="AH810" s="74" t="str">
        <x:v>0</x:v>
      </x:c>
      <x:c r="AI810" s="74" t="str">
        <x:v>0</x:v>
      </x:c>
      <x:c r="AJ810" s="74" t="str">
        <x:v>0</x:v>
      </x:c>
      <x:c r="AK810" s="74" t="str">
        <x:v>0</x:v>
      </x:c>
      <x:c r="AL810" s="74" t="str">
        <x:v>0</x:v>
      </x:c>
      <x:c r="AM810" s="74" t="str">
        <x:v>0</x:v>
      </x:c>
      <x:c r="AN810" s="74" t="str">
        <x:v>0</x:v>
      </x:c>
      <x:c r="AO810" s="60" t="str">
        <x:v>0</x:v>
      </x:c>
      <x:c r="AP810" s="76" t="str">
        <x:v>ICP fit; paid-demand need requires manual verification</x:v>
      </x:c>
      <x:c r="AQ810" s="76" t="str">
        <x:v>no embedded homepage video detected</x:v>
      </x:c>
      <x:c r="AR810" s="76" t="str">
        <x:v>I was reviewing roofing companies in Florence, South Carolina and Peak Roofing and Siding looked like a strong fit for a creative test.</x:v>
      </x:c>
      <x:c r="AS810" s="76" t="str">
        <x:v>storm-to-inspection before/after ad</x:v>
      </x:c>
      <x:c r="AT810" s="76" t="str">
        <x:v>Peak Roofing and Siding ad concept</x:v>
      </x:c>
      <x:c r="AU810" s="76" t="str">
        <x:v>Hi Peak Roofing and Siding — I was reviewing roofing companies in Florence, South Carolina and Peak Roofing and Siding looked like a strong fit for a creative test. I mapped a private 15-second storm-to-inspection before/after ad for Peak Roofing and Siding using only public brand context—not for publishing, just to show the angle. We build three client-approved video ad concepts in seven days, then turn the winners into fresh variations. No filming day required. Worth sending the private sample?</x:v>
      </x:c>
      <x:c r="AV810" s="76" t="str">
        <x:v>Quick follow-up: the sample angle is a storm-to-inspection before/after ad. If it misses the mark, no problem—I won't keep chasing. Should I send it?</x:v>
      </x:c>
      <x:c r="AW810" s="76" t="str">
        <x:v>Hi Peak Roofing and Siding, Ryan here. I was looking at Peak Roofing and Siding's public marketing and noticed: icp fit; paid-demand need requires manual verification. I mapped one private storm-to-inspection before/after ad as an example. Did I catch you with 30 seconds?</x:v>
      </x:c>
      <x:c r="AX810" s="60" t="str">
        <x:v>https://www.facebook.com/ads/library/?active_status=active&amp;ad_type=all&amp;country=US&amp;q=Peak%20Roofing%20and%20Siding&amp;search_type=keyword_unordered</x:v>
      </x:c>
      <x:c r="AY810" s="60" t="str">
        <x:v>ok:200</x:v>
      </x:c>
      <x:c r="AZ810" s="60" t="n">
        <x:v>46232.722858796296</x:v>
      </x:c>
      <x:c r="BA810" s="60" t="str">
        <x:v>Google Maps home-services export</x:v>
      </x:c>
      <x:c r="BB810" s="60" t="str">
        <x:v>https://maps.google.com/?cid=11577327250210346932&amp;g_mp=Cidnb29nbGUubWFwcy5wbGFjZXMudjEuUGxhY2VzLlNlYXJjaFRleHQQAhgEIAA | https://roofingandsidingflorencecounty.com</x:v>
      </x:c>
      <x:c r="BC810" s="60" t="str"/>
    </x:row>
    <x:row r="811" ht="18" customHeight="1">
      <x:c r="A811" s="70" t="str">
        <x:v>810</x:v>
      </x:c>
      <x:c r="B811" s="70" t="str">
        <x:v>C - Verify</x:v>
      </x:c>
      <x:c r="C811" s="72" t="str">
        <x:v>44</x:v>
      </x:c>
      <x:c r="D811" s="60" t="str">
        <x:v>Main Street Roofing</x:v>
      </x:c>
      <x:c r="E811" s="60" t="str">
        <x:v>https://mainstreetroofing.net</x:v>
      </x:c>
      <x:c r="F811" s="60" t="str">
        <x:v>https://mainstreetroofing.net</x:v>
      </x:c>
      <x:c r="G811" s="60" t="str">
        <x:v>Summerville</x:v>
      </x:c>
      <x:c r="H811" s="60" t="str">
        <x:v>South Carolina</x:v>
      </x:c>
      <x:c r="I811" s="60" t="str">
        <x:v>Roofing</x:v>
      </x:c>
      <x:c r="J811" s="60" t="str">
        <x:v>Main Street Roofing</x:v>
      </x:c>
      <x:c r="K811" s="60" t="str"/>
      <x:c r="L811" s="60" t="str">
        <x:v>Owner / decision maker to verify</x:v>
      </x:c>
      <x:c r="M811" s="60" t="str"/>
      <x:c r="N811" s="60" t="str"/>
      <x:c r="O811" s="60" t="str">
        <x:v>(443) 789-2776</x:v>
      </x:c>
      <x:c r="P811" s="60" t="str"/>
      <x:c r="Q811" s="60" t="str"/>
      <x:c r="R811" s="60" t="str"/>
      <x:c r="S811" s="60" t="str">
        <x:v>5</x:v>
      </x:c>
      <x:c r="T811" s="74" t="str">
        <x:v>41</x:v>
      </x:c>
      <x:c r="U811" s="60" t="str"/>
      <x:c r="V811" s="74" t="str">
        <x:v>27</x:v>
      </x:c>
      <x:c r="W811" s="74" t="str">
        <x:v>0</x:v>
      </x:c>
      <x:c r="X811" s="74" t="str">
        <x:v>10</x:v>
      </x:c>
      <x:c r="Y811" s="74" t="str">
        <x:v>2</x:v>
      </x:c>
      <x:c r="Z811" s="74" t="str">
        <x:v>5</x:v>
      </x:c>
      <x:c r="AA811" s="74" t="str">
        <x:v>0</x:v>
      </x:c>
      <x:c r="AB811" s="74" t="str">
        <x:v>0</x:v>
      </x:c>
      <x:c r="AC811" s="74" t="str">
        <x:v>0</x:v>
      </x:c>
      <x:c r="AD811" s="74" t="str">
        <x:v>0</x:v>
      </x:c>
      <x:c r="AE811" s="74" t="str">
        <x:v>0</x:v>
      </x:c>
      <x:c r="AF811" s="74" t="str"/>
      <x:c r="AG811" s="74" t="str">
        <x:v>0</x:v>
      </x:c>
      <x:c r="AH811" s="74" t="str">
        <x:v>0</x:v>
      </x:c>
      <x:c r="AI811" s="74" t="str">
        <x:v>0</x:v>
      </x:c>
      <x:c r="AJ811" s="74" t="str">
        <x:v>0</x:v>
      </x:c>
      <x:c r="AK811" s="74" t="str">
        <x:v>0</x:v>
      </x:c>
      <x:c r="AL811" s="74" t="str">
        <x:v>0</x:v>
      </x:c>
      <x:c r="AM811" s="74" t="str">
        <x:v>0</x:v>
      </x:c>
      <x:c r="AN811" s="74" t="str">
        <x:v>0</x:v>
      </x:c>
      <x:c r="AO811" s="60" t="str">
        <x:v>0</x:v>
      </x:c>
      <x:c r="AP811" s="76" t="str">
        <x:v>ICP fit; paid-demand need requires manual verification</x:v>
      </x:c>
      <x:c r="AQ811" s="76" t="str">
        <x:v>no embedded homepage video detected</x:v>
      </x:c>
      <x:c r="AR811" s="76" t="str">
        <x:v>I was reviewing roofing companies in Summerville, South Carolina and Main Street Roofing looked like a strong fit for a creative test.</x:v>
      </x:c>
      <x:c r="AS811" s="76" t="str">
        <x:v>storm-to-inspection before/after ad</x:v>
      </x:c>
      <x:c r="AT811" s="76" t="str">
        <x:v>Main Street Roofing ad concept</x:v>
      </x:c>
      <x:c r="AU811" s="76" t="str">
        <x:v>Hi Main Street Roofing — I was reviewing roofing companies in Summerville, South Carolina and Main Street Roofing looked like a strong fit for a creative test. I mapped a private 15-second storm-to-inspection before/after ad for Main Street Roofing using only public brand context—not for publishing, just to show the angle. We build three client-approved video ad concepts in seven days, then turn the winners into fresh variations. No filming day required. Worth sending the private sample?</x:v>
      </x:c>
      <x:c r="AV811" s="76" t="str">
        <x:v>Quick follow-up: the sample angle is a storm-to-inspection before/after ad. If it misses the mark, no problem—I won't keep chasing. Should I send it?</x:v>
      </x:c>
      <x:c r="AW811" s="76" t="str">
        <x:v>Hi Main Street Roofing, Ryan here. I was looking at Main Street Roofing's public marketing and noticed: icp fit; paid-demand need requires manual verification. I mapped one private storm-to-inspection before/after ad as an example. Did I catch you with 30 seconds?</x:v>
      </x:c>
      <x:c r="AX811" s="60" t="str">
        <x:v>https://www.facebook.com/ads/library/?active_status=active&amp;ad_type=all&amp;country=US&amp;q=Main%20Street%20Roofing&amp;search_type=keyword_unordered</x:v>
      </x:c>
      <x:c r="AY811" s="60" t="str">
        <x:v>ok:200</x:v>
      </x:c>
      <x:c r="AZ811" s="60" t="n">
        <x:v>46232.722858796296</x:v>
      </x:c>
      <x:c r="BA811" s="60" t="str">
        <x:v>Google Maps home-services export</x:v>
      </x:c>
      <x:c r="BB811" s="60" t="str">
        <x:v>https://mainstreetroofing.net | https://maps.google.com/?cid=4840112891035373064&amp;g_mp=Cidnb29nbGUubWFwcy5wbGFjZXMudjEuUGxhY2VzLlNlYXJjaFRleHQQAhgEIAA</x:v>
      </x:c>
      <x:c r="BC811" s="60" t="str"/>
    </x:row>
    <x:row r="812" ht="18" customHeight="1">
      <x:c r="A812" s="70" t="str">
        <x:v>811</x:v>
      </x:c>
      <x:c r="B812" s="70" t="str">
        <x:v>C - Verify</x:v>
      </x:c>
      <x:c r="C812" s="72" t="str">
        <x:v>44</x:v>
      </x:c>
      <x:c r="D812" s="60" t="str">
        <x:v>Bros. Roofing &amp; Repairs LLC</x:v>
      </x:c>
      <x:c r="E812" s="60" t="str">
        <x:v>https://bros-roofing.com</x:v>
      </x:c>
      <x:c r="F812" s="60" t="str">
        <x:v>https://bros-roofing.com</x:v>
      </x:c>
      <x:c r="G812" s="60" t="str">
        <x:v>Columbia</x:v>
      </x:c>
      <x:c r="H812" s="60" t="str">
        <x:v>South Carolina</x:v>
      </x:c>
      <x:c r="I812" s="60" t="str">
        <x:v>Roofing</x:v>
      </x:c>
      <x:c r="J812" s="60" t="str">
        <x:v>Bros. Roofing &amp; Repairs LLC</x:v>
      </x:c>
      <x:c r="K812" s="60" t="str"/>
      <x:c r="L812" s="60" t="str">
        <x:v>Owner / decision maker to verify</x:v>
      </x:c>
      <x:c r="M812" s="60" t="str"/>
      <x:c r="N812" s="60" t="str"/>
      <x:c r="O812" s="60" t="str">
        <x:v>(803) 876-0114</x:v>
      </x:c>
      <x:c r="P812" s="60" t="str"/>
      <x:c r="Q812" s="60" t="str"/>
      <x:c r="R812" s="60" t="str"/>
      <x:c r="S812" s="60" t="str">
        <x:v>4.9</x:v>
      </x:c>
      <x:c r="T812" s="74" t="str">
        <x:v>55</x:v>
      </x:c>
      <x:c r="U812" s="60" t="str"/>
      <x:c r="V812" s="74" t="str">
        <x:v>27</x:v>
      </x:c>
      <x:c r="W812" s="74" t="str">
        <x:v>0</x:v>
      </x:c>
      <x:c r="X812" s="74" t="str">
        <x:v>10</x:v>
      </x:c>
      <x:c r="Y812" s="74" t="str">
        <x:v>2</x:v>
      </x:c>
      <x:c r="Z812" s="74" t="str">
        <x:v>5</x:v>
      </x:c>
      <x:c r="AA812" s="74" t="str">
        <x:v>0</x:v>
      </x:c>
      <x:c r="AB812" s="74" t="str">
        <x:v>0</x:v>
      </x:c>
      <x:c r="AC812" s="74" t="str">
        <x:v>0</x:v>
      </x:c>
      <x:c r="AD812" s="74" t="str">
        <x:v>0</x:v>
      </x:c>
      <x:c r="AE812" s="74" t="str">
        <x:v>0</x:v>
      </x:c>
      <x:c r="AF812" s="74" t="str"/>
      <x:c r="AG812" s="74" t="str">
        <x:v>0</x:v>
      </x:c>
      <x:c r="AH812" s="74" t="str">
        <x:v>0</x:v>
      </x:c>
      <x:c r="AI812" s="74" t="str">
        <x:v>0</x:v>
      </x:c>
      <x:c r="AJ812" s="74" t="str">
        <x:v>0</x:v>
      </x:c>
      <x:c r="AK812" s="74" t="str">
        <x:v>0</x:v>
      </x:c>
      <x:c r="AL812" s="74" t="str">
        <x:v>0</x:v>
      </x:c>
      <x:c r="AM812" s="74" t="str">
        <x:v>0</x:v>
      </x:c>
      <x:c r="AN812" s="74" t="str">
        <x:v>0</x:v>
      </x:c>
      <x:c r="AO812" s="60" t="str">
        <x:v>0</x:v>
      </x:c>
      <x:c r="AP812" s="76" t="str">
        <x:v>ICP fit; paid-demand need requires manual verification</x:v>
      </x:c>
      <x:c r="AQ812" s="76" t="str">
        <x:v>no embedded homepage video detected</x:v>
      </x:c>
      <x:c r="AR812" s="76" t="str">
        <x:v>I was reviewing roofing companies in Columbia, South Carolina and Bros. Roofing &amp; Repairs LLC looked like a strong fit for a creative test.</x:v>
      </x:c>
      <x:c r="AS812" s="76" t="str">
        <x:v>storm-to-inspection before/after ad</x:v>
      </x:c>
      <x:c r="AT812" s="76" t="str">
        <x:v>Bros. Roofing &amp; Repairs LLC ad concept</x:v>
      </x:c>
      <x:c r="AU812" s="76" t="str">
        <x:v>Hi Bros. Roofing &amp; Repairs LLC — I was reviewing roofing companies in Columbia, South Carolina and Bros. Roofing &amp; Repairs LLC looked like a strong fit for a creative test. I mapped a private 15-second storm-to-inspection before/after ad for Bros. Roofing &amp; Repairs LLC using only public brand context—not for publishing, just to show the angle. We build three client-approved video ad concepts in seven days, then turn the winners into fresh variations. No filming day required. Worth sending the private sample?</x:v>
      </x:c>
      <x:c r="AV812" s="76" t="str">
        <x:v>Quick follow-up: the sample angle is a storm-to-inspection before/after ad. If it misses the mark, no problem—I won't keep chasing. Should I send it?</x:v>
      </x:c>
      <x:c r="AW812" s="76" t="str">
        <x:v>Hi Bros. Roofing &amp; Repairs LLC, Ryan here. I was looking at Bros. Roofing &amp; Repairs LLC's public marketing and noticed: icp fit; paid-demand need requires manual verification. I mapped one private storm-to-inspection before/after ad as an example. Did I catch you with 30 seconds?</x:v>
      </x:c>
      <x:c r="AX812" s="60" t="str">
        <x:v>https://www.facebook.com/ads/library/?active_status=active&amp;ad_type=all&amp;country=US&amp;q=Bros.%20Roofing%20%26%20Repairs%20LLC&amp;search_type=keyword_unordered</x:v>
      </x:c>
      <x:c r="AY812" s="60" t="str">
        <x:v>ok:200</x:v>
      </x:c>
      <x:c r="AZ812" s="60" t="n">
        <x:v>46232.722858796296</x:v>
      </x:c>
      <x:c r="BA812" s="60" t="str">
        <x:v>Google Maps home-services export</x:v>
      </x:c>
      <x:c r="BB812" s="60" t="str">
        <x:v>https://bros-roofing.com | https://maps.google.com/?cid=12159044983037731872&amp;g_mp=Cidnb29nbGUubWFwcy5wbGFjZXMudjEuUGxhY2VzLlNlYXJjaFRleHQQAhgEIAA</x:v>
      </x:c>
      <x:c r="BC812" s="60" t="str"/>
    </x:row>
    <x:row r="813" ht="18" customHeight="1">
      <x:c r="A813" s="70" t="str">
        <x:v>812</x:v>
      </x:c>
      <x:c r="B813" s="70" t="str">
        <x:v>C - Verify</x:v>
      </x:c>
      <x:c r="C813" s="72" t="str">
        <x:v>44</x:v>
      </x:c>
      <x:c r="D813" s="60" t="str">
        <x:v>Blue Collar Roofing LLC</x:v>
      </x:c>
      <x:c r="E813" s="60" t="str">
        <x:v>https://bluecollarroofingsc.com</x:v>
      </x:c>
      <x:c r="F813" s="60" t="str">
        <x:v>https://www.bluecollarroofingsc.com/</x:v>
      </x:c>
      <x:c r="G813" s="60" t="str">
        <x:v>Rock Hill</x:v>
      </x:c>
      <x:c r="H813" s="60" t="str">
        <x:v>South Carolina</x:v>
      </x:c>
      <x:c r="I813" s="60" t="str">
        <x:v>Roofing</x:v>
      </x:c>
      <x:c r="J813" s="60" t="str">
        <x:v>Blue Collar Roofing LLC</x:v>
      </x:c>
      <x:c r="K813" s="60" t="str"/>
      <x:c r="L813" s="60" t="str">
        <x:v>Owner / decision maker to verify</x:v>
      </x:c>
      <x:c r="M813" s="60" t="str"/>
      <x:c r="N813" s="60" t="str"/>
      <x:c r="O813" s="60" t="str">
        <x:v>(803) 670-0343</x:v>
      </x:c>
      <x:c r="P813" s="60" t="str"/>
      <x:c r="Q813" s="60" t="str"/>
      <x:c r="R813" s="60" t="str"/>
      <x:c r="S813" s="60" t="str">
        <x:v>5</x:v>
      </x:c>
      <x:c r="T813" s="74" t="str">
        <x:v>38</x:v>
      </x:c>
      <x:c r="U813" s="60" t="str"/>
      <x:c r="V813" s="74" t="str">
        <x:v>27</x:v>
      </x:c>
      <x:c r="W813" s="74" t="str">
        <x:v>0</x:v>
      </x:c>
      <x:c r="X813" s="74" t="str">
        <x:v>10</x:v>
      </x:c>
      <x:c r="Y813" s="74" t="str">
        <x:v>2</x:v>
      </x:c>
      <x:c r="Z813" s="74" t="str">
        <x:v>5</x:v>
      </x:c>
      <x:c r="AA813" s="74" t="str">
        <x:v>0</x:v>
      </x:c>
      <x:c r="AB813" s="74" t="str">
        <x:v>0</x:v>
      </x:c>
      <x:c r="AC813" s="74" t="str">
        <x:v>0</x:v>
      </x:c>
      <x:c r="AD813" s="74" t="str">
        <x:v>0</x:v>
      </x:c>
      <x:c r="AE813" s="74" t="str">
        <x:v>0</x:v>
      </x:c>
      <x:c r="AF813" s="74" t="str"/>
      <x:c r="AG813" s="74" t="str">
        <x:v>0</x:v>
      </x:c>
      <x:c r="AH813" s="74" t="str">
        <x:v>0</x:v>
      </x:c>
      <x:c r="AI813" s="74" t="str">
        <x:v>0</x:v>
      </x:c>
      <x:c r="AJ813" s="74" t="str">
        <x:v>0</x:v>
      </x:c>
      <x:c r="AK813" s="74" t="str">
        <x:v>0</x:v>
      </x:c>
      <x:c r="AL813" s="74" t="str">
        <x:v>0</x:v>
      </x:c>
      <x:c r="AM813" s="74" t="str">
        <x:v>0</x:v>
      </x:c>
      <x:c r="AN813" s="74" t="str">
        <x:v>0</x:v>
      </x:c>
      <x:c r="AO813" s="60" t="str">
        <x:v>0</x:v>
      </x:c>
      <x:c r="AP813" s="76" t="str">
        <x:v>ICP fit; paid-demand need requires manual verification</x:v>
      </x:c>
      <x:c r="AQ813" s="76" t="str">
        <x:v>no embedded homepage video detected</x:v>
      </x:c>
      <x:c r="AR813" s="76" t="str">
        <x:v>I was reviewing roofing companies in Rock Hill, South Carolina and Blue Collar Roofing LLC looked like a strong fit for a creative test.</x:v>
      </x:c>
      <x:c r="AS813" s="76" t="str">
        <x:v>storm-to-inspection before/after ad</x:v>
      </x:c>
      <x:c r="AT813" s="76" t="str">
        <x:v>Blue Collar Roofing LLC ad concept</x:v>
      </x:c>
      <x:c r="AU813" s="76" t="str">
        <x:v>Hi Blue Collar Roofing LLC — I was reviewing roofing companies in Rock Hill, South Carolina and Blue Collar Roofing LLC looked like a strong fit for a creative test. I mapped a private 15-second storm-to-inspection before/after ad for Blue Collar Roofing LLC using only public brand context—not for publishing, just to show the angle. We build three client-approved video ad concepts in seven days, then turn the winners into fresh variations. No filming day required. Worth sending the private sample?</x:v>
      </x:c>
      <x:c r="AV813" s="76" t="str">
        <x:v>Quick follow-up: the sample angle is a storm-to-inspection before/after ad. If it misses the mark, no problem—I won't keep chasing. Should I send it?</x:v>
      </x:c>
      <x:c r="AW813" s="76" t="str">
        <x:v>Hi Blue Collar Roofing LLC, Ryan here. I was looking at Blue Collar Roofing LLC's public marketing and noticed: icp fit; paid-demand need requires manual verification. I mapped one private storm-to-inspection before/after ad as an example. Did I catch you with 30 seconds?</x:v>
      </x:c>
      <x:c r="AX813" s="60" t="str">
        <x:v>https://www.facebook.com/ads/library/?active_status=active&amp;ad_type=all&amp;country=US&amp;q=Blue%20Collar%20Roofing%20LLC&amp;search_type=keyword_unordered</x:v>
      </x:c>
      <x:c r="AY813" s="60" t="str">
        <x:v>ok:200</x:v>
      </x:c>
      <x:c r="AZ813" s="60" t="n">
        <x:v>46232.722858796296</x:v>
      </x:c>
      <x:c r="BA813" s="60" t="str">
        <x:v>Google Maps home-services export</x:v>
      </x:c>
      <x:c r="BB813" s="60" t="str">
        <x:v>https://bluecollarroofingsc.com | https://maps.google.com/?cid=14247417650246207095&amp;g_mp=Cidnb29nbGUubWFwcy5wbGFjZXMudjEuUGxhY2VzLlNlYXJjaFRleHQQAhgEIAA</x:v>
      </x:c>
      <x:c r="BC813" s="60" t="str"/>
    </x:row>
    <x:row r="814" ht="18" customHeight="1">
      <x:c r="A814" s="70" t="str">
        <x:v>813</x:v>
      </x:c>
      <x:c r="B814" s="70" t="str">
        <x:v>C - Verify</x:v>
      </x:c>
      <x:c r="C814" s="72" t="str">
        <x:v>44</x:v>
      </x:c>
      <x:c r="D814" s="60" t="str">
        <x:v>American Roofing Company</x:v>
      </x:c>
      <x:c r="E814" s="60" t="str">
        <x:v>https://roofyou.com</x:v>
      </x:c>
      <x:c r="F814" s="60" t="str">
        <x:v>https://www.roofyou.com/</x:v>
      </x:c>
      <x:c r="G814" s="60" t="str">
        <x:v>Charleston</x:v>
      </x:c>
      <x:c r="H814" s="60" t="str">
        <x:v>South Carolina</x:v>
      </x:c>
      <x:c r="I814" s="60" t="str">
        <x:v>Roofing</x:v>
      </x:c>
      <x:c r="J814" s="60" t="str">
        <x:v>American Roofing Company</x:v>
      </x:c>
      <x:c r="K814" s="60" t="str"/>
      <x:c r="L814" s="60" t="str">
        <x:v>Owner / decision maker to verify</x:v>
      </x:c>
      <x:c r="M814" s="60" t="str"/>
      <x:c r="N814" s="60" t="str"/>
      <x:c r="O814" s="60" t="str">
        <x:v>(843) 605-9888</x:v>
      </x:c>
      <x:c r="P814" s="60" t="str"/>
      <x:c r="Q814" s="60" t="str"/>
      <x:c r="R814" s="60" t="str"/>
      <x:c r="S814" s="60" t="str">
        <x:v>5</x:v>
      </x:c>
      <x:c r="T814" s="74" t="str">
        <x:v>44</x:v>
      </x:c>
      <x:c r="U814" s="60" t="str"/>
      <x:c r="V814" s="74" t="str">
        <x:v>27</x:v>
      </x:c>
      <x:c r="W814" s="74" t="str">
        <x:v>0</x:v>
      </x:c>
      <x:c r="X814" s="74" t="str">
        <x:v>10</x:v>
      </x:c>
      <x:c r="Y814" s="74" t="str">
        <x:v>2</x:v>
      </x:c>
      <x:c r="Z814" s="74" t="str">
        <x:v>5</x:v>
      </x:c>
      <x:c r="AA814" s="74" t="str">
        <x:v>0</x:v>
      </x:c>
      <x:c r="AB814" s="74" t="str">
        <x:v>0</x:v>
      </x:c>
      <x:c r="AC814" s="74" t="str">
        <x:v>0</x:v>
      </x:c>
      <x:c r="AD814" s="74" t="str">
        <x:v>0</x:v>
      </x:c>
      <x:c r="AE814" s="74" t="str">
        <x:v>0</x:v>
      </x:c>
      <x:c r="AF814" s="74" t="str"/>
      <x:c r="AG814" s="74" t="str">
        <x:v>0</x:v>
      </x:c>
      <x:c r="AH814" s="74" t="str">
        <x:v>0</x:v>
      </x:c>
      <x:c r="AI814" s="74" t="str">
        <x:v>0</x:v>
      </x:c>
      <x:c r="AJ814" s="74" t="str">
        <x:v>0</x:v>
      </x:c>
      <x:c r="AK814" s="74" t="str">
        <x:v>0</x:v>
      </x:c>
      <x:c r="AL814" s="74" t="str">
        <x:v>0</x:v>
      </x:c>
      <x:c r="AM814" s="74" t="str">
        <x:v>0</x:v>
      </x:c>
      <x:c r="AN814" s="74" t="str">
        <x:v>0</x:v>
      </x:c>
      <x:c r="AO814" s="60" t="str">
        <x:v>0</x:v>
      </x:c>
      <x:c r="AP814" s="76" t="str">
        <x:v>ICP fit; paid-demand need requires manual verification</x:v>
      </x:c>
      <x:c r="AQ814" s="76" t="str">
        <x:v>no embedded homepage video detected</x:v>
      </x:c>
      <x:c r="AR814" s="76" t="str">
        <x:v>I was reviewing roofing companies in Charleston, South Carolina and American Roofing Company looked like a strong fit for a creative test.</x:v>
      </x:c>
      <x:c r="AS814" s="76" t="str">
        <x:v>storm-to-inspection before/after ad</x:v>
      </x:c>
      <x:c r="AT814" s="76" t="str">
        <x:v>American Roofing Company ad concept</x:v>
      </x:c>
      <x:c r="AU814" s="76" t="str">
        <x:v>Hi American Roofing Company — I was reviewing roofing companies in Charleston, South Carolina and American Roofing Company looked like a strong fit for a creative test. I mapped a private 15-second storm-to-inspection before/after ad for American Roofing Company using only public brand context—not for publishing, just to show the angle. We build three client-approved video ad concepts in seven days, then turn the winners into fresh variations. No filming day required. Worth sending the private sample?</x:v>
      </x:c>
      <x:c r="AV814" s="76" t="str">
        <x:v>Quick follow-up: the sample angle is a storm-to-inspection before/after ad. If it misses the mark, no problem—I won't keep chasing. Should I send it?</x:v>
      </x:c>
      <x:c r="AW814" s="76" t="str">
        <x:v>Hi American Roofing Company, Ryan here. I was looking at American Roofing Company's public marketing and noticed: icp fit; paid-demand need requires manual verification. I mapped one private storm-to-inspection before/after ad as an example. Did I catch you with 30 seconds?</x:v>
      </x:c>
      <x:c r="AX814" s="60" t="str">
        <x:v>https://www.facebook.com/ads/library/?active_status=active&amp;ad_type=all&amp;country=US&amp;q=American%20Roofing%20Company&amp;search_type=keyword_unordered</x:v>
      </x:c>
      <x:c r="AY814" s="60" t="str">
        <x:v>ok:200</x:v>
      </x:c>
      <x:c r="AZ814" s="60" t="n">
        <x:v>46232.722858796296</x:v>
      </x:c>
      <x:c r="BA814" s="60" t="str">
        <x:v>Google Maps home-services export</x:v>
      </x:c>
      <x:c r="BB814" s="60" t="str">
        <x:v>https://maps.google.com/?cid=4642356211990639304&amp;g_mp=Cidnb29nbGUubWFwcy5wbGFjZXMudjEuUGxhY2VzLlNlYXJjaFRleHQQAhgEIAA | https://roofyou.com</x:v>
      </x:c>
      <x:c r="BC814" s="60" t="str"/>
    </x:row>
    <x:row r="815" ht="18" customHeight="1">
      <x:c r="A815" s="70" t="str">
        <x:v>814</x:v>
      </x:c>
      <x:c r="B815" s="70" t="str">
        <x:v>C - Verify</x:v>
      </x:c>
      <x:c r="C815" s="72" t="str">
        <x:v>44</x:v>
      </x:c>
      <x:c r="D815" s="60" t="str">
        <x:v>Synergy Spray Foam &amp; HVAC</x:v>
      </x:c>
      <x:c r="E815" s="60" t="str">
        <x:v>https://foamhvac.com</x:v>
      </x:c>
      <x:c r="F815" s="60" t="str">
        <x:v>https://foamhvac.com</x:v>
      </x:c>
      <x:c r="G815" s="60" t="str">
        <x:v>Lexington</x:v>
      </x:c>
      <x:c r="H815" s="60" t="str">
        <x:v>South Carolina</x:v>
      </x:c>
      <x:c r="I815" s="60" t="str">
        <x:v>HVAC</x:v>
      </x:c>
      <x:c r="J815" s="60" t="str">
        <x:v>Todd</x:v>
      </x:c>
      <x:c r="K815" s="60" t="str">
        <x:v>Bolton</x:v>
      </x:c>
      <x:c r="L815" s="60" t="str">
        <x:v>General Manager/ Owner</x:v>
      </x:c>
      <x:c r="M815" s="60" t="str">
        <x:v>todd@foamhvac.com</x:v>
      </x:c>
      <x:c r="N815" s="60" t="str">
        <x:v>Verified with BounceBan on 08 Jun 26 12:06</x:v>
      </x:c>
      <x:c r="O815" s="60" t="str">
        <x:v>+1 803 239 8314</x:v>
      </x:c>
      <x:c r="P815" s="60" t="str">
        <x:v>https://www.linkedin.com/in/todd-bolton-94bb0680</x:v>
      </x:c>
      <x:c r="Q815" s="60" t="str">
        <x:v>2-10</x:v>
      </x:c>
      <x:c r="R815" s="60" t="str">
        <x:v>0-99999</x:v>
      </x:c>
      <x:c r="S815" s="60" t="str"/>
      <x:c r="T815" s="74" t="str">
        <x:v>0</x:v>
      </x:c>
      <x:c r="U815" s="60" t="str"/>
      <x:c r="V815" s="74" t="str">
        <x:v>27</x:v>
      </x:c>
      <x:c r="W815" s="74" t="str">
        <x:v>0</x:v>
      </x:c>
      <x:c r="X815" s="74" t="str">
        <x:v>10</x:v>
      </x:c>
      <x:c r="Y815" s="74" t="str">
        <x:v>0</x:v>
      </x:c>
      <x:c r="Z815" s="74" t="str">
        <x:v>10</x:v>
      </x:c>
      <x:c r="AA815" s="74" t="str">
        <x:v>0</x:v>
      </x:c>
      <x:c r="AB815" s="74" t="str">
        <x:v>0</x:v>
      </x:c>
      <x:c r="AC815" s="74" t="str">
        <x:v>0</x:v>
      </x:c>
      <x:c r="AD815" s="74" t="str">
        <x:v>0</x:v>
      </x:c>
      <x:c r="AE815" s="74" t="str">
        <x:v>0</x:v>
      </x:c>
      <x:c r="AF815" s="74" t="str"/>
      <x:c r="AG815" s="74" t="str">
        <x:v>0</x:v>
      </x:c>
      <x:c r="AH815" s="74" t="str">
        <x:v>0</x:v>
      </x:c>
      <x:c r="AI815" s="74" t="str">
        <x:v>0</x:v>
      </x:c>
      <x:c r="AJ815" s="74" t="str">
        <x:v>0</x:v>
      </x:c>
      <x:c r="AK815" s="74" t="str">
        <x:v>0</x:v>
      </x:c>
      <x:c r="AL815" s="74" t="str">
        <x:v>0</x:v>
      </x:c>
      <x:c r="AM815" s="74" t="str">
        <x:v>0</x:v>
      </x:c>
      <x:c r="AN815" s="74" t="str">
        <x:v>0</x:v>
      </x:c>
      <x:c r="AO815" s="60" t="str">
        <x:v>0</x:v>
      </x:c>
      <x:c r="AP815" s="76" t="str">
        <x:v>ICP fit; paid-demand need requires manual verification</x:v>
      </x:c>
      <x:c r="AQ815" s="76" t="str">
        <x:v>no embedded homepage video detected</x:v>
      </x:c>
      <x:c r="AR815" s="76" t="str">
        <x:v>I was reviewing hvac companies in Lexington, South Carolina and Synergy Spray Foam &amp; HVAC looked like a strong fit for a creative test.</x:v>
      </x:c>
      <x:c r="AS815" s="76" t="str">
        <x:v>no-cool-call to same-day comfort ad</x:v>
      </x:c>
      <x:c r="AT815" s="76" t="str">
        <x:v>Synergy Spray Foam &amp; HVAC ad concept</x:v>
      </x:c>
      <x:c r="AU815" s="76" t="str">
        <x:v>Hi Todd — I was reviewing hvac companies in Lexington, South Carolina and Synergy Spray Foam &amp; HVAC looked like a strong fit for a creative test. I mapped a private 15-second no-cool-call to same-day comfort ad for Synergy Spray Foam &amp; HVAC using only public brand context—not for publishing, just to show the angle. We build three client-approved video ad concepts in seven days, then turn the winners into fresh variations. No filming day required. Worth sending the private sample?</x:v>
      </x:c>
      <x:c r="AV815" s="76" t="str">
        <x:v>Quick follow-up: the sample angle is a no-cool-call to same-day comfort ad. If it misses the mark, no problem—I won't keep chasing. Should I send it?</x:v>
      </x:c>
      <x:c r="AW815" s="76" t="str">
        <x:v>Hi Todd, Ryan here. I was looking at Synergy Spray Foam &amp; HVAC's public marketing and noticed: icp fit; paid-demand need requires manual verification. I mapped one private no-cool-call to same-day comfort ad as an example. Did I catch you with 30 seconds?</x:v>
      </x:c>
      <x:c r="AX815" s="60" t="str">
        <x:v>https://www.facebook.com/ads/library/?active_status=active&amp;ad_type=all&amp;country=US&amp;q=Synergy%20Spray%20Foam%20%26%20HVAC&amp;search_type=keyword_unordered</x:v>
      </x:c>
      <x:c r="AY815" s="60" t="str">
        <x:v>http:404</x:v>
      </x:c>
      <x:c r="AZ815" s="60" t="n">
        <x:v>46232.722858796296</x:v>
      </x:c>
      <x:c r="BA815" s="60" t="str">
        <x:v>AI Ark SC trades export</x:v>
      </x:c>
      <x:c r="BB815" s="60" t="str">
        <x:v>https://foamhvac.com | https://www.linkedin.com/company/synergy-spray-foam-hvac</x:v>
      </x:c>
      <x:c r="BC815" s="60" t="str"/>
    </x:row>
    <x:row r="816" ht="18" customHeight="1">
      <x:c r="A816" s="70" t="str">
        <x:v>815</x:v>
      </x:c>
      <x:c r="B816" s="70" t="str">
        <x:v>C - Verify</x:v>
      </x:c>
      <x:c r="C816" s="72" t="str">
        <x:v>44</x:v>
      </x:c>
      <x:c r="D816" s="60" t="str">
        <x:v>Skyline Services LLC</x:v>
      </x:c>
      <x:c r="E816" s="60" t="str">
        <x:v>https://skylineservicessc.com</x:v>
      </x:c>
      <x:c r="F816" s="60" t="str">
        <x:v>https://www.skylineservicessc.com/</x:v>
      </x:c>
      <x:c r="G816" s="60" t="str">
        <x:v>Bluffton</x:v>
      </x:c>
      <x:c r="H816" s="60" t="str">
        <x:v>South Carolina</x:v>
      </x:c>
      <x:c r="I816" s="60" t="str">
        <x:v>Painting</x:v>
      </x:c>
      <x:c r="J816" s="60" t="str">
        <x:v>Pilar</x:v>
      </x:c>
      <x:c r="K816" s="60" t="str">
        <x:v>Lopez</x:v>
      </x:c>
      <x:c r="L816" s="60" t="str">
        <x:v>Company Owner</x:v>
      </x:c>
      <x:c r="M816" s="60" t="str">
        <x:v>pilar.lopez@skylineservicessc.com</x:v>
      </x:c>
      <x:c r="N816" s="60" t="str">
        <x:v>Verified with BounceBan on 08 Jun 26 12:06</x:v>
      </x:c>
      <x:c r="O816" s="60" t="str">
        <x:v>+1 843 422 9013</x:v>
      </x:c>
      <x:c r="P816" s="60" t="str">
        <x:v>https://www.linkedin.com/in/pilar-lopez-24a04993</x:v>
      </x:c>
      <x:c r="Q816" s="60" t="str">
        <x:v>11-50</x:v>
      </x:c>
      <x:c r="R816" s="60" t="str">
        <x:v>100000-499999</x:v>
      </x:c>
      <x:c r="S816" s="60" t="str"/>
      <x:c r="T816" s="74" t="str">
        <x:v>0</x:v>
      </x:c>
      <x:c r="U816" s="60" t="str"/>
      <x:c r="V816" s="74" t="str">
        <x:v>24</x:v>
      </x:c>
      <x:c r="W816" s="74" t="str">
        <x:v>0</x:v>
      </x:c>
      <x:c r="X816" s="74" t="str">
        <x:v>10</x:v>
      </x:c>
      <x:c r="Y816" s="74" t="str">
        <x:v>0</x:v>
      </x:c>
      <x:c r="Z816" s="74" t="str">
        <x:v>10</x:v>
      </x:c>
      <x:c r="AA816" s="74" t="str">
        <x:v>0</x:v>
      </x:c>
      <x:c r="AB816" s="74" t="str">
        <x:v>0</x:v>
      </x:c>
      <x:c r="AC816" s="74" t="str">
        <x:v>0</x:v>
      </x:c>
      <x:c r="AD816" s="74" t="str">
        <x:v>0</x:v>
      </x:c>
      <x:c r="AE816" s="74" t="str">
        <x:v>0</x:v>
      </x:c>
      <x:c r="AF816" s="74" t="str"/>
      <x:c r="AG816" s="74" t="str">
        <x:v>0</x:v>
      </x:c>
      <x:c r="AH816" s="74" t="str">
        <x:v>0</x:v>
      </x:c>
      <x:c r="AI816" s="74" t="str">
        <x:v>0</x:v>
      </x:c>
      <x:c r="AJ816" s="74" t="str">
        <x:v>0</x:v>
      </x:c>
      <x:c r="AK816" s="74" t="str">
        <x:v>0</x:v>
      </x:c>
      <x:c r="AL816" s="74" t="str">
        <x:v>0</x:v>
      </x:c>
      <x:c r="AM816" s="74" t="str">
        <x:v>0</x:v>
      </x:c>
      <x:c r="AN816" s="74" t="str">
        <x:v>0</x:v>
      </x:c>
      <x:c r="AO816" s="60" t="str">
        <x:v>0</x:v>
      </x:c>
      <x:c r="AP816" s="76" t="str">
        <x:v>ICP fit; paid-demand need requires manual verification</x:v>
      </x:c>
      <x:c r="AQ816" s="76" t="str">
        <x:v>no embedded homepage video detected</x:v>
      </x:c>
      <x:c r="AR816" s="76" t="str">
        <x:v>I was reviewing painting companies in Bluffton, South Carolina and Skyline Services LLC looked like a strong fit for a creative test.</x:v>
      </x:c>
      <x:c r="AS816" s="76" t="str">
        <x:v>one-room transformation ad</x:v>
      </x:c>
      <x:c r="AT816" s="76" t="str">
        <x:v>Skyline Services LLC ad concept</x:v>
      </x:c>
      <x:c r="AU816" s="76" t="str">
        <x:v>Hi Pilar — I was reviewing painting companies in Bluffton, South Carolina and Skyline Services LLC looked like a strong fit for a creative test. I mapped a private 15-second one-room transformation ad for Skyline Services LLC using only public brand context—not for publishing, just to show the angle. We build three client-approved video ad concepts in seven days, then turn the winners into fresh variations. No filming day required. Worth sending the private sample?</x:v>
      </x:c>
      <x:c r="AV816" s="76" t="str">
        <x:v>Quick follow-up: the sample angle is a one-room transformation ad. If it misses the mark, no problem—I won't keep chasing. Should I send it?</x:v>
      </x:c>
      <x:c r="AW816" s="76" t="str">
        <x:v>Hi Pilar, Ryan here. I was looking at Skyline Services LLC's public marketing and noticed: icp fit; paid-demand need requires manual verification. I mapped one private one-room transformation ad as an example. Did I catch you with 30 seconds?</x:v>
      </x:c>
      <x:c r="AX816" s="60" t="str">
        <x:v>https://www.facebook.com/ads/library/?active_status=active&amp;ad_type=all&amp;country=US&amp;q=Skyline%20Services%20LLC&amp;search_type=keyword_unordered</x:v>
      </x:c>
      <x:c r="AY816" s="60" t="str">
        <x:v>ok:200</x:v>
      </x:c>
      <x:c r="AZ816" s="60" t="n">
        <x:v>46232.722858796296</x:v>
      </x:c>
      <x:c r="BA816" s="60" t="str">
        <x:v>AI Ark SC trades export</x:v>
      </x:c>
      <x:c r="BB816" s="60" t="str">
        <x:v>https://skylineservicessc.com | https://www.linkedin.com/company/skyline-services-llc</x:v>
      </x:c>
      <x:c r="BC816" s="60" t="str"/>
    </x:row>
    <x:row r="817" ht="18" customHeight="1">
      <x:c r="A817" s="70" t="str">
        <x:v>816</x:v>
      </x:c>
      <x:c r="B817" s="70" t="str">
        <x:v>C - Verify</x:v>
      </x:c>
      <x:c r="C817" s="72" t="str">
        <x:v>44</x:v>
      </x:c>
      <x:c r="D817" s="60" t="str">
        <x:v>Heritage Custom Builders, Inc</x:v>
      </x:c>
      <x:c r="E817" s="60" t="str">
        <x:v>https://heritagecustombuilder.com</x:v>
      </x:c>
      <x:c r="F817" s="60" t="str">
        <x:v>https://www.heritagecustombuilder.com/</x:v>
      </x:c>
      <x:c r="G817" s="60" t="str">
        <x:v>Greenville</x:v>
      </x:c>
      <x:c r="H817" s="60" t="str">
        <x:v>South Carolina</x:v>
      </x:c>
      <x:c r="I817" s="60" t="str">
        <x:v>Restoration</x:v>
      </x:c>
      <x:c r="J817" s="60" t="str">
        <x:v>Rob</x:v>
      </x:c>
      <x:c r="K817" s="60" t="str">
        <x:v>Young</x:v>
      </x:c>
      <x:c r="L817" s="60" t="str">
        <x:v>Owner Heritage Custom Builder &amp; Remodeling</x:v>
      </x:c>
      <x:c r="M817" s="60" t="str">
        <x:v>rob@heritagecustombuilder.com</x:v>
      </x:c>
      <x:c r="N817" s="60" t="str">
        <x:v>Verified with BounceBan on 08 Jun 26 12:07</x:v>
      </x:c>
      <x:c r="O817" s="60" t="str">
        <x:v>+1 864 420 9212</x:v>
      </x:c>
      <x:c r="P817" s="60" t="str">
        <x:v>https://www.linkedin.com/in/rob-young-47aa46b4</x:v>
      </x:c>
      <x:c r="Q817" s="60" t="str">
        <x:v>2-10</x:v>
      </x:c>
      <x:c r="R817" s="60" t="str">
        <x:v>100000-499999</x:v>
      </x:c>
      <x:c r="S817" s="60" t="str"/>
      <x:c r="T817" s="74" t="str">
        <x:v>0</x:v>
      </x:c>
      <x:c r="U817" s="60" t="str"/>
      <x:c r="V817" s="74" t="str">
        <x:v>28</x:v>
      </x:c>
      <x:c r="W817" s="74" t="str">
        <x:v>0</x:v>
      </x:c>
      <x:c r="X817" s="74" t="str">
        <x:v>6</x:v>
      </x:c>
      <x:c r="Y817" s="74" t="str">
        <x:v>0</x:v>
      </x:c>
      <x:c r="Z817" s="74" t="str">
        <x:v>10</x:v>
      </x:c>
      <x:c r="AA817" s="74" t="str">
        <x:v>0</x:v>
      </x:c>
      <x:c r="AB817" s="74" t="str">
        <x:v>0</x:v>
      </x:c>
      <x:c r="AC817" s="74" t="str">
        <x:v>0</x:v>
      </x:c>
      <x:c r="AD817" s="74" t="str">
        <x:v>0</x:v>
      </x:c>
      <x:c r="AE817" s="74" t="str">
        <x:v>0</x:v>
      </x:c>
      <x:c r="AF817" s="74" t="str"/>
      <x:c r="AG817" s="74" t="str">
        <x:v>0</x:v>
      </x:c>
      <x:c r="AH817" s="74" t="str">
        <x:v>0</x:v>
      </x:c>
      <x:c r="AI817" s="74" t="str">
        <x:v>0</x:v>
      </x:c>
      <x:c r="AJ817" s="74" t="str">
        <x:v>0</x:v>
      </x:c>
      <x:c r="AK817" s="74" t="str">
        <x:v>0</x:v>
      </x:c>
      <x:c r="AL817" s="74" t="str">
        <x:v>1</x:v>
      </x:c>
      <x:c r="AM817" s="74" t="str">
        <x:v>1</x:v>
      </x:c>
      <x:c r="AN817" s="74" t="str">
        <x:v>0</x:v>
      </x:c>
      <x:c r="AO817" s="60" t="str">
        <x:v>0</x:v>
      </x:c>
      <x:c r="AP817" s="76" t="str">
        <x:v>ICP fit; paid-demand need requires manual verification</x:v>
      </x:c>
      <x:c r="AQ817" s="76" t="str">
        <x:v>no embedded homepage video detected</x:v>
      </x:c>
      <x:c r="AR817" s="76" t="str">
        <x:v>I was reviewing restoration companies in Greenville, South Carolina and Heritage Custom Builders, Inc looked like a strong fit for a creative test.</x:v>
      </x:c>
      <x:c r="AS817" s="76" t="str">
        <x:v>first-24-hours emergency-response ad</x:v>
      </x:c>
      <x:c r="AT817" s="76" t="str">
        <x:v>Heritage Custom Builders, Inc ad concept</x:v>
      </x:c>
      <x:c r="AU817" s="76" t="str">
        <x:v>Hi Rob — I was reviewing restoration companies in Greenville, South Carolina and Heritage Custom Builders, Inc looked like a strong fit for a creative test. I mapped a private 15-second first-24-hours emergency-response ad for Heritage Custom Builders, Inc using only public brand context—not for publishing, just to show the angle. We build three client-approved video ad concepts in seven days, then turn the winners into fresh variations. No filming day required. Worth sending the private sample?</x:v>
      </x:c>
      <x:c r="AV817" s="76" t="str">
        <x:v>Quick follow-up: the sample angle is a first-24-hours emergency-response ad. If it misses the mark, no problem—I won't keep chasing. Should I send it?</x:v>
      </x:c>
      <x:c r="AW817" s="76" t="str">
        <x:v>Hi Rob, Ryan here. I was looking at Heritage Custom Builders, Inc's public marketing and noticed: icp fit; paid-demand need requires manual verification. I mapped one private first-24-hours emergency-response ad as an example. Did I catch you with 30 seconds?</x:v>
      </x:c>
      <x:c r="AX817" s="60" t="str">
        <x:v>https://www.facebook.com/ads/library/?active_status=active&amp;ad_type=all&amp;country=US&amp;q=Heritage%20Custom%20Builders%2C%20Inc&amp;search_type=keyword_unordered</x:v>
      </x:c>
      <x:c r="AY817" s="60" t="str">
        <x:v>ok:200</x:v>
      </x:c>
      <x:c r="AZ817" s="60" t="n">
        <x:v>46232.722858796296</x:v>
      </x:c>
      <x:c r="BA817" s="60" t="str">
        <x:v>AI Ark SC trades export</x:v>
      </x:c>
      <x:c r="BB817" s="60" t="str">
        <x:v>https://heritagecustombuilder.com | https://www.linkedin.com/company/heritage-custom-builders-inc</x:v>
      </x:c>
      <x:c r="BC817" s="60" t="str"/>
    </x:row>
    <x:row r="818" ht="18" customHeight="1">
      <x:c r="A818" s="70" t="str">
        <x:v>817</x:v>
      </x:c>
      <x:c r="B818" s="70" t="str">
        <x:v>C - Verify</x:v>
      </x:c>
      <x:c r="C818" s="72" t="str">
        <x:v>44</x:v>
      </x:c>
      <x:c r="D818" s="60" t="str">
        <x:v>Premier Water Damage</x:v>
      </x:c>
      <x:c r="E818" s="60" t="str">
        <x:v>https://premierwaterdamage.com</x:v>
      </x:c>
      <x:c r="F818" s="60" t="str">
        <x:v>https://premierwaterdamage.com</x:v>
      </x:c>
      <x:c r="G818" s="60" t="str">
        <x:v>Clover</x:v>
      </x:c>
      <x:c r="H818" s="60" t="str">
        <x:v>South Carolina</x:v>
      </x:c>
      <x:c r="I818" s="60" t="str">
        <x:v>Restoration</x:v>
      </x:c>
      <x:c r="J818" s="60" t="str">
        <x:v>Sarah</x:v>
      </x:c>
      <x:c r="K818" s="60" t="str">
        <x:v>Britt M.S.</x:v>
      </x:c>
      <x:c r="L818" s="60" t="str">
        <x:v>Business Owner</x:v>
      </x:c>
      <x:c r="M818" s="60" t="str">
        <x:v>sbritt@premierwaterdamage.com</x:v>
      </x:c>
      <x:c r="N818" s="60" t="str">
        <x:v>Verified with BounceBan on 08 Jun 26 12:06</x:v>
      </x:c>
      <x:c r="O818" s="60" t="str"/>
      <x:c r="P818" s="60" t="str">
        <x:v>https://www.linkedin.com/in/sarah-britt-m-s-9503a240</x:v>
      </x:c>
      <x:c r="Q818" s="60" t="str">
        <x:v>11-50</x:v>
      </x:c>
      <x:c r="R818" s="60" t="str">
        <x:v>100000-499999</x:v>
      </x:c>
      <x:c r="S818" s="60" t="str"/>
      <x:c r="T818" s="74" t="str">
        <x:v>0</x:v>
      </x:c>
      <x:c r="U818" s="60" t="str"/>
      <x:c r="V818" s="74" t="str">
        <x:v>30</x:v>
      </x:c>
      <x:c r="W818" s="74" t="str">
        <x:v>0</x:v>
      </x:c>
      <x:c r="X818" s="74" t="str">
        <x:v>10</x:v>
      </x:c>
      <x:c r="Y818" s="74" t="str">
        <x:v>0</x:v>
      </x:c>
      <x:c r="Z818" s="74" t="str">
        <x:v>7</x:v>
      </x:c>
      <x:c r="AA818" s="74" t="str">
        <x:v>0</x:v>
      </x:c>
      <x:c r="AB818" s="74" t="str">
        <x:v>0</x:v>
      </x:c>
      <x:c r="AC818" s="74" t="str">
        <x:v>0</x:v>
      </x:c>
      <x:c r="AD818" s="74" t="str">
        <x:v>0</x:v>
      </x:c>
      <x:c r="AE818" s="74" t="str">
        <x:v>0</x:v>
      </x:c>
      <x:c r="AF818" s="74" t="str"/>
      <x:c r="AG818" s="74" t="str">
        <x:v>0</x:v>
      </x:c>
      <x:c r="AH818" s="74" t="str">
        <x:v>0</x:v>
      </x:c>
      <x:c r="AI818" s="74" t="str">
        <x:v>0</x:v>
      </x:c>
      <x:c r="AJ818" s="74" t="str">
        <x:v>0</x:v>
      </x:c>
      <x:c r="AK818" s="74" t="str">
        <x:v>0</x:v>
      </x:c>
      <x:c r="AL818" s="74" t="str">
        <x:v>0</x:v>
      </x:c>
      <x:c r="AM818" s="74" t="str">
        <x:v>0</x:v>
      </x:c>
      <x:c r="AN818" s="74" t="str">
        <x:v>0</x:v>
      </x:c>
      <x:c r="AO818" s="60" t="str">
        <x:v>0</x:v>
      </x:c>
      <x:c r="AP818" s="76" t="str">
        <x:v>ICP fit; paid-demand need requires manual verification</x:v>
      </x:c>
      <x:c r="AQ818" s="76" t="str">
        <x:v>no embedded homepage video detected</x:v>
      </x:c>
      <x:c r="AR818" s="76" t="str">
        <x:v>I was reviewing restoration companies in Clover, South Carolina and Premier Water Damage looked like a strong fit for a creative test.</x:v>
      </x:c>
      <x:c r="AS818" s="76" t="str">
        <x:v>first-24-hours emergency-response ad</x:v>
      </x:c>
      <x:c r="AT818" s="76" t="str">
        <x:v>Premier Water Damage ad concept</x:v>
      </x:c>
      <x:c r="AU818" s="76" t="str">
        <x:v>Hi Sarah — I was reviewing restoration companies in Clover, South Carolina and Premier Water Damage looked like a strong fit for a creative test. I mapped a private 15-second first-24-hours emergency-response ad for Premier Water Damage using only public brand context—not for publishing, just to show the angle. We build three client-approved video ad concepts in seven days, then turn the winners into fresh variations. No filming day required. Worth sending the private sample?</x:v>
      </x:c>
      <x:c r="AV818" s="76" t="str">
        <x:v>Quick follow-up: the sample angle is a first-24-hours emergency-response ad. If it misses the mark, no problem—I won't keep chasing. Should I send it?</x:v>
      </x:c>
      <x:c r="AW818" s="76" t="str">
        <x:v>Hi Sarah, Ryan here. I was looking at Premier Water Damage's public marketing and noticed: icp fit; paid-demand need requires manual verification. I mapped one private first-24-hours emergency-response ad as an example. Did I catch you with 30 seconds?</x:v>
      </x:c>
      <x:c r="AX818" s="60" t="str">
        <x:v>https://www.facebook.com/ads/library/?active_status=active&amp;ad_type=all&amp;country=US&amp;q=Premier%20Water%20Damage&amp;search_type=keyword_unordered</x:v>
      </x:c>
      <x:c r="AY818" s="60" t="str">
        <x:v>url_error:SSLError</x:v>
      </x:c>
      <x:c r="AZ818" s="60" t="n">
        <x:v>46232.722858796296</x:v>
      </x:c>
      <x:c r="BA818" s="60" t="str">
        <x:v>AI Ark SC trades export</x:v>
      </x:c>
      <x:c r="BB818" s="60" t="str">
        <x:v>https://premierwaterdamage.com | https://www.linkedin.com/company/premier-water-damage</x:v>
      </x:c>
      <x:c r="BC818" s="60" t="str"/>
    </x:row>
    <x:row r="819" ht="18" customHeight="1">
      <x:c r="A819" s="70" t="str">
        <x:v>818</x:v>
      </x:c>
      <x:c r="B819" s="70" t="str">
        <x:v>C - Verify</x:v>
      </x:c>
      <x:c r="C819" s="72" t="str">
        <x:v>44</x:v>
      </x:c>
      <x:c r="D819" s="60" t="str">
        <x:v>Columbia Electric, Inc.</x:v>
      </x:c>
      <x:c r="E819" s="60" t="str">
        <x:v>https://columbia-elec.com</x:v>
      </x:c>
      <x:c r="F819" s="60" t="str">
        <x:v>https://columbia-elec.com</x:v>
      </x:c>
      <x:c r="G819" s="60" t="str">
        <x:v>West Columbia</x:v>
      </x:c>
      <x:c r="H819" s="60" t="str">
        <x:v>South Carolina</x:v>
      </x:c>
      <x:c r="I819" s="60" t="str">
        <x:v>Solar</x:v>
      </x:c>
      <x:c r="J819" s="60" t="str">
        <x:v>Chad</x:v>
      </x:c>
      <x:c r="K819" s="60" t="str">
        <x:v>Benenhaley</x:v>
      </x:c>
      <x:c r="L819" s="60" t="str">
        <x:v>Owner</x:v>
      </x:c>
      <x:c r="M819" s="60" t="str"/>
      <x:c r="N819" s="60" t="str"/>
      <x:c r="O819" s="60" t="str">
        <x:v>+1 803 493 8265</x:v>
      </x:c>
      <x:c r="P819" s="60" t="str">
        <x:v>https://www.linkedin.com/in/chad-benenhaley-132187bb</x:v>
      </x:c>
      <x:c r="Q819" s="60" t="str">
        <x:v>51-200</x:v>
      </x:c>
      <x:c r="R819" s="60" t="str">
        <x:v>1000000-4999999</x:v>
      </x:c>
      <x:c r="S819" s="60" t="str"/>
      <x:c r="T819" s="74" t="str">
        <x:v>0</x:v>
      </x:c>
      <x:c r="U819" s="60" t="str"/>
      <x:c r="V819" s="74" t="str">
        <x:v>30</x:v>
      </x:c>
      <x:c r="W819" s="74" t="str">
        <x:v>0</x:v>
      </x:c>
      <x:c r="X819" s="74" t="str">
        <x:v>9</x:v>
      </x:c>
      <x:c r="Y819" s="74" t="str">
        <x:v>0</x:v>
      </x:c>
      <x:c r="Z819" s="74" t="str">
        <x:v>5</x:v>
      </x:c>
      <x:c r="AA819" s="74" t="str">
        <x:v>0</x:v>
      </x:c>
      <x:c r="AB819" s="74" t="str">
        <x:v>0</x:v>
      </x:c>
      <x:c r="AC819" s="74" t="str">
        <x:v>0</x:v>
      </x:c>
      <x:c r="AD819" s="74" t="str">
        <x:v>0</x:v>
      </x:c>
      <x:c r="AE819" s="74" t="str">
        <x:v>0</x:v>
      </x:c>
      <x:c r="AF819" s="74" t="str"/>
      <x:c r="AG819" s="74" t="str">
        <x:v>0</x:v>
      </x:c>
      <x:c r="AH819" s="74" t="str">
        <x:v>0</x:v>
      </x:c>
      <x:c r="AI819" s="74" t="str">
        <x:v>0</x:v>
      </x:c>
      <x:c r="AJ819" s="74" t="str">
        <x:v>0</x:v>
      </x:c>
      <x:c r="AK819" s="74" t="str">
        <x:v>0</x:v>
      </x:c>
      <x:c r="AL819" s="74" t="str">
        <x:v>1</x:v>
      </x:c>
      <x:c r="AM819" s="74" t="str">
        <x:v>1</x:v>
      </x:c>
      <x:c r="AN819" s="74" t="str">
        <x:v>0</x:v>
      </x:c>
      <x:c r="AO819" s="60" t="str">
        <x:v>2022</x:v>
      </x:c>
      <x:c r="AP819" s="76" t="str">
        <x:v>ICP fit; paid-demand need requires manual verification</x:v>
      </x:c>
      <x:c r="AQ819" s="76" t="str">
        <x:v>no embedded homepage video detected</x:v>
      </x:c>
      <x:c r="AR819" s="76" t="str">
        <x:v>I was reviewing solar companies in West Columbia, South Carolina and Columbia Electric, Inc. looked like a strong fit for a creative test.</x:v>
      </x:c>
      <x:c r="AS819" s="76" t="str">
        <x:v>utility-bill problem to consultation ad</x:v>
      </x:c>
      <x:c r="AT819" s="76" t="str">
        <x:v>Columbia Electric, Inc. ad concept</x:v>
      </x:c>
      <x:c r="AU819" s="76" t="str">
        <x:v>Hi Chad — I was reviewing solar companies in West Columbia, South Carolina and Columbia Electric, Inc. looked like a strong fit for a creative test. I mapped a private 15-second utility-bill problem to consultation ad for Columbia Electric, Inc. using only public brand context—not for publishing, just to show the angle. We build three client-approved video ad concepts in seven days, then turn the winners into fresh variations. No filming day required. Worth sending the private sample?</x:v>
      </x:c>
      <x:c r="AV819" s="76" t="str">
        <x:v>Quick follow-up: the sample angle is a utility-bill problem to consultation ad. If it misses the mark, no problem—I won't keep chasing. Should I send it?</x:v>
      </x:c>
      <x:c r="AW819" s="76" t="str">
        <x:v>Hi Chad, Ryan here. I was looking at Columbia Electric, Inc.'s public marketing and noticed: icp fit; paid-demand need requires manual verification. I mapped one private utility-bill problem to consultation ad as an example. Did I catch you with 30 seconds?</x:v>
      </x:c>
      <x:c r="AX819" s="60" t="str">
        <x:v>https://www.facebook.com/ads/library/?active_status=active&amp;ad_type=all&amp;country=US&amp;q=Columbia%20Electric%2C%20Inc.&amp;search_type=keyword_unordered</x:v>
      </x:c>
      <x:c r="AY819" s="60" t="str">
        <x:v>ok:200</x:v>
      </x:c>
      <x:c r="AZ819" s="60" t="n">
        <x:v>46232.722858796296</x:v>
      </x:c>
      <x:c r="BA819" s="60" t="str">
        <x:v>AI Ark SC trades export</x:v>
      </x:c>
      <x:c r="BB819" s="60" t="str">
        <x:v>https://columbia-elec.com | https://www.linkedin.com/company/columbia-electric-inc-</x:v>
      </x:c>
      <x:c r="BC819" s="60" t="str"/>
    </x:row>
    <x:row r="820" ht="18" customHeight="1">
      <x:c r="A820" s="70" t="str">
        <x:v>819</x:v>
      </x:c>
      <x:c r="B820" s="70" t="str">
        <x:v>C - Verify</x:v>
      </x:c>
      <x:c r="C820" s="72" t="str">
        <x:v>44</x:v>
      </x:c>
      <x:c r="D820" s="60" t="str">
        <x:v>Around the House</x:v>
      </x:c>
      <x:c r="E820" s="60" t="str">
        <x:v>https://mypowercouple.com</x:v>
      </x:c>
      <x:c r="F820" s="60" t="str">
        <x:v>https://mypowercouple.com</x:v>
      </x:c>
      <x:c r="G820" s="60" t="str">
        <x:v>Spartanburg</x:v>
      </x:c>
      <x:c r="H820" s="60" t="str">
        <x:v>South Carolina</x:v>
      </x:c>
      <x:c r="I820" s="60" t="str">
        <x:v>Remodeling</x:v>
      </x:c>
      <x:c r="J820" s="60" t="str">
        <x:v>Mitch</x:v>
      </x:c>
      <x:c r="K820" s="60" t="str">
        <x:v>Williams</x:v>
      </x:c>
      <x:c r="L820" s="60" t="str">
        <x:v>Owner/Operator</x:v>
      </x:c>
      <x:c r="M820" s="60" t="str"/>
      <x:c r="N820" s="60" t="str"/>
      <x:c r="O820" s="60" t="str">
        <x:v>+1 978 455 1806</x:v>
      </x:c>
      <x:c r="P820" s="60" t="str">
        <x:v>https://www.linkedin.com/in/mitch-williams-00a789a1</x:v>
      </x:c>
      <x:c r="Q820" s="60" t="str">
        <x:v>2-10</x:v>
      </x:c>
      <x:c r="R820" s="60" t="str">
        <x:v>1000000-4999999</x:v>
      </x:c>
      <x:c r="S820" s="60" t="str"/>
      <x:c r="T820" s="74" t="str">
        <x:v>0</x:v>
      </x:c>
      <x:c r="U820" s="60" t="str"/>
      <x:c r="V820" s="74" t="str">
        <x:v>29</x:v>
      </x:c>
      <x:c r="W820" s="74" t="str">
        <x:v>0</x:v>
      </x:c>
      <x:c r="X820" s="74" t="str">
        <x:v>10</x:v>
      </x:c>
      <x:c r="Y820" s="74" t="str">
        <x:v>0</x:v>
      </x:c>
      <x:c r="Z820" s="74" t="str">
        <x:v>5</x:v>
      </x:c>
      <x:c r="AA820" s="74" t="str">
        <x:v>0</x:v>
      </x:c>
      <x:c r="AB820" s="74" t="str">
        <x:v>0</x:v>
      </x:c>
      <x:c r="AC820" s="74" t="str">
        <x:v>0</x:v>
      </x:c>
      <x:c r="AD820" s="74" t="str">
        <x:v>0</x:v>
      </x:c>
      <x:c r="AE820" s="74" t="str">
        <x:v>0</x:v>
      </x:c>
      <x:c r="AF820" s="74" t="str"/>
      <x:c r="AG820" s="74" t="str">
        <x:v>0</x:v>
      </x:c>
      <x:c r="AH820" s="74" t="str">
        <x:v>0</x:v>
      </x:c>
      <x:c r="AI820" s="74" t="str">
        <x:v>0</x:v>
      </x:c>
      <x:c r="AJ820" s="74" t="str">
        <x:v>0</x:v>
      </x:c>
      <x:c r="AK820" s="74" t="str">
        <x:v>0</x:v>
      </x:c>
      <x:c r="AL820" s="74" t="str">
        <x:v>0</x:v>
      </x:c>
      <x:c r="AM820" s="74" t="str">
        <x:v>0</x:v>
      </x:c>
      <x:c r="AN820" s="74" t="str">
        <x:v>0</x:v>
      </x:c>
      <x:c r="AO820" s="60" t="str">
        <x:v>2025</x:v>
      </x:c>
      <x:c r="AP820" s="76" t="str">
        <x:v>ICP fit; paid-demand need requires manual verification</x:v>
      </x:c>
      <x:c r="AQ820" s="76" t="str">
        <x:v>no embedded homepage video detected</x:v>
      </x:c>
      <x:c r="AR820" s="76" t="str">
        <x:v>I was reviewing remodeling companies in Spartanburg, South Carolina and Around the House looked like a strong fit for a creative test.</x:v>
      </x:c>
      <x:c r="AS820" s="76" t="str">
        <x:v>project reveal with budget-and-timeline proof</x:v>
      </x:c>
      <x:c r="AT820" s="76" t="str">
        <x:v>Around the House ad concept</x:v>
      </x:c>
      <x:c r="AU820" s="76" t="str">
        <x:v>Hi Mitch — I was reviewing remodeling companies in Spartanburg, South Carolina and Around the House looked like a strong fit for a creative test. I mapped a private 15-second project reveal with budget-and-timeline proof for Around the House using only public brand context—not for publishing, just to show the angle. We build three client-approved video ad concepts in seven days, then turn the winners into fresh variations. No filming day required. Worth sending the private sample?</x:v>
      </x:c>
      <x:c r="AV820" s="76" t="str">
        <x:v>Quick follow-up: the sample angle is a project reveal with budget-and-timeline proof. If it misses the mark, no problem—I won't keep chasing. Should I send it?</x:v>
      </x:c>
      <x:c r="AW820" s="76" t="str">
        <x:v>Hi Mitch, Ryan here. I was looking at Around the House's public marketing and noticed: icp fit; paid-demand need requires manual verification. I mapped one private project reveal with budget-and-timeline proof as an example. Did I catch you with 30 seconds?</x:v>
      </x:c>
      <x:c r="AX820" s="60" t="str">
        <x:v>https://www.facebook.com/ads/library/?active_status=active&amp;ad_type=all&amp;country=US&amp;q=Around%20the%20House&amp;search_type=keyword_unordered</x:v>
      </x:c>
      <x:c r="AY820" s="60" t="str">
        <x:v>ok:200</x:v>
      </x:c>
      <x:c r="AZ820" s="60" t="n">
        <x:v>46232.722858796296</x:v>
      </x:c>
      <x:c r="BA820" s="60" t="str">
        <x:v>AI Ark SC trades export</x:v>
      </x:c>
      <x:c r="BB820" s="60" t="str">
        <x:v>https://mypowercouple.com | https://www.linkedin.com/company/around-the-house</x:v>
      </x:c>
      <x:c r="BC820" s="60" t="str"/>
    </x:row>
    <x:row r="821" ht="18" customHeight="1">
      <x:c r="A821" s="70" t="str">
        <x:v>820</x:v>
      </x:c>
      <x:c r="B821" s="70" t="str">
        <x:v>C - Verify</x:v>
      </x:c>
      <x:c r="C821" s="72" t="str">
        <x:v>44</x:v>
      </x:c>
      <x:c r="D821" s="60" t="str">
        <x:v>All Seasons Landscaping</x:v>
      </x:c>
      <x:c r="E821" s="60" t="str">
        <x:v>https://aslct.com</x:v>
      </x:c>
      <x:c r="F821" s="60" t="str">
        <x:v>https://aslct.com</x:v>
      </x:c>
      <x:c r="G821" s="60" t="str">
        <x:v>Clover</x:v>
      </x:c>
      <x:c r="H821" s="60" t="str">
        <x:v>South Carolina</x:v>
      </x:c>
      <x:c r="I821" s="60" t="str">
        <x:v>Landscaping &amp; Tree</x:v>
      </x:c>
      <x:c r="J821" s="60" t="str">
        <x:v>Mailto:George</x:v>
      </x:c>
      <x:c r="K821" s="60" t="str">
        <x:v>Johnson</x:v>
      </x:c>
      <x:c r="L821" s="60" t="str">
        <x:v>Owner landscape</x:v>
      </x:c>
      <x:c r="M821" s="60" t="str"/>
      <x:c r="N821" s="60" t="str"/>
      <x:c r="O821" s="60" t="str">
        <x:v>+1 860 953 2471</x:v>
      </x:c>
      <x:c r="P821" s="60" t="str">
        <x:v>https://www.linkedin.com/in/mailto-george-johnson-19a7b498</x:v>
      </x:c>
      <x:c r="Q821" s="60" t="str">
        <x:v>11-50</x:v>
      </x:c>
      <x:c r="R821" s="60" t="str">
        <x:v>1000000-4999999</x:v>
      </x:c>
      <x:c r="S821" s="60" t="str"/>
      <x:c r="T821" s="74" t="str">
        <x:v>0</x:v>
      </x:c>
      <x:c r="U821" s="60" t="str"/>
      <x:c r="V821" s="74" t="str">
        <x:v>29</x:v>
      </x:c>
      <x:c r="W821" s="74" t="str">
        <x:v>0</x:v>
      </x:c>
      <x:c r="X821" s="74" t="str">
        <x:v>10</x:v>
      </x:c>
      <x:c r="Y821" s="74" t="str">
        <x:v>0</x:v>
      </x:c>
      <x:c r="Z821" s="74" t="str">
        <x:v>5</x:v>
      </x:c>
      <x:c r="AA821" s="74" t="str">
        <x:v>0</x:v>
      </x:c>
      <x:c r="AB821" s="74" t="str">
        <x:v>0</x:v>
      </x:c>
      <x:c r="AC821" s="74" t="str">
        <x:v>0</x:v>
      </x:c>
      <x:c r="AD821" s="74" t="str">
        <x:v>0</x:v>
      </x:c>
      <x:c r="AE821" s="74" t="str">
        <x:v>0</x:v>
      </x:c>
      <x:c r="AF821" s="74" t="str"/>
      <x:c r="AG821" s="74" t="str">
        <x:v>0</x:v>
      </x:c>
      <x:c r="AH821" s="74" t="str">
        <x:v>0</x:v>
      </x:c>
      <x:c r="AI821" s="74" t="str">
        <x:v>0</x:v>
      </x:c>
      <x:c r="AJ821" s="74" t="str">
        <x:v>0</x:v>
      </x:c>
      <x:c r="AK821" s="74" t="str">
        <x:v>0</x:v>
      </x:c>
      <x:c r="AL821" s="74" t="str">
        <x:v>0</x:v>
      </x:c>
      <x:c r="AM821" s="74" t="str">
        <x:v>0</x:v>
      </x:c>
      <x:c r="AN821" s="74" t="str">
        <x:v>0</x:v>
      </x:c>
      <x:c r="AO821" s="60" t="str">
        <x:v>0</x:v>
      </x:c>
      <x:c r="AP821" s="76" t="str">
        <x:v>ICP fit; paid-demand need requires manual verification</x:v>
      </x:c>
      <x:c r="AQ821" s="76" t="str">
        <x:v>no embedded homepage video detected</x:v>
      </x:c>
      <x:c r="AR821" s="76" t="str">
        <x:v>I was reviewing landscaping &amp; tree companies in Clover, South Carolina and All Seasons Landscaping looked like a strong fit for a creative test.</x:v>
      </x:c>
      <x:c r="AS821" s="76" t="str">
        <x:v>property transformation ad</x:v>
      </x:c>
      <x:c r="AT821" s="76" t="str">
        <x:v>All Seasons Landscaping ad concept</x:v>
      </x:c>
      <x:c r="AU821" s="76" t="str">
        <x:v>Hi Mailto:George — I was reviewing landscaping &amp; tree companies in Clover, South Carolina and All Seasons Landscaping looked like a strong fit for a creative test. I mapped a private 15-second property transformation ad for All Seasons Landscaping using only public brand context—not for publishing, just to show the angle. We build three client-approved video ad concepts in seven days, then turn the winners into fresh variations. No filming day required. Worth sending the private sample?</x:v>
      </x:c>
      <x:c r="AV821" s="76" t="str">
        <x:v>Quick follow-up: the sample angle is a property transformation ad. If it misses the mark, no problem—I won't keep chasing. Should I send it?</x:v>
      </x:c>
      <x:c r="AW821" s="76" t="str">
        <x:v>Hi Mailto:George, Ryan here. I was looking at All Seasons Landscaping's public marketing and noticed: icp fit; paid-demand need requires manual verification. I mapped one private property transformation ad as an example. Did I catch you with 30 seconds?</x:v>
      </x:c>
      <x:c r="AX821" s="60" t="str">
        <x:v>https://www.facebook.com/ads/library/?active_status=active&amp;ad_type=all&amp;country=US&amp;q=All%20Seasons%20Landscaping&amp;search_type=keyword_unordered</x:v>
      </x:c>
      <x:c r="AY821" s="60" t="str">
        <x:v>ok:200</x:v>
      </x:c>
      <x:c r="AZ821" s="60" t="n">
        <x:v>46232.722858796296</x:v>
      </x:c>
      <x:c r="BA821" s="60" t="str">
        <x:v>AI Ark SC trades export</x:v>
      </x:c>
      <x:c r="BB821" s="60" t="str">
        <x:v>https://aslct.com | https://www.linkedin.com/company/all-seasons-landscaping</x:v>
      </x:c>
      <x:c r="BC821" s="60" t="str"/>
    </x:row>
    <x:row r="822" ht="18" customHeight="1">
      <x:c r="A822" s="70" t="str">
        <x:v>821</x:v>
      </x:c>
      <x:c r="B822" s="70" t="str">
        <x:v>C - Verify</x:v>
      </x:c>
      <x:c r="C822" s="72" t="str">
        <x:v>44</x:v>
      </x:c>
      <x:c r="D822" s="60" t="str">
        <x:v>Home Renovation</x:v>
      </x:c>
      <x:c r="E822" s="60" t="str">
        <x:v>https://homerenovation.ie</x:v>
      </x:c>
      <x:c r="F822" s="60" t="str">
        <x:v>https://homerenovation.ie</x:v>
      </x:c>
      <x:c r="G822" s="60" t="str">
        <x:v>Greenville-spartanburg-anderson</x:v>
      </x:c>
      <x:c r="H822" s="60" t="str">
        <x:v>South Carolina Area</x:v>
      </x:c>
      <x:c r="I822" s="60" t="str">
        <x:v>Remodeling</x:v>
      </x:c>
      <x:c r="J822" s="60" t="str">
        <x:v>bobby</x:v>
      </x:c>
      <x:c r="K822" s="60" t="str">
        <x:v>bailey</x:v>
      </x:c>
      <x:c r="L822" s="60" t="str">
        <x:v>Owner</x:v>
      </x:c>
      <x:c r="M822" s="60" t="str"/>
      <x:c r="N822" s="60" t="str"/>
      <x:c r="O822" s="60" t="str"/>
      <x:c r="P822" s="60" t="str">
        <x:v>https://www.linkedin.com/in/bobby-bailey-503601119</x:v>
      </x:c>
      <x:c r="Q822" s="60" t="str">
        <x:v>2-10</x:v>
      </x:c>
      <x:c r="R822" s="60" t="str">
        <x:v>1000000-4999999</x:v>
      </x:c>
      <x:c r="S822" s="60" t="str"/>
      <x:c r="T822" s="74" t="str">
        <x:v>0</x:v>
      </x:c>
      <x:c r="U822" s="60" t="str"/>
      <x:c r="V822" s="74" t="str">
        <x:v>29</x:v>
      </x:c>
      <x:c r="W822" s="74" t="str">
        <x:v>0</x:v>
      </x:c>
      <x:c r="X822" s="74" t="str">
        <x:v>13</x:v>
      </x:c>
      <x:c r="Y822" s="74" t="str">
        <x:v>0</x:v>
      </x:c>
      <x:c r="Z822" s="74" t="str">
        <x:v>2</x:v>
      </x:c>
      <x:c r="AA822" s="74" t="str">
        <x:v>0</x:v>
      </x:c>
      <x:c r="AB822" s="74" t="str">
        <x:v>0</x:v>
      </x:c>
      <x:c r="AC822" s="74" t="str">
        <x:v>0</x:v>
      </x:c>
      <x:c r="AD822" s="74" t="str">
        <x:v>0</x:v>
      </x:c>
      <x:c r="AE822" s="74" t="str">
        <x:v>0</x:v>
      </x:c>
      <x:c r="AF822" s="74" t="str"/>
      <x:c r="AG822" s="74" t="str">
        <x:v>0</x:v>
      </x:c>
      <x:c r="AH822" s="74" t="str">
        <x:v>0</x:v>
      </x:c>
      <x:c r="AI822" s="74" t="str">
        <x:v>0</x:v>
      </x:c>
      <x:c r="AJ822" s="74" t="str">
        <x:v>0</x:v>
      </x:c>
      <x:c r="AK822" s="74" t="str">
        <x:v>0</x:v>
      </x:c>
      <x:c r="AL822" s="74" t="str">
        <x:v>0</x:v>
      </x:c>
      <x:c r="AM822" s="74" t="str">
        <x:v>1</x:v>
      </x:c>
      <x:c r="AN822" s="74" t="str">
        <x:v>0</x:v>
      </x:c>
      <x:c r="AO822" s="60" t="str">
        <x:v>2024</x:v>
      </x:c>
      <x:c r="AP822" s="76" t="str">
        <x:v>ICP fit; paid-demand need requires manual verification</x:v>
      </x:c>
      <x:c r="AQ822" s="76" t="str">
        <x:v>no embedded homepage video detected</x:v>
      </x:c>
      <x:c r="AR822" s="76" t="str">
        <x:v>I was reviewing remodeling companies in Greenville-spartanburg-anderson, South Carolina Area and Home Renovation looked like a strong fit for a creative test.</x:v>
      </x:c>
      <x:c r="AS822" s="76" t="str">
        <x:v>project reveal with budget-and-timeline proof</x:v>
      </x:c>
      <x:c r="AT822" s="76" t="str">
        <x:v>Home Renovation ad concept</x:v>
      </x:c>
      <x:c r="AU822" s="76" t="str">
        <x:v>Hi bobby — I was reviewing remodeling companies in Greenville-spartanburg-anderson, South Carolina Area and Home Renovation looked like a strong fit for a creative test. I mapped a private 15-second project reveal with budget-and-timeline proof for Home Renovation using only public brand context—not for publishing, just to show the angle. We build three client-approved video ad concepts in seven days, then turn the winners into fresh variations. No filming day required. Worth sending the private sample?</x:v>
      </x:c>
      <x:c r="AV822" s="76" t="str">
        <x:v>Quick follow-up: the sample angle is a project reveal with budget-and-timeline proof. If it misses the mark, no problem—I won't keep chasing. Should I send it?</x:v>
      </x:c>
      <x:c r="AW822" s="76" t="str">
        <x:v>Hi bobby, Ryan here. I was looking at Home Renovation's public marketing and noticed: icp fit; paid-demand need requires manual verification. I mapped one private project reveal with budget-and-timeline proof as an example. Did I catch you with 30 seconds?</x:v>
      </x:c>
      <x:c r="AX822" s="60" t="str">
        <x:v>https://www.facebook.com/ads/library/?active_status=active&amp;ad_type=all&amp;country=US&amp;q=Home%20Renovation&amp;search_type=keyword_unordered</x:v>
      </x:c>
      <x:c r="AY822" s="60" t="str">
        <x:v>ok:200</x:v>
      </x:c>
      <x:c r="AZ822" s="60" t="n">
        <x:v>46232.722858796296</x:v>
      </x:c>
      <x:c r="BA822" s="60" t="str">
        <x:v>AI Ark SC trades export</x:v>
      </x:c>
      <x:c r="BB822" s="60" t="str">
        <x:v>https://homerenovation.ie | https://www.linkedin.com/company/homerenovation</x:v>
      </x:c>
      <x:c r="BC822" s="60" t="str"/>
    </x:row>
    <x:row r="823" ht="18" customHeight="1">
      <x:c r="A823" s="70" t="str">
        <x:v>822</x:v>
      </x:c>
      <x:c r="B823" s="70" t="str">
        <x:v>C - Verify</x:v>
      </x:c>
      <x:c r="C823" s="72" t="str">
        <x:v>43</x:v>
      </x:c>
      <x:c r="D823" s="60" t="str">
        <x:v>OConner Construction</x:v>
      </x:c>
      <x:c r="E823" s="60" t="str">
        <x:v>https://bbb.org</x:v>
      </x:c>
      <x:c r="F823" s="60" t="str">
        <x:v>https://www.bbb.org/</x:v>
      </x:c>
      <x:c r="G823" s="60" t="str">
        <x:v>North Augusta</x:v>
      </x:c>
      <x:c r="H823" s="60" t="str">
        <x:v>South Carolina</x:v>
      </x:c>
      <x:c r="I823" s="60" t="str">
        <x:v>General Contractor</x:v>
      </x:c>
      <x:c r="J823" s="60" t="str">
        <x:v>Markie</x:v>
      </x:c>
      <x:c r="K823" s="60" t="str">
        <x:v>O'Conner</x:v>
      </x:c>
      <x:c r="L823" s="60" t="str">
        <x:v>Owner</x:v>
      </x:c>
      <x:c r="M823" s="60" t="str"/>
      <x:c r="N823" s="60" t="str"/>
      <x:c r="O823" s="60" t="str">
        <x:v>+1 803 221 7265</x:v>
      </x:c>
      <x:c r="P823" s="60" t="str">
        <x:v>https://www.linkedin.com/in/markie-o-conner-b3b249b4</x:v>
      </x:c>
      <x:c r="Q823" s="60" t="str">
        <x:v>11-50</x:v>
      </x:c>
      <x:c r="R823" s="60" t="str">
        <x:v>500000-999999</x:v>
      </x:c>
      <x:c r="S823" s="60" t="str"/>
      <x:c r="T823" s="74" t="str">
        <x:v>0</x:v>
      </x:c>
      <x:c r="U823" s="60" t="str"/>
      <x:c r="V823" s="74" t="str">
        <x:v>25</x:v>
      </x:c>
      <x:c r="W823" s="74" t="str">
        <x:v>13</x:v>
      </x:c>
      <x:c r="X823" s="74" t="str">
        <x:v>0</x:v>
      </x:c>
      <x:c r="Y823" s="74" t="str">
        <x:v>0</x:v>
      </x:c>
      <x:c r="Z823" s="74" t="str">
        <x:v>5</x:v>
      </x:c>
      <x:c r="AA823" s="74" t="str">
        <x:v>0</x:v>
      </x:c>
      <x:c r="AB823" s="74" t="str">
        <x:v>1</x:v>
      </x:c>
      <x:c r="AC823" s="74" t="str">
        <x:v>1</x:v>
      </x:c>
      <x:c r="AD823" s="74" t="str">
        <x:v>0</x:v>
      </x:c>
      <x:c r="AE823" s="74" t="str">
        <x:v>0</x:v>
      </x:c>
      <x:c r="AF823" s="74" t="str"/>
      <x:c r="AG823" s="74" t="str">
        <x:v>1</x:v>
      </x:c>
      <x:c r="AH823" s="74" t="str">
        <x:v>0</x:v>
      </x:c>
      <x:c r="AI823" s="74" t="str">
        <x:v>0</x:v>
      </x:c>
      <x:c r="AJ823" s="74" t="str">
        <x:v>0</x:v>
      </x:c>
      <x:c r="AK823" s="74" t="str">
        <x:v>0</x:v>
      </x:c>
      <x:c r="AL823" s="74" t="str">
        <x:v>1</x:v>
      </x:c>
      <x:c r="AM823" s="74" t="str">
        <x:v>1</x:v>
      </x:c>
      <x:c r="AN823" s="74" t="str">
        <x:v>1</x:v>
      </x:c>
      <x:c r="AO823" s="60" t="str">
        <x:v>2026</x:v>
      </x:c>
      <x:c r="AP823" s="76" t="str">
        <x:v>Paid-demand technology detected; creative refresh hypothesis</x:v>
      </x:c>
      <x:c r="AQ823" s="76" t="str">
        <x:v>Google Ads tag</x:v>
      </x:c>
      <x:c r="AR823" s="76" t="str">
        <x:v>I was reviewing general contractor companies in North Augusta, South Carolina and OConner Construction looked like a strong fit for a creative test.</x:v>
      </x:c>
      <x:c r="AS823" s="76" t="str">
        <x:v>project walkthrough with proof milestones</x:v>
      </x:c>
      <x:c r="AT823" s="76" t="str">
        <x:v>OConner Construction ad concept</x:v>
      </x:c>
      <x:c r="AU823" s="76" t="str">
        <x:v>Hi Markie — I was reviewing general contractor companies in North Augusta, South Carolina and OConner Construction looked like a strong fit for a creative test. I mapped a private 15-second project walkthrough with proof milestones for OConner Construction using only public brand context—not for publishing, just to show the angle. We build three client-approved video ad concepts in seven days, then turn the winners into fresh variations. No filming day required. Worth sending the private sample?</x:v>
      </x:c>
      <x:c r="AV823" s="76" t="str">
        <x:v>Quick follow-up: the sample angle is a project walkthrough with proof milestones. If it misses the mark, no problem—I won't keep chasing. Should I send it?</x:v>
      </x:c>
      <x:c r="AW823" s="76" t="str">
        <x:v>Hi Markie, Ryan here. I was looking at OConner Construction's public marketing and noticed: paid-demand technology detected; creative refresh hypothesis. I mapped one private project walkthrough with proof milestones as an example. Did I catch you with 30 seconds?</x:v>
      </x:c>
      <x:c r="AX823" s="60" t="str">
        <x:v>https://www.facebook.com/ads/library/?active_status=active&amp;ad_type=all&amp;country=US&amp;q=OConner%20Construction&amp;search_type=keyword_unordered</x:v>
      </x:c>
      <x:c r="AY823" s="60" t="str">
        <x:v>ok:200</x:v>
      </x:c>
      <x:c r="AZ823" s="60" t="n">
        <x:v>46232.722858796296</x:v>
      </x:c>
      <x:c r="BA823" s="60" t="str">
        <x:v>AI Ark SC trades export</x:v>
      </x:c>
      <x:c r="BB823" s="60" t="str">
        <x:v>https://bbb.org | https://www.linkedin.com/company/oconner-construction</x:v>
      </x:c>
      <x:c r="BC823" s="60" t="str"/>
    </x:row>
    <x:row r="824" ht="18" customHeight="1">
      <x:c r="A824" s="70" t="str">
        <x:v>823</x:v>
      </x:c>
      <x:c r="B824" s="70" t="str">
        <x:v>C - Verify</x:v>
      </x:c>
      <x:c r="C824" s="72" t="str">
        <x:v>43</x:v>
      </x:c>
      <x:c r="D824" s="60" t="str">
        <x:v>SageCare Electric LLC</x:v>
      </x:c>
      <x:c r="E824" s="60" t="str">
        <x:v>https://trustsagecare.com</x:v>
      </x:c>
      <x:c r="F824" s="60" t="str">
        <x:v>https://trustsagecare.com</x:v>
      </x:c>
      <x:c r="G824" s="60" t="str">
        <x:v>Greenville</x:v>
      </x:c>
      <x:c r="H824" s="60" t="str">
        <x:v>South Carolina</x:v>
      </x:c>
      <x:c r="I824" s="60" t="str">
        <x:v>Electrical</x:v>
      </x:c>
      <x:c r="J824" s="60" t="str">
        <x:v>SageCare Electric LLC</x:v>
      </x:c>
      <x:c r="K824" s="60" t="str"/>
      <x:c r="L824" s="60" t="str">
        <x:v>Owner / decision maker to verify</x:v>
      </x:c>
      <x:c r="M824" s="60" t="str"/>
      <x:c r="N824" s="60" t="str"/>
      <x:c r="O824" s="60" t="str">
        <x:v>(864) 238-8678</x:v>
      </x:c>
      <x:c r="P824" s="60" t="str"/>
      <x:c r="Q824" s="60" t="str"/>
      <x:c r="R824" s="60" t="str"/>
      <x:c r="S824" s="60" t="str">
        <x:v>5</x:v>
      </x:c>
      <x:c r="T824" s="74" t="str">
        <x:v>43</x:v>
      </x:c>
      <x:c r="U824" s="60" t="str"/>
      <x:c r="V824" s="74" t="str">
        <x:v>21</x:v>
      </x:c>
      <x:c r="W824" s="74" t="str">
        <x:v>6</x:v>
      </x:c>
      <x:c r="X824" s="74" t="str">
        <x:v>6</x:v>
      </x:c>
      <x:c r="Y824" s="74" t="str">
        <x:v>5</x:v>
      </x:c>
      <x:c r="Z824" s="74" t="str">
        <x:v>5</x:v>
      </x:c>
      <x:c r="AA824" s="74" t="str">
        <x:v>0</x:v>
      </x:c>
      <x:c r="AB824" s="74" t="str">
        <x:v>0</x:v>
      </x:c>
      <x:c r="AC824" s="74" t="str">
        <x:v>1</x:v>
      </x:c>
      <x:c r="AD824" s="74" t="str">
        <x:v>0</x:v>
      </x:c>
      <x:c r="AE824" s="74" t="str">
        <x:v>0</x:v>
      </x:c>
      <x:c r="AF824" s="74" t="str">
        <x:v>podium</x:v>
      </x:c>
      <x:c r="AG824" s="74" t="str">
        <x:v>0</x:v>
      </x:c>
      <x:c r="AH824" s="74" t="str">
        <x:v>0</x:v>
      </x:c>
      <x:c r="AI824" s="74" t="str">
        <x:v>0</x:v>
      </x:c>
      <x:c r="AJ824" s="74" t="str">
        <x:v>0</x:v>
      </x:c>
      <x:c r="AK824" s="74" t="str">
        <x:v>1</x:v>
      </x:c>
      <x:c r="AL824" s="74" t="str">
        <x:v>0</x:v>
      </x:c>
      <x:c r="AM824" s="74" t="str">
        <x:v>1</x:v>
      </x:c>
      <x:c r="AN824" s="74" t="str">
        <x:v>1</x:v>
      </x:c>
      <x:c r="AO824" s="60" t="str">
        <x:v>2026</x:v>
      </x:c>
      <x:c r="AP824" s="76" t="str">
        <x:v>ICP fit; paid-demand need requires manual verification</x:v>
      </x:c>
      <x:c r="AQ824" s="76" t="str">
        <x:v>visible service offer; no embedded homepage video detected</x:v>
      </x:c>
      <x:c r="AR824" s="76" t="str">
        <x:v>I was reviewing electrical companies in Greenville, South Carolina and SageCare Electric LLC looked like a strong fit for a creative test.</x:v>
      </x:c>
      <x:c r="AS824" s="76" t="str">
        <x:v>safety inspection problem/solution ad</x:v>
      </x:c>
      <x:c r="AT824" s="76" t="str">
        <x:v>SageCare Electric LLC ad concept</x:v>
      </x:c>
      <x:c r="AU824" s="76" t="str">
        <x:v>Hi SageCare Electric LLC — I was reviewing electrical companies in Greenville, South Carolina and SageCare Electric LLC looked like a strong fit for a creative test. I mapped a private 15-second safety inspection problem/solution ad for SageCare Electric LLC using only public brand context—not for publishing, just to show the angle. We build three client-approved video ad concepts in seven days, then turn the winners into fresh variations. No filming day required. Worth sending the private sample?</x:v>
      </x:c>
      <x:c r="AV824" s="76" t="str">
        <x:v>Quick follow-up: the sample angle is a safety inspection problem/solution ad. If it misses the mark, no problem—I won't keep chasing. Should I send it?</x:v>
      </x:c>
      <x:c r="AW824" s="76" t="str">
        <x:v>Hi SageCare Electric LLC, Ryan here. I was looking at SageCare Electric LLC's public marketing and noticed: icp fit; paid-demand need requires manual verification. I mapped one private safety inspection problem/solution ad as an example. Did I catch you with 30 seconds?</x:v>
      </x:c>
      <x:c r="AX824" s="60" t="str">
        <x:v>https://www.facebook.com/ads/library/?active_status=active&amp;ad_type=all&amp;country=US&amp;q=SageCare%20Electric%20LLC&amp;search_type=keyword_unordered</x:v>
      </x:c>
      <x:c r="AY824" s="60" t="str">
        <x:v>ok:200</x:v>
      </x:c>
      <x:c r="AZ824" s="60" t="n">
        <x:v>46232.722858796296</x:v>
      </x:c>
      <x:c r="BA824" s="60" t="str">
        <x:v>Google Maps home-services export</x:v>
      </x:c>
      <x:c r="BB824" s="60" t="str">
        <x:v>https://maps.google.com/?cid=5057454025498754932&amp;g_mp=Cidnb29nbGUubWFwcy5wbGFjZXMudjEuUGxhY2VzLlNlYXJjaFRleHQQAhgEIAA | https://trustsagecare.com</x:v>
      </x:c>
      <x:c r="BC824" s="60" t="str"/>
    </x:row>
    <x:row r="825" ht="18" customHeight="1">
      <x:c r="A825" s="70" t="str">
        <x:v>824</x:v>
      </x:c>
      <x:c r="B825" s="70" t="str">
        <x:v>C - Verify</x:v>
      </x:c>
      <x:c r="C825" s="72" t="str">
        <x:v>43</x:v>
      </x:c>
      <x:c r="D825" s="60" t="str">
        <x:v>Spartanburg Garage Door Company</x:v>
      </x:c>
      <x:c r="E825" s="60" t="str">
        <x:v>https://spartanburgdoor.com</x:v>
      </x:c>
      <x:c r="F825" s="60" t="str">
        <x:v>https://spartanburgdoor.com</x:v>
      </x:c>
      <x:c r="G825" s="60" t="str">
        <x:v>Spartanburg</x:v>
      </x:c>
      <x:c r="H825" s="60" t="str">
        <x:v>South Carolina</x:v>
      </x:c>
      <x:c r="I825" s="60" t="str">
        <x:v>Garage Doors</x:v>
      </x:c>
      <x:c r="J825" s="60" t="str">
        <x:v>Spartanburg Garage Door Company</x:v>
      </x:c>
      <x:c r="K825" s="60" t="str"/>
      <x:c r="L825" s="60" t="str">
        <x:v>Owner / decision maker to verify</x:v>
      </x:c>
      <x:c r="M825" s="60" t="str"/>
      <x:c r="N825" s="60" t="str"/>
      <x:c r="O825" s="60" t="str">
        <x:v>(864) 809-8642</x:v>
      </x:c>
      <x:c r="P825" s="60" t="str"/>
      <x:c r="Q825" s="60" t="str"/>
      <x:c r="R825" s="60" t="str"/>
      <x:c r="S825" s="60" t="str">
        <x:v>4.9</x:v>
      </x:c>
      <x:c r="T825" s="74" t="str">
        <x:v>100</x:v>
      </x:c>
      <x:c r="U825" s="60" t="str"/>
      <x:c r="V825" s="74" t="str">
        <x:v>24</x:v>
      </x:c>
      <x:c r="W825" s="74" t="str">
        <x:v>3</x:v>
      </x:c>
      <x:c r="X825" s="74" t="str">
        <x:v>0</x:v>
      </x:c>
      <x:c r="Y825" s="74" t="str">
        <x:v>11</x:v>
      </x:c>
      <x:c r="Z825" s="74" t="str">
        <x:v>5</x:v>
      </x:c>
      <x:c r="AA825" s="74" t="str">
        <x:v>0</x:v>
      </x:c>
      <x:c r="AB825" s="74" t="str">
        <x:v>0</x:v>
      </x:c>
      <x:c r="AC825" s="74" t="str">
        <x:v>1</x:v>
      </x:c>
      <x:c r="AD825" s="74" t="str">
        <x:v>0</x:v>
      </x:c>
      <x:c r="AE825" s="74" t="str">
        <x:v>0</x:v>
      </x:c>
      <x:c r="AF825" s="74" t="str"/>
      <x:c r="AG825" s="74" t="str">
        <x:v>1</x:v>
      </x:c>
      <x:c r="AH825" s="74" t="str">
        <x:v>1</x:v>
      </x:c>
      <x:c r="AI825" s="74" t="str">
        <x:v>0</x:v>
      </x:c>
      <x:c r="AJ825" s="74" t="str">
        <x:v>0</x:v>
      </x:c>
      <x:c r="AK825" s="74" t="str">
        <x:v>1</x:v>
      </x:c>
      <x:c r="AL825" s="74" t="str">
        <x:v>1</x:v>
      </x:c>
      <x:c r="AM825" s="74" t="str">
        <x:v>1</x:v>
      </x:c>
      <x:c r="AN825" s="74" t="str">
        <x:v>0</x:v>
      </x:c>
      <x:c r="AO825" s="60" t="str">
        <x:v>2025</x:v>
      </x:c>
      <x:c r="AP825" s="76" t="str">
        <x:v>ICP fit; paid-demand need requires manual verification</x:v>
      </x:c>
      <x:c r="AQ825" s="76" t="str">
        <x:v>project/gallery proof; visible service offer</x:v>
      </x:c>
      <x:c r="AR825" s="76" t="str">
        <x:v>I was reviewing garage doors companies in Spartanburg, South Carolina and Spartanburg Garage Door Company looked like a strong fit for a creative test.</x:v>
      </x:c>
      <x:c r="AS825" s="76" t="str">
        <x:v>curb-appeal transformation ad</x:v>
      </x:c>
      <x:c r="AT825" s="76" t="str">
        <x:v>Spartanburg Garage Door Company ad concept</x:v>
      </x:c>
      <x:c r="AU825" s="76" t="str">
        <x:v>Hi Spartanburg Garage Door Company — I was reviewing garage doors companies in Spartanburg, South Carolina and Spartanburg Garage Door Company looked like a strong fit for a creative test. I mapped a private 15-second curb-appeal transformation ad for Spartanburg Garage Door Company using only public brand context—not for publishing, just to show the angle. We build three client-approved video ad concepts in seven days, then turn the winners into fresh variations. No filming day required. Worth sending the private sample?</x:v>
      </x:c>
      <x:c r="AV825" s="76" t="str">
        <x:v>Quick follow-up: the sample angle is a curb-appeal transformation ad. If it misses the mark, no problem—I won't keep chasing. Should I send it?</x:v>
      </x:c>
      <x:c r="AW825" s="76" t="str">
        <x:v>Hi Spartanburg Garage Door Company, Ryan here. I was looking at Spartanburg Garage Door Company's public marketing and noticed: icp fit; paid-demand need requires manual verification. I mapped one private curb-appeal transformation ad as an example. Did I catch you with 30 seconds?</x:v>
      </x:c>
      <x:c r="AX825" s="60" t="str">
        <x:v>https://www.facebook.com/ads/library/?active_status=active&amp;ad_type=all&amp;country=US&amp;q=Spartanburg%20Garage%20Door%20Company&amp;search_type=keyword_unordered</x:v>
      </x:c>
      <x:c r="AY825" s="60" t="str">
        <x:v>ok:200</x:v>
      </x:c>
      <x:c r="AZ825" s="60" t="n">
        <x:v>46232.722858796296</x:v>
      </x:c>
      <x:c r="BA825" s="60" t="str">
        <x:v>Google Maps home-services export</x:v>
      </x:c>
      <x:c r="BB825" s="60" t="str">
        <x:v>https://maps.google.com/?cid=13992625993623072785&amp;g_mp=Cidnb29nbGUubWFwcy5wbGFjZXMudjEuUGxhY2VzLlNlYXJjaFRleHQQAhgEIAA | https://spartanburgdoor.com</x:v>
      </x:c>
      <x:c r="BC825" s="60" t="str"/>
    </x:row>
    <x:row r="826" ht="18" customHeight="1">
      <x:c r="A826" s="70" t="str">
        <x:v>825</x:v>
      </x:c>
      <x:c r="B826" s="70" t="str">
        <x:v>C - Verify</x:v>
      </x:c>
      <x:c r="C826" s="72" t="str">
        <x:v>43</x:v>
      </x:c>
      <x:c r="D826" s="60" t="str">
        <x:v>Isbell Services</x:v>
      </x:c>
      <x:c r="E826" s="60" t="str">
        <x:v>https://isbellservices.com</x:v>
      </x:c>
      <x:c r="F826" s="60" t="str">
        <x:v>https://www.isbellservices.com/</x:v>
      </x:c>
      <x:c r="G826" s="60" t="str">
        <x:v>Greenville-spartanburg-anderson</x:v>
      </x:c>
      <x:c r="H826" s="60" t="str">
        <x:v>South Carolina Area</x:v>
      </x:c>
      <x:c r="I826" s="60" t="str">
        <x:v>Windows &amp; Doors</x:v>
      </x:c>
      <x:c r="J826" s="60" t="str">
        <x:v>Jason</x:v>
      </x:c>
      <x:c r="K826" s="60" t="str">
        <x:v>Isbell</x:v>
      </x:c>
      <x:c r="L826" s="60" t="str">
        <x:v>Business Owner</x:v>
      </x:c>
      <x:c r="M826" s="60" t="str"/>
      <x:c r="N826" s="60" t="str"/>
      <x:c r="O826" s="60" t="str">
        <x:v>+1 205 752 0446</x:v>
      </x:c>
      <x:c r="P826" s="60" t="str">
        <x:v>https://www.linkedin.com/in/jason-isbell-008a64197</x:v>
      </x:c>
      <x:c r="Q826" s="60" t="str">
        <x:v>2-10</x:v>
      </x:c>
      <x:c r="R826" s="60" t="str">
        <x:v>100000-499999</x:v>
      </x:c>
      <x:c r="S826" s="60" t="str"/>
      <x:c r="T826" s="74" t="str">
        <x:v>0</x:v>
      </x:c>
      <x:c r="U826" s="60" t="str"/>
      <x:c r="V826" s="74" t="str">
        <x:v>26</x:v>
      </x:c>
      <x:c r="W826" s="74" t="str">
        <x:v>3</x:v>
      </x:c>
      <x:c r="X826" s="74" t="str">
        <x:v>0</x:v>
      </x:c>
      <x:c r="Y826" s="74" t="str">
        <x:v>9</x:v>
      </x:c>
      <x:c r="Z826" s="74" t="str">
        <x:v>5</x:v>
      </x:c>
      <x:c r="AA826" s="74" t="str">
        <x:v>0</x:v>
      </x:c>
      <x:c r="AB826" s="74" t="str">
        <x:v>0</x:v>
      </x:c>
      <x:c r="AC826" s="74" t="str">
        <x:v>1</x:v>
      </x:c>
      <x:c r="AD826" s="74" t="str">
        <x:v>0</x:v>
      </x:c>
      <x:c r="AE826" s="74" t="str">
        <x:v>0</x:v>
      </x:c>
      <x:c r="AF826" s="74" t="str"/>
      <x:c r="AG826" s="74" t="str">
        <x:v>1</x:v>
      </x:c>
      <x:c r="AH826" s="74" t="str">
        <x:v>1</x:v>
      </x:c>
      <x:c r="AI826" s="74" t="str">
        <x:v>1</x:v>
      </x:c>
      <x:c r="AJ826" s="74" t="str">
        <x:v>0</x:v>
      </x:c>
      <x:c r="AK826" s="74" t="str">
        <x:v>0</x:v>
      </x:c>
      <x:c r="AL826" s="74" t="str">
        <x:v>0</x:v>
      </x:c>
      <x:c r="AM826" s="74" t="str">
        <x:v>1</x:v>
      </x:c>
      <x:c r="AN826" s="74" t="str">
        <x:v>1</x:v>
      </x:c>
      <x:c r="AO826" s="60" t="str">
        <x:v>0</x:v>
      </x:c>
      <x:c r="AP826" s="76" t="str">
        <x:v>ICP fit; paid-demand need requires manual verification</x:v>
      </x:c>
      <x:c r="AQ826" s="76" t="str">
        <x:v>project/gallery proof; testimonials</x:v>
      </x:c>
      <x:c r="AR826" s="76" t="str">
        <x:v>I was reviewing windows &amp; doors companies in Greenville-spartanburg-anderson, South Carolina Area and Isbell Services looked like a strong fit for a creative test.</x:v>
      </x:c>
      <x:c r="AS826" s="76" t="str">
        <x:v>energy-loss to installed-window transformation ad</x:v>
      </x:c>
      <x:c r="AT826" s="76" t="str">
        <x:v>Isbell Services ad concept</x:v>
      </x:c>
      <x:c r="AU826" s="76" t="str">
        <x:v>Hi Jason — I was reviewing windows &amp; doors companies in Greenville-spartanburg-anderson, South Carolina Area and Isbell Services looked like a strong fit for a creative test. I mapped a private 15-second energy-loss to installed-window transformation ad for Isbell Services using only public brand context—not for publishing, just to show the angle. We build three client-approved video ad concepts in seven days, then turn the winners into fresh variations. No filming day required. Worth sending the private sample?</x:v>
      </x:c>
      <x:c r="AV826" s="76" t="str">
        <x:v>Quick follow-up: the sample angle is a energy-loss to installed-window transformation ad. If it misses the mark, no problem—I won't keep chasing. Should I send it?</x:v>
      </x:c>
      <x:c r="AW826" s="76" t="str">
        <x:v>Hi Jason, Ryan here. I was looking at Isbell Services's public marketing and noticed: icp fit; paid-demand need requires manual verification. I mapped one private energy-loss to installed-window transformation ad as an example. Did I catch you with 30 seconds?</x:v>
      </x:c>
      <x:c r="AX826" s="60" t="str">
        <x:v>https://www.facebook.com/ads/library/?active_status=active&amp;ad_type=all&amp;country=US&amp;q=Isbell%20Services&amp;search_type=keyword_unordered</x:v>
      </x:c>
      <x:c r="AY826" s="60" t="str">
        <x:v>ok:200</x:v>
      </x:c>
      <x:c r="AZ826" s="60" t="n">
        <x:v>46232.722858796296</x:v>
      </x:c>
      <x:c r="BA826" s="60" t="str">
        <x:v>AI Ark SC trades export</x:v>
      </x:c>
      <x:c r="BB826" s="60" t="str">
        <x:v>https://isbellservices.com | https://www.linkedin.com/company/isbell-services</x:v>
      </x:c>
      <x:c r="BC826" s="60" t="str"/>
    </x:row>
    <x:row r="827" ht="18" customHeight="1">
      <x:c r="A827" s="70" t="str">
        <x:v>826</x:v>
      </x:c>
      <x:c r="B827" s="70" t="str">
        <x:v>C - Verify</x:v>
      </x:c>
      <x:c r="C827" s="72" t="str">
        <x:v>43</x:v>
      </x:c>
      <x:c r="D827" s="60" t="str">
        <x:v>Creasy Construction</x:v>
      </x:c>
      <x:c r="E827" s="60" t="str">
        <x:v>https://creaseyconstruction.com</x:v>
      </x:c>
      <x:c r="F827" s="60" t="str">
        <x:v>https://www.creaseyconstruction.com/</x:v>
      </x:c>
      <x:c r="G827" s="60" t="str">
        <x:v>Greenville-spartanburg-anderson</x:v>
      </x:c>
      <x:c r="H827" s="60" t="str">
        <x:v>South Carolina Area</x:v>
      </x:c>
      <x:c r="I827" s="60" t="str">
        <x:v>General Contractor</x:v>
      </x:c>
      <x:c r="J827" s="60" t="str">
        <x:v>Harry</x:v>
      </x:c>
      <x:c r="K827" s="60" t="str">
        <x:v>Creasy</x:v>
      </x:c>
      <x:c r="L827" s="60" t="str">
        <x:v>Owner</x:v>
      </x:c>
      <x:c r="M827" s="60" t="str"/>
      <x:c r="N827" s="60" t="str"/>
      <x:c r="O827" s="60" t="str"/>
      <x:c r="P827" s="60" t="str">
        <x:v>https://www.linkedin.com/in/harry-creasy-1616721a3</x:v>
      </x:c>
      <x:c r="Q827" s="60" t="str">
        <x:v>11-50</x:v>
      </x:c>
      <x:c r="R827" s="60" t="str">
        <x:v>100000-499999</x:v>
      </x:c>
      <x:c r="S827" s="60" t="str"/>
      <x:c r="T827" s="74" t="str">
        <x:v>0</x:v>
      </x:c>
      <x:c r="U827" s="60" t="str"/>
      <x:c r="V827" s="74" t="str">
        <x:v>23</x:v>
      </x:c>
      <x:c r="W827" s="74" t="str">
        <x:v>3</x:v>
      </x:c>
      <x:c r="X827" s="74" t="str">
        <x:v>6</x:v>
      </x:c>
      <x:c r="Y827" s="74" t="str">
        <x:v>9</x:v>
      </x:c>
      <x:c r="Z827" s="74" t="str">
        <x:v>2</x:v>
      </x:c>
      <x:c r="AA827" s="74" t="str">
        <x:v>0</x:v>
      </x:c>
      <x:c r="AB827" s="74" t="str">
        <x:v>0</x:v>
      </x:c>
      <x:c r="AC827" s="74" t="str">
        <x:v>1</x:v>
      </x:c>
      <x:c r="AD827" s="74" t="str">
        <x:v>0</x:v>
      </x:c>
      <x:c r="AE827" s="74" t="str">
        <x:v>0</x:v>
      </x:c>
      <x:c r="AF827" s="74" t="str"/>
      <x:c r="AG827" s="74" t="str">
        <x:v>0</x:v>
      </x:c>
      <x:c r="AH827" s="74" t="str">
        <x:v>1</x:v>
      </x:c>
      <x:c r="AI827" s="74" t="str">
        <x:v>1</x:v>
      </x:c>
      <x:c r="AJ827" s="74" t="str">
        <x:v>0</x:v>
      </x:c>
      <x:c r="AK827" s="74" t="str">
        <x:v>0</x:v>
      </x:c>
      <x:c r="AL827" s="74" t="str">
        <x:v>1</x:v>
      </x:c>
      <x:c r="AM827" s="74" t="str">
        <x:v>1</x:v>
      </x:c>
      <x:c r="AN827" s="74" t="str">
        <x:v>0</x:v>
      </x:c>
      <x:c r="AO827" s="60" t="str">
        <x:v>0</x:v>
      </x:c>
      <x:c r="AP827" s="76" t="str">
        <x:v>Project/gallery proof found; no embedded homepage video found</x:v>
      </x:c>
      <x:c r="AQ827" s="76" t="str">
        <x:v>project/gallery proof; testimonials; no embedded homepage video detected</x:v>
      </x:c>
      <x:c r="AR827" s="76" t="str">
        <x:v>I found project/gallery proof on Creasy Construction's site that could be repackaged into short-form ad concepts.</x:v>
      </x:c>
      <x:c r="AS827" s="76" t="str">
        <x:v>project walkthrough with proof milestones</x:v>
      </x:c>
      <x:c r="AT827" s="76" t="str">
        <x:v>Creasy Construction ad concept</x:v>
      </x:c>
      <x:c r="AU827" s="76" t="str">
        <x:v>Hi Harry — I found project/gallery proof on Creasy Construction's site that could be repackaged into short-form ad concepts. I mapped a private 15-second project walkthrough with proof milestones for Creasy Construction using only public brand context—not for publishing, just to show the angle. We build three client-approved video ad concepts in seven days, then turn the winners into fresh variations. No filming day required. Worth sending the private sample?</x:v>
      </x:c>
      <x:c r="AV827" s="76" t="str">
        <x:v>Quick follow-up: the sample angle is a project walkthrough with proof milestones. If it misses the mark, no problem—I won't keep chasing. Should I send it?</x:v>
      </x:c>
      <x:c r="AW827" s="76" t="str">
        <x:v>Hi Harry, Ryan here. I was looking at Creasy Construction's public marketing and noticed: project/gallery proof found; no embedded homepage video found. I mapped one private project walkthrough with proof milestones as an example. Did I catch you with 30 seconds?</x:v>
      </x:c>
      <x:c r="AX827" s="60" t="str">
        <x:v>https://www.facebook.com/ads/library/?active_status=active&amp;ad_type=all&amp;country=US&amp;q=Creasy%20Construction&amp;search_type=keyword_unordered</x:v>
      </x:c>
      <x:c r="AY827" s="60" t="str">
        <x:v>ok:200</x:v>
      </x:c>
      <x:c r="AZ827" s="60" t="n">
        <x:v>46232.722858796296</x:v>
      </x:c>
      <x:c r="BA827" s="60" t="str">
        <x:v>AI Ark SC trades export</x:v>
      </x:c>
      <x:c r="BB827" s="60" t="str">
        <x:v>https://creaseyconstruction.com | https://www.linkedin.com/company/creasy-construction</x:v>
      </x:c>
      <x:c r="BC827" s="60" t="str"/>
    </x:row>
    <x:row r="828" ht="18" customHeight="1">
      <x:c r="A828" s="70" t="str">
        <x:v>827</x:v>
      </x:c>
      <x:c r="B828" s="70" t="str">
        <x:v>C - Verify</x:v>
      </x:c>
      <x:c r="C828" s="72" t="str">
        <x:v>43</x:v>
      </x:c>
      <x:c r="D828" s="60" t="str">
        <x:v>Hill Plumbing &amp; Air</x:v>
      </x:c>
      <x:c r="E828" s="60" t="str">
        <x:v>https://hillplumbingandair.com</x:v>
      </x:c>
      <x:c r="F828" s="60" t="str">
        <x:v>https://www.hillplumbingandair.com/</x:v>
      </x:c>
      <x:c r="G828" s="60" t="str">
        <x:v>Florence</x:v>
      </x:c>
      <x:c r="H828" s="60" t="str">
        <x:v>South Carolina</x:v>
      </x:c>
      <x:c r="I828" s="60" t="str">
        <x:v>Plumbing</x:v>
      </x:c>
      <x:c r="J828" s="60" t="str">
        <x:v>Hill Plumbing &amp; Air</x:v>
      </x:c>
      <x:c r="K828" s="60" t="str"/>
      <x:c r="L828" s="60" t="str">
        <x:v>Owner / decision maker to verify</x:v>
      </x:c>
      <x:c r="M828" s="60" t="str"/>
      <x:c r="N828" s="60" t="str"/>
      <x:c r="O828" s="60" t="str">
        <x:v>(803) 773-6689</x:v>
      </x:c>
      <x:c r="P828" s="60" t="str"/>
      <x:c r="Q828" s="60" t="str"/>
      <x:c r="R828" s="60" t="str"/>
      <x:c r="S828" s="60" t="str">
        <x:v>4.5</x:v>
      </x:c>
      <x:c r="T828" s="74" t="str">
        <x:v>245</x:v>
      </x:c>
      <x:c r="U828" s="60" t="str"/>
      <x:c r="V828" s="74" t="str">
        <x:v>24</x:v>
      </x:c>
      <x:c r="W828" s="74" t="str">
        <x:v>3</x:v>
      </x:c>
      <x:c r="X828" s="74" t="str">
        <x:v>4</x:v>
      </x:c>
      <x:c r="Y828" s="74" t="str">
        <x:v>7</x:v>
      </x:c>
      <x:c r="Z828" s="74" t="str">
        <x:v>5</x:v>
      </x:c>
      <x:c r="AA828" s="74" t="str">
        <x:v>0</x:v>
      </x:c>
      <x:c r="AB828" s="74" t="str">
        <x:v>0</x:v>
      </x:c>
      <x:c r="AC828" s="74" t="str">
        <x:v>1</x:v>
      </x:c>
      <x:c r="AD828" s="74" t="str">
        <x:v>0</x:v>
      </x:c>
      <x:c r="AE828" s="74" t="str">
        <x:v>0</x:v>
      </x:c>
      <x:c r="AF828" s="74" t="str"/>
      <x:c r="AG828" s="74" t="str">
        <x:v>1</x:v>
      </x:c>
      <x:c r="AH828" s="74" t="str">
        <x:v>0</x:v>
      </x:c>
      <x:c r="AI828" s="74" t="str">
        <x:v>1</x:v>
      </x:c>
      <x:c r="AJ828" s="74" t="str">
        <x:v>0</x:v>
      </x:c>
      <x:c r="AK828" s="74" t="str">
        <x:v>0</x:v>
      </x:c>
      <x:c r="AL828" s="74" t="str">
        <x:v>0</x:v>
      </x:c>
      <x:c r="AM828" s="74" t="str">
        <x:v>1</x:v>
      </x:c>
      <x:c r="AN828" s="74" t="str">
        <x:v>0</x:v>
      </x:c>
      <x:c r="AO828" s="60" t="str">
        <x:v>2026</x:v>
      </x:c>
      <x:c r="AP828" s="76" t="str">
        <x:v>ICP fit; paid-demand need requires manual verification</x:v>
      </x:c>
      <x:c r="AQ828" s="76" t="str">
        <x:v>testimonials</x:v>
      </x:c>
      <x:c r="AR828" s="76" t="str">
        <x:v>I was reviewing plumbing companies in Florence, South Carolina and Hill Plumbing &amp; Air looked like a strong fit for a creative test.</x:v>
      </x:c>
      <x:c r="AS828" s="76" t="str">
        <x:v>small symptom to prevented-emergency ad</x:v>
      </x:c>
      <x:c r="AT828" s="76" t="str">
        <x:v>Hill Plumbing &amp; Air ad concept</x:v>
      </x:c>
      <x:c r="AU828" s="76" t="str">
        <x:v>Hi Hill Plumbing &amp; Air — I was reviewing plumbing companies in Florence, South Carolina and Hill Plumbing &amp; Air looked like a strong fit for a creative test. I mapped a private 15-second small symptom to prevented-emergency ad for Hill Plumbing &amp; Air using only public brand context—not for publishing, just to show the angle. We build three client-approved video ad concepts in seven days, then turn the winners into fresh variations. No filming day required. Worth sending the private sample?</x:v>
      </x:c>
      <x:c r="AV828" s="76" t="str">
        <x:v>Quick follow-up: the sample angle is a small symptom to prevented-emergency ad. If it misses the mark, no problem—I won't keep chasing. Should I send it?</x:v>
      </x:c>
      <x:c r="AW828" s="76" t="str">
        <x:v>Hi Hill Plumbing &amp; Air, Ryan here. I was looking at Hill Plumbing &amp; Air's public marketing and noticed: icp fit; paid-demand need requires manual verification. I mapped one private small symptom to prevented-emergency ad as an example. Did I catch you with 30 seconds?</x:v>
      </x:c>
      <x:c r="AX828" s="60" t="str">
        <x:v>https://www.facebook.com/ads/library/?active_status=active&amp;ad_type=all&amp;country=US&amp;q=Hill%20Plumbing%20%26%20Air&amp;search_type=keyword_unordered</x:v>
      </x:c>
      <x:c r="AY828" s="60" t="str">
        <x:v>ok:200</x:v>
      </x:c>
      <x:c r="AZ828" s="60" t="n">
        <x:v>46232.722858796296</x:v>
      </x:c>
      <x:c r="BA828" s="60" t="str">
        <x:v>Google Maps home-services export</x:v>
      </x:c>
      <x:c r="BB828" s="60" t="str">
        <x:v>https://hillplumbingandair.com | https://maps.google.com/?cid=5173231974855516640&amp;g_mp=Cidnb29nbGUubWFwcy5wbGFjZXMudjEuUGxhY2VzLlNlYXJjaFRleHQQAhgEIAA</x:v>
      </x:c>
      <x:c r="BC828" s="60" t="str"/>
    </x:row>
    <x:row r="829" ht="18" customHeight="1">
      <x:c r="A829" s="70" t="str">
        <x:v>828</x:v>
      </x:c>
      <x:c r="B829" s="70" t="str">
        <x:v>C - Verify</x:v>
      </x:c>
      <x:c r="C829" s="72" t="str">
        <x:v>43</x:v>
      </x:c>
      <x:c r="D829" s="60" t="str">
        <x:v>Low Country Air Solutions</x:v>
      </x:c>
      <x:c r="E829" s="60" t="str">
        <x:v>https://lowcountryairsolutions.com</x:v>
      </x:c>
      <x:c r="F829" s="60" t="str">
        <x:v>https://lowcountryairsolutions.com</x:v>
      </x:c>
      <x:c r="G829" s="60" t="str">
        <x:v>Beaufort</x:v>
      </x:c>
      <x:c r="H829" s="60" t="str">
        <x:v>South Carolina</x:v>
      </x:c>
      <x:c r="I829" s="60" t="str">
        <x:v>HVAC</x:v>
      </x:c>
      <x:c r="J829" s="60" t="str">
        <x:v>Low Country Air Solutions</x:v>
      </x:c>
      <x:c r="K829" s="60" t="str"/>
      <x:c r="L829" s="60" t="str">
        <x:v>Owner / decision maker to verify</x:v>
      </x:c>
      <x:c r="M829" s="60" t="str"/>
      <x:c r="N829" s="60" t="str"/>
      <x:c r="O829" s="60" t="str">
        <x:v>(843) 322-1999</x:v>
      </x:c>
      <x:c r="P829" s="60" t="str"/>
      <x:c r="Q829" s="60" t="str"/>
      <x:c r="R829" s="60" t="str"/>
      <x:c r="S829" s="60" t="str">
        <x:v>5</x:v>
      </x:c>
      <x:c r="T829" s="74" t="str">
        <x:v>287</x:v>
      </x:c>
      <x:c r="U829" s="60" t="str"/>
      <x:c r="V829" s="74" t="str">
        <x:v>29</x:v>
      </x:c>
      <x:c r="W829" s="74" t="str">
        <x:v>3</x:v>
      </x:c>
      <x:c r="X829" s="74" t="str">
        <x:v>0</x:v>
      </x:c>
      <x:c r="Y829" s="74" t="str">
        <x:v>6</x:v>
      </x:c>
      <x:c r="Z829" s="74" t="str">
        <x:v>5</x:v>
      </x:c>
      <x:c r="AA829" s="74" t="str">
        <x:v>0</x:v>
      </x:c>
      <x:c r="AB829" s="74" t="str">
        <x:v>0</x:v>
      </x:c>
      <x:c r="AC829" s="74" t="str">
        <x:v>1</x:v>
      </x:c>
      <x:c r="AD829" s="74" t="str">
        <x:v>0</x:v>
      </x:c>
      <x:c r="AE829" s="74" t="str">
        <x:v>0</x:v>
      </x:c>
      <x:c r="AF829" s="74" t="str"/>
      <x:c r="AG829" s="74" t="str">
        <x:v>1</x:v>
      </x:c>
      <x:c r="AH829" s="74" t="str">
        <x:v>0</x:v>
      </x:c>
      <x:c r="AI829" s="74" t="str">
        <x:v>0</x:v>
      </x:c>
      <x:c r="AJ829" s="74" t="str">
        <x:v>0</x:v>
      </x:c>
      <x:c r="AK829" s="74" t="str">
        <x:v>1</x:v>
      </x:c>
      <x:c r="AL829" s="74" t="str">
        <x:v>0</x:v>
      </x:c>
      <x:c r="AM829" s="74" t="str">
        <x:v>1</x:v>
      </x:c>
      <x:c r="AN829" s="74" t="str">
        <x:v>1</x:v>
      </x:c>
      <x:c r="AO829" s="60" t="str">
        <x:v>2026</x:v>
      </x:c>
      <x:c r="AP829" s="76" t="str">
        <x:v>ICP fit; paid-demand need requires manual verification</x:v>
      </x:c>
      <x:c r="AQ829" s="76" t="str">
        <x:v>visible service offer</x:v>
      </x:c>
      <x:c r="AR829" s="76" t="str">
        <x:v>I was reviewing hvac companies in Beaufort, South Carolina and Low Country Air Solutions looked like a strong fit for a creative test.</x:v>
      </x:c>
      <x:c r="AS829" s="76" t="str">
        <x:v>no-cool-call to same-day comfort ad</x:v>
      </x:c>
      <x:c r="AT829" s="76" t="str">
        <x:v>Low Country Air Solutions ad concept</x:v>
      </x:c>
      <x:c r="AU829" s="76" t="str">
        <x:v>Hi Low Country Air Solutions — I was reviewing hvac companies in Beaufort, South Carolina and Low Country Air Solutions looked like a strong fit for a creative test. I mapped a private 15-second no-cool-call to same-day comfort ad for Low Country Air Solutions using only public brand context—not for publishing, just to show the angle. We build three client-approved video ad concepts in seven days, then turn the winners into fresh variations. No filming day required. Worth sending the private sample?</x:v>
      </x:c>
      <x:c r="AV829" s="76" t="str">
        <x:v>Quick follow-up: the sample angle is a no-cool-call to same-day comfort ad. If it misses the mark, no problem—I won't keep chasing. Should I send it?</x:v>
      </x:c>
      <x:c r="AW829" s="76" t="str">
        <x:v>Hi Low Country Air Solutions, Ryan here. I was looking at Low Country Air Solutions's public marketing and noticed: icp fit; paid-demand need requires manual verification. I mapped one private no-cool-call to same-day comfort ad as an example. Did I catch you with 30 seconds?</x:v>
      </x:c>
      <x:c r="AX829" s="60" t="str">
        <x:v>https://www.facebook.com/ads/library/?active_status=active&amp;ad_type=all&amp;country=US&amp;q=Low%20Country%20Air%20Solutions&amp;search_type=keyword_unordered</x:v>
      </x:c>
      <x:c r="AY829" s="60" t="str">
        <x:v>ok:200</x:v>
      </x:c>
      <x:c r="AZ829" s="60" t="n">
        <x:v>46232.722858796296</x:v>
      </x:c>
      <x:c r="BA829" s="60" t="str">
        <x:v>Google Maps home-services export</x:v>
      </x:c>
      <x:c r="BB829" s="60" t="str">
        <x:v>https://lowcountryairsolutions.com | https://maps.google.com/?cid=6275054572090121480&amp;g_mp=Cidnb29nbGUubWFwcy5wbGFjZXMudjEuUGxhY2VzLlNlYXJjaFRleHQQAhgEIAA</x:v>
      </x:c>
      <x:c r="BC829" s="60" t="str"/>
    </x:row>
    <x:row r="830" ht="18" customHeight="1">
      <x:c r="A830" s="70" t="str">
        <x:v>829</x:v>
      </x:c>
      <x:c r="B830" s="70" t="str">
        <x:v>C - Verify</x:v>
      </x:c>
      <x:c r="C830" s="72" t="str">
        <x:v>43</x:v>
      </x:c>
      <x:c r="D830" s="60" t="str">
        <x:v>Greenville Electric LLC</x:v>
      </x:c>
      <x:c r="E830" s="60" t="str">
        <x:v>https://greenville-electric.com</x:v>
      </x:c>
      <x:c r="F830" s="60" t="str">
        <x:v>https://www.greenville-electric.com/</x:v>
      </x:c>
      <x:c r="G830" s="60" t="str">
        <x:v>Greenville</x:v>
      </x:c>
      <x:c r="H830" s="60" t="str">
        <x:v>South Carolina</x:v>
      </x:c>
      <x:c r="I830" s="60" t="str">
        <x:v>Electrical</x:v>
      </x:c>
      <x:c r="J830" s="60" t="str">
        <x:v>Greenville Electric LLC</x:v>
      </x:c>
      <x:c r="K830" s="60" t="str"/>
      <x:c r="L830" s="60" t="str">
        <x:v>Owner / decision maker to verify</x:v>
      </x:c>
      <x:c r="M830" s="60" t="str"/>
      <x:c r="N830" s="60" t="str"/>
      <x:c r="O830" s="60" t="str">
        <x:v>(864) 757-2012</x:v>
      </x:c>
      <x:c r="P830" s="60" t="str"/>
      <x:c r="Q830" s="60" t="str"/>
      <x:c r="R830" s="60" t="str"/>
      <x:c r="S830" s="60" t="str">
        <x:v>5</x:v>
      </x:c>
      <x:c r="T830" s="74" t="str">
        <x:v>121</x:v>
      </x:c>
      <x:c r="U830" s="60" t="str"/>
      <x:c r="V830" s="74" t="str">
        <x:v>23</x:v>
      </x:c>
      <x:c r="W830" s="74" t="str">
        <x:v>3</x:v>
      </x:c>
      <x:c r="X830" s="74" t="str">
        <x:v>6</x:v>
      </x:c>
      <x:c r="Y830" s="74" t="str">
        <x:v>6</x:v>
      </x:c>
      <x:c r="Z830" s="74" t="str">
        <x:v>5</x:v>
      </x:c>
      <x:c r="AA830" s="74" t="str">
        <x:v>0</x:v>
      </x:c>
      <x:c r="AB830" s="74" t="str">
        <x:v>0</x:v>
      </x:c>
      <x:c r="AC830" s="74" t="str">
        <x:v>1</x:v>
      </x:c>
      <x:c r="AD830" s="74" t="str">
        <x:v>0</x:v>
      </x:c>
      <x:c r="AE830" s="74" t="str">
        <x:v>0</x:v>
      </x:c>
      <x:c r="AF830" s="74" t="str"/>
      <x:c r="AG830" s="74" t="str">
        <x:v>0</x:v>
      </x:c>
      <x:c r="AH830" s="74" t="str">
        <x:v>0</x:v>
      </x:c>
      <x:c r="AI830" s="74" t="str">
        <x:v>0</x:v>
      </x:c>
      <x:c r="AJ830" s="74" t="str">
        <x:v>0</x:v>
      </x:c>
      <x:c r="AK830" s="74" t="str">
        <x:v>1</x:v>
      </x:c>
      <x:c r="AL830" s="74" t="str">
        <x:v>1</x:v>
      </x:c>
      <x:c r="AM830" s="74" t="str">
        <x:v>1</x:v>
      </x:c>
      <x:c r="AN830" s="74" t="str">
        <x:v>1</x:v>
      </x:c>
      <x:c r="AO830" s="60" t="str">
        <x:v>0</x:v>
      </x:c>
      <x:c r="AP830" s="76" t="str">
        <x:v>121 Google reviews; no embedded homepage video found</x:v>
      </x:c>
      <x:c r="AQ830" s="76" t="str">
        <x:v>visible service offer; no embedded homepage video detected</x:v>
      </x:c>
      <x:c r="AR830" s="76" t="str">
        <x:v>Greenville Electric LLC has 121 Google reviews—strong proof that could be turned into short-form ad concepts.</x:v>
      </x:c>
      <x:c r="AS830" s="76" t="str">
        <x:v>safety inspection problem/solution ad</x:v>
      </x:c>
      <x:c r="AT830" s="76" t="str">
        <x:v>Greenville Electric LLC ad concept</x:v>
      </x:c>
      <x:c r="AU830" s="76" t="str">
        <x:v>Hi Greenville Electric LLC — Greenville Electric LLC has 121 Google reviews—strong proof that could be turned into short-form ad concepts. I mapped a private 15-second safety inspection problem/solution ad for Greenville Electric LLC using only public brand context—not for publishing, just to show the angle. We build three client-approved video ad concepts in seven days, then turn the winners into fresh variations. No filming day required. Worth sending the private sample?</x:v>
      </x:c>
      <x:c r="AV830" s="76" t="str">
        <x:v>Quick follow-up: the sample angle is a safety inspection problem/solution ad. If it misses the mark, no problem—I won't keep chasing. Should I send it?</x:v>
      </x:c>
      <x:c r="AW830" s="76" t="str">
        <x:v>Hi Greenville Electric LLC, Ryan here. I was looking at Greenville Electric LLC's public marketing and noticed: 121 google reviews; no embedded homepage video found. I mapped one private safety inspection problem/solution ad as an example. Did I catch you with 30 seconds?</x:v>
      </x:c>
      <x:c r="AX830" s="60" t="str">
        <x:v>https://www.facebook.com/ads/library/?active_status=active&amp;ad_type=all&amp;country=US&amp;q=Greenville%20Electric%20LLC&amp;search_type=keyword_unordered</x:v>
      </x:c>
      <x:c r="AY830" s="60" t="str">
        <x:v>ok:200</x:v>
      </x:c>
      <x:c r="AZ830" s="60" t="n">
        <x:v>46232.722858796296</x:v>
      </x:c>
      <x:c r="BA830" s="60" t="str">
        <x:v>Google Maps home-services export</x:v>
      </x:c>
      <x:c r="BB830" s="60" t="str">
        <x:v>https://greenville-electric.com | https://maps.google.com/?cid=14803042095478209998&amp;g_mp=Cidnb29nbGUubWFwcy5wbGFjZXMudjEuUGxhY2VzLlNlYXJjaFRleHQQAhgEIAA</x:v>
      </x:c>
      <x:c r="BC830" s="60" t="str"/>
    </x:row>
    <x:row r="831" ht="18" customHeight="1">
      <x:c r="A831" s="70" t="str">
        <x:v>830</x:v>
      </x:c>
      <x:c r="B831" s="70" t="str">
        <x:v>C - Verify</x:v>
      </x:c>
      <x:c r="C831" s="72" t="str">
        <x:v>43</x:v>
      </x:c>
      <x:c r="D831" s="60" t="str">
        <x:v>Floor Crafters Specialist Flooring Company</x:v>
      </x:c>
      <x:c r="E831" s="60" t="str">
        <x:v>https://floorcraftersboulder.com</x:v>
      </x:c>
      <x:c r="F831" s="60" t="str">
        <x:v>https://floorcraftersboulder.com</x:v>
      </x:c>
      <x:c r="G831" s="60" t="str">
        <x:v>Rock Hill</x:v>
      </x:c>
      <x:c r="H831" s="60" t="str">
        <x:v>South Carolina</x:v>
      </x:c>
      <x:c r="I831" s="60" t="str">
        <x:v>Flooring</x:v>
      </x:c>
      <x:c r="J831" s="60" t="str">
        <x:v>David</x:v>
      </x:c>
      <x:c r="K831" s="60" t="str">
        <x:v>Hunt (CBAP) (CSPO)</x:v>
      </x:c>
      <x:c r="L831" s="60" t="str">
        <x:v>CEO / Owner / Operator - Floor Crafters South Charlotte</x:v>
      </x:c>
      <x:c r="M831" s="60" t="str"/>
      <x:c r="N831" s="60" t="str"/>
      <x:c r="O831" s="60" t="str"/>
      <x:c r="P831" s="60" t="str">
        <x:v>https://www.linkedin.com/in/david-hunt-cbap-cspo-9277633</x:v>
      </x:c>
      <x:c r="Q831" s="60" t="str">
        <x:v>11-50</x:v>
      </x:c>
      <x:c r="R831" s="60" t="str">
        <x:v>0-99999</x:v>
      </x:c>
      <x:c r="S831" s="60" t="str"/>
      <x:c r="T831" s="74" t="str">
        <x:v>0</x:v>
      </x:c>
      <x:c r="U831" s="60" t="str"/>
      <x:c r="V831" s="74" t="str">
        <x:v>26</x:v>
      </x:c>
      <x:c r="W831" s="74" t="str">
        <x:v>3</x:v>
      </x:c>
      <x:c r="X831" s="74" t="str">
        <x:v>6</x:v>
      </x:c>
      <x:c r="Y831" s="74" t="str">
        <x:v>6</x:v>
      </x:c>
      <x:c r="Z831" s="74" t="str">
        <x:v>2</x:v>
      </x:c>
      <x:c r="AA831" s="74" t="str">
        <x:v>0</x:v>
      </x:c>
      <x:c r="AB831" s="74" t="str">
        <x:v>0</x:v>
      </x:c>
      <x:c r="AC831" s="74" t="str">
        <x:v>1</x:v>
      </x:c>
      <x:c r="AD831" s="74" t="str">
        <x:v>0</x:v>
      </x:c>
      <x:c r="AE831" s="74" t="str">
        <x:v>0</x:v>
      </x:c>
      <x:c r="AF831" s="74" t="str"/>
      <x:c r="AG831" s="74" t="str">
        <x:v>0</x:v>
      </x:c>
      <x:c r="AH831" s="74" t="str">
        <x:v>0</x:v>
      </x:c>
      <x:c r="AI831" s="74" t="str">
        <x:v>0</x:v>
      </x:c>
      <x:c r="AJ831" s="74" t="str">
        <x:v>1</x:v>
      </x:c>
      <x:c r="AK831" s="74" t="str">
        <x:v>1</x:v>
      </x:c>
      <x:c r="AL831" s="74" t="str">
        <x:v>1</x:v>
      </x:c>
      <x:c r="AM831" s="74" t="str">
        <x:v>1</x:v>
      </x:c>
      <x:c r="AN831" s="74" t="str">
        <x:v>0</x:v>
      </x:c>
      <x:c r="AO831" s="60" t="str">
        <x:v>2026</x:v>
      </x:c>
      <x:c r="AP831" s="76" t="str">
        <x:v>Financing language found; no embedded homepage video found</x:v>
      </x:c>
      <x:c r="AQ831" s="76" t="str">
        <x:v>financing; visible service offer; no embedded homepage video detected</x:v>
      </x:c>
      <x:c r="AR831" s="76" t="str">
        <x:v>I found financing language on Floor Crafters Specialist Flooring Company's site that could make a strong short-form offer angle.</x:v>
      </x:c>
      <x:c r="AS831" s="76" t="str">
        <x:v>room transformation before/after ad</x:v>
      </x:c>
      <x:c r="AT831" s="76" t="str">
        <x:v>Floor Crafters Specialist Flooring Company ad concept</x:v>
      </x:c>
      <x:c r="AU831" s="76" t="str">
        <x:v>Hi David — I found financing language on Floor Crafters Specialist Flooring Company's site that could make a strong short-form offer angle. I mapped a private 15-second room transformation before/after ad for Floor Crafters Specialist Flooring Company using only public brand context—not for publishing, just to show the angle. We build three client-approved video ad concepts in seven days, then turn the winners into fresh variations. No filming day required. Worth sending the private sample?</x:v>
      </x:c>
      <x:c r="AV831" s="76" t="str">
        <x:v>Quick follow-up: the sample angle is a room transformation before/after ad. If it misses the mark, no problem—I won't keep chasing. Should I send it?</x:v>
      </x:c>
      <x:c r="AW831" s="76" t="str">
        <x:v>Hi David, Ryan here. I was looking at Floor Crafters Specialist Flooring Company's public marketing and noticed: financing language found; no embedded homepage video found. I mapped one private room transformation before/after ad as an example. Did I catch you with 30 seconds?</x:v>
      </x:c>
      <x:c r="AX831" s="60" t="str">
        <x:v>https://www.facebook.com/ads/library/?active_status=active&amp;ad_type=all&amp;country=US&amp;q=Floor%20Crafters%20Specialist%20Flooring%20Company&amp;search_type=keyword_unordered</x:v>
      </x:c>
      <x:c r="AY831" s="60" t="str">
        <x:v>ok:200</x:v>
      </x:c>
      <x:c r="AZ831" s="60" t="n">
        <x:v>46232.722858796296</x:v>
      </x:c>
      <x:c r="BA831" s="60" t="str">
        <x:v>AI Ark SC trades export</x:v>
      </x:c>
      <x:c r="BB831" s="60" t="str">
        <x:v>https://floorcraftersboulder.com | https://www.linkedin.com/company/floor-crafters-boulder</x:v>
      </x:c>
      <x:c r="BC831" s="60" t="str"/>
    </x:row>
    <x:row r="832" ht="18" customHeight="1">
      <x:c r="A832" s="70" t="str">
        <x:v>831</x:v>
      </x:c>
      <x:c r="B832" s="70" t="str">
        <x:v>C - Verify</x:v>
      </x:c>
      <x:c r="C832" s="72" t="str">
        <x:v>43</x:v>
      </x:c>
      <x:c r="D832" s="60" t="str">
        <x:v>The Collins Group, Inc.</x:v>
      </x:c>
      <x:c r="E832" s="60" t="str">
        <x:v>https://dabneycollins.com</x:v>
      </x:c>
      <x:c r="F832" s="60" t="str">
        <x:v>https://dabneycollins.com</x:v>
      </x:c>
      <x:c r="G832" s="60" t="str">
        <x:v>Pendleton</x:v>
      </x:c>
      <x:c r="H832" s="60" t="str">
        <x:v>South Carolina</x:v>
      </x:c>
      <x:c r="I832" s="60" t="str">
        <x:v>Landscaping &amp; Tree</x:v>
      </x:c>
      <x:c r="J832" s="60" t="str">
        <x:v>Kenny</x:v>
      </x:c>
      <x:c r="K832" s="60" t="str">
        <x:v>Collins</x:v>
      </x:c>
      <x:c r="L832" s="60" t="str">
        <x:v>Owner</x:v>
      </x:c>
      <x:c r="M832" s="60" t="str">
        <x:v>kenny@dabneycollins.com</x:v>
      </x:c>
      <x:c r="N832" s="60" t="str">
        <x:v>Verified with BounceBan on 08 Jun 26 12:06</x:v>
      </x:c>
      <x:c r="O832" s="60" t="str">
        <x:v>+1 727 564 7674, +1 712 574 2286</x:v>
      </x:c>
      <x:c r="P832" s="60" t="str">
        <x:v>https://www.linkedin.com/in/kenny-collins-64407921</x:v>
      </x:c>
      <x:c r="Q832" s="60" t="str">
        <x:v>11-50</x:v>
      </x:c>
      <x:c r="R832" s="60" t="str">
        <x:v>100000-499999</x:v>
      </x:c>
      <x:c r="S832" s="60" t="str"/>
      <x:c r="T832" s="74" t="str">
        <x:v>0</x:v>
      </x:c>
      <x:c r="U832" s="60" t="str"/>
      <x:c r="V832" s="74" t="str">
        <x:v>25</x:v>
      </x:c>
      <x:c r="W832" s="74" t="str">
        <x:v>3</x:v>
      </x:c>
      <x:c r="X832" s="74" t="str">
        <x:v>0</x:v>
      </x:c>
      <x:c r="Y832" s="74" t="str">
        <x:v>5</x:v>
      </x:c>
      <x:c r="Z832" s="74" t="str">
        <x:v>10</x:v>
      </x:c>
      <x:c r="AA832" s="74" t="str">
        <x:v>0</x:v>
      </x:c>
      <x:c r="AB832" s="74" t="str">
        <x:v>0</x:v>
      </x:c>
      <x:c r="AC832" s="74" t="str">
        <x:v>1</x:v>
      </x:c>
      <x:c r="AD832" s="74" t="str">
        <x:v>0</x:v>
      </x:c>
      <x:c r="AE832" s="74" t="str">
        <x:v>0</x:v>
      </x:c>
      <x:c r="AF832" s="74" t="str"/>
      <x:c r="AG832" s="74" t="str">
        <x:v>1</x:v>
      </x:c>
      <x:c r="AH832" s="74" t="str">
        <x:v>1</x:v>
      </x:c>
      <x:c r="AI832" s="74" t="str">
        <x:v>0</x:v>
      </x:c>
      <x:c r="AJ832" s="74" t="str">
        <x:v>0</x:v>
      </x:c>
      <x:c r="AK832" s="74" t="str">
        <x:v>0</x:v>
      </x:c>
      <x:c r="AL832" s="74" t="str">
        <x:v>1</x:v>
      </x:c>
      <x:c r="AM832" s="74" t="str">
        <x:v>0</x:v>
      </x:c>
      <x:c r="AN832" s="74" t="str">
        <x:v>0</x:v>
      </x:c>
      <x:c r="AO832" s="60" t="str">
        <x:v>0</x:v>
      </x:c>
      <x:c r="AP832" s="76" t="str">
        <x:v>ICP fit; paid-demand need requires manual verification</x:v>
      </x:c>
      <x:c r="AQ832" s="76" t="str">
        <x:v>project/gallery proof</x:v>
      </x:c>
      <x:c r="AR832" s="76" t="str">
        <x:v>I was reviewing landscaping &amp; tree companies in Pendleton, South Carolina and The Collins Group, Inc. looked like a strong fit for a creative test.</x:v>
      </x:c>
      <x:c r="AS832" s="76" t="str">
        <x:v>property transformation ad</x:v>
      </x:c>
      <x:c r="AT832" s="76" t="str">
        <x:v>The Collins Group, Inc. ad concept</x:v>
      </x:c>
      <x:c r="AU832" s="76" t="str">
        <x:v>Hi Kenny — I was reviewing landscaping &amp; tree companies in Pendleton, South Carolina and The Collins Group, Inc. looked like a strong fit for a creative test. I mapped a private 15-second property transformation ad for The Collins Group, Inc. using only public brand context—not for publishing, just to show the angle. We build three client-approved video ad concepts in seven days, then turn the winners into fresh variations. No filming day required. Worth sending the private sample?</x:v>
      </x:c>
      <x:c r="AV832" s="76" t="str">
        <x:v>Quick follow-up: the sample angle is a property transformation ad. If it misses the mark, no problem—I won't keep chasing. Should I send it?</x:v>
      </x:c>
      <x:c r="AW832" s="76" t="str">
        <x:v>Hi Kenny, Ryan here. I was looking at The Collins Group, Inc.'s public marketing and noticed: icp fit; paid-demand need requires manual verification. I mapped one private property transformation ad as an example. Did I catch you with 30 seconds?</x:v>
      </x:c>
      <x:c r="AX832" s="60" t="str">
        <x:v>https://www.facebook.com/ads/library/?active_status=active&amp;ad_type=all&amp;country=US&amp;q=The%20Collins%20Group%2C%20Inc.&amp;search_type=keyword_unordered</x:v>
      </x:c>
      <x:c r="AY832" s="60" t="str">
        <x:v>ok:200</x:v>
      </x:c>
      <x:c r="AZ832" s="60" t="n">
        <x:v>46232.722858796296</x:v>
      </x:c>
      <x:c r="BA832" s="60" t="str">
        <x:v>AI Ark SC trades export</x:v>
      </x:c>
      <x:c r="BB832" s="60" t="str">
        <x:v>https://dabneycollins.com | https://www.linkedin.com/company/the-collins-group-inc.</x:v>
      </x:c>
      <x:c r="BC832" s="60" t="str"/>
    </x:row>
    <x:row r="833" ht="18" customHeight="1">
      <x:c r="A833" s="70" t="str">
        <x:v>832</x:v>
      </x:c>
      <x:c r="B833" s="70" t="str">
        <x:v>C - Verify</x:v>
      </x:c>
      <x:c r="C833" s="72" t="str">
        <x:v>43</x:v>
      </x:c>
      <x:c r="D833" s="60" t="str">
        <x:v>E2 Development</x:v>
      </x:c>
      <x:c r="E833" s="60" t="str">
        <x:v>https://e2development.net</x:v>
      </x:c>
      <x:c r="F833" s="60" t="str">
        <x:v>https://e2development.net</x:v>
      </x:c>
      <x:c r="G833" s="60" t="str">
        <x:v>Charleston County</x:v>
      </x:c>
      <x:c r="H833" s="60" t="str">
        <x:v>South Carolina</x:v>
      </x:c>
      <x:c r="I833" s="60" t="str">
        <x:v>Remodeling</x:v>
      </x:c>
      <x:c r="J833" s="60" t="str">
        <x:v>Cory</x:v>
      </x:c>
      <x:c r="K833" s="60" t="str">
        <x:v>Estep</x:v>
      </x:c>
      <x:c r="L833" s="60" t="str">
        <x:v>Owner</x:v>
      </x:c>
      <x:c r="M833" s="60" t="str">
        <x:v>coryestep@e2development.net</x:v>
      </x:c>
      <x:c r="N833" s="60" t="str">
        <x:v>Verified with BounceBan on 08 Jun 26 12:06</x:v>
      </x:c>
      <x:c r="O833" s="60" t="str">
        <x:v>+1 202 876 5270</x:v>
      </x:c>
      <x:c r="P833" s="60" t="str">
        <x:v>https://www.linkedin.com/in/cory-e2dev</x:v>
      </x:c>
      <x:c r="Q833" s="60" t="str">
        <x:v>2-10</x:v>
      </x:c>
      <x:c r="R833" s="60" t="str">
        <x:v>100000-499999</x:v>
      </x:c>
      <x:c r="S833" s="60" t="str"/>
      <x:c r="T833" s="74" t="str">
        <x:v>0</x:v>
      </x:c>
      <x:c r="U833" s="60" t="str"/>
      <x:c r="V833" s="74" t="str">
        <x:v>25</x:v>
      </x:c>
      <x:c r="W833" s="74" t="str">
        <x:v>3</x:v>
      </x:c>
      <x:c r="X833" s="74" t="str">
        <x:v>0</x:v>
      </x:c>
      <x:c r="Y833" s="74" t="str">
        <x:v>5</x:v>
      </x:c>
      <x:c r="Z833" s="74" t="str">
        <x:v>10</x:v>
      </x:c>
      <x:c r="AA833" s="74" t="str">
        <x:v>0</x:v>
      </x:c>
      <x:c r="AB833" s="74" t="str">
        <x:v>0</x:v>
      </x:c>
      <x:c r="AC833" s="74" t="str">
        <x:v>1</x:v>
      </x:c>
      <x:c r="AD833" s="74" t="str">
        <x:v>0</x:v>
      </x:c>
      <x:c r="AE833" s="74" t="str">
        <x:v>0</x:v>
      </x:c>
      <x:c r="AF833" s="74" t="str"/>
      <x:c r="AG833" s="74" t="str">
        <x:v>1</x:v>
      </x:c>
      <x:c r="AH833" s="74" t="str">
        <x:v>1</x:v>
      </x:c>
      <x:c r="AI833" s="74" t="str">
        <x:v>0</x:v>
      </x:c>
      <x:c r="AJ833" s="74" t="str">
        <x:v>0</x:v>
      </x:c>
      <x:c r="AK833" s="74" t="str">
        <x:v>0</x:v>
      </x:c>
      <x:c r="AL833" s="74" t="str">
        <x:v>1</x:v>
      </x:c>
      <x:c r="AM833" s="74" t="str">
        <x:v>1</x:v>
      </x:c>
      <x:c r="AN833" s="74" t="str">
        <x:v>0</x:v>
      </x:c>
      <x:c r="AO833" s="60" t="str">
        <x:v>2026</x:v>
      </x:c>
      <x:c r="AP833" s="76" t="str">
        <x:v>ICP fit; paid-demand need requires manual verification</x:v>
      </x:c>
      <x:c r="AQ833" s="76" t="str">
        <x:v>project/gallery proof</x:v>
      </x:c>
      <x:c r="AR833" s="76" t="str">
        <x:v>I was reviewing remodeling companies in Charleston County, South Carolina and E2 Development looked like a strong fit for a creative test.</x:v>
      </x:c>
      <x:c r="AS833" s="76" t="str">
        <x:v>project reveal with budget-and-timeline proof</x:v>
      </x:c>
      <x:c r="AT833" s="76" t="str">
        <x:v>E2 Development ad concept</x:v>
      </x:c>
      <x:c r="AU833" s="76" t="str">
        <x:v>Hi Cory — I was reviewing remodeling companies in Charleston County, South Carolina and E2 Development looked like a strong fit for a creative test. I mapped a private 15-second project reveal with budget-and-timeline proof for E2 Development using only public brand context—not for publishing, just to show the angle. We build three client-approved video ad concepts in seven days, then turn the winners into fresh variations. No filming day required. Worth sending the private sample?</x:v>
      </x:c>
      <x:c r="AV833" s="76" t="str">
        <x:v>Quick follow-up: the sample angle is a project reveal with budget-and-timeline proof. If it misses the mark, no problem—I won't keep chasing. Should I send it?</x:v>
      </x:c>
      <x:c r="AW833" s="76" t="str">
        <x:v>Hi Cory, Ryan here. I was looking at E2 Development's public marketing and noticed: icp fit; paid-demand need requires manual verification. I mapped one private project reveal with budget-and-timeline proof as an example. Did I catch you with 30 seconds?</x:v>
      </x:c>
      <x:c r="AX833" s="60" t="str">
        <x:v>https://www.facebook.com/ads/library/?active_status=active&amp;ad_type=all&amp;country=US&amp;q=E2%20Development&amp;search_type=keyword_unordered</x:v>
      </x:c>
      <x:c r="AY833" s="60" t="str">
        <x:v>ok:200</x:v>
      </x:c>
      <x:c r="AZ833" s="60" t="n">
        <x:v>46232.722858796296</x:v>
      </x:c>
      <x:c r="BA833" s="60" t="str">
        <x:v>AI Ark SC trades export</x:v>
      </x:c>
      <x:c r="BB833" s="60" t="str">
        <x:v>https://e2development.net | https://www.linkedin.com/company/e2-development</x:v>
      </x:c>
      <x:c r="BC833" s="60" t="str"/>
    </x:row>
    <x:row r="834" ht="18" customHeight="1">
      <x:c r="A834" s="70" t="str">
        <x:v>833</x:v>
      </x:c>
      <x:c r="B834" s="70" t="str">
        <x:v>C - Verify</x:v>
      </x:c>
      <x:c r="C834" s="72" t="str">
        <x:v>43</x:v>
      </x:c>
      <x:c r="D834" s="60" t="str">
        <x:v>AR Homes®</x:v>
      </x:c>
      <x:c r="E834" s="60" t="str">
        <x:v>https://arhomesfranchising.com</x:v>
      </x:c>
      <x:c r="F834" s="60" t="str">
        <x:v>https://www.arfranchising.com/</x:v>
      </x:c>
      <x:c r="G834" s="60" t="str">
        <x:v>Greenville-spartanburg-anderson</x:v>
      </x:c>
      <x:c r="H834" s="60" t="str">
        <x:v>South Carolina Area</x:v>
      </x:c>
      <x:c r="I834" s="60" t="str">
        <x:v>General Contractor</x:v>
      </x:c>
      <x:c r="J834" s="60" t="str">
        <x:v>Bruce</x:v>
      </x:c>
      <x:c r="K834" s="60" t="str">
        <x:v>Pasquarella</x:v>
      </x:c>
      <x:c r="L834" s="60" t="str">
        <x:v>Franchise Owner</x:v>
      </x:c>
      <x:c r="M834" s="60" t="str"/>
      <x:c r="N834" s="60" t="str"/>
      <x:c r="O834" s="60" t="str">
        <x:v>+1 864 444 7794</x:v>
      </x:c>
      <x:c r="P834" s="60" t="str">
        <x:v>https://www.linkedin.com/in/bruce-pasquarella-a0b89285</x:v>
      </x:c>
      <x:c r="Q834" s="60" t="str">
        <x:v>51-200</x:v>
      </x:c>
      <x:c r="R834" s="60" t="str">
        <x:v>10000000-24999999</x:v>
      </x:c>
      <x:c r="S834" s="60" t="str"/>
      <x:c r="T834" s="74" t="str">
        <x:v>0</x:v>
      </x:c>
      <x:c r="U834" s="60" t="str"/>
      <x:c r="V834" s="74" t="str">
        <x:v>27</x:v>
      </x:c>
      <x:c r="W834" s="74" t="str">
        <x:v>3</x:v>
      </x:c>
      <x:c r="X834" s="74" t="str">
        <x:v>4</x:v>
      </x:c>
      <x:c r="Y834" s="74" t="str">
        <x:v>4</x:v>
      </x:c>
      <x:c r="Z834" s="74" t="str">
        <x:v>5</x:v>
      </x:c>
      <x:c r="AA834" s="74" t="str">
        <x:v>0</x:v>
      </x:c>
      <x:c r="AB834" s="74" t="str">
        <x:v>0</x:v>
      </x:c>
      <x:c r="AC834" s="74" t="str">
        <x:v>1</x:v>
      </x:c>
      <x:c r="AD834" s="74" t="str">
        <x:v>0</x:v>
      </x:c>
      <x:c r="AE834" s="74" t="str">
        <x:v>0</x:v>
      </x:c>
      <x:c r="AF834" s="74" t="str"/>
      <x:c r="AG834" s="74" t="str">
        <x:v>1</x:v>
      </x:c>
      <x:c r="AH834" s="74" t="str">
        <x:v>0</x:v>
      </x:c>
      <x:c r="AI834" s="74" t="str">
        <x:v>1</x:v>
      </x:c>
      <x:c r="AJ834" s="74" t="str">
        <x:v>0</x:v>
      </x:c>
      <x:c r="AK834" s="74" t="str">
        <x:v>0</x:v>
      </x:c>
      <x:c r="AL834" s="74" t="str">
        <x:v>0</x:v>
      </x:c>
      <x:c r="AM834" s="74" t="str">
        <x:v>1</x:v>
      </x:c>
      <x:c r="AN834" s="74" t="str">
        <x:v>0</x:v>
      </x:c>
      <x:c r="AO834" s="60" t="str">
        <x:v>2026</x:v>
      </x:c>
      <x:c r="AP834" s="76" t="str">
        <x:v>ICP fit; paid-demand need requires manual verification</x:v>
      </x:c>
      <x:c r="AQ834" s="76" t="str">
        <x:v>testimonials</x:v>
      </x:c>
      <x:c r="AR834" s="76" t="str">
        <x:v>I was reviewing general contractor companies in Greenville-spartanburg-anderson, South Carolina Area and AR Homes® looked like a strong fit for a creative test.</x:v>
      </x:c>
      <x:c r="AS834" s="76" t="str">
        <x:v>project walkthrough with proof milestones</x:v>
      </x:c>
      <x:c r="AT834" s="76" t="str">
        <x:v>AR Homes® ad concept</x:v>
      </x:c>
      <x:c r="AU834" s="76" t="str">
        <x:v>Hi Bruce — I was reviewing general contractor companies in Greenville-spartanburg-anderson, South Carolina Area and AR Homes® looked like a strong fit for a creative test. I mapped a private 15-second project walkthrough with proof milestones for AR Homes® using only public brand context—not for publishing, just to show the angle. We build three client-approved video ad concepts in seven days, then turn the winners into fresh variations. No filming day required. Worth sending the private sample?</x:v>
      </x:c>
      <x:c r="AV834" s="76" t="str">
        <x:v>Quick follow-up: the sample angle is a project walkthrough with proof milestones. If it misses the mark, no problem—I won't keep chasing. Should I send it?</x:v>
      </x:c>
      <x:c r="AW834" s="76" t="str">
        <x:v>Hi Bruce, Ryan here. I was looking at AR Homes®'s public marketing and noticed: icp fit; paid-demand need requires manual verification. I mapped one private project walkthrough with proof milestones as an example. Did I catch you with 30 seconds?</x:v>
      </x:c>
      <x:c r="AX834" s="60" t="str">
        <x:v>https://www.facebook.com/ads/library/?active_status=active&amp;ad_type=all&amp;country=US&amp;q=AR%20Homes%C2%AE&amp;search_type=keyword_unordered</x:v>
      </x:c>
      <x:c r="AY834" s="60" t="str">
        <x:v>ok:200</x:v>
      </x:c>
      <x:c r="AZ834" s="60" t="n">
        <x:v>46232.722858796296</x:v>
      </x:c>
      <x:c r="BA834" s="60" t="str">
        <x:v>AI Ark SC trades export</x:v>
      </x:c>
      <x:c r="BB834" s="60" t="str">
        <x:v>https://arhomesfranchising.com | https://www.linkedin.com/company/arthur-rutenberg-homes</x:v>
      </x:c>
      <x:c r="BC834" s="60" t="str"/>
    </x:row>
    <x:row r="835" ht="18" customHeight="1">
      <x:c r="A835" s="70" t="str">
        <x:v>834</x:v>
      </x:c>
      <x:c r="B835" s="70" t="str">
        <x:v>C - Verify</x:v>
      </x:c>
      <x:c r="C835" s="72" t="str">
        <x:v>43</x:v>
      </x:c>
      <x:c r="D835" s="60" t="str">
        <x:v>Screenmobile Corporation</x:v>
      </x:c>
      <x:c r="E835" s="60" t="str">
        <x:v>https://screenmobile.com</x:v>
      </x:c>
      <x:c r="F835" s="60" t="str">
        <x:v>https://www.screenmobile.com/</x:v>
      </x:c>
      <x:c r="G835" s="60" t="str">
        <x:v>Charleston</x:v>
      </x:c>
      <x:c r="H835" s="60" t="str">
        <x:v>South Carolina</x:v>
      </x:c>
      <x:c r="I835" s="60" t="str">
        <x:v>Windows &amp; Doors</x:v>
      </x:c>
      <x:c r="J835" s="60" t="str">
        <x:v>Screenmobile</x:v>
      </x:c>
      <x:c r="K835" s="60" t="str">
        <x:v>Charleston</x:v>
      </x:c>
      <x:c r="L835" s="60" t="str">
        <x:v>Business Owner</x:v>
      </x:c>
      <x:c r="M835" s="60" t="str">
        <x:v>charleston@screenmobile.com</x:v>
      </x:c>
      <x:c r="N835" s="60" t="str">
        <x:v>Verified with BounceBan on 07 Jun 26 21:09</x:v>
      </x:c>
      <x:c r="O835" s="60" t="str"/>
      <x:c r="P835" s="60" t="str">
        <x:v>https://www.linkedin.com/in/screenmobile-charleston-057878329</x:v>
      </x:c>
      <x:c r="Q835" s="60" t="str">
        <x:v>11-50</x:v>
      </x:c>
      <x:c r="R835" s="60" t="str">
        <x:v>5000000-9999999</x:v>
      </x:c>
      <x:c r="S835" s="60" t="str"/>
      <x:c r="T835" s="74" t="str">
        <x:v>0</x:v>
      </x:c>
      <x:c r="U835" s="60" t="str"/>
      <x:c r="V835" s="74" t="str">
        <x:v>30</x:v>
      </x:c>
      <x:c r="W835" s="74" t="str">
        <x:v>3</x:v>
      </x:c>
      <x:c r="X835" s="74" t="str">
        <x:v>0</x:v>
      </x:c>
      <x:c r="Y835" s="74" t="str">
        <x:v>3</x:v>
      </x:c>
      <x:c r="Z835" s="74" t="str">
        <x:v>7</x:v>
      </x:c>
      <x:c r="AA835" s="74" t="str">
        <x:v>0</x:v>
      </x:c>
      <x:c r="AB835" s="74" t="str">
        <x:v>0</x:v>
      </x:c>
      <x:c r="AC835" s="74" t="str">
        <x:v>1</x:v>
      </x:c>
      <x:c r="AD835" s="74" t="str">
        <x:v>0</x:v>
      </x:c>
      <x:c r="AE835" s="74" t="str">
        <x:v>0</x:v>
      </x:c>
      <x:c r="AF835" s="74" t="str"/>
      <x:c r="AG835" s="74" t="str">
        <x:v>1</x:v>
      </x:c>
      <x:c r="AH835" s="74" t="str">
        <x:v>0</x:v>
      </x:c>
      <x:c r="AI835" s="74" t="str">
        <x:v>0</x:v>
      </x:c>
      <x:c r="AJ835" s="74" t="str">
        <x:v>0</x:v>
      </x:c>
      <x:c r="AK835" s="74" t="str">
        <x:v>1</x:v>
      </x:c>
      <x:c r="AL835" s="74" t="str">
        <x:v>1</x:v>
      </x:c>
      <x:c r="AM835" s="74" t="str">
        <x:v>1</x:v>
      </x:c>
      <x:c r="AN835" s="74" t="str">
        <x:v>1</x:v>
      </x:c>
      <x:c r="AO835" s="60" t="str">
        <x:v>2026</x:v>
      </x:c>
      <x:c r="AP835" s="76" t="str">
        <x:v>ICP fit; paid-demand need requires manual verification</x:v>
      </x:c>
      <x:c r="AQ835" s="76" t="str">
        <x:v>visible service offer</x:v>
      </x:c>
      <x:c r="AR835" s="76" t="str">
        <x:v>I was reviewing windows &amp; doors companies in Charleston, South Carolina and Screenmobile Corporation looked like a strong fit for a creative test.</x:v>
      </x:c>
      <x:c r="AS835" s="76" t="str">
        <x:v>energy-loss to installed-window transformation ad</x:v>
      </x:c>
      <x:c r="AT835" s="76" t="str">
        <x:v>Screenmobile Corporation ad concept</x:v>
      </x:c>
      <x:c r="AU835" s="76" t="str">
        <x:v>Hi Screenmobile — I was reviewing windows &amp; doors companies in Charleston, South Carolina and Screenmobile Corporation looked like a strong fit for a creative test. I mapped a private 15-second energy-loss to installed-window transformation ad for Screenmobile Corporation using only public brand context—not for publishing, just to show the angle. We build three client-approved video ad concepts in seven days, then turn the winners into fresh variations. No filming day required. Worth sending the private sample?</x:v>
      </x:c>
      <x:c r="AV835" s="76" t="str">
        <x:v>Quick follow-up: the sample angle is a energy-loss to installed-window transformation ad. If it misses the mark, no problem—I won't keep chasing. Should I send it?</x:v>
      </x:c>
      <x:c r="AW835" s="76" t="str">
        <x:v>Hi Screenmobile, Ryan here. I was looking at Screenmobile Corporation's public marketing and noticed: icp fit; paid-demand need requires manual verification. I mapped one private energy-loss to installed-window transformation ad as an example. Did I catch you with 30 seconds?</x:v>
      </x:c>
      <x:c r="AX835" s="60" t="str">
        <x:v>https://www.facebook.com/ads/library/?active_status=active&amp;ad_type=all&amp;country=US&amp;q=Screenmobile%20Corporation&amp;search_type=keyword_unordered</x:v>
      </x:c>
      <x:c r="AY835" s="60" t="str">
        <x:v>ok:200</x:v>
      </x:c>
      <x:c r="AZ835" s="60" t="n">
        <x:v>46232.722858796296</x:v>
      </x:c>
      <x:c r="BA835" s="60" t="str">
        <x:v>AI Ark SC trades export</x:v>
      </x:c>
      <x:c r="BB835" s="60" t="str">
        <x:v>https://screenmobile.com | https://www.linkedin.com/company/screenmobile-corporation</x:v>
      </x:c>
      <x:c r="BC835" s="60" t="str"/>
    </x:row>
    <x:row r="836" ht="18" customHeight="1">
      <x:c r="A836" s="70" t="str">
        <x:v>835</x:v>
      </x:c>
      <x:c r="B836" s="70" t="str">
        <x:v>C - Verify</x:v>
      </x:c>
      <x:c r="C836" s="72" t="str">
        <x:v>43</x:v>
      </x:c>
      <x:c r="D836" s="60" t="str">
        <x:v>Pulliam Restoration</x:v>
      </x:c>
      <x:c r="E836" s="60" t="str">
        <x:v>https://pulliam247.com</x:v>
      </x:c>
      <x:c r="F836" s="60" t="str">
        <x:v>https://pulliam247.com</x:v>
      </x:c>
      <x:c r="G836" s="60" t="str">
        <x:v>Columbia</x:v>
      </x:c>
      <x:c r="H836" s="60" t="str">
        <x:v>South Carolina</x:v>
      </x:c>
      <x:c r="I836" s="60" t="str">
        <x:v>Restoration</x:v>
      </x:c>
      <x:c r="J836" s="60" t="str">
        <x:v>Robert</x:v>
      </x:c>
      <x:c r="K836" s="60" t="str">
        <x:v>Pulliam</x:v>
      </x:c>
      <x:c r="L836" s="60" t="str">
        <x:v>Business Owner</x:v>
      </x:c>
      <x:c r="M836" s="60" t="str">
        <x:v>robert@pulliam247.com</x:v>
      </x:c>
      <x:c r="N836" s="60" t="str">
        <x:v>Verified with BounceBan on 08 Jun 26 12:06</x:v>
      </x:c>
      <x:c r="O836" s="60" t="str"/>
      <x:c r="P836" s="60" t="str">
        <x:v>https://www.linkedin.com/in/robert-pulliam-984008237</x:v>
      </x:c>
      <x:c r="Q836" s="60" t="str">
        <x:v>11-50</x:v>
      </x:c>
      <x:c r="R836" s="60" t="str">
        <x:v>1000000-4999999</x:v>
      </x:c>
      <x:c r="S836" s="60" t="str"/>
      <x:c r="T836" s="74" t="str">
        <x:v>0</x:v>
      </x:c>
      <x:c r="U836" s="60" t="str"/>
      <x:c r="V836" s="74" t="str">
        <x:v>30</x:v>
      </x:c>
      <x:c r="W836" s="74" t="str">
        <x:v>3</x:v>
      </x:c>
      <x:c r="X836" s="74" t="str">
        <x:v>0</x:v>
      </x:c>
      <x:c r="Y836" s="74" t="str">
        <x:v>3</x:v>
      </x:c>
      <x:c r="Z836" s="74" t="str">
        <x:v>7</x:v>
      </x:c>
      <x:c r="AA836" s="74" t="str">
        <x:v>0</x:v>
      </x:c>
      <x:c r="AB836" s="74" t="str">
        <x:v>0</x:v>
      </x:c>
      <x:c r="AC836" s="74" t="str">
        <x:v>1</x:v>
      </x:c>
      <x:c r="AD836" s="74" t="str">
        <x:v>0</x:v>
      </x:c>
      <x:c r="AE836" s="74" t="str">
        <x:v>0</x:v>
      </x:c>
      <x:c r="AF836" s="74" t="str"/>
      <x:c r="AG836" s="74" t="str">
        <x:v>1</x:v>
      </x:c>
      <x:c r="AH836" s="74" t="str">
        <x:v>0</x:v>
      </x:c>
      <x:c r="AI836" s="74" t="str">
        <x:v>0</x:v>
      </x:c>
      <x:c r="AJ836" s="74" t="str">
        <x:v>0</x:v>
      </x:c>
      <x:c r="AK836" s="74" t="str">
        <x:v>1</x:v>
      </x:c>
      <x:c r="AL836" s="74" t="str">
        <x:v>1</x:v>
      </x:c>
      <x:c r="AM836" s="74" t="str">
        <x:v>1</x:v>
      </x:c>
      <x:c r="AN836" s="74" t="str">
        <x:v>0</x:v>
      </x:c>
      <x:c r="AO836" s="60" t="str">
        <x:v>0</x:v>
      </x:c>
      <x:c r="AP836" s="76" t="str">
        <x:v>ICP fit; paid-demand need requires manual verification</x:v>
      </x:c>
      <x:c r="AQ836" s="76" t="str">
        <x:v>visible service offer</x:v>
      </x:c>
      <x:c r="AR836" s="76" t="str">
        <x:v>I was reviewing restoration companies in Columbia, South Carolina and Pulliam Restoration looked like a strong fit for a creative test.</x:v>
      </x:c>
      <x:c r="AS836" s="76" t="str">
        <x:v>first-24-hours emergency-response ad</x:v>
      </x:c>
      <x:c r="AT836" s="76" t="str">
        <x:v>Pulliam Restoration ad concept</x:v>
      </x:c>
      <x:c r="AU836" s="76" t="str">
        <x:v>Hi Robert — I was reviewing restoration companies in Columbia, South Carolina and Pulliam Restoration looked like a strong fit for a creative test. I mapped a private 15-second first-24-hours emergency-response ad for Pulliam Restoration using only public brand context—not for publishing, just to show the angle. We build three client-approved video ad concepts in seven days, then turn the winners into fresh variations. No filming day required. Worth sending the private sample?</x:v>
      </x:c>
      <x:c r="AV836" s="76" t="str">
        <x:v>Quick follow-up: the sample angle is a first-24-hours emergency-response ad. If it misses the mark, no problem—I won't keep chasing. Should I send it?</x:v>
      </x:c>
      <x:c r="AW836" s="76" t="str">
        <x:v>Hi Robert, Ryan here. I was looking at Pulliam Restoration's public marketing and noticed: icp fit; paid-demand need requires manual verification. I mapped one private first-24-hours emergency-response ad as an example. Did I catch you with 30 seconds?</x:v>
      </x:c>
      <x:c r="AX836" s="60" t="str">
        <x:v>https://www.facebook.com/ads/library/?active_status=active&amp;ad_type=all&amp;country=US&amp;q=Pulliam%20Restoration&amp;search_type=keyword_unordered</x:v>
      </x:c>
      <x:c r="AY836" s="60" t="str">
        <x:v>ok:200</x:v>
      </x:c>
      <x:c r="AZ836" s="60" t="n">
        <x:v>46232.722858796296</x:v>
      </x:c>
      <x:c r="BA836" s="60" t="str">
        <x:v>AI Ark SC trades export</x:v>
      </x:c>
      <x:c r="BB836" s="60" t="str">
        <x:v>https://pulliam247.com | https://www.linkedin.com/company/pulliam-restoration</x:v>
      </x:c>
      <x:c r="BC836" s="60" t="str"/>
    </x:row>
    <x:row r="837" ht="18" customHeight="1">
      <x:c r="A837" s="70" t="str">
        <x:v>836</x:v>
      </x:c>
      <x:c r="B837" s="70" t="str">
        <x:v>C - Verify</x:v>
      </x:c>
      <x:c r="C837" s="72" t="str">
        <x:v>43</x:v>
      </x:c>
      <x:c r="D837" s="60" t="str">
        <x:v>Painter1 Franchise</x:v>
      </x:c>
      <x:c r="E837" s="60" t="str">
        <x:v>https://painter1.com</x:v>
      </x:c>
      <x:c r="F837" s="60" t="str">
        <x:v>https://www.painter1.com/</x:v>
      </x:c>
      <x:c r="G837" s="60" t="str">
        <x:v>Mauldin</x:v>
      </x:c>
      <x:c r="H837" s="60" t="str">
        <x:v>South Carolina</x:v>
      </x:c>
      <x:c r="I837" s="60" t="str">
        <x:v>Pools &amp; Spas</x:v>
      </x:c>
      <x:c r="J837" s="60" t="str">
        <x:v>Savannah</x:v>
      </x:c>
      <x:c r="K837" s="60" t="str">
        <x:v>Forrester, M. Eng.</x:v>
      </x:c>
      <x:c r="L837" s="60" t="str">
        <x:v>Owner/Operator</x:v>
      </x:c>
      <x:c r="M837" s="60" t="str"/>
      <x:c r="N837" s="60" t="str"/>
      <x:c r="O837" s="60" t="str">
        <x:v>+1 803 760 5261</x:v>
      </x:c>
      <x:c r="P837" s="60" t="str">
        <x:v>https://www.linkedin.com/in/srforrester</x:v>
      </x:c>
      <x:c r="Q837" s="60" t="str">
        <x:v>2-10</x:v>
      </x:c>
      <x:c r="R837" s="60" t="str">
        <x:v>1000000-4999999</x:v>
      </x:c>
      <x:c r="S837" s="60" t="str"/>
      <x:c r="T837" s="74" t="str">
        <x:v>0</x:v>
      </x:c>
      <x:c r="U837" s="60" t="str"/>
      <x:c r="V837" s="74" t="str">
        <x:v>28</x:v>
      </x:c>
      <x:c r="W837" s="74" t="str">
        <x:v>3</x:v>
      </x:c>
      <x:c r="X837" s="74" t="str">
        <x:v>4</x:v>
      </x:c>
      <x:c r="Y837" s="74" t="str">
        <x:v>3</x:v>
      </x:c>
      <x:c r="Z837" s="74" t="str">
        <x:v>5</x:v>
      </x:c>
      <x:c r="AA837" s="74" t="str">
        <x:v>0</x:v>
      </x:c>
      <x:c r="AB837" s="74" t="str">
        <x:v>0</x:v>
      </x:c>
      <x:c r="AC837" s="74" t="str">
        <x:v>1</x:v>
      </x:c>
      <x:c r="AD837" s="74" t="str">
        <x:v>0</x:v>
      </x:c>
      <x:c r="AE837" s="74" t="str">
        <x:v>0</x:v>
      </x:c>
      <x:c r="AF837" s="74" t="str"/>
      <x:c r="AG837" s="74" t="str">
        <x:v>1</x:v>
      </x:c>
      <x:c r="AH837" s="74" t="str">
        <x:v>0</x:v>
      </x:c>
      <x:c r="AI837" s="74" t="str">
        <x:v>0</x:v>
      </x:c>
      <x:c r="AJ837" s="74" t="str">
        <x:v>0</x:v>
      </x:c>
      <x:c r="AK837" s="74" t="str">
        <x:v>1</x:v>
      </x:c>
      <x:c r="AL837" s="74" t="str">
        <x:v>0</x:v>
      </x:c>
      <x:c r="AM837" s="74" t="str">
        <x:v>1</x:v>
      </x:c>
      <x:c r="AN837" s="74" t="str">
        <x:v>0</x:v>
      </x:c>
      <x:c r="AO837" s="60" t="str">
        <x:v>2026</x:v>
      </x:c>
      <x:c r="AP837" s="76" t="str">
        <x:v>ICP fit; paid-demand need requires manual verification</x:v>
      </x:c>
      <x:c r="AQ837" s="76" t="str">
        <x:v>visible service offer</x:v>
      </x:c>
      <x:c r="AR837" s="76" t="str">
        <x:v>I was reviewing pools &amp; spas companies in Mauldin, South Carolina and Painter1 Franchise looked like a strong fit for a creative test.</x:v>
      </x:c>
      <x:c r="AS837" s="76" t="str">
        <x:v>backyard-before to finished-project reveal</x:v>
      </x:c>
      <x:c r="AT837" s="76" t="str">
        <x:v>Painter1 Franchise ad concept</x:v>
      </x:c>
      <x:c r="AU837" s="76" t="str">
        <x:v>Hi Savannah — I was reviewing pools &amp; spas companies in Mauldin, South Carolina and Painter1 Franchise looked like a strong fit for a creative test. I mapped a private 15-second backyard-before to finished-project reveal for Painter1 Franchise using only public brand context—not for publishing, just to show the angle. We build three client-approved video ad concepts in seven days, then turn the winners into fresh variations. No filming day required. Worth sending the private sample?</x:v>
      </x:c>
      <x:c r="AV837" s="76" t="str">
        <x:v>Quick follow-up: the sample angle is a backyard-before to finished-project reveal. If it misses the mark, no problem—I won't keep chasing. Should I send it?</x:v>
      </x:c>
      <x:c r="AW837" s="76" t="str">
        <x:v>Hi Savannah, Ryan here. I was looking at Painter1 Franchise's public marketing and noticed: icp fit; paid-demand need requires manual verification. I mapped one private backyard-before to finished-project reveal as an example. Did I catch you with 30 seconds?</x:v>
      </x:c>
      <x:c r="AX837" s="60" t="str">
        <x:v>https://www.facebook.com/ads/library/?active_status=active&amp;ad_type=all&amp;country=US&amp;q=Painter1%20Franchise&amp;search_type=keyword_unordered</x:v>
      </x:c>
      <x:c r="AY837" s="60" t="str">
        <x:v>ok:200</x:v>
      </x:c>
      <x:c r="AZ837" s="60" t="n">
        <x:v>46232.722858796296</x:v>
      </x:c>
      <x:c r="BA837" s="60" t="str">
        <x:v>AI Ark SC trades export</x:v>
      </x:c>
      <x:c r="BB837" s="60" t="str">
        <x:v>https://painter1.com | https://www.linkedin.com/company/painter1</x:v>
      </x:c>
      <x:c r="BC837" s="60" t="str"/>
    </x:row>
    <x:row r="838" ht="18" customHeight="1">
      <x:c r="A838" s="70" t="str">
        <x:v>837</x:v>
      </x:c>
      <x:c r="B838" s="70" t="str">
        <x:v>C - Verify</x:v>
      </x:c>
      <x:c r="C838" s="72" t="str">
        <x:v>43</x:v>
      </x:c>
      <x:c r="D838" s="60" t="str">
        <x:v>Lowery-Clarendon Heating and Air</x:v>
      </x:c>
      <x:c r="E838" s="60" t="str">
        <x:v>https://loweryair.com</x:v>
      </x:c>
      <x:c r="F838" s="60" t="str">
        <x:v>https://loweryair.com</x:v>
      </x:c>
      <x:c r="G838" s="60" t="str">
        <x:v>Sumter</x:v>
      </x:c>
      <x:c r="H838" s="60" t="str">
        <x:v>South Carolina</x:v>
      </x:c>
      <x:c r="I838" s="60" t="str">
        <x:v>HVAC</x:v>
      </x:c>
      <x:c r="J838" s="60" t="str">
        <x:v>Lowery-Clarendon Heating and Air</x:v>
      </x:c>
      <x:c r="K838" s="60" t="str"/>
      <x:c r="L838" s="60" t="str">
        <x:v>Owner / decision maker to verify</x:v>
      </x:c>
      <x:c r="M838" s="60" t="str"/>
      <x:c r="N838" s="60" t="str"/>
      <x:c r="O838" s="60" t="str">
        <x:v>(803) 433-2320</x:v>
      </x:c>
      <x:c r="P838" s="60" t="str"/>
      <x:c r="Q838" s="60" t="str"/>
      <x:c r="R838" s="60" t="str"/>
      <x:c r="S838" s="60" t="str">
        <x:v>4.8</x:v>
      </x:c>
      <x:c r="T838" s="74" t="str">
        <x:v>546</x:v>
      </x:c>
      <x:c r="U838" s="60" t="str"/>
      <x:c r="V838" s="74" t="str">
        <x:v>29</x:v>
      </x:c>
      <x:c r="W838" s="74" t="str">
        <x:v>3</x:v>
      </x:c>
      <x:c r="X838" s="74" t="str">
        <x:v>3</x:v>
      </x:c>
      <x:c r="Y838" s="74" t="str">
        <x:v>3</x:v>
      </x:c>
      <x:c r="Z838" s="74" t="str">
        <x:v>5</x:v>
      </x:c>
      <x:c r="AA838" s="74" t="str">
        <x:v>0</x:v>
      </x:c>
      <x:c r="AB838" s="74" t="str">
        <x:v>0</x:v>
      </x:c>
      <x:c r="AC838" s="74" t="str">
        <x:v>1</x:v>
      </x:c>
      <x:c r="AD838" s="74" t="str">
        <x:v>0</x:v>
      </x:c>
      <x:c r="AE838" s="74" t="str">
        <x:v>0</x:v>
      </x:c>
      <x:c r="AF838" s="74" t="str"/>
      <x:c r="AG838" s="74" t="str">
        <x:v>1</x:v>
      </x:c>
      <x:c r="AH838" s="74" t="str">
        <x:v>0</x:v>
      </x:c>
      <x:c r="AI838" s="74" t="str">
        <x:v>0</x:v>
      </x:c>
      <x:c r="AJ838" s="74" t="str">
        <x:v>0</x:v>
      </x:c>
      <x:c r="AK838" s="74" t="str">
        <x:v>0</x:v>
      </x:c>
      <x:c r="AL838" s="74" t="str">
        <x:v>1</x:v>
      </x:c>
      <x:c r="AM838" s="74" t="str">
        <x:v>1</x:v>
      </x:c>
      <x:c r="AN838" s="74" t="str">
        <x:v>0</x:v>
      </x:c>
      <x:c r="AO838" s="60" t="str">
        <x:v>2024</x:v>
      </x:c>
      <x:c r="AP838" s="76" t="str">
        <x:v>ICP fit; paid-demand need requires manual verification</x:v>
      </x:c>
      <x:c r="AQ838" s="76" t="str">
        <x:v>No strong homepage signal detected</x:v>
      </x:c>
      <x:c r="AR838" s="76" t="str">
        <x:v>I was reviewing hvac companies in Sumter, South Carolina and Lowery-Clarendon Heating and Air looked like a strong fit for a creative test.</x:v>
      </x:c>
      <x:c r="AS838" s="76" t="str">
        <x:v>no-cool-call to same-day comfort ad</x:v>
      </x:c>
      <x:c r="AT838" s="76" t="str">
        <x:v>Lowery-Clarendon Heating and Air ad concept</x:v>
      </x:c>
      <x:c r="AU838" s="76" t="str">
        <x:v>Hi Lowery-Clarendon Heating and Air — I was reviewing hvac companies in Sumter, South Carolina and Lowery-Clarendon Heating and Air looked like a strong fit for a creative test. I mapped a private 15-second no-cool-call to same-day comfort ad for Lowery-Clarendon Heating and Air using only public brand context—not for publishing, just to show the angle. We build three client-approved video ad concepts in seven days, then turn the winners into fresh variations. No filming day required. Worth sending the private sample?</x:v>
      </x:c>
      <x:c r="AV838" s="76" t="str">
        <x:v>Quick follow-up: the sample angle is a no-cool-call to same-day comfort ad. If it misses the mark, no problem—I won't keep chasing. Should I send it?</x:v>
      </x:c>
      <x:c r="AW838" s="76" t="str">
        <x:v>Hi Lowery-Clarendon Heating and Air, Ryan here. I was looking at Lowery-Clarendon Heating and Air's public marketing and noticed: icp fit; paid-demand need requires manual verification. I mapped one private no-cool-call to same-day comfort ad as an example. Did I catch you with 30 seconds?</x:v>
      </x:c>
      <x:c r="AX838" s="60" t="str">
        <x:v>https://www.facebook.com/ads/library/?active_status=active&amp;ad_type=all&amp;country=US&amp;q=Lowery-Clarendon%20Heating%20and%20Air&amp;search_type=keyword_unordered</x:v>
      </x:c>
      <x:c r="AY838" s="60" t="str">
        <x:v>ok:200</x:v>
      </x:c>
      <x:c r="AZ838" s="60" t="n">
        <x:v>46232.722858796296</x:v>
      </x:c>
      <x:c r="BA838" s="60" t="str">
        <x:v>Google Maps home-services export</x:v>
      </x:c>
      <x:c r="BB838" s="60" t="str">
        <x:v>https://loweryair.com | https://maps.google.com/?cid=1725043218929092608&amp;g_mp=Cidnb29nbGUubWFwcy5wbGFjZXMudjEuUGxhY2VzLlNlYXJjaFRleHQQAhgEIAA</x:v>
      </x:c>
      <x:c r="BC838" s="60" t="str"/>
    </x:row>
    <x:row r="839" ht="18" customHeight="1">
      <x:c r="A839" s="70" t="str">
        <x:v>838</x:v>
      </x:c>
      <x:c r="B839" s="70" t="str">
        <x:v>C - Verify</x:v>
      </x:c>
      <x:c r="C839" s="72" t="str">
        <x:v>43</x:v>
      </x:c>
      <x:c r="D839" s="60" t="str">
        <x:v>Smoak's Comfort Control</x:v>
      </x:c>
      <x:c r="E839" s="60" t="str">
        <x:v>https://smoakscomfort.com</x:v>
      </x:c>
      <x:c r="F839" s="60" t="str">
        <x:v>https://smoakscomfort.com</x:v>
      </x:c>
      <x:c r="G839" s="60" t="str">
        <x:v>Charleston County</x:v>
      </x:c>
      <x:c r="H839" s="60" t="str">
        <x:v>South Carolina</x:v>
      </x:c>
      <x:c r="I839" s="60" t="str">
        <x:v>HVAC</x:v>
      </x:c>
      <x:c r="J839" s="60" t="str">
        <x:v>William</x:v>
      </x:c>
      <x:c r="K839" s="60" t="str">
        <x:v>Smoak</x:v>
      </x:c>
      <x:c r="L839" s="60" t="str">
        <x:v>Business Owner</x:v>
      </x:c>
      <x:c r="M839" s="60" t="str">
        <x:v>wsmoak@smoakscomfort.com</x:v>
      </x:c>
      <x:c r="N839" s="60" t="str">
        <x:v>Verified with BounceBan on 07 Jun 26 07:00</x:v>
      </x:c>
      <x:c r="O839" s="60" t="str">
        <x:v>+1 843 327 1713</x:v>
      </x:c>
      <x:c r="P839" s="60" t="str">
        <x:v>https://www.linkedin.com/in/william-smoak-0430b22a7</x:v>
      </x:c>
      <x:c r="Q839" s="60" t="str">
        <x:v>11-50</x:v>
      </x:c>
      <x:c r="R839" s="60" t="str">
        <x:v>100000-499999</x:v>
      </x:c>
      <x:c r="S839" s="60" t="str"/>
      <x:c r="T839" s="74" t="str">
        <x:v>0</x:v>
      </x:c>
      <x:c r="U839" s="60" t="str"/>
      <x:c r="V839" s="74" t="str">
        <x:v>30</x:v>
      </x:c>
      <x:c r="W839" s="74" t="str">
        <x:v>3</x:v>
      </x:c>
      <x:c r="X839" s="74" t="str">
        <x:v>0</x:v>
      </x:c>
      <x:c r="Y839" s="74" t="str">
        <x:v>0</x:v>
      </x:c>
      <x:c r="Z839" s="74" t="str">
        <x:v>10</x:v>
      </x:c>
      <x:c r="AA839" s="74" t="str">
        <x:v>0</x:v>
      </x:c>
      <x:c r="AB839" s="74" t="str">
        <x:v>0</x:v>
      </x:c>
      <x:c r="AC839" s="74" t="str">
        <x:v>1</x:v>
      </x:c>
      <x:c r="AD839" s="74" t="str">
        <x:v>0</x:v>
      </x:c>
      <x:c r="AE839" s="74" t="str">
        <x:v>0</x:v>
      </x:c>
      <x:c r="AF839" s="74" t="str"/>
      <x:c r="AG839" s="74" t="str">
        <x:v>1</x:v>
      </x:c>
      <x:c r="AH839" s="74" t="str">
        <x:v>0</x:v>
      </x:c>
      <x:c r="AI839" s="74" t="str">
        <x:v>0</x:v>
      </x:c>
      <x:c r="AJ839" s="74" t="str">
        <x:v>0</x:v>
      </x:c>
      <x:c r="AK839" s="74" t="str">
        <x:v>0</x:v>
      </x:c>
      <x:c r="AL839" s="74" t="str">
        <x:v>0</x:v>
      </x:c>
      <x:c r="AM839" s="74" t="str">
        <x:v>0</x:v>
      </x:c>
      <x:c r="AN839" s="74" t="str">
        <x:v>1</x:v>
      </x:c>
      <x:c r="AO839" s="60" t="str">
        <x:v>0</x:v>
      </x:c>
      <x:c r="AP839" s="76" t="str">
        <x:v>ICP fit; paid-demand need requires manual verification</x:v>
      </x:c>
      <x:c r="AQ839" s="76" t="str">
        <x:v>No strong homepage signal detected</x:v>
      </x:c>
      <x:c r="AR839" s="76" t="str">
        <x:v>I was reviewing hvac companies in Charleston County, South Carolina and Smoak's Comfort Control looked like a strong fit for a creative test.</x:v>
      </x:c>
      <x:c r="AS839" s="76" t="str">
        <x:v>no-cool-call to same-day comfort ad</x:v>
      </x:c>
      <x:c r="AT839" s="76" t="str">
        <x:v>Smoak's Comfort Control ad concept</x:v>
      </x:c>
      <x:c r="AU839" s="76" t="str">
        <x:v>Hi William — I was reviewing hvac companies in Charleston County, South Carolina and Smoak's Comfort Control looked like a strong fit for a creative test. I mapped a private 15-second no-cool-call to same-day comfort ad for Smoak's Comfort Control using only public brand context—not for publishing, just to show the angle. We build three client-approved video ad concepts in seven days, then turn the winners into fresh variations. No filming day required. Worth sending the private sample?</x:v>
      </x:c>
      <x:c r="AV839" s="76" t="str">
        <x:v>Quick follow-up: the sample angle is a no-cool-call to same-day comfort ad. If it misses the mark, no problem—I won't keep chasing. Should I send it?</x:v>
      </x:c>
      <x:c r="AW839" s="76" t="str">
        <x:v>Hi William, Ryan here. I was looking at Smoak's Comfort Control's public marketing and noticed: icp fit; paid-demand need requires manual verification. I mapped one private no-cool-call to same-day comfort ad as an example. Did I catch you with 30 seconds?</x:v>
      </x:c>
      <x:c r="AX839" s="60" t="str">
        <x:v>https://www.facebook.com/ads/library/?active_status=active&amp;ad_type=all&amp;country=US&amp;q=Smoak%27s%20Comfort%20Control&amp;search_type=keyword_unordered</x:v>
      </x:c>
      <x:c r="AY839" s="60" t="str">
        <x:v>ok:200</x:v>
      </x:c>
      <x:c r="AZ839" s="60" t="n">
        <x:v>46232.722858796296</x:v>
      </x:c>
      <x:c r="BA839" s="60" t="str">
        <x:v>AI Ark SC trades export</x:v>
      </x:c>
      <x:c r="BB839" s="60" t="str">
        <x:v>https://smoakscomfort.com | https://www.linkedin.com/company/smoaks-comfort-control</x:v>
      </x:c>
      <x:c r="BC839" s="60" t="str"/>
    </x:row>
    <x:row r="840" ht="18" customHeight="1">
      <x:c r="A840" s="70" t="str">
        <x:v>839</x:v>
      </x:c>
      <x:c r="B840" s="70" t="str">
        <x:v>C - Verify</x:v>
      </x:c>
      <x:c r="C840" s="72" t="str">
        <x:v>43</x:v>
      </x:c>
      <x:c r="D840" s="60" t="str">
        <x:v>Rescom Construction</x:v>
      </x:c>
      <x:c r="E840" s="60" t="str">
        <x:v>https://rescomconstruction.com</x:v>
      </x:c>
      <x:c r="F840" s="60" t="str">
        <x:v>https://rescomconstruction.com</x:v>
      </x:c>
      <x:c r="G840" s="60" t="str">
        <x:v>Greenville-spartanburg-anderson</x:v>
      </x:c>
      <x:c r="H840" s="60" t="str">
        <x:v>South Carolina Area</x:v>
      </x:c>
      <x:c r="I840" s="60" t="str">
        <x:v>Remodeling</x:v>
      </x:c>
      <x:c r="J840" s="60" t="str">
        <x:v>Tyler</x:v>
      </x:c>
      <x:c r="K840" s="60" t="str">
        <x:v>McKee</x:v>
      </x:c>
      <x:c r="L840" s="60" t="str">
        <x:v>Co-Owner/CEO</x:v>
      </x:c>
      <x:c r="M840" s="60" t="str">
        <x:v>tyler@rescomconstruction.com</x:v>
      </x:c>
      <x:c r="N840" s="60" t="str">
        <x:v>Verified with BounceBan on 08 Jun 26 12:06</x:v>
      </x:c>
      <x:c r="O840" s="60" t="str">
        <x:v>+1 864 303 5755</x:v>
      </x:c>
      <x:c r="P840" s="60" t="str">
        <x:v>https://www.linkedin.com/in/tyler-mckee-a8a8641a1</x:v>
      </x:c>
      <x:c r="Q840" s="60" t="str">
        <x:v>11-50</x:v>
      </x:c>
      <x:c r="R840" s="60" t="str">
        <x:v>1000000-4999999</x:v>
      </x:c>
      <x:c r="S840" s="60" t="str"/>
      <x:c r="T840" s="74" t="str">
        <x:v>0</x:v>
      </x:c>
      <x:c r="U840" s="60" t="str"/>
      <x:c r="V840" s="74" t="str">
        <x:v>30</x:v>
      </x:c>
      <x:c r="W840" s="74" t="str">
        <x:v>3</x:v>
      </x:c>
      <x:c r="X840" s="74" t="str">
        <x:v>0</x:v>
      </x:c>
      <x:c r="Y840" s="74" t="str">
        <x:v>0</x:v>
      </x:c>
      <x:c r="Z840" s="74" t="str">
        <x:v>10</x:v>
      </x:c>
      <x:c r="AA840" s="74" t="str">
        <x:v>0</x:v>
      </x:c>
      <x:c r="AB840" s="74" t="str">
        <x:v>0</x:v>
      </x:c>
      <x:c r="AC840" s="74" t="str">
        <x:v>1</x:v>
      </x:c>
      <x:c r="AD840" s="74" t="str">
        <x:v>0</x:v>
      </x:c>
      <x:c r="AE840" s="74" t="str">
        <x:v>0</x:v>
      </x:c>
      <x:c r="AF840" s="74" t="str"/>
      <x:c r="AG840" s="74" t="str">
        <x:v>1</x:v>
      </x:c>
      <x:c r="AH840" s="74" t="str">
        <x:v>0</x:v>
      </x:c>
      <x:c r="AI840" s="74" t="str">
        <x:v>0</x:v>
      </x:c>
      <x:c r="AJ840" s="74" t="str">
        <x:v>0</x:v>
      </x:c>
      <x:c r="AK840" s="74" t="str">
        <x:v>0</x:v>
      </x:c>
      <x:c r="AL840" s="74" t="str">
        <x:v>1</x:v>
      </x:c>
      <x:c r="AM840" s="74" t="str">
        <x:v>1</x:v>
      </x:c>
      <x:c r="AN840" s="74" t="str">
        <x:v>0</x:v>
      </x:c>
      <x:c r="AO840" s="60" t="str">
        <x:v>2026</x:v>
      </x:c>
      <x:c r="AP840" s="76" t="str">
        <x:v>ICP fit; paid-demand need requires manual verification</x:v>
      </x:c>
      <x:c r="AQ840" s="76" t="str">
        <x:v>No strong homepage signal detected</x:v>
      </x:c>
      <x:c r="AR840" s="76" t="str">
        <x:v>I was reviewing remodeling companies in Greenville-spartanburg-anderson, South Carolina Area and Rescom Construction looked like a strong fit for a creative test.</x:v>
      </x:c>
      <x:c r="AS840" s="76" t="str">
        <x:v>project reveal with budget-and-timeline proof</x:v>
      </x:c>
      <x:c r="AT840" s="76" t="str">
        <x:v>Rescom Construction ad concept</x:v>
      </x:c>
      <x:c r="AU840" s="76" t="str">
        <x:v>Hi Tyler — I was reviewing remodeling companies in Greenville-spartanburg-anderson, South Carolina Area and Rescom Construction looked like a strong fit for a creative test. I mapped a private 15-second project reveal with budget-and-timeline proof for Rescom Construction using only public brand context—not for publishing, just to show the angle. We build three client-approved video ad concepts in seven days, then turn the winners into fresh variations. No filming day required. Worth sending the private sample?</x:v>
      </x:c>
      <x:c r="AV840" s="76" t="str">
        <x:v>Quick follow-up: the sample angle is a project reveal with budget-and-timeline proof. If it misses the mark, no problem—I won't keep chasing. Should I send it?</x:v>
      </x:c>
      <x:c r="AW840" s="76" t="str">
        <x:v>Hi Tyler, Ryan here. I was looking at Rescom Construction's public marketing and noticed: icp fit; paid-demand need requires manual verification. I mapped one private project reveal with budget-and-timeline proof as an example. Did I catch you with 30 seconds?</x:v>
      </x:c>
      <x:c r="AX840" s="60" t="str">
        <x:v>https://www.facebook.com/ads/library/?active_status=active&amp;ad_type=all&amp;country=US&amp;q=Rescom%20Construction&amp;search_type=keyword_unordered</x:v>
      </x:c>
      <x:c r="AY840" s="60" t="str">
        <x:v>ok:200</x:v>
      </x:c>
      <x:c r="AZ840" s="60" t="n">
        <x:v>46232.722858796296</x:v>
      </x:c>
      <x:c r="BA840" s="60" t="str">
        <x:v>AI Ark SC trades export</x:v>
      </x:c>
      <x:c r="BB840" s="60" t="str">
        <x:v>https://rescomconstruction.com | https://www.linkedin.com/company/rescom-construction-greenville-spartanburg</x:v>
      </x:c>
      <x:c r="BC840" s="60" t="str"/>
    </x:row>
    <x:row r="841" ht="18" customHeight="1">
      <x:c r="A841" s="70" t="str">
        <x:v>840</x:v>
      </x:c>
      <x:c r="B841" s="70" t="str">
        <x:v>C - Verify</x:v>
      </x:c>
      <x:c r="C841" s="72" t="str">
        <x:v>43</x:v>
      </x:c>
      <x:c r="D841" s="60" t="str">
        <x:v>Esposito Construction, Inc.</x:v>
      </x:c>
      <x:c r="E841" s="60" t="str">
        <x:v>https://espositoconstructioninc.com</x:v>
      </x:c>
      <x:c r="F841" s="60" t="str">
        <x:v>https://espositoconstructioninc.com</x:v>
      </x:c>
      <x:c r="G841" s="60" t="str">
        <x:v>Bluffton</x:v>
      </x:c>
      <x:c r="H841" s="60" t="str">
        <x:v>South Carolina</x:v>
      </x:c>
      <x:c r="I841" s="60" t="str">
        <x:v>General Contractor</x:v>
      </x:c>
      <x:c r="J841" s="60" t="str">
        <x:v>Brian</x:v>
      </x:c>
      <x:c r="K841" s="60" t="str">
        <x:v>Esposito</x:v>
      </x:c>
      <x:c r="L841" s="60" t="str">
        <x:v>Owner</x:v>
      </x:c>
      <x:c r="M841" s="60" t="str">
        <x:v>brian@espositoconstructioninc.com</x:v>
      </x:c>
      <x:c r="N841" s="60" t="str">
        <x:v>Verified with BounceBan on 08 Jun 26 12:06</x:v>
      </x:c>
      <x:c r="O841" s="60" t="str">
        <x:v>+1 843 304 6437</x:v>
      </x:c>
      <x:c r="P841" s="60" t="str">
        <x:v>https://www.linkedin.com/in/brian-esposito-23245617</x:v>
      </x:c>
      <x:c r="Q841" s="60" t="str">
        <x:v>2-10</x:v>
      </x:c>
      <x:c r="R841" s="60" t="str">
        <x:v>1000000-4999999</x:v>
      </x:c>
      <x:c r="S841" s="60" t="str"/>
      <x:c r="T841" s="74" t="str">
        <x:v>0</x:v>
      </x:c>
      <x:c r="U841" s="60" t="str"/>
      <x:c r="V841" s="74" t="str">
        <x:v>24</x:v>
      </x:c>
      <x:c r="W841" s="74" t="str">
        <x:v>3</x:v>
      </x:c>
      <x:c r="X841" s="74" t="str">
        <x:v>6</x:v>
      </x:c>
      <x:c r="Y841" s="74" t="str">
        <x:v>0</x:v>
      </x:c>
      <x:c r="Z841" s="74" t="str">
        <x:v>10</x:v>
      </x:c>
      <x:c r="AA841" s="74" t="str">
        <x:v>0</x:v>
      </x:c>
      <x:c r="AB841" s="74" t="str">
        <x:v>0</x:v>
      </x:c>
      <x:c r="AC841" s="74" t="str">
        <x:v>1</x:v>
      </x:c>
      <x:c r="AD841" s="74" t="str">
        <x:v>0</x:v>
      </x:c>
      <x:c r="AE841" s="74" t="str">
        <x:v>0</x:v>
      </x:c>
      <x:c r="AF841" s="74" t="str"/>
      <x:c r="AG841" s="74" t="str">
        <x:v>0</x:v>
      </x:c>
      <x:c r="AH841" s="74" t="str">
        <x:v>0</x:v>
      </x:c>
      <x:c r="AI841" s="74" t="str">
        <x:v>0</x:v>
      </x:c>
      <x:c r="AJ841" s="74" t="str">
        <x:v>0</x:v>
      </x:c>
      <x:c r="AK841" s="74" t="str">
        <x:v>0</x:v>
      </x:c>
      <x:c r="AL841" s="74" t="str">
        <x:v>1</x:v>
      </x:c>
      <x:c r="AM841" s="74" t="str">
        <x:v>1</x:v>
      </x:c>
      <x:c r="AN841" s="74" t="str">
        <x:v>0</x:v>
      </x:c>
      <x:c r="AO841" s="60" t="str">
        <x:v>0</x:v>
      </x:c>
      <x:c r="AP841" s="76" t="str">
        <x:v>ICP fit; paid-demand need requires manual verification</x:v>
      </x:c>
      <x:c r="AQ841" s="76" t="str">
        <x:v>no embedded homepage video detected</x:v>
      </x:c>
      <x:c r="AR841" s="76" t="str">
        <x:v>I was reviewing general contractor companies in Bluffton, South Carolina and Esposito Construction, Inc. looked like a strong fit for a creative test.</x:v>
      </x:c>
      <x:c r="AS841" s="76" t="str">
        <x:v>project walkthrough with proof milestones</x:v>
      </x:c>
      <x:c r="AT841" s="76" t="str">
        <x:v>Esposito Construction, Inc. ad concept</x:v>
      </x:c>
      <x:c r="AU841" s="76" t="str">
        <x:v>Hi Brian — I was reviewing general contractor companies in Bluffton, South Carolina and Esposito Construction, Inc. looked like a strong fit for a creative test. I mapped a private 15-second project walkthrough with proof milestones for Esposito Construction, Inc. using only public brand context—not for publishing, just to show the angle. We build three client-approved video ad concepts in seven days, then turn the winners into fresh variations. No filming day required. Worth sending the private sample?</x:v>
      </x:c>
      <x:c r="AV841" s="76" t="str">
        <x:v>Quick follow-up: the sample angle is a project walkthrough with proof milestones. If it misses the mark, no problem—I won't keep chasing. Should I send it?</x:v>
      </x:c>
      <x:c r="AW841" s="76" t="str">
        <x:v>Hi Brian, Ryan here. I was looking at Esposito Construction, Inc.'s public marketing and noticed: icp fit; paid-demand need requires manual verification. I mapped one private project walkthrough with proof milestones as an example. Did I catch you with 30 seconds?</x:v>
      </x:c>
      <x:c r="AX841" s="60" t="str">
        <x:v>https://www.facebook.com/ads/library/?active_status=active&amp;ad_type=all&amp;country=US&amp;q=Esposito%20Construction%2C%20Inc.&amp;search_type=keyword_unordered</x:v>
      </x:c>
      <x:c r="AY841" s="60" t="str">
        <x:v>ok:200</x:v>
      </x:c>
      <x:c r="AZ841" s="60" t="n">
        <x:v>46232.722858796296</x:v>
      </x:c>
      <x:c r="BA841" s="60" t="str">
        <x:v>AI Ark SC trades export</x:v>
      </x:c>
      <x:c r="BB841" s="60" t="str">
        <x:v>https://espositoconstructioninc.com | https://www.linkedin.com/company/esposito-construction-inc.</x:v>
      </x:c>
      <x:c r="BC841" s="60" t="str"/>
    </x:row>
    <x:row r="842" ht="18" customHeight="1">
      <x:c r="A842" s="70" t="str">
        <x:v>841</x:v>
      </x:c>
      <x:c r="B842" s="70" t="str">
        <x:v>C - Verify</x:v>
      </x:c>
      <x:c r="C842" s="72" t="str">
        <x:v>43</x:v>
      </x:c>
      <x:c r="D842" s="60" t="str">
        <x:v>Garvin Design Group (Architecture, Interior Design, and Planning)</x:v>
      </x:c>
      <x:c r="E842" s="60" t="str">
        <x:v>https://garvindesigngroup.com</x:v>
      </x:c>
      <x:c r="F842" s="60" t="str">
        <x:v>https://garvindesigngroup.com</x:v>
      </x:c>
      <x:c r="G842" s="60" t="str">
        <x:v>Lexington County</x:v>
      </x:c>
      <x:c r="H842" s="60" t="str">
        <x:v>South Carolina</x:v>
      </x:c>
      <x:c r="I842" s="60" t="str">
        <x:v>General Contractor</x:v>
      </x:c>
      <x:c r="J842" s="60" t="str">
        <x:v>Mark</x:v>
      </x:c>
      <x:c r="K842" s="60" t="str">
        <x:v>Timbes, AIA, LEED AP</x:v>
      </x:c>
      <x:c r="L842" s="60" t="str">
        <x:v>Owner</x:v>
      </x:c>
      <x:c r="M842" s="60" t="str">
        <x:v>mtimbes@garvindesigngroup.com</x:v>
      </x:c>
      <x:c r="N842" s="60" t="str">
        <x:v>Verified with BounceBan on 07 Jun 26 19:00</x:v>
      </x:c>
      <x:c r="O842" s="60" t="str"/>
      <x:c r="P842" s="60" t="str">
        <x:v>https://www.linkedin.com/in/mark-timbes-aia-leed-ap-4a663913</x:v>
      </x:c>
      <x:c r="Q842" s="60" t="str">
        <x:v>11-50</x:v>
      </x:c>
      <x:c r="R842" s="60" t="str">
        <x:v>1000000-4999999</x:v>
      </x:c>
      <x:c r="S842" s="60" t="str"/>
      <x:c r="T842" s="74" t="str">
        <x:v>0</x:v>
      </x:c>
      <x:c r="U842" s="60" t="str"/>
      <x:c r="V842" s="74" t="str">
        <x:v>27</x:v>
      </x:c>
      <x:c r="W842" s="74" t="str">
        <x:v>3</x:v>
      </x:c>
      <x:c r="X842" s="74" t="str">
        <x:v>6</x:v>
      </x:c>
      <x:c r="Y842" s="74" t="str">
        <x:v>0</x:v>
      </x:c>
      <x:c r="Z842" s="74" t="str">
        <x:v>7</x:v>
      </x:c>
      <x:c r="AA842" s="74" t="str">
        <x:v>0</x:v>
      </x:c>
      <x:c r="AB842" s="74" t="str">
        <x:v>0</x:v>
      </x:c>
      <x:c r="AC842" s="74" t="str">
        <x:v>1</x:v>
      </x:c>
      <x:c r="AD842" s="74" t="str">
        <x:v>0</x:v>
      </x:c>
      <x:c r="AE842" s="74" t="str">
        <x:v>0</x:v>
      </x:c>
      <x:c r="AF842" s="74" t="str"/>
      <x:c r="AG842" s="74" t="str">
        <x:v>0</x:v>
      </x:c>
      <x:c r="AH842" s="74" t="str">
        <x:v>0</x:v>
      </x:c>
      <x:c r="AI842" s="74" t="str">
        <x:v>0</x:v>
      </x:c>
      <x:c r="AJ842" s="74" t="str">
        <x:v>0</x:v>
      </x:c>
      <x:c r="AK842" s="74" t="str">
        <x:v>0</x:v>
      </x:c>
      <x:c r="AL842" s="74" t="str">
        <x:v>1</x:v>
      </x:c>
      <x:c r="AM842" s="74" t="str">
        <x:v>1</x:v>
      </x:c>
      <x:c r="AN842" s="74" t="str">
        <x:v>0</x:v>
      </x:c>
      <x:c r="AO842" s="60" t="str">
        <x:v>0</x:v>
      </x:c>
      <x:c r="AP842" s="76" t="str">
        <x:v>ICP fit; paid-demand need requires manual verification</x:v>
      </x:c>
      <x:c r="AQ842" s="76" t="str">
        <x:v>no embedded homepage video detected</x:v>
      </x:c>
      <x:c r="AR842" s="76" t="str">
        <x:v>I was reviewing general contractor companies in Lexington County, South Carolina and Garvin Design Group (Architecture, Interior Design, and Planning) looked like a strong fit for a creative test.</x:v>
      </x:c>
      <x:c r="AS842" s="76" t="str">
        <x:v>project walkthrough with proof milestones</x:v>
      </x:c>
      <x:c r="AT842" s="76" t="str">
        <x:v>Garvin Design Group (Architecture, Interior Design, and Planning) ad concept</x:v>
      </x:c>
      <x:c r="AU842" s="76" t="str">
        <x:v>Hi Mark — I was reviewing general contractor companies in Lexington County, South Carolina and Garvin Design Group (Architecture, Interior Design, and Planning) looked like a strong fit for a creative test. I mapped a private 15-second project walkthrough with proof milestones for Garvin Design Group (Architecture, Interior Design, and Planning) using only public brand context—not for publishing, just to show the angle. We build three client-approved video ad concepts in seven days, then turn the winners into fresh variations. No filming day required. Worth sending the private sample?</x:v>
      </x:c>
      <x:c r="AV842" s="76" t="str">
        <x:v>Quick follow-up: the sample angle is a project walkthrough with proof milestones. If it misses the mark, no problem—I won't keep chasing. Should I send it?</x:v>
      </x:c>
      <x:c r="AW842" s="76" t="str">
        <x:v>Hi Mark, Ryan here. I was looking at Garvin Design Group (Architecture, Interior Design, and Planning)'s public marketing and noticed: icp fit; paid-demand need requires manual verification. I mapped one private project walkthrough with proof milestones as an example. Did I catch you with 30 seconds?</x:v>
      </x:c>
      <x:c r="AX842" s="60" t="str">
        <x:v>https://www.facebook.com/ads/library/?active_status=active&amp;ad_type=all&amp;country=US&amp;q=Garvin%20Design%20Group%20%28Architecture%2C%20Interior%20Design%2C%20and%20Planning%29&amp;search_type=keyword_unordered</x:v>
      </x:c>
      <x:c r="AY842" s="60" t="str">
        <x:v>ok:200</x:v>
      </x:c>
      <x:c r="AZ842" s="60" t="n">
        <x:v>46232.722858796296</x:v>
      </x:c>
      <x:c r="BA842" s="60" t="str">
        <x:v>AI Ark SC trades export</x:v>
      </x:c>
      <x:c r="BB842" s="60" t="str">
        <x:v>https://garvindesigngroup.com | https://www.linkedin.com/company/garvin-design-group</x:v>
      </x:c>
      <x:c r="BC842" s="60" t="str"/>
    </x:row>
    <x:row r="843" ht="18" customHeight="1">
      <x:c r="A843" s="70" t="str">
        <x:v>842</x:v>
      </x:c>
      <x:c r="B843" s="70" t="str">
        <x:v>C - Verify</x:v>
      </x:c>
      <x:c r="C843" s="72" t="str">
        <x:v>43</x:v>
      </x:c>
      <x:c r="D843" s="60" t="str">
        <x:v>BellMoore Construction</x:v>
      </x:c>
      <x:c r="E843" s="60" t="str">
        <x:v>https://bellmooresc.com</x:v>
      </x:c>
      <x:c r="F843" s="60" t="str">
        <x:v>https://www.bellmooresc.com/</x:v>
      </x:c>
      <x:c r="G843" s="60" t="str">
        <x:v>Greenville</x:v>
      </x:c>
      <x:c r="H843" s="60" t="str">
        <x:v>South Carolina</x:v>
      </x:c>
      <x:c r="I843" s="60" t="str">
        <x:v>Remodeling</x:v>
      </x:c>
      <x:c r="J843" s="60" t="str">
        <x:v>Claudia</x:v>
      </x:c>
      <x:c r="K843" s="60" t="str">
        <x:v>Bell Moore</x:v>
      </x:c>
      <x:c r="L843" s="60" t="str">
        <x:v>Owner and Chief Executive Officer</x:v>
      </x:c>
      <x:c r="M843" s="60" t="str"/>
      <x:c r="N843" s="60" t="str"/>
      <x:c r="O843" s="60" t="str">
        <x:v>+1 864 313 0161</x:v>
      </x:c>
      <x:c r="P843" s="60" t="str">
        <x:v>https://www.linkedin.com/in/claudia-bell-moore-54a3b846</x:v>
      </x:c>
      <x:c r="Q843" s="60" t="str">
        <x:v>2-10</x:v>
      </x:c>
      <x:c r="R843" s="60" t="str">
        <x:v>0-99999</x:v>
      </x:c>
      <x:c r="S843" s="60" t="str"/>
      <x:c r="T843" s="74" t="str">
        <x:v>0</x:v>
      </x:c>
      <x:c r="U843" s="60" t="str"/>
      <x:c r="V843" s="74" t="str">
        <x:v>25</x:v>
      </x:c>
      <x:c r="W843" s="74" t="str">
        <x:v>3</x:v>
      </x:c>
      <x:c r="X843" s="74" t="str">
        <x:v>10</x:v>
      </x:c>
      <x:c r="Y843" s="74" t="str">
        <x:v>0</x:v>
      </x:c>
      <x:c r="Z843" s="74" t="str">
        <x:v>5</x:v>
      </x:c>
      <x:c r="AA843" s="74" t="str">
        <x:v>0</x:v>
      </x:c>
      <x:c r="AB843" s="74" t="str">
        <x:v>0</x:v>
      </x:c>
      <x:c r="AC843" s="74" t="str">
        <x:v>1</x:v>
      </x:c>
      <x:c r="AD843" s="74" t="str">
        <x:v>0</x:v>
      </x:c>
      <x:c r="AE843" s="74" t="str">
        <x:v>0</x:v>
      </x:c>
      <x:c r="AF843" s="74" t="str"/>
      <x:c r="AG843" s="74" t="str">
        <x:v>0</x:v>
      </x:c>
      <x:c r="AH843" s="74" t="str">
        <x:v>0</x:v>
      </x:c>
      <x:c r="AI843" s="74" t="str">
        <x:v>0</x:v>
      </x:c>
      <x:c r="AJ843" s="74" t="str">
        <x:v>0</x:v>
      </x:c>
      <x:c r="AK843" s="74" t="str">
        <x:v>0</x:v>
      </x:c>
      <x:c r="AL843" s="74" t="str">
        <x:v>0</x:v>
      </x:c>
      <x:c r="AM843" s="74" t="str">
        <x:v>1</x:v>
      </x:c>
      <x:c r="AN843" s="74" t="str">
        <x:v>0</x:v>
      </x:c>
      <x:c r="AO843" s="60" t="str">
        <x:v>0</x:v>
      </x:c>
      <x:c r="AP843" s="76" t="str">
        <x:v>ICP fit; paid-demand need requires manual verification</x:v>
      </x:c>
      <x:c r="AQ843" s="76" t="str">
        <x:v>no embedded homepage video detected</x:v>
      </x:c>
      <x:c r="AR843" s="76" t="str">
        <x:v>I was reviewing remodeling companies in Greenville, South Carolina and BellMoore Construction looked like a strong fit for a creative test.</x:v>
      </x:c>
      <x:c r="AS843" s="76" t="str">
        <x:v>project reveal with budget-and-timeline proof</x:v>
      </x:c>
      <x:c r="AT843" s="76" t="str">
        <x:v>BellMoore Construction ad concept</x:v>
      </x:c>
      <x:c r="AU843" s="76" t="str">
        <x:v>Hi Claudia — I was reviewing remodeling companies in Greenville, South Carolina and BellMoore Construction looked like a strong fit for a creative test. I mapped a private 15-second project reveal with budget-and-timeline proof for BellMoore Construction using only public brand context—not for publishing, just to show the angle. We build three client-approved video ad concepts in seven days, then turn the winners into fresh variations. No filming day required. Worth sending the private sample?</x:v>
      </x:c>
      <x:c r="AV843" s="76" t="str">
        <x:v>Quick follow-up: the sample angle is a project reveal with budget-and-timeline proof. If it misses the mark, no problem—I won't keep chasing. Should I send it?</x:v>
      </x:c>
      <x:c r="AW843" s="76" t="str">
        <x:v>Hi Claudia, Ryan here. I was looking at BellMoore Construction's public marketing and noticed: icp fit; paid-demand need requires manual verification. I mapped one private project reveal with budget-and-timeline proof as an example. Did I catch you with 30 seconds?</x:v>
      </x:c>
      <x:c r="AX843" s="60" t="str">
        <x:v>https://www.facebook.com/ads/library/?active_status=active&amp;ad_type=all&amp;country=US&amp;q=BellMoore%20Construction&amp;search_type=keyword_unordered</x:v>
      </x:c>
      <x:c r="AY843" s="60" t="str">
        <x:v>ok:200</x:v>
      </x:c>
      <x:c r="AZ843" s="60" t="n">
        <x:v>46232.722858796296</x:v>
      </x:c>
      <x:c r="BA843" s="60" t="str">
        <x:v>AI Ark SC trades export</x:v>
      </x:c>
      <x:c r="BB843" s="60" t="str">
        <x:v>https://bellmooresc.com | https://www.linkedin.com/company/bellmoore-construction</x:v>
      </x:c>
      <x:c r="BC843" s="60" t="str"/>
    </x:row>
    <x:row r="844" ht="18" customHeight="1">
      <x:c r="A844" s="70" t="str">
        <x:v>843</x:v>
      </x:c>
      <x:c r="B844" s="70" t="str">
        <x:v>C - Verify</x:v>
      </x:c>
      <x:c r="C844" s="72" t="str">
        <x:v>43</x:v>
      </x:c>
      <x:c r="D844" s="60" t="str">
        <x:v>Simply Southern Homebuilder</x:v>
      </x:c>
      <x:c r="E844" s="60" t="str">
        <x:v>https://simplysouthernhomebuilder.com</x:v>
      </x:c>
      <x:c r="F844" s="60" t="str">
        <x:v>https://simplysouthernhomebuilder.com</x:v>
      </x:c>
      <x:c r="G844" s="60" t="str">
        <x:v>Bluffton</x:v>
      </x:c>
      <x:c r="H844" s="60" t="str">
        <x:v>South Carolina</x:v>
      </x:c>
      <x:c r="I844" s="60" t="str">
        <x:v>General Contractor</x:v>
      </x:c>
      <x:c r="J844" s="60" t="str">
        <x:v>Lisa</x:v>
      </x:c>
      <x:c r="K844" s="60" t="str">
        <x:v>Cornelius</x:v>
      </x:c>
      <x:c r="L844" s="60" t="str">
        <x:v>President/Owner</x:v>
      </x:c>
      <x:c r="M844" s="60" t="str">
        <x:v>lisa@simplysouthernhomebuilder.com</x:v>
      </x:c>
      <x:c r="N844" s="60" t="str">
        <x:v>Verified with BounceBan on 08 Jun 26 12:06</x:v>
      </x:c>
      <x:c r="O844" s="60" t="str">
        <x:v>+1 843 368 4164</x:v>
      </x:c>
      <x:c r="P844" s="60" t="str">
        <x:v>https://www.linkedin.com/in/lisa-cornelius-02866329</x:v>
      </x:c>
      <x:c r="Q844" s="60" t="str">
        <x:v>2-10</x:v>
      </x:c>
      <x:c r="R844" s="60" t="str">
        <x:v>100000-499999</x:v>
      </x:c>
      <x:c r="S844" s="60" t="str"/>
      <x:c r="T844" s="74" t="str">
        <x:v>0</x:v>
      </x:c>
      <x:c r="U844" s="60" t="str"/>
      <x:c r="V844" s="74" t="str">
        <x:v>20</x:v>
      </x:c>
      <x:c r="W844" s="74" t="str">
        <x:v>0</x:v>
      </x:c>
      <x:c r="X844" s="74" t="str">
        <x:v>4</x:v>
      </x:c>
      <x:c r="Y844" s="74" t="str">
        <x:v>9</x:v>
      </x:c>
      <x:c r="Z844" s="74" t="str">
        <x:v>10</x:v>
      </x:c>
      <x:c r="AA844" s="74" t="str">
        <x:v>0</x:v>
      </x:c>
      <x:c r="AB844" s="74" t="str">
        <x:v>0</x:v>
      </x:c>
      <x:c r="AC844" s="74" t="str">
        <x:v>0</x:v>
      </x:c>
      <x:c r="AD844" s="74" t="str">
        <x:v>0</x:v>
      </x:c>
      <x:c r="AE844" s="74" t="str">
        <x:v>0</x:v>
      </x:c>
      <x:c r="AF844" s="74" t="str"/>
      <x:c r="AG844" s="74" t="str">
        <x:v>1</x:v>
      </x:c>
      <x:c r="AH844" s="74" t="str">
        <x:v>1</x:v>
      </x:c>
      <x:c r="AI844" s="74" t="str">
        <x:v>1</x:v>
      </x:c>
      <x:c r="AJ844" s="74" t="str">
        <x:v>0</x:v>
      </x:c>
      <x:c r="AK844" s="74" t="str">
        <x:v>0</x:v>
      </x:c>
      <x:c r="AL844" s="74" t="str">
        <x:v>0</x:v>
      </x:c>
      <x:c r="AM844" s="74" t="str">
        <x:v>1</x:v>
      </x:c>
      <x:c r="AN844" s="74" t="str">
        <x:v>0</x:v>
      </x:c>
      <x:c r="AO844" s="60" t="str">
        <x:v>0</x:v>
      </x:c>
      <x:c r="AP844" s="76" t="str">
        <x:v>ICP fit; paid-demand need requires manual verification</x:v>
      </x:c>
      <x:c r="AQ844" s="76" t="str">
        <x:v>project/gallery proof; testimonials</x:v>
      </x:c>
      <x:c r="AR844" s="76" t="str">
        <x:v>I was reviewing general contractor companies in Bluffton, South Carolina and Simply Southern Homebuilder looked like a strong fit for a creative test.</x:v>
      </x:c>
      <x:c r="AS844" s="76" t="str">
        <x:v>project walkthrough with proof milestones</x:v>
      </x:c>
      <x:c r="AT844" s="76" t="str">
        <x:v>Simply Southern Homebuilder ad concept</x:v>
      </x:c>
      <x:c r="AU844" s="76" t="str">
        <x:v>Hi Lisa — I was reviewing general contractor companies in Bluffton, South Carolina and Simply Southern Homebuilder looked like a strong fit for a creative test. I mapped a private 15-second project walkthrough with proof milestones for Simply Southern Homebuilder using only public brand context—not for publishing, just to show the angle. We build three client-approved video ad concepts in seven days, then turn the winners into fresh variations. No filming day required. Worth sending the private sample?</x:v>
      </x:c>
      <x:c r="AV844" s="76" t="str">
        <x:v>Quick follow-up: the sample angle is a project walkthrough with proof milestones. If it misses the mark, no problem—I won't keep chasing. Should I send it?</x:v>
      </x:c>
      <x:c r="AW844" s="76" t="str">
        <x:v>Hi Lisa, Ryan here. I was looking at Simply Southern Homebuilder's public marketing and noticed: icp fit; paid-demand need requires manual verification. I mapped one private project walkthrough with proof milestones as an example. Did I catch you with 30 seconds?</x:v>
      </x:c>
      <x:c r="AX844" s="60" t="str">
        <x:v>https://www.facebook.com/ads/library/?active_status=active&amp;ad_type=all&amp;country=US&amp;q=Simply%20Southern%20Homebuilder&amp;search_type=keyword_unordered</x:v>
      </x:c>
      <x:c r="AY844" s="60" t="str">
        <x:v>ok:200</x:v>
      </x:c>
      <x:c r="AZ844" s="60" t="n">
        <x:v>46232.722858796296</x:v>
      </x:c>
      <x:c r="BA844" s="60" t="str">
        <x:v>AI Ark SC trades export</x:v>
      </x:c>
      <x:c r="BB844" s="60" t="str">
        <x:v>https://simplysouthernhomebuilder.com | https://www.linkedin.com/company/simply-southern-homebuilder</x:v>
      </x:c>
      <x:c r="BC844" s="60" t="str"/>
    </x:row>
    <x:row r="845" ht="18" customHeight="1">
      <x:c r="A845" s="70" t="str">
        <x:v>844</x:v>
      </x:c>
      <x:c r="B845" s="70" t="str">
        <x:v>C - Verify</x:v>
      </x:c>
      <x:c r="C845" s="72" t="str">
        <x:v>43</x:v>
      </x:c>
      <x:c r="D845" s="60" t="str">
        <x:v>All About Roofing</x:v>
      </x:c>
      <x:c r="E845" s="60" t="str">
        <x:v>https://allaboutroofing.net</x:v>
      </x:c>
      <x:c r="F845" s="60" t="str">
        <x:v>https://roofingcompanyburlingtonnc.com/</x:v>
      </x:c>
      <x:c r="G845" s="60" t="str">
        <x:v>Orangeburg</x:v>
      </x:c>
      <x:c r="H845" s="60" t="str">
        <x:v>South Carolina</x:v>
      </x:c>
      <x:c r="I845" s="60" t="str">
        <x:v>Roofing</x:v>
      </x:c>
      <x:c r="J845" s="60" t="str">
        <x:v>dawn</x:v>
      </x:c>
      <x:c r="K845" s="60" t="str">
        <x:v>hall</x:v>
      </x:c>
      <x:c r="L845" s="60" t="str">
        <x:v>supervisor/co owner</x:v>
      </x:c>
      <x:c r="M845" s="60" t="str"/>
      <x:c r="N845" s="60" t="str"/>
      <x:c r="O845" s="60" t="str">
        <x:v>+1 336 329 6351</x:v>
      </x:c>
      <x:c r="P845" s="60" t="str">
        <x:v>https://www.linkedin.com/in/dawn-hall-408b27a3</x:v>
      </x:c>
      <x:c r="Q845" s="60" t="str">
        <x:v>11-50</x:v>
      </x:c>
      <x:c r="R845" s="60" t="str">
        <x:v>1000000-4999999</x:v>
      </x:c>
      <x:c r="S845" s="60" t="str"/>
      <x:c r="T845" s="74" t="str">
        <x:v>0</x:v>
      </x:c>
      <x:c r="U845" s="60" t="str"/>
      <x:c r="V845" s="74" t="str">
        <x:v>30</x:v>
      </x:c>
      <x:c r="W845" s="74" t="str">
        <x:v>0</x:v>
      </x:c>
      <x:c r="X845" s="74" t="str">
        <x:v>0</x:v>
      </x:c>
      <x:c r="Y845" s="74" t="str">
        <x:v>8</x:v>
      </x:c>
      <x:c r="Z845" s="74" t="str">
        <x:v>5</x:v>
      </x:c>
      <x:c r="AA845" s="74" t="str">
        <x:v>0</x:v>
      </x:c>
      <x:c r="AB845" s="74" t="str">
        <x:v>0</x:v>
      </x:c>
      <x:c r="AC845" s="74" t="str">
        <x:v>0</x:v>
      </x:c>
      <x:c r="AD845" s="74" t="str">
        <x:v>0</x:v>
      </x:c>
      <x:c r="AE845" s="74" t="str">
        <x:v>0</x:v>
      </x:c>
      <x:c r="AF845" s="74" t="str"/>
      <x:c r="AG845" s="74" t="str">
        <x:v>1</x:v>
      </x:c>
      <x:c r="AH845" s="74" t="str">
        <x:v>1</x:v>
      </x:c>
      <x:c r="AI845" s="74" t="str">
        <x:v>0</x:v>
      </x:c>
      <x:c r="AJ845" s="74" t="str">
        <x:v>0</x:v>
      </x:c>
      <x:c r="AK845" s="74" t="str">
        <x:v>1</x:v>
      </x:c>
      <x:c r="AL845" s="74" t="str">
        <x:v>1</x:v>
      </x:c>
      <x:c r="AM845" s="74" t="str">
        <x:v>1</x:v>
      </x:c>
      <x:c r="AN845" s="74" t="str">
        <x:v>1</x:v>
      </x:c>
      <x:c r="AO845" s="60" t="str">
        <x:v>2026</x:v>
      </x:c>
      <x:c r="AP845" s="76" t="str">
        <x:v>ICP fit; paid-demand need requires manual verification</x:v>
      </x:c>
      <x:c r="AQ845" s="76" t="str">
        <x:v>project/gallery proof; visible service offer</x:v>
      </x:c>
      <x:c r="AR845" s="76" t="str">
        <x:v>I was reviewing roofing companies in Orangeburg, South Carolina and All About Roofing looked like a strong fit for a creative test.</x:v>
      </x:c>
      <x:c r="AS845" s="76" t="str">
        <x:v>storm-to-inspection before/after ad</x:v>
      </x:c>
      <x:c r="AT845" s="76" t="str">
        <x:v>All About Roofing ad concept</x:v>
      </x:c>
      <x:c r="AU845" s="76" t="str">
        <x:v>Hi dawn — I was reviewing roofing companies in Orangeburg, South Carolina and All About Roofing looked like a strong fit for a creative test. I mapped a private 15-second storm-to-inspection before/after ad for All About Roofing using only public brand context—not for publishing, just to show the angle. We build three client-approved video ad concepts in seven days, then turn the winners into fresh variations. No filming day required. Worth sending the private sample?</x:v>
      </x:c>
      <x:c r="AV845" s="76" t="str">
        <x:v>Quick follow-up: the sample angle is a storm-to-inspection before/after ad. If it misses the mark, no problem—I won't keep chasing. Should I send it?</x:v>
      </x:c>
      <x:c r="AW845" s="76" t="str">
        <x:v>Hi dawn, Ryan here. I was looking at All About Roofing's public marketing and noticed: icp fit; paid-demand need requires manual verification. I mapped one private storm-to-inspection before/after ad as an example. Did I catch you with 30 seconds?</x:v>
      </x:c>
      <x:c r="AX845" s="60" t="str">
        <x:v>https://www.facebook.com/ads/library/?active_status=active&amp;ad_type=all&amp;country=US&amp;q=All%20About%20Roofing&amp;search_type=keyword_unordered</x:v>
      </x:c>
      <x:c r="AY845" s="60" t="str">
        <x:v>ok:200</x:v>
      </x:c>
      <x:c r="AZ845" s="60" t="n">
        <x:v>46232.722858796296</x:v>
      </x:c>
      <x:c r="BA845" s="60" t="str">
        <x:v>AI Ark SC trades export</x:v>
      </x:c>
      <x:c r="BB845" s="60" t="str">
        <x:v>https://allaboutroofing.net | https://www.linkedin.com/company/all-about-roofing-co-llc</x:v>
      </x:c>
      <x:c r="BC845" s="60" t="str"/>
    </x:row>
    <x:row r="846" ht="18" customHeight="1">
      <x:c r="A846" s="70" t="str">
        <x:v>845</x:v>
      </x:c>
      <x:c r="B846" s="70" t="str">
        <x:v>C - Verify</x:v>
      </x:c>
      <x:c r="C846" s="72" t="str">
        <x:v>43</x:v>
      </x:c>
      <x:c r="D846" s="60" t="str">
        <x:v>Electric Solutions</x:v>
      </x:c>
      <x:c r="E846" s="60" t="str">
        <x:v>https://electricsolutions-nmb.com</x:v>
      </x:c>
      <x:c r="F846" s="60" t="str">
        <x:v>https://electricsolutions-nmb.com</x:v>
      </x:c>
      <x:c r="G846" s="60" t="str">
        <x:v>Myrtle Beach</x:v>
      </x:c>
      <x:c r="H846" s="60" t="str">
        <x:v>South Carolina</x:v>
      </x:c>
      <x:c r="I846" s="60" t="str">
        <x:v>Electrical</x:v>
      </x:c>
      <x:c r="J846" s="60" t="str">
        <x:v>Electric Solutions</x:v>
      </x:c>
      <x:c r="K846" s="60" t="str"/>
      <x:c r="L846" s="60" t="str">
        <x:v>Owner / decision maker to verify</x:v>
      </x:c>
      <x:c r="M846" s="60" t="str"/>
      <x:c r="N846" s="60" t="str"/>
      <x:c r="O846" s="60" t="str">
        <x:v>(843) 742-7540</x:v>
      </x:c>
      <x:c r="P846" s="60" t="str"/>
      <x:c r="Q846" s="60" t="str"/>
      <x:c r="R846" s="60" t="str"/>
      <x:c r="S846" s="60" t="str">
        <x:v>5</x:v>
      </x:c>
      <x:c r="T846" s="74" t="str">
        <x:v>88</x:v>
      </x:c>
      <x:c r="U846" s="60" t="str"/>
      <x:c r="V846" s="74" t="str">
        <x:v>21</x:v>
      </x:c>
      <x:c r="W846" s="74" t="str">
        <x:v>0</x:v>
      </x:c>
      <x:c r="X846" s="74" t="str">
        <x:v>10</x:v>
      </x:c>
      <x:c r="Y846" s="74" t="str">
        <x:v>7</x:v>
      </x:c>
      <x:c r="Z846" s="74" t="str">
        <x:v>5</x:v>
      </x:c>
      <x:c r="AA846" s="74" t="str">
        <x:v>0</x:v>
      </x:c>
      <x:c r="AB846" s="74" t="str">
        <x:v>0</x:v>
      </x:c>
      <x:c r="AC846" s="74" t="str">
        <x:v>0</x:v>
      </x:c>
      <x:c r="AD846" s="74" t="str">
        <x:v>0</x:v>
      </x:c>
      <x:c r="AE846" s="74" t="str">
        <x:v>0</x:v>
      </x:c>
      <x:c r="AF846" s="74" t="str"/>
      <x:c r="AG846" s="74" t="str">
        <x:v>0</x:v>
      </x:c>
      <x:c r="AH846" s="74" t="str">
        <x:v>1</x:v>
      </x:c>
      <x:c r="AI846" s="74" t="str">
        <x:v>0</x:v>
      </x:c>
      <x:c r="AJ846" s="74" t="str">
        <x:v>0</x:v>
      </x:c>
      <x:c r="AK846" s="74" t="str">
        <x:v>0</x:v>
      </x:c>
      <x:c r="AL846" s="74" t="str">
        <x:v>0</x:v>
      </x:c>
      <x:c r="AM846" s="74" t="str">
        <x:v>1</x:v>
      </x:c>
      <x:c r="AN846" s="74" t="str">
        <x:v>0</x:v>
      </x:c>
      <x:c r="AO846" s="60" t="str">
        <x:v>2025</x:v>
      </x:c>
      <x:c r="AP846" s="76" t="str">
        <x:v>Project/gallery proof found; no embedded homepage video found</x:v>
      </x:c>
      <x:c r="AQ846" s="76" t="str">
        <x:v>project/gallery proof; no embedded homepage video detected</x:v>
      </x:c>
      <x:c r="AR846" s="76" t="str">
        <x:v>I found project/gallery proof on Electric Solutions's site that could be repackaged into short-form ad concepts.</x:v>
      </x:c>
      <x:c r="AS846" s="76" t="str">
        <x:v>safety inspection problem/solution ad</x:v>
      </x:c>
      <x:c r="AT846" s="76" t="str">
        <x:v>Electric Solutions ad concept</x:v>
      </x:c>
      <x:c r="AU846" s="76" t="str">
        <x:v>Hi Electric Solutions — I found project/gallery proof on Electric Solutions's site that could be repackaged into short-form ad concepts. I mapped a private 15-second safety inspection problem/solution ad for Electric Solutions using only public brand context—not for publishing, just to show the angle. We build three client-approved video ad concepts in seven days, then turn the winners into fresh variations. No filming day required. Worth sending the private sample?</x:v>
      </x:c>
      <x:c r="AV846" s="76" t="str">
        <x:v>Quick follow-up: the sample angle is a safety inspection problem/solution ad. If it misses the mark, no problem—I won't keep chasing. Should I send it?</x:v>
      </x:c>
      <x:c r="AW846" s="76" t="str">
        <x:v>Hi Electric Solutions, Ryan here. I was looking at Electric Solutions's public marketing and noticed: project/gallery proof found; no embedded homepage video found. I mapped one private safety inspection problem/solution ad as an example. Did I catch you with 30 seconds?</x:v>
      </x:c>
      <x:c r="AX846" s="60" t="str">
        <x:v>https://www.facebook.com/ads/library/?active_status=active&amp;ad_type=all&amp;country=US&amp;q=Electric%20Solutions&amp;search_type=keyword_unordered</x:v>
      </x:c>
      <x:c r="AY846" s="60" t="str">
        <x:v>ok:200</x:v>
      </x:c>
      <x:c r="AZ846" s="60" t="n">
        <x:v>46232.722858796296</x:v>
      </x:c>
      <x:c r="BA846" s="60" t="str">
        <x:v>Google Maps home-services export</x:v>
      </x:c>
      <x:c r="BB846" s="60" t="str">
        <x:v>https://electricsolutions-nmb.com | https://maps.google.com/?cid=4813030173524257562&amp;g_mp=Cidnb29nbGUubWFwcy5wbGFjZXMudjEuUGxhY2VzLlNlYXJjaFRleHQQAhgEIAA</x:v>
      </x:c>
      <x:c r="BC846" s="60" t="str"/>
    </x:row>
    <x:row r="847" ht="18" customHeight="1">
      <x:c r="A847" s="70" t="str">
        <x:v>846</x:v>
      </x:c>
      <x:c r="B847" s="70" t="str">
        <x:v>C - Verify</x:v>
      </x:c>
      <x:c r="C847" s="72" t="str">
        <x:v>43</x:v>
      </x:c>
      <x:c r="D847" s="60" t="str">
        <x:v>Traditional Comfort, LLC</x:v>
      </x:c>
      <x:c r="E847" s="60" t="str">
        <x:v>https://traditionalcomforthvac.com</x:v>
      </x:c>
      <x:c r="F847" s="60" t="str">
        <x:v>https://www.traditionalcomforthvac.com/</x:v>
      </x:c>
      <x:c r="G847" s="60" t="str">
        <x:v>Sumter</x:v>
      </x:c>
      <x:c r="H847" s="60" t="str">
        <x:v>South Carolina</x:v>
      </x:c>
      <x:c r="I847" s="60" t="str">
        <x:v>HVAC</x:v>
      </x:c>
      <x:c r="J847" s="60" t="str">
        <x:v>Traditional Comfort, LLC</x:v>
      </x:c>
      <x:c r="K847" s="60" t="str"/>
      <x:c r="L847" s="60" t="str">
        <x:v>Owner / decision maker to verify</x:v>
      </x:c>
      <x:c r="M847" s="60" t="str"/>
      <x:c r="N847" s="60" t="str"/>
      <x:c r="O847" s="60" t="str">
        <x:v>(803) 505-4822</x:v>
      </x:c>
      <x:c r="P847" s="60" t="str"/>
      <x:c r="Q847" s="60" t="str"/>
      <x:c r="R847" s="60" t="str"/>
      <x:c r="S847" s="60" t="str">
        <x:v>4.9</x:v>
      </x:c>
      <x:c r="T847" s="74" t="str">
        <x:v>167</x:v>
      </x:c>
      <x:c r="U847" s="60" t="str"/>
      <x:c r="V847" s="74" t="str">
        <x:v>28</x:v>
      </x:c>
      <x:c r="W847" s="74" t="str">
        <x:v>0</x:v>
      </x:c>
      <x:c r="X847" s="74" t="str">
        <x:v>4</x:v>
      </x:c>
      <x:c r="Y847" s="74" t="str">
        <x:v>6</x:v>
      </x:c>
      <x:c r="Z847" s="74" t="str">
        <x:v>5</x:v>
      </x:c>
      <x:c r="AA847" s="74" t="str">
        <x:v>0</x:v>
      </x:c>
      <x:c r="AB847" s="74" t="str">
        <x:v>0</x:v>
      </x:c>
      <x:c r="AC847" s="74" t="str">
        <x:v>0</x:v>
      </x:c>
      <x:c r="AD847" s="74" t="str">
        <x:v>0</x:v>
      </x:c>
      <x:c r="AE847" s="74" t="str">
        <x:v>0</x:v>
      </x:c>
      <x:c r="AF847" s="74" t="str"/>
      <x:c r="AG847" s="74" t="str">
        <x:v>1</x:v>
      </x:c>
      <x:c r="AH847" s="74" t="str">
        <x:v>0</x:v>
      </x:c>
      <x:c r="AI847" s="74" t="str">
        <x:v>0</x:v>
      </x:c>
      <x:c r="AJ847" s="74" t="str">
        <x:v>0</x:v>
      </x:c>
      <x:c r="AK847" s="74" t="str">
        <x:v>1</x:v>
      </x:c>
      <x:c r="AL847" s="74" t="str">
        <x:v>0</x:v>
      </x:c>
      <x:c r="AM847" s="74" t="str">
        <x:v>1</x:v>
      </x:c>
      <x:c r="AN847" s="74" t="str">
        <x:v>0</x:v>
      </x:c>
      <x:c r="AO847" s="60" t="str">
        <x:v>2025</x:v>
      </x:c>
      <x:c r="AP847" s="76" t="str">
        <x:v>ICP fit; paid-demand need requires manual verification</x:v>
      </x:c>
      <x:c r="AQ847" s="76" t="str">
        <x:v>visible service offer</x:v>
      </x:c>
      <x:c r="AR847" s="76" t="str">
        <x:v>I was reviewing hvac companies in Sumter, South Carolina and Traditional Comfort, LLC looked like a strong fit for a creative test.</x:v>
      </x:c>
      <x:c r="AS847" s="76" t="str">
        <x:v>no-cool-call to same-day comfort ad</x:v>
      </x:c>
      <x:c r="AT847" s="76" t="str">
        <x:v>Traditional Comfort, LLC ad concept</x:v>
      </x:c>
      <x:c r="AU847" s="76" t="str">
        <x:v>Hi Traditional Comfort, LLC — I was reviewing hvac companies in Sumter, South Carolina and Traditional Comfort, LLC looked like a strong fit for a creative test. I mapped a private 15-second no-cool-call to same-day comfort ad for Traditional Comfort, LLC using only public brand context—not for publishing, just to show the angle. We build three client-approved video ad concepts in seven days, then turn the winners into fresh variations. No filming day required. Worth sending the private sample?</x:v>
      </x:c>
      <x:c r="AV847" s="76" t="str">
        <x:v>Quick follow-up: the sample angle is a no-cool-call to same-day comfort ad. If it misses the mark, no problem—I won't keep chasing. Should I send it?</x:v>
      </x:c>
      <x:c r="AW847" s="76" t="str">
        <x:v>Hi Traditional Comfort, LLC, Ryan here. I was looking at Traditional Comfort, LLC's public marketing and noticed: icp fit; paid-demand need requires manual verification. I mapped one private no-cool-call to same-day comfort ad as an example. Did I catch you with 30 seconds?</x:v>
      </x:c>
      <x:c r="AX847" s="60" t="str">
        <x:v>https://www.facebook.com/ads/library/?active_status=active&amp;ad_type=all&amp;country=US&amp;q=Traditional%20Comfort%2C%20LLC&amp;search_type=keyword_unordered</x:v>
      </x:c>
      <x:c r="AY847" s="60" t="str">
        <x:v>ok:200</x:v>
      </x:c>
      <x:c r="AZ847" s="60" t="n">
        <x:v>46232.722858796296</x:v>
      </x:c>
      <x:c r="BA847" s="60" t="str">
        <x:v>Google Maps home-services export</x:v>
      </x:c>
      <x:c r="BB847" s="60" t="str">
        <x:v>https://maps.google.com/?cid=9297012137634178661&amp;g_mp=Cidnb29nbGUubWFwcy5wbGFjZXMudjEuUGxhY2VzLlNlYXJjaFRleHQQAhgEIAA | https://traditionalcomforthvac.com</x:v>
      </x:c>
      <x:c r="BC847" s="60" t="str"/>
    </x:row>
    <x:row r="848" ht="18" customHeight="1">
      <x:c r="A848" s="70" t="str">
        <x:v>847</x:v>
      </x:c>
      <x:c r="B848" s="70" t="str">
        <x:v>C - Verify</x:v>
      </x:c>
      <x:c r="C848" s="72" t="str">
        <x:v>43</x:v>
      </x:c>
      <x:c r="D848" s="60" t="str">
        <x:v>Piper Plumbing Inc LLC</x:v>
      </x:c>
      <x:c r="E848" s="60" t="str">
        <x:v>https://piperplumbinghhi.com</x:v>
      </x:c>
      <x:c r="F848" s="60" t="str">
        <x:v>https://piperplumbinghhi.com</x:v>
      </x:c>
      <x:c r="G848" s="60" t="str">
        <x:v>Hilton Head</x:v>
      </x:c>
      <x:c r="H848" s="60" t="str">
        <x:v>South Carolina</x:v>
      </x:c>
      <x:c r="I848" s="60" t="str">
        <x:v>Plumbing</x:v>
      </x:c>
      <x:c r="J848" s="60" t="str">
        <x:v>Piper Plumbing Inc LLC</x:v>
      </x:c>
      <x:c r="K848" s="60" t="str"/>
      <x:c r="L848" s="60" t="str">
        <x:v>Owner / decision maker to verify</x:v>
      </x:c>
      <x:c r="M848" s="60" t="str"/>
      <x:c r="N848" s="60" t="str"/>
      <x:c r="O848" s="60" t="str">
        <x:v>(843) 686-5972</x:v>
      </x:c>
      <x:c r="P848" s="60" t="str"/>
      <x:c r="Q848" s="60" t="str"/>
      <x:c r="R848" s="60" t="str"/>
      <x:c r="S848" s="60" t="str">
        <x:v>4.7</x:v>
      </x:c>
      <x:c r="T848" s="74" t="str">
        <x:v>48</x:v>
      </x:c>
      <x:c r="U848" s="60" t="str"/>
      <x:c r="V848" s="74" t="str">
        <x:v>22</x:v>
      </x:c>
      <x:c r="W848" s="74" t="str">
        <x:v>0</x:v>
      </x:c>
      <x:c r="X848" s="74" t="str">
        <x:v>10</x:v>
      </x:c>
      <x:c r="Y848" s="74" t="str">
        <x:v>6</x:v>
      </x:c>
      <x:c r="Z848" s="74" t="str">
        <x:v>5</x:v>
      </x:c>
      <x:c r="AA848" s="74" t="str">
        <x:v>0</x:v>
      </x:c>
      <x:c r="AB848" s="74" t="str">
        <x:v>0</x:v>
      </x:c>
      <x:c r="AC848" s="74" t="str">
        <x:v>0</x:v>
      </x:c>
      <x:c r="AD848" s="74" t="str">
        <x:v>0</x:v>
      </x:c>
      <x:c r="AE848" s="74" t="str">
        <x:v>0</x:v>
      </x:c>
      <x:c r="AF848" s="74" t="str"/>
      <x:c r="AG848" s="74" t="str">
        <x:v>0</x:v>
      </x:c>
      <x:c r="AH848" s="74" t="str">
        <x:v>0</x:v>
      </x:c>
      <x:c r="AI848" s="74" t="str">
        <x:v>1</x:v>
      </x:c>
      <x:c r="AJ848" s="74" t="str">
        <x:v>0</x:v>
      </x:c>
      <x:c r="AK848" s="74" t="str">
        <x:v>0</x:v>
      </x:c>
      <x:c r="AL848" s="74" t="str">
        <x:v>0</x:v>
      </x:c>
      <x:c r="AM848" s="74" t="str">
        <x:v>0</x:v>
      </x:c>
      <x:c r="AN848" s="74" t="str">
        <x:v>0</x:v>
      </x:c>
      <x:c r="AO848" s="60" t="str">
        <x:v>2026</x:v>
      </x:c>
      <x:c r="AP848" s="76" t="str">
        <x:v>ICP fit; paid-demand need requires manual verification</x:v>
      </x:c>
      <x:c r="AQ848" s="76" t="str">
        <x:v>testimonials; no embedded homepage video detected</x:v>
      </x:c>
      <x:c r="AR848" s="76" t="str">
        <x:v>I was reviewing plumbing companies in Hilton Head, South Carolina and Piper Plumbing Inc LLC looked like a strong fit for a creative test.</x:v>
      </x:c>
      <x:c r="AS848" s="76" t="str">
        <x:v>small symptom to prevented-emergency ad</x:v>
      </x:c>
      <x:c r="AT848" s="76" t="str">
        <x:v>Piper Plumbing Inc LLC ad concept</x:v>
      </x:c>
      <x:c r="AU848" s="76" t="str">
        <x:v>Hi Piper Plumbing Inc LLC — I was reviewing plumbing companies in Hilton Head, South Carolina and Piper Plumbing Inc LLC looked like a strong fit for a creative test. I mapped a private 15-second small symptom to prevented-emergency ad for Piper Plumbing Inc LLC using only public brand context—not for publishing, just to show the angle. We build three client-approved video ad concepts in seven days, then turn the winners into fresh variations. No filming day required. Worth sending the private sample?</x:v>
      </x:c>
      <x:c r="AV848" s="76" t="str">
        <x:v>Quick follow-up: the sample angle is a small symptom to prevented-emergency ad. If it misses the mark, no problem—I won't keep chasing. Should I send it?</x:v>
      </x:c>
      <x:c r="AW848" s="76" t="str">
        <x:v>Hi Piper Plumbing Inc LLC, Ryan here. I was looking at Piper Plumbing Inc LLC's public marketing and noticed: icp fit; paid-demand need requires manual verification. I mapped one private small symptom to prevented-emergency ad as an example. Did I catch you with 30 seconds?</x:v>
      </x:c>
      <x:c r="AX848" s="60" t="str">
        <x:v>https://www.facebook.com/ads/library/?active_status=active&amp;ad_type=all&amp;country=US&amp;q=Piper%20Plumbing%20Inc%20LLC&amp;search_type=keyword_unordered</x:v>
      </x:c>
      <x:c r="AY848" s="60" t="str">
        <x:v>ok:200</x:v>
      </x:c>
      <x:c r="AZ848" s="60" t="n">
        <x:v>46232.722858796296</x:v>
      </x:c>
      <x:c r="BA848" s="60" t="str">
        <x:v>Google Maps home-services export</x:v>
      </x:c>
      <x:c r="BB848" s="60" t="str">
        <x:v>https://maps.google.com/?cid=1688365895926347108&amp;g_mp=Cidnb29nbGUubWFwcy5wbGFjZXMudjEuUGxhY2VzLlNlYXJjaFRleHQQAhgEIAA | https://piperplumbinghhi.com</x:v>
      </x:c>
      <x:c r="BC848" s="60" t="str"/>
    </x:row>
    <x:row r="849" ht="18" customHeight="1">
      <x:c r="A849" s="70" t="str">
        <x:v>848</x:v>
      </x:c>
      <x:c r="B849" s="70" t="str">
        <x:v>C - Verify</x:v>
      </x:c>
      <x:c r="C849" s="72" t="str">
        <x:v>43</x:v>
      </x:c>
      <x:c r="D849" s="60" t="str">
        <x:v>Zourzoukis Homes LLC</x:v>
      </x:c>
      <x:c r="E849" s="60" t="str">
        <x:v>https://zourzoukishomes.com</x:v>
      </x:c>
      <x:c r="F849" s="60" t="str">
        <x:v>https://www.zourzoukishomes.com/</x:v>
      </x:c>
      <x:c r="G849" s="60" t="str">
        <x:v>Charleston</x:v>
      </x:c>
      <x:c r="H849" s="60" t="str">
        <x:v>South Carolina</x:v>
      </x:c>
      <x:c r="I849" s="60" t="str">
        <x:v>Remodeling</x:v>
      </x:c>
      <x:c r="J849" s="60" t="str">
        <x:v>George</x:v>
      </x:c>
      <x:c r="K849" s="60" t="str">
        <x:v>Zourzoukis</x:v>
      </x:c>
      <x:c r="L849" s="60" t="str">
        <x:v>Company Owner</x:v>
      </x:c>
      <x:c r="M849" s="60" t="str">
        <x:v>george@zourzoukishomes.com</x:v>
      </x:c>
      <x:c r="N849" s="60" t="str">
        <x:v>Verified with BounceBan on 08 Jun 26 12:06</x:v>
      </x:c>
      <x:c r="O849" s="60" t="str">
        <x:v>+1 843 214 3383</x:v>
      </x:c>
      <x:c r="P849" s="60" t="str">
        <x:v>https://www.linkedin.com/in/george-zourzoukis-4b089a2a</x:v>
      </x:c>
      <x:c r="Q849" s="60" t="str">
        <x:v>null+</x:v>
      </x:c>
      <x:c r="R849" s="60" t="str">
        <x:v>0-99999</x:v>
      </x:c>
      <x:c r="S849" s="60" t="str"/>
      <x:c r="T849" s="74" t="str">
        <x:v>0</x:v>
      </x:c>
      <x:c r="U849" s="60" t="str"/>
      <x:c r="V849" s="74" t="str">
        <x:v>22</x:v>
      </x:c>
      <x:c r="W849" s="74" t="str">
        <x:v>0</x:v>
      </x:c>
      <x:c r="X849" s="74" t="str">
        <x:v>6</x:v>
      </x:c>
      <x:c r="Y849" s="74" t="str">
        <x:v>5</x:v>
      </x:c>
      <x:c r="Z849" s="74" t="str">
        <x:v>10</x:v>
      </x:c>
      <x:c r="AA849" s="74" t="str">
        <x:v>0</x:v>
      </x:c>
      <x:c r="AB849" s="74" t="str">
        <x:v>0</x:v>
      </x:c>
      <x:c r="AC849" s="74" t="str">
        <x:v>0</x:v>
      </x:c>
      <x:c r="AD849" s="74" t="str">
        <x:v>0</x:v>
      </x:c>
      <x:c r="AE849" s="74" t="str">
        <x:v>0</x:v>
      </x:c>
      <x:c r="AF849" s="74" t="str"/>
      <x:c r="AG849" s="74" t="str">
        <x:v>0</x:v>
      </x:c>
      <x:c r="AH849" s="74" t="str">
        <x:v>1</x:v>
      </x:c>
      <x:c r="AI849" s="74" t="str">
        <x:v>0</x:v>
      </x:c>
      <x:c r="AJ849" s="74" t="str">
        <x:v>0</x:v>
      </x:c>
      <x:c r="AK849" s="74" t="str">
        <x:v>0</x:v>
      </x:c>
      <x:c r="AL849" s="74" t="str">
        <x:v>1</x:v>
      </x:c>
      <x:c r="AM849" s="74" t="str">
        <x:v>0</x:v>
      </x:c>
      <x:c r="AN849" s="74" t="str">
        <x:v>0</x:v>
      </x:c>
      <x:c r="AO849" s="60" t="str">
        <x:v>0</x:v>
      </x:c>
      <x:c r="AP849" s="76" t="str">
        <x:v>Project/gallery proof found; no embedded homepage video found</x:v>
      </x:c>
      <x:c r="AQ849" s="76" t="str">
        <x:v>project/gallery proof; no embedded homepage video detected</x:v>
      </x:c>
      <x:c r="AR849" s="76" t="str">
        <x:v>I found project/gallery proof on Zourzoukis Homes LLC's site that could be repackaged into short-form ad concepts.</x:v>
      </x:c>
      <x:c r="AS849" s="76" t="str">
        <x:v>project reveal with budget-and-timeline proof</x:v>
      </x:c>
      <x:c r="AT849" s="76" t="str">
        <x:v>Zourzoukis Homes LLC ad concept</x:v>
      </x:c>
      <x:c r="AU849" s="76" t="str">
        <x:v>Hi George — I found project/gallery proof on Zourzoukis Homes LLC's site that could be repackaged into short-form ad concepts. I mapped a private 15-second project reveal with budget-and-timeline proof for Zourzoukis Homes LLC using only public brand context—not for publishing, just to show the angle. We build three client-approved video ad concepts in seven days, then turn the winners into fresh variations. No filming day required. Worth sending the private sample?</x:v>
      </x:c>
      <x:c r="AV849" s="76" t="str">
        <x:v>Quick follow-up: the sample angle is a project reveal with budget-and-timeline proof. If it misses the mark, no problem—I won't keep chasing. Should I send it?</x:v>
      </x:c>
      <x:c r="AW849" s="76" t="str">
        <x:v>Hi George, Ryan here. I was looking at Zourzoukis Homes LLC's public marketing and noticed: project/gallery proof found; no embedded homepage video found. I mapped one private project reveal with budget-and-timeline proof as an example. Did I catch you with 30 seconds?</x:v>
      </x:c>
      <x:c r="AX849" s="60" t="str">
        <x:v>https://www.facebook.com/ads/library/?active_status=active&amp;ad_type=all&amp;country=US&amp;q=Zourzoukis%20Homes%20LLC&amp;search_type=keyword_unordered</x:v>
      </x:c>
      <x:c r="AY849" s="60" t="str">
        <x:v>ok:200</x:v>
      </x:c>
      <x:c r="AZ849" s="60" t="n">
        <x:v>46232.722858796296</x:v>
      </x:c>
      <x:c r="BA849" s="60" t="str">
        <x:v>AI Ark SC trades export</x:v>
      </x:c>
      <x:c r="BB849" s="60" t="str">
        <x:v>https://www.linkedin.com/company/zourzoukishomes-com | https://zourzoukishomes.com</x:v>
      </x:c>
      <x:c r="BC849" s="60" t="str"/>
    </x:row>
    <x:row r="850" ht="18" customHeight="1">
      <x:c r="A850" s="70" t="str">
        <x:v>849</x:v>
      </x:c>
      <x:c r="B850" s="70" t="str">
        <x:v>C - Verify</x:v>
      </x:c>
      <x:c r="C850" s="72" t="str">
        <x:v>43</x:v>
      </x:c>
      <x:c r="D850" s="60" t="str">
        <x:v>TrueBuilt Services</x:v>
      </x:c>
      <x:c r="E850" s="60" t="str">
        <x:v>https://truebuiltservices.com</x:v>
      </x:c>
      <x:c r="F850" s="60" t="str">
        <x:v>https://www.truebuiltservices.com/</x:v>
      </x:c>
      <x:c r="G850" s="60" t="str">
        <x:v>Charleston</x:v>
      </x:c>
      <x:c r="H850" s="60" t="str">
        <x:v>South Carolina</x:v>
      </x:c>
      <x:c r="I850" s="60" t="str">
        <x:v>Remodeling</x:v>
      </x:c>
      <x:c r="J850" s="60" t="str">
        <x:v>Owen</x:v>
      </x:c>
      <x:c r="K850" s="60" t="str">
        <x:v>Villano</x:v>
      </x:c>
      <x:c r="L850" s="60" t="str">
        <x:v>Co-Owner</x:v>
      </x:c>
      <x:c r="M850" s="60" t="str">
        <x:v>owenvillano@truebuiltservices.com</x:v>
      </x:c>
      <x:c r="N850" s="60" t="str">
        <x:v>Verified with BounceBan on 08 Jun 26 12:06</x:v>
      </x:c>
      <x:c r="O850" s="60" t="str"/>
      <x:c r="P850" s="60" t="str">
        <x:v>https://www.linkedin.com/in/owen-villano</x:v>
      </x:c>
      <x:c r="Q850" s="60" t="str">
        <x:v>2-10</x:v>
      </x:c>
      <x:c r="R850" s="60" t="str">
        <x:v>0-99999</x:v>
      </x:c>
      <x:c r="S850" s="60" t="str"/>
      <x:c r="T850" s="74" t="str">
        <x:v>0</x:v>
      </x:c>
      <x:c r="U850" s="60" t="str"/>
      <x:c r="V850" s="74" t="str">
        <x:v>25</x:v>
      </x:c>
      <x:c r="W850" s="74" t="str">
        <x:v>0</x:v>
      </x:c>
      <x:c r="X850" s="74" t="str">
        <x:v>6</x:v>
      </x:c>
      <x:c r="Y850" s="74" t="str">
        <x:v>5</x:v>
      </x:c>
      <x:c r="Z850" s="74" t="str">
        <x:v>7</x:v>
      </x:c>
      <x:c r="AA850" s="74" t="str">
        <x:v>0</x:v>
      </x:c>
      <x:c r="AB850" s="74" t="str">
        <x:v>0</x:v>
      </x:c>
      <x:c r="AC850" s="74" t="str">
        <x:v>0</x:v>
      </x:c>
      <x:c r="AD850" s="74" t="str">
        <x:v>0</x:v>
      </x:c>
      <x:c r="AE850" s="74" t="str">
        <x:v>0</x:v>
      </x:c>
      <x:c r="AF850" s="74" t="str"/>
      <x:c r="AG850" s="74" t="str">
        <x:v>0</x:v>
      </x:c>
      <x:c r="AH850" s="74" t="str">
        <x:v>1</x:v>
      </x:c>
      <x:c r="AI850" s="74" t="str">
        <x:v>0</x:v>
      </x:c>
      <x:c r="AJ850" s="74" t="str">
        <x:v>0</x:v>
      </x:c>
      <x:c r="AK850" s="74" t="str">
        <x:v>0</x:v>
      </x:c>
      <x:c r="AL850" s="74" t="str">
        <x:v>1</x:v>
      </x:c>
      <x:c r="AM850" s="74" t="str">
        <x:v>1</x:v>
      </x:c>
      <x:c r="AN850" s="74" t="str">
        <x:v>0</x:v>
      </x:c>
      <x:c r="AO850" s="60" t="str">
        <x:v>0</x:v>
      </x:c>
      <x:c r="AP850" s="76" t="str">
        <x:v>Project/gallery proof found; no embedded homepage video found</x:v>
      </x:c>
      <x:c r="AQ850" s="76" t="str">
        <x:v>project/gallery proof; no embedded homepage video detected</x:v>
      </x:c>
      <x:c r="AR850" s="76" t="str">
        <x:v>I found project/gallery proof on TrueBuilt Services's site that could be repackaged into short-form ad concepts.</x:v>
      </x:c>
      <x:c r="AS850" s="76" t="str">
        <x:v>project reveal with budget-and-timeline proof</x:v>
      </x:c>
      <x:c r="AT850" s="76" t="str">
        <x:v>TrueBuilt Services ad concept</x:v>
      </x:c>
      <x:c r="AU850" s="76" t="str">
        <x:v>Hi Owen — I found project/gallery proof on TrueBuilt Services's site that could be repackaged into short-form ad concepts. I mapped a private 15-second project reveal with budget-and-timeline proof for TrueBuilt Services using only public brand context—not for publishing, just to show the angle. We build three client-approved video ad concepts in seven days, then turn the winners into fresh variations. No filming day required. Worth sending the private sample?</x:v>
      </x:c>
      <x:c r="AV850" s="76" t="str">
        <x:v>Quick follow-up: the sample angle is a project reveal with budget-and-timeline proof. If it misses the mark, no problem—I won't keep chasing. Should I send it?</x:v>
      </x:c>
      <x:c r="AW850" s="76" t="str">
        <x:v>Hi Owen, Ryan here. I was looking at TrueBuilt Services's public marketing and noticed: project/gallery proof found; no embedded homepage video found. I mapped one private project reveal with budget-and-timeline proof as an example. Did I catch you with 30 seconds?</x:v>
      </x:c>
      <x:c r="AX850" s="60" t="str">
        <x:v>https://www.facebook.com/ads/library/?active_status=active&amp;ad_type=all&amp;country=US&amp;q=TrueBuilt%20Services&amp;search_type=keyword_unordered</x:v>
      </x:c>
      <x:c r="AY850" s="60" t="str">
        <x:v>ok:200</x:v>
      </x:c>
      <x:c r="AZ850" s="60" t="n">
        <x:v>46232.722858796296</x:v>
      </x:c>
      <x:c r="BA850" s="60" t="str">
        <x:v>AI Ark SC trades export</x:v>
      </x:c>
      <x:c r="BB850" s="60" t="str">
        <x:v>https://truebuiltservices.com | https://www.linkedin.com/company/truebuiltservices</x:v>
      </x:c>
      <x:c r="BC850" s="60" t="str"/>
    </x:row>
    <x:row r="851" ht="18" customHeight="1">
      <x:c r="A851" s="70" t="str">
        <x:v>850</x:v>
      </x:c>
      <x:c r="B851" s="70" t="str">
        <x:v>C - Verify</x:v>
      </x:c>
      <x:c r="C851" s="72" t="str">
        <x:v>43</x:v>
      </x:c>
      <x:c r="D851" s="60" t="str">
        <x:v>Beachside Construction</x:v>
      </x:c>
      <x:c r="E851" s="60" t="str">
        <x:v>https://builtbybeachside.com</x:v>
      </x:c>
      <x:c r="F851" s="60" t="str">
        <x:v>https://www.builtbybeachside.com/</x:v>
      </x:c>
      <x:c r="G851" s="60" t="str">
        <x:v>Bluffton</x:v>
      </x:c>
      <x:c r="H851" s="60" t="str">
        <x:v>South Carolina</x:v>
      </x:c>
      <x:c r="I851" s="60" t="str">
        <x:v>Remodeling</x:v>
      </x:c>
      <x:c r="J851" s="60" t="str">
        <x:v>Marceilla</x:v>
      </x:c>
      <x:c r="K851" s="60" t="str">
        <x:v>Beach</x:v>
      </x:c>
      <x:c r="L851" s="60" t="str">
        <x:v>Co-Owner</x:v>
      </x:c>
      <x:c r="M851" s="60" t="str">
        <x:v>mbeach@builtbybeachside.com</x:v>
      </x:c>
      <x:c r="N851" s="60" t="str">
        <x:v>Verified with BounceBan on 08 Jun 26 12:06</x:v>
      </x:c>
      <x:c r="O851" s="60" t="str"/>
      <x:c r="P851" s="60" t="str">
        <x:v>https://www.linkedin.com/in/beachm</x:v>
      </x:c>
      <x:c r="Q851" s="60" t="str">
        <x:v>2-10</x:v>
      </x:c>
      <x:c r="R851" s="60" t="str">
        <x:v>100000-499999</x:v>
      </x:c>
      <x:c r="S851" s="60" t="str"/>
      <x:c r="T851" s="74" t="str">
        <x:v>0</x:v>
      </x:c>
      <x:c r="U851" s="60" t="str"/>
      <x:c r="V851" s="74" t="str">
        <x:v>25</x:v>
      </x:c>
      <x:c r="W851" s="74" t="str">
        <x:v>0</x:v>
      </x:c>
      <x:c r="X851" s="74" t="str">
        <x:v>6</x:v>
      </x:c>
      <x:c r="Y851" s="74" t="str">
        <x:v>5</x:v>
      </x:c>
      <x:c r="Z851" s="74" t="str">
        <x:v>7</x:v>
      </x:c>
      <x:c r="AA851" s="74" t="str">
        <x:v>0</x:v>
      </x:c>
      <x:c r="AB851" s="74" t="str">
        <x:v>0</x:v>
      </x:c>
      <x:c r="AC851" s="74" t="str">
        <x:v>0</x:v>
      </x:c>
      <x:c r="AD851" s="74" t="str">
        <x:v>0</x:v>
      </x:c>
      <x:c r="AE851" s="74" t="str">
        <x:v>0</x:v>
      </x:c>
      <x:c r="AF851" s="74" t="str"/>
      <x:c r="AG851" s="74" t="str">
        <x:v>0</x:v>
      </x:c>
      <x:c r="AH851" s="74" t="str">
        <x:v>1</x:v>
      </x:c>
      <x:c r="AI851" s="74" t="str">
        <x:v>0</x:v>
      </x:c>
      <x:c r="AJ851" s="74" t="str">
        <x:v>0</x:v>
      </x:c>
      <x:c r="AK851" s="74" t="str">
        <x:v>0</x:v>
      </x:c>
      <x:c r="AL851" s="74" t="str">
        <x:v>1</x:v>
      </x:c>
      <x:c r="AM851" s="74" t="str">
        <x:v>1</x:v>
      </x:c>
      <x:c r="AN851" s="74" t="str">
        <x:v>0</x:v>
      </x:c>
      <x:c r="AO851" s="60" t="str">
        <x:v>2026</x:v>
      </x:c>
      <x:c r="AP851" s="76" t="str">
        <x:v>Project/gallery proof found; no embedded homepage video found</x:v>
      </x:c>
      <x:c r="AQ851" s="76" t="str">
        <x:v>project/gallery proof; no embedded homepage video detected</x:v>
      </x:c>
      <x:c r="AR851" s="76" t="str">
        <x:v>I found project/gallery proof on Beachside Construction's site that could be repackaged into short-form ad concepts.</x:v>
      </x:c>
      <x:c r="AS851" s="76" t="str">
        <x:v>project reveal with budget-and-timeline proof</x:v>
      </x:c>
      <x:c r="AT851" s="76" t="str">
        <x:v>Beachside Construction ad concept</x:v>
      </x:c>
      <x:c r="AU851" s="76" t="str">
        <x:v>Hi Marceilla — I found project/gallery proof on Beachside Construction's site that could be repackaged into short-form ad concepts. I mapped a private 15-second project reveal with budget-and-timeline proof for Beachside Construction using only public brand context—not for publishing, just to show the angle. We build three client-approved video ad concepts in seven days, then turn the winners into fresh variations. No filming day required. Worth sending the private sample?</x:v>
      </x:c>
      <x:c r="AV851" s="76" t="str">
        <x:v>Quick follow-up: the sample angle is a project reveal with budget-and-timeline proof. If it misses the mark, no problem—I won't keep chasing. Should I send it?</x:v>
      </x:c>
      <x:c r="AW851" s="76" t="str">
        <x:v>Hi Marceilla, Ryan here. I was looking at Beachside Construction's public marketing and noticed: project/gallery proof found; no embedded homepage video found. I mapped one private project reveal with budget-and-timeline proof as an example. Did I catch you with 30 seconds?</x:v>
      </x:c>
      <x:c r="AX851" s="60" t="str">
        <x:v>https://www.facebook.com/ads/library/?active_status=active&amp;ad_type=all&amp;country=US&amp;q=Beachside%20Construction&amp;search_type=keyword_unordered</x:v>
      </x:c>
      <x:c r="AY851" s="60" t="str">
        <x:v>ok:200</x:v>
      </x:c>
      <x:c r="AZ851" s="60" t="n">
        <x:v>46232.722858796296</x:v>
      </x:c>
      <x:c r="BA851" s="60" t="str">
        <x:v>AI Ark SC trades export</x:v>
      </x:c>
      <x:c r="BB851" s="60" t="str">
        <x:v>https://builtbybeachside.com | https://www.linkedin.com/company/builtbybeachside</x:v>
      </x:c>
      <x:c r="BC851" s="60" t="str"/>
    </x:row>
    <x:row r="852" ht="18" customHeight="1">
      <x:c r="A852" s="70" t="str">
        <x:v>851</x:v>
      </x:c>
      <x:c r="B852" s="70" t="str">
        <x:v>C - Verify</x:v>
      </x:c>
      <x:c r="C852" s="72" t="str">
        <x:v>43</x:v>
      </x:c>
      <x:c r="D852" s="60" t="str">
        <x:v>Powers Roofing &amp; Home Services</x:v>
      </x:c>
      <x:c r="E852" s="60" t="str">
        <x:v>https://powersroofingsc.com</x:v>
      </x:c>
      <x:c r="F852" s="60" t="str">
        <x:v>https://www.powersroofingsc.com/</x:v>
      </x:c>
      <x:c r="G852" s="60" t="str">
        <x:v>Sumter</x:v>
      </x:c>
      <x:c r="H852" s="60" t="str">
        <x:v>South Carolina</x:v>
      </x:c>
      <x:c r="I852" s="60" t="str">
        <x:v>Roofing</x:v>
      </x:c>
      <x:c r="J852" s="60" t="str">
        <x:v>Powers Roofing &amp; Home Services</x:v>
      </x:c>
      <x:c r="K852" s="60" t="str"/>
      <x:c r="L852" s="60" t="str">
        <x:v>Owner / decision maker to verify</x:v>
      </x:c>
      <x:c r="M852" s="60" t="str"/>
      <x:c r="N852" s="60" t="str"/>
      <x:c r="O852" s="60" t="str">
        <x:v>(803) 900-5752</x:v>
      </x:c>
      <x:c r="P852" s="60" t="str"/>
      <x:c r="Q852" s="60" t="str"/>
      <x:c r="R852" s="60" t="str"/>
      <x:c r="S852" s="60" t="str">
        <x:v>4.4</x:v>
      </x:c>
      <x:c r="T852" s="74" t="str">
        <x:v>46</x:v>
      </x:c>
      <x:c r="U852" s="60" t="str">
        <x:v>missed_calls, slow_response</x:v>
      </x:c>
      <x:c r="V852" s="74" t="str">
        <x:v>27</x:v>
      </x:c>
      <x:c r="W852" s="74" t="str">
        <x:v>0</x:v>
      </x:c>
      <x:c r="X852" s="74" t="str">
        <x:v>6</x:v>
      </x:c>
      <x:c r="Y852" s="74" t="str">
        <x:v>5</x:v>
      </x:c>
      <x:c r="Z852" s="74" t="str">
        <x:v>5</x:v>
      </x:c>
      <x:c r="AA852" s="74" t="str">
        <x:v>0</x:v>
      </x:c>
      <x:c r="AB852" s="74" t="str">
        <x:v>0</x:v>
      </x:c>
      <x:c r="AC852" s="74" t="str">
        <x:v>0</x:v>
      </x:c>
      <x:c r="AD852" s="74" t="str">
        <x:v>0</x:v>
      </x:c>
      <x:c r="AE852" s="74" t="str">
        <x:v>0</x:v>
      </x:c>
      <x:c r="AF852" s="74" t="str"/>
      <x:c r="AG852" s="74" t="str">
        <x:v>1</x:v>
      </x:c>
      <x:c r="AH852" s="74" t="str">
        <x:v>0</x:v>
      </x:c>
      <x:c r="AI852" s="74" t="str">
        <x:v>0</x:v>
      </x:c>
      <x:c r="AJ852" s="74" t="str">
        <x:v>0</x:v>
      </x:c>
      <x:c r="AK852" s="74" t="str">
        <x:v>1</x:v>
      </x:c>
      <x:c r="AL852" s="74" t="str">
        <x:v>0</x:v>
      </x:c>
      <x:c r="AM852" s="74" t="str">
        <x:v>1</x:v>
      </x:c>
      <x:c r="AN852" s="74" t="str">
        <x:v>0</x:v>
      </x:c>
      <x:c r="AO852" s="60" t="str">
        <x:v>0</x:v>
      </x:c>
      <x:c r="AP852" s="76" t="str">
        <x:v>ICP fit; paid-demand need requires manual verification</x:v>
      </x:c>
      <x:c r="AQ852" s="76" t="str">
        <x:v>visible service offer</x:v>
      </x:c>
      <x:c r="AR852" s="76" t="str">
        <x:v>I was reviewing roofing companies in Sumter, South Carolina and Powers Roofing &amp; Home Services looked like a strong fit for a creative test.</x:v>
      </x:c>
      <x:c r="AS852" s="76" t="str">
        <x:v>storm-to-inspection before/after ad</x:v>
      </x:c>
      <x:c r="AT852" s="76" t="str">
        <x:v>Powers Roofing &amp; Home Services ad concept</x:v>
      </x:c>
      <x:c r="AU852" s="76" t="str">
        <x:v>Hi Powers Roofing &amp; Home Services — I was reviewing roofing companies in Sumter, South Carolina and Powers Roofing &amp; Home Services looked like a strong fit for a creative test. I mapped a private 15-second storm-to-inspection before/after ad for Powers Roofing &amp; Home Services using only public brand context—not for publishing, just to show the angle. We build three client-approved video ad concepts in seven days, then turn the winners into fresh variations. No filming day required. Worth sending the private sample?</x:v>
      </x:c>
      <x:c r="AV852" s="76" t="str">
        <x:v>Quick follow-up: the sample angle is a storm-to-inspection before/after ad. If it misses the mark, no problem—I won't keep chasing. Should I send it?</x:v>
      </x:c>
      <x:c r="AW852" s="76" t="str">
        <x:v>Hi Powers Roofing &amp; Home Services, Ryan here. I was looking at Powers Roofing &amp; Home Services's public marketing and noticed: icp fit; paid-demand need requires manual verification. I mapped one private storm-to-inspection before/after ad as an example. Did I catch you with 30 seconds?</x:v>
      </x:c>
      <x:c r="AX852" s="60" t="str">
        <x:v>https://www.facebook.com/ads/library/?active_status=active&amp;ad_type=all&amp;country=US&amp;q=Powers%20Roofing%20%26%20Home%20Services&amp;search_type=keyword_unordered</x:v>
      </x:c>
      <x:c r="AY852" s="60" t="str">
        <x:v>ok:200</x:v>
      </x:c>
      <x:c r="AZ852" s="60" t="n">
        <x:v>46232.722858796296</x:v>
      </x:c>
      <x:c r="BA852" s="60" t="str">
        <x:v>Google Maps home-services export</x:v>
      </x:c>
      <x:c r="BB852" s="60" t="str">
        <x:v>https://maps.google.com/?cid=991019472135030012&amp;g_mp=Cidnb29nbGUubWFwcy5wbGFjZXMudjEuUGxhY2VzLlNlYXJjaFRleHQQAhgEIAA | https://powersroofingsc.com</x:v>
      </x:c>
      <x:c r="BC852" s="60" t="str"/>
    </x:row>
    <x:row r="853" ht="18" customHeight="1">
      <x:c r="A853" s="70" t="str">
        <x:v>852</x:v>
      </x:c>
      <x:c r="B853" s="70" t="str">
        <x:v>C - Verify</x:v>
      </x:c>
      <x:c r="C853" s="72" t="str">
        <x:v>43</x:v>
      </x:c>
      <x:c r="D853" s="60" t="str">
        <x:v>Shore Roofing</x:v>
      </x:c>
      <x:c r="E853" s="60" t="str">
        <x:v>https://myshoreroofing.com</x:v>
      </x:c>
      <x:c r="F853" s="60" t="str">
        <x:v>https://www.myshoreroofing.com/</x:v>
      </x:c>
      <x:c r="G853" s="60" t="str">
        <x:v>Charleston</x:v>
      </x:c>
      <x:c r="H853" s="60" t="str">
        <x:v>South Carolina</x:v>
      </x:c>
      <x:c r="I853" s="60" t="str">
        <x:v>Roofing</x:v>
      </x:c>
      <x:c r="J853" s="60" t="str">
        <x:v>Shore Roofing</x:v>
      </x:c>
      <x:c r="K853" s="60" t="str"/>
      <x:c r="L853" s="60" t="str">
        <x:v>Owner / decision maker to verify</x:v>
      </x:c>
      <x:c r="M853" s="60" t="str"/>
      <x:c r="N853" s="60" t="str"/>
      <x:c r="O853" s="60" t="str">
        <x:v>(843) 790-7347</x:v>
      </x:c>
      <x:c r="P853" s="60" t="str"/>
      <x:c r="Q853" s="60" t="str"/>
      <x:c r="R853" s="60" t="str"/>
      <x:c r="S853" s="60" t="str">
        <x:v>5</x:v>
      </x:c>
      <x:c r="T853" s="74" t="str">
        <x:v>14</x:v>
      </x:c>
      <x:c r="U853" s="60" t="str"/>
      <x:c r="V853" s="74" t="str">
        <x:v>25</x:v>
      </x:c>
      <x:c r="W853" s="74" t="str">
        <x:v>0</x:v>
      </x:c>
      <x:c r="X853" s="74" t="str">
        <x:v>10</x:v>
      </x:c>
      <x:c r="Y853" s="74" t="str">
        <x:v>3</x:v>
      </x:c>
      <x:c r="Z853" s="74" t="str">
        <x:v>5</x:v>
      </x:c>
      <x:c r="AA853" s="74" t="str">
        <x:v>0</x:v>
      </x:c>
      <x:c r="AB853" s="74" t="str">
        <x:v>0</x:v>
      </x:c>
      <x:c r="AC853" s="74" t="str">
        <x:v>0</x:v>
      </x:c>
      <x:c r="AD853" s="74" t="str">
        <x:v>0</x:v>
      </x:c>
      <x:c r="AE853" s="74" t="str">
        <x:v>0</x:v>
      </x:c>
      <x:c r="AF853" s="74" t="str"/>
      <x:c r="AG853" s="74" t="str">
        <x:v>0</x:v>
      </x:c>
      <x:c r="AH853" s="74" t="str">
        <x:v>0</x:v>
      </x:c>
      <x:c r="AI853" s="74" t="str">
        <x:v>0</x:v>
      </x:c>
      <x:c r="AJ853" s="74" t="str">
        <x:v>0</x:v>
      </x:c>
      <x:c r="AK853" s="74" t="str">
        <x:v>1</x:v>
      </x:c>
      <x:c r="AL853" s="74" t="str">
        <x:v>0</x:v>
      </x:c>
      <x:c r="AM853" s="74" t="str">
        <x:v>1</x:v>
      </x:c>
      <x:c r="AN853" s="74" t="str">
        <x:v>0</x:v>
      </x:c>
      <x:c r="AO853" s="60" t="str">
        <x:v>0</x:v>
      </x:c>
      <x:c r="AP853" s="76" t="str">
        <x:v>ICP fit; paid-demand need requires manual verification</x:v>
      </x:c>
      <x:c r="AQ853" s="76" t="str">
        <x:v>visible service offer; no embedded homepage video detected</x:v>
      </x:c>
      <x:c r="AR853" s="76" t="str">
        <x:v>I was reviewing roofing companies in Charleston, South Carolina and Shore Roofing looked like a strong fit for a creative test.</x:v>
      </x:c>
      <x:c r="AS853" s="76" t="str">
        <x:v>storm-to-inspection before/after ad</x:v>
      </x:c>
      <x:c r="AT853" s="76" t="str">
        <x:v>Shore Roofing ad concept</x:v>
      </x:c>
      <x:c r="AU853" s="76" t="str">
        <x:v>Hi Shore Roofing — I was reviewing roofing companies in Charleston, South Carolina and Shore Roofing looked like a strong fit for a creative test. I mapped a private 15-second storm-to-inspection before/after ad for Shore Roofing using only public brand context—not for publishing, just to show the angle. We build three client-approved video ad concepts in seven days, then turn the winners into fresh variations. No filming day required. Worth sending the private sample?</x:v>
      </x:c>
      <x:c r="AV853" s="76" t="str">
        <x:v>Quick follow-up: the sample angle is a storm-to-inspection before/after ad. If it misses the mark, no problem—I won't keep chasing. Should I send it?</x:v>
      </x:c>
      <x:c r="AW853" s="76" t="str">
        <x:v>Hi Shore Roofing, Ryan here. I was looking at Shore Roofing's public marketing and noticed: icp fit; paid-demand need requires manual verification. I mapped one private storm-to-inspection before/after ad as an example. Did I catch you with 30 seconds?</x:v>
      </x:c>
      <x:c r="AX853" s="60" t="str">
        <x:v>https://www.facebook.com/ads/library/?active_status=active&amp;ad_type=all&amp;country=US&amp;q=Shore%20Roofing&amp;search_type=keyword_unordered</x:v>
      </x:c>
      <x:c r="AY853" s="60" t="str">
        <x:v>ok:200</x:v>
      </x:c>
      <x:c r="AZ853" s="60" t="n">
        <x:v>46232.722858796296</x:v>
      </x:c>
      <x:c r="BA853" s="60" t="str">
        <x:v>Google Maps home-services export</x:v>
      </x:c>
      <x:c r="BB853" s="60" t="str">
        <x:v>https://maps.google.com/?cid=11815926476913971650&amp;g_mp=Cidnb29nbGUubWFwcy5wbGFjZXMudjEuUGxhY2VzLlNlYXJjaFRleHQQAhgEIAA | https://myshoreroofing.com</x:v>
      </x:c>
      <x:c r="BC853" s="60" t="str"/>
    </x:row>
    <x:row r="854" ht="18" customHeight="1">
      <x:c r="A854" s="70" t="str">
        <x:v>853</x:v>
      </x:c>
      <x:c r="B854" s="70" t="str">
        <x:v>C - Verify</x:v>
      </x:c>
      <x:c r="C854" s="72" t="str">
        <x:v>43</x:v>
      </x:c>
      <x:c r="D854" s="60" t="str">
        <x:v>PMI Roofing and Renovations</x:v>
      </x:c>
      <x:c r="E854" s="60" t="str">
        <x:v>https://pmiconstructiongroup.com</x:v>
      </x:c>
      <x:c r="F854" s="60" t="str">
        <x:v>https://pmiconstructiongroup.com</x:v>
      </x:c>
      <x:c r="G854" s="60" t="str">
        <x:v>Sumter</x:v>
      </x:c>
      <x:c r="H854" s="60" t="str">
        <x:v>South Carolina</x:v>
      </x:c>
      <x:c r="I854" s="60" t="str">
        <x:v>Roofing</x:v>
      </x:c>
      <x:c r="J854" s="60" t="str">
        <x:v>PMI Roofing and Renovations</x:v>
      </x:c>
      <x:c r="K854" s="60" t="str"/>
      <x:c r="L854" s="60" t="str">
        <x:v>Owner / decision maker to verify</x:v>
      </x:c>
      <x:c r="M854" s="60" t="str"/>
      <x:c r="N854" s="60" t="str"/>
      <x:c r="O854" s="60" t="str">
        <x:v>(803) 310-0029</x:v>
      </x:c>
      <x:c r="P854" s="60" t="str"/>
      <x:c r="Q854" s="60" t="str"/>
      <x:c r="R854" s="60" t="str"/>
      <x:c r="S854" s="60" t="str">
        <x:v>5</x:v>
      </x:c>
      <x:c r="T854" s="74" t="str">
        <x:v>17</x:v>
      </x:c>
      <x:c r="U854" s="60" t="str"/>
      <x:c r="V854" s="74" t="str">
        <x:v>25</x:v>
      </x:c>
      <x:c r="W854" s="74" t="str">
        <x:v>0</x:v>
      </x:c>
      <x:c r="X854" s="74" t="str">
        <x:v>10</x:v>
      </x:c>
      <x:c r="Y854" s="74" t="str">
        <x:v>3</x:v>
      </x:c>
      <x:c r="Z854" s="74" t="str">
        <x:v>5</x:v>
      </x:c>
      <x:c r="AA854" s="74" t="str">
        <x:v>0</x:v>
      </x:c>
      <x:c r="AB854" s="74" t="str">
        <x:v>0</x:v>
      </x:c>
      <x:c r="AC854" s="74" t="str">
        <x:v>0</x:v>
      </x:c>
      <x:c r="AD854" s="74" t="str">
        <x:v>0</x:v>
      </x:c>
      <x:c r="AE854" s="74" t="str">
        <x:v>0</x:v>
      </x:c>
      <x:c r="AF854" s="74" t="str"/>
      <x:c r="AG854" s="74" t="str">
        <x:v>0</x:v>
      </x:c>
      <x:c r="AH854" s="74" t="str">
        <x:v>0</x:v>
      </x:c>
      <x:c r="AI854" s="74" t="str">
        <x:v>0</x:v>
      </x:c>
      <x:c r="AJ854" s="74" t="str">
        <x:v>0</x:v>
      </x:c>
      <x:c r="AK854" s="74" t="str">
        <x:v>1</x:v>
      </x:c>
      <x:c r="AL854" s="74" t="str">
        <x:v>0</x:v>
      </x:c>
      <x:c r="AM854" s="74" t="str">
        <x:v>0</x:v>
      </x:c>
      <x:c r="AN854" s="74" t="str">
        <x:v>0</x:v>
      </x:c>
      <x:c r="AO854" s="60" t="str">
        <x:v>2026</x:v>
      </x:c>
      <x:c r="AP854" s="76" t="str">
        <x:v>ICP fit; paid-demand need requires manual verification</x:v>
      </x:c>
      <x:c r="AQ854" s="76" t="str">
        <x:v>visible service offer; no embedded homepage video detected</x:v>
      </x:c>
      <x:c r="AR854" s="76" t="str">
        <x:v>I was reviewing roofing companies in Sumter, South Carolina and PMI Roofing and Renovations looked like a strong fit for a creative test.</x:v>
      </x:c>
      <x:c r="AS854" s="76" t="str">
        <x:v>storm-to-inspection before/after ad</x:v>
      </x:c>
      <x:c r="AT854" s="76" t="str">
        <x:v>PMI Roofing and Renovations ad concept</x:v>
      </x:c>
      <x:c r="AU854" s="76" t="str">
        <x:v>Hi PMI Roofing and Renovations — I was reviewing roofing companies in Sumter, South Carolina and PMI Roofing and Renovations looked like a strong fit for a creative test. I mapped a private 15-second storm-to-inspection before/after ad for PMI Roofing and Renovations using only public brand context—not for publishing, just to show the angle. We build three client-approved video ad concepts in seven days, then turn the winners into fresh variations. No filming day required. Worth sending the private sample?</x:v>
      </x:c>
      <x:c r="AV854" s="76" t="str">
        <x:v>Quick follow-up: the sample angle is a storm-to-inspection before/after ad. If it misses the mark, no problem—I won't keep chasing. Should I send it?</x:v>
      </x:c>
      <x:c r="AW854" s="76" t="str">
        <x:v>Hi PMI Roofing and Renovations, Ryan here. I was looking at PMI Roofing and Renovations's public marketing and noticed: icp fit; paid-demand need requires manual verification. I mapped one private storm-to-inspection before/after ad as an example. Did I catch you with 30 seconds?</x:v>
      </x:c>
      <x:c r="AX854" s="60" t="str">
        <x:v>https://www.facebook.com/ads/library/?active_status=active&amp;ad_type=all&amp;country=US&amp;q=PMI%20Roofing%20and%20Renovations&amp;search_type=keyword_unordered</x:v>
      </x:c>
      <x:c r="AY854" s="60" t="str">
        <x:v>ok:200</x:v>
      </x:c>
      <x:c r="AZ854" s="60" t="n">
        <x:v>46232.722858796296</x:v>
      </x:c>
      <x:c r="BA854" s="60" t="str">
        <x:v>Google Maps home-services export</x:v>
      </x:c>
      <x:c r="BB854" s="60" t="str">
        <x:v>https://maps.google.com/?cid=1704127324747894657&amp;g_mp=Cidnb29nbGUubWFwcy5wbGFjZXMudjEuUGxhY2VzLlNlYXJjaFRleHQQAhgEIAA | https://pmiconstructiongroup.com</x:v>
      </x:c>
      <x:c r="BC854" s="60" t="str"/>
    </x:row>
    <x:row r="855" ht="18" customHeight="1">
      <x:c r="A855" s="70" t="str">
        <x:v>854</x:v>
      </x:c>
      <x:c r="B855" s="70" t="str">
        <x:v>C - Verify</x:v>
      </x:c>
      <x:c r="C855" s="72" t="str">
        <x:v>43</x:v>
      </x:c>
      <x:c r="D855" s="60" t="str">
        <x:v>Roebuck Roofing &amp; Construction Company Inc.</x:v>
      </x:c>
      <x:c r="E855" s="60" t="str">
        <x:v>https://roebuckroofingsc.com</x:v>
      </x:c>
      <x:c r="F855" s="60" t="str">
        <x:v>https://roebuckroofingsc.com</x:v>
      </x:c>
      <x:c r="G855" s="60" t="str">
        <x:v>Spartanburg</x:v>
      </x:c>
      <x:c r="H855" s="60" t="str">
        <x:v>South Carolina</x:v>
      </x:c>
      <x:c r="I855" s="60" t="str">
        <x:v>Roofing</x:v>
      </x:c>
      <x:c r="J855" s="60" t="str">
        <x:v>Roebuck Roofing &amp; Construction Company Inc.</x:v>
      </x:c>
      <x:c r="K855" s="60" t="str"/>
      <x:c r="L855" s="60" t="str">
        <x:v>Owner / decision maker to verify</x:v>
      </x:c>
      <x:c r="M855" s="60" t="str"/>
      <x:c r="N855" s="60" t="str"/>
      <x:c r="O855" s="60" t="str">
        <x:v>(864) 576-5589</x:v>
      </x:c>
      <x:c r="P855" s="60" t="str"/>
      <x:c r="Q855" s="60" t="str"/>
      <x:c r="R855" s="60" t="str"/>
      <x:c r="S855" s="60" t="str">
        <x:v>4.6</x:v>
      </x:c>
      <x:c r="T855" s="74" t="str">
        <x:v>34</x:v>
      </x:c>
      <x:c r="U855" s="60" t="str"/>
      <x:c r="V855" s="74" t="str">
        <x:v>27</x:v>
      </x:c>
      <x:c r="W855" s="74" t="str">
        <x:v>0</x:v>
      </x:c>
      <x:c r="X855" s="74" t="str">
        <x:v>9</x:v>
      </x:c>
      <x:c r="Y855" s="74" t="str">
        <x:v>2</x:v>
      </x:c>
      <x:c r="Z855" s="74" t="str">
        <x:v>5</x:v>
      </x:c>
      <x:c r="AA855" s="74" t="str">
        <x:v>0</x:v>
      </x:c>
      <x:c r="AB855" s="74" t="str">
        <x:v>0</x:v>
      </x:c>
      <x:c r="AC855" s="74" t="str">
        <x:v>0</x:v>
      </x:c>
      <x:c r="AD855" s="74" t="str">
        <x:v>0</x:v>
      </x:c>
      <x:c r="AE855" s="74" t="str">
        <x:v>0</x:v>
      </x:c>
      <x:c r="AF855" s="74" t="str"/>
      <x:c r="AG855" s="74" t="str">
        <x:v>0</x:v>
      </x:c>
      <x:c r="AH855" s="74" t="str">
        <x:v>0</x:v>
      </x:c>
      <x:c r="AI855" s="74" t="str">
        <x:v>0</x:v>
      </x:c>
      <x:c r="AJ855" s="74" t="str">
        <x:v>0</x:v>
      </x:c>
      <x:c r="AK855" s="74" t="str">
        <x:v>0</x:v>
      </x:c>
      <x:c r="AL855" s="74" t="str">
        <x:v>1</x:v>
      </x:c>
      <x:c r="AM855" s="74" t="str">
        <x:v>1</x:v>
      </x:c>
      <x:c r="AN855" s="74" t="str">
        <x:v>0</x:v>
      </x:c>
      <x:c r="AO855" s="60" t="str">
        <x:v>2022</x:v>
      </x:c>
      <x:c r="AP855" s="76" t="str">
        <x:v>ICP fit; paid-demand need requires manual verification</x:v>
      </x:c>
      <x:c r="AQ855" s="76" t="str">
        <x:v>no embedded homepage video detected</x:v>
      </x:c>
      <x:c r="AR855" s="76" t="str">
        <x:v>I was reviewing roofing companies in Spartanburg, South Carolina and Roebuck Roofing &amp; Construction Company Inc. looked like a strong fit for a creative test.</x:v>
      </x:c>
      <x:c r="AS855" s="76" t="str">
        <x:v>storm-to-inspection before/after ad</x:v>
      </x:c>
      <x:c r="AT855" s="76" t="str">
        <x:v>Roebuck Roofing &amp; Construction Company Inc. ad concept</x:v>
      </x:c>
      <x:c r="AU855" s="76" t="str">
        <x:v>Hi Roebuck Roofing &amp; Construction Company Inc. — I was reviewing roofing companies in Spartanburg, South Carolina and Roebuck Roofing &amp; Construction Company Inc. looked like a strong fit for a creative test. I mapped a private 15-second storm-to-inspection before/after ad for Roebuck Roofing &amp; Construction Company Inc. using only public brand context—not for publishing, just to show the angle. We build three client-approved video ad concepts in seven days, then turn the winners into fresh variations. No filming day required. Worth sending the private sample?</x:v>
      </x:c>
      <x:c r="AV855" s="76" t="str">
        <x:v>Quick follow-up: the sample angle is a storm-to-inspection before/after ad. If it misses the mark, no problem—I won't keep chasing. Should I send it?</x:v>
      </x:c>
      <x:c r="AW855" s="76" t="str">
        <x:v>Hi Roebuck Roofing &amp; Construction Company Inc., Ryan here. I was looking at Roebuck Roofing &amp; Construction Company Inc.'s public marketing and noticed: icp fit; paid-demand need requires manual verification. I mapped one private storm-to-inspection before/after ad as an example. Did I catch you with 30 seconds?</x:v>
      </x:c>
      <x:c r="AX855" s="60" t="str">
        <x:v>https://www.facebook.com/ads/library/?active_status=active&amp;ad_type=all&amp;country=US&amp;q=Roebuck%20Roofing%20%26%20Construction%20Company%20Inc.&amp;search_type=keyword_unordered</x:v>
      </x:c>
      <x:c r="AY855" s="60" t="str">
        <x:v>ok:200</x:v>
      </x:c>
      <x:c r="AZ855" s="60" t="n">
        <x:v>46232.722858796296</x:v>
      </x:c>
      <x:c r="BA855" s="60" t="str">
        <x:v>Google Maps home-services export</x:v>
      </x:c>
      <x:c r="BB855" s="60" t="str">
        <x:v>https://maps.google.com/?cid=9670915357718178866&amp;g_mp=Cidnb29nbGUubWFwcy5wbGFjZXMudjEuUGxhY2VzLlNlYXJjaFRleHQQAhgEIAA | https://roebuckroofingsc.com</x:v>
      </x:c>
      <x:c r="BC855" s="60" t="str"/>
    </x:row>
    <x:row r="856" ht="18" customHeight="1">
      <x:c r="A856" s="70" t="str">
        <x:v>855</x:v>
      </x:c>
      <x:c r="B856" s="70" t="str">
        <x:v>C - Verify</x:v>
      </x:c>
      <x:c r="C856" s="72" t="str">
        <x:v>43</x:v>
      </x:c>
      <x:c r="D856" s="60" t="str">
        <x:v>JP Heating And Cooling</x:v>
      </x:c>
      <x:c r="E856" s="60" t="str">
        <x:v>https://jpheatingandcooling.com</x:v>
      </x:c>
      <x:c r="F856" s="60" t="str">
        <x:v>https://jpheatingandcooling.com</x:v>
      </x:c>
      <x:c r="G856" s="60" t="str">
        <x:v>Rock Hill</x:v>
      </x:c>
      <x:c r="H856" s="60" t="str">
        <x:v>South Carolina</x:v>
      </x:c>
      <x:c r="I856" s="60" t="str">
        <x:v>HVAC</x:v>
      </x:c>
      <x:c r="J856" s="60" t="str">
        <x:v>JP Heating And Cooling</x:v>
      </x:c>
      <x:c r="K856" s="60" t="str"/>
      <x:c r="L856" s="60" t="str">
        <x:v>Owner / decision maker to verify</x:v>
      </x:c>
      <x:c r="M856" s="60" t="str"/>
      <x:c r="N856" s="60" t="str"/>
      <x:c r="O856" s="60" t="str">
        <x:v>(704) 564-2828</x:v>
      </x:c>
      <x:c r="P856" s="60" t="str"/>
      <x:c r="Q856" s="60" t="str"/>
      <x:c r="R856" s="60" t="str"/>
      <x:c r="S856" s="60" t="str">
        <x:v>5</x:v>
      </x:c>
      <x:c r="T856" s="74" t="str">
        <x:v>64</x:v>
      </x:c>
      <x:c r="U856" s="60" t="str"/>
      <x:c r="V856" s="74" t="str">
        <x:v>26</x:v>
      </x:c>
      <x:c r="W856" s="74" t="str">
        <x:v>0</x:v>
      </x:c>
      <x:c r="X856" s="74" t="str">
        <x:v>10</x:v>
      </x:c>
      <x:c r="Y856" s="74" t="str">
        <x:v>2</x:v>
      </x:c>
      <x:c r="Z856" s="74" t="str">
        <x:v>5</x:v>
      </x:c>
      <x:c r="AA856" s="74" t="str">
        <x:v>0</x:v>
      </x:c>
      <x:c r="AB856" s="74" t="str">
        <x:v>0</x:v>
      </x:c>
      <x:c r="AC856" s="74" t="str">
        <x:v>0</x:v>
      </x:c>
      <x:c r="AD856" s="74" t="str">
        <x:v>0</x:v>
      </x:c>
      <x:c r="AE856" s="74" t="str">
        <x:v>0</x:v>
      </x:c>
      <x:c r="AF856" s="74" t="str"/>
      <x:c r="AG856" s="74" t="str">
        <x:v>0</x:v>
      </x:c>
      <x:c r="AH856" s="74" t="str">
        <x:v>0</x:v>
      </x:c>
      <x:c r="AI856" s="74" t="str">
        <x:v>0</x:v>
      </x:c>
      <x:c r="AJ856" s="74" t="str">
        <x:v>0</x:v>
      </x:c>
      <x:c r="AK856" s="74" t="str">
        <x:v>0</x:v>
      </x:c>
      <x:c r="AL856" s="74" t="str">
        <x:v>0</x:v>
      </x:c>
      <x:c r="AM856" s="74" t="str">
        <x:v>0</x:v>
      </x:c>
      <x:c r="AN856" s="74" t="str">
        <x:v>0</x:v>
      </x:c>
      <x:c r="AO856" s="60" t="str">
        <x:v>0</x:v>
      </x:c>
      <x:c r="AP856" s="76" t="str">
        <x:v>ICP fit; paid-demand need requires manual verification</x:v>
      </x:c>
      <x:c r="AQ856" s="76" t="str">
        <x:v>no embedded homepage video detected</x:v>
      </x:c>
      <x:c r="AR856" s="76" t="str">
        <x:v>I was reviewing hvac companies in Rock Hill, South Carolina and JP Heating And Cooling looked like a strong fit for a creative test.</x:v>
      </x:c>
      <x:c r="AS856" s="76" t="str">
        <x:v>no-cool-call to same-day comfort ad</x:v>
      </x:c>
      <x:c r="AT856" s="76" t="str">
        <x:v>JP Heating And Cooling ad concept</x:v>
      </x:c>
      <x:c r="AU856" s="76" t="str">
        <x:v>Hi JP Heating And Cooling — I was reviewing hvac companies in Rock Hill, South Carolina and JP Heating And Cooling looked like a strong fit for a creative test. I mapped a private 15-second no-cool-call to same-day comfort ad for JP Heating And Cooling using only public brand context—not for publishing, just to show the angle. We build three client-approved video ad concepts in seven days, then turn the winners into fresh variations. No filming day required. Worth sending the private sample?</x:v>
      </x:c>
      <x:c r="AV856" s="76" t="str">
        <x:v>Quick follow-up: the sample angle is a no-cool-call to same-day comfort ad. If it misses the mark, no problem—I won't keep chasing. Should I send it?</x:v>
      </x:c>
      <x:c r="AW856" s="76" t="str">
        <x:v>Hi JP Heating And Cooling, Ryan here. I was looking at JP Heating And Cooling's public marketing and noticed: icp fit; paid-demand need requires manual verification. I mapped one private no-cool-call to same-day comfort ad as an example. Did I catch you with 30 seconds?</x:v>
      </x:c>
      <x:c r="AX856" s="60" t="str">
        <x:v>https://www.facebook.com/ads/library/?active_status=active&amp;ad_type=all&amp;country=US&amp;q=JP%20Heating%20And%20Cooling&amp;search_type=keyword_unordered</x:v>
      </x:c>
      <x:c r="AY856" s="60" t="str">
        <x:v>ok:200</x:v>
      </x:c>
      <x:c r="AZ856" s="60" t="n">
        <x:v>46232.722858796296</x:v>
      </x:c>
      <x:c r="BA856" s="60" t="str">
        <x:v>Google Maps home-services export</x:v>
      </x:c>
      <x:c r="BB856" s="60" t="str">
        <x:v>https://jpheatingandcooling.com | https://maps.google.com/?cid=2343609931073835952&amp;g_mp=Cidnb29nbGUubWFwcy5wbGFjZXMudjEuUGxhY2VzLlNlYXJjaFRleHQQAhgEIAA</x:v>
      </x:c>
      <x:c r="BC856" s="60" t="str"/>
    </x:row>
    <x:row r="857" ht="18" customHeight="1">
      <x:c r="A857" s="70" t="str">
        <x:v>856</x:v>
      </x:c>
      <x:c r="B857" s="70" t="str">
        <x:v>C - Verify</x:v>
      </x:c>
      <x:c r="C857" s="72" t="str">
        <x:v>43</x:v>
      </x:c>
      <x:c r="D857" s="60" t="str">
        <x:v>Domingo &amp; Sons</x:v>
      </x:c>
      <x:c r="E857" s="60" t="str">
        <x:v>https://domingosonshvacpro.com</x:v>
      </x:c>
      <x:c r="F857" s="60" t="str">
        <x:v>https://domingosonshvacpro.com</x:v>
      </x:c>
      <x:c r="G857" s="60" t="str">
        <x:v>North Charleston</x:v>
      </x:c>
      <x:c r="H857" s="60" t="str">
        <x:v>South Carolina</x:v>
      </x:c>
      <x:c r="I857" s="60" t="str">
        <x:v>HVAC</x:v>
      </x:c>
      <x:c r="J857" s="60" t="str">
        <x:v>Domingo &amp; Sons</x:v>
      </x:c>
      <x:c r="K857" s="60" t="str"/>
      <x:c r="L857" s="60" t="str">
        <x:v>Owner / decision maker to verify</x:v>
      </x:c>
      <x:c r="M857" s="60" t="str"/>
      <x:c r="N857" s="60" t="str"/>
      <x:c r="O857" s="60" t="str">
        <x:v>(854) 221-7666</x:v>
      </x:c>
      <x:c r="P857" s="60" t="str"/>
      <x:c r="Q857" s="60" t="str"/>
      <x:c r="R857" s="60" t="str"/>
      <x:c r="S857" s="60" t="str">
        <x:v>4.9</x:v>
      </x:c>
      <x:c r="T857" s="74" t="str">
        <x:v>51</x:v>
      </x:c>
      <x:c r="U857" s="60" t="str"/>
      <x:c r="V857" s="74" t="str">
        <x:v>26</x:v>
      </x:c>
      <x:c r="W857" s="74" t="str">
        <x:v>0</x:v>
      </x:c>
      <x:c r="X857" s="74" t="str">
        <x:v>10</x:v>
      </x:c>
      <x:c r="Y857" s="74" t="str">
        <x:v>2</x:v>
      </x:c>
      <x:c r="Z857" s="74" t="str">
        <x:v>5</x:v>
      </x:c>
      <x:c r="AA857" s="74" t="str">
        <x:v>0</x:v>
      </x:c>
      <x:c r="AB857" s="74" t="str">
        <x:v>0</x:v>
      </x:c>
      <x:c r="AC857" s="74" t="str">
        <x:v>0</x:v>
      </x:c>
      <x:c r="AD857" s="74" t="str">
        <x:v>0</x:v>
      </x:c>
      <x:c r="AE857" s="74" t="str">
        <x:v>0</x:v>
      </x:c>
      <x:c r="AF857" s="74" t="str"/>
      <x:c r="AG857" s="74" t="str">
        <x:v>0</x:v>
      </x:c>
      <x:c r="AH857" s="74" t="str">
        <x:v>0</x:v>
      </x:c>
      <x:c r="AI857" s="74" t="str">
        <x:v>0</x:v>
      </x:c>
      <x:c r="AJ857" s="74" t="str">
        <x:v>0</x:v>
      </x:c>
      <x:c r="AK857" s="74" t="str">
        <x:v>0</x:v>
      </x:c>
      <x:c r="AL857" s="74" t="str">
        <x:v>0</x:v>
      </x:c>
      <x:c r="AM857" s="74" t="str">
        <x:v>0</x:v>
      </x:c>
      <x:c r="AN857" s="74" t="str">
        <x:v>0</x:v>
      </x:c>
      <x:c r="AO857" s="60" t="str">
        <x:v>2025</x:v>
      </x:c>
      <x:c r="AP857" s="76" t="str">
        <x:v>ICP fit; paid-demand need requires manual verification</x:v>
      </x:c>
      <x:c r="AQ857" s="76" t="str">
        <x:v>no embedded homepage video detected</x:v>
      </x:c>
      <x:c r="AR857" s="76" t="str">
        <x:v>I was reviewing hvac companies in North Charleston, South Carolina and Domingo &amp; Sons looked like a strong fit for a creative test.</x:v>
      </x:c>
      <x:c r="AS857" s="76" t="str">
        <x:v>no-cool-call to same-day comfort ad</x:v>
      </x:c>
      <x:c r="AT857" s="76" t="str">
        <x:v>Domingo &amp; Sons ad concept</x:v>
      </x:c>
      <x:c r="AU857" s="76" t="str">
        <x:v>Hi Domingo &amp; Sons — I was reviewing hvac companies in North Charleston, South Carolina and Domingo &amp; Sons looked like a strong fit for a creative test. I mapped a private 15-second no-cool-call to same-day comfort ad for Domingo &amp; Sons using only public brand context—not for publishing, just to show the angle. We build three client-approved video ad concepts in seven days, then turn the winners into fresh variations. No filming day required. Worth sending the private sample?</x:v>
      </x:c>
      <x:c r="AV857" s="76" t="str">
        <x:v>Quick follow-up: the sample angle is a no-cool-call to same-day comfort ad. If it misses the mark, no problem—I won't keep chasing. Should I send it?</x:v>
      </x:c>
      <x:c r="AW857" s="76" t="str">
        <x:v>Hi Domingo &amp; Sons, Ryan here. I was looking at Domingo &amp; Sons's public marketing and noticed: icp fit; paid-demand need requires manual verification. I mapped one private no-cool-call to same-day comfort ad as an example. Did I catch you with 30 seconds?</x:v>
      </x:c>
      <x:c r="AX857" s="60" t="str">
        <x:v>https://www.facebook.com/ads/library/?active_status=active&amp;ad_type=all&amp;country=US&amp;q=Domingo%20%26%20Sons&amp;search_type=keyword_unordered</x:v>
      </x:c>
      <x:c r="AY857" s="60" t="str">
        <x:v>ok:200</x:v>
      </x:c>
      <x:c r="AZ857" s="60" t="n">
        <x:v>46232.722858796296</x:v>
      </x:c>
      <x:c r="BA857" s="60" t="str">
        <x:v>Google Maps home-services export</x:v>
      </x:c>
      <x:c r="BB857" s="60" t="str">
        <x:v>https://domingosonshvacpro.com | https://maps.google.com/?cid=16304557039668590814&amp;g_mp=Cidnb29nbGUubWFwcy5wbGFjZXMudjEuUGxhY2VzLlNlYXJjaFRleHQQAhgEIAA</x:v>
      </x:c>
      <x:c r="BC857" s="60" t="str"/>
    </x:row>
    <x:row r="858" ht="18" customHeight="1">
      <x:c r="A858" s="70" t="str">
        <x:v>857</x:v>
      </x:c>
      <x:c r="B858" s="70" t="str">
        <x:v>C - Verify</x:v>
      </x:c>
      <x:c r="C858" s="72" t="str">
        <x:v>43</x:v>
      </x:c>
      <x:c r="D858" s="60" t="str">
        <x:v>ALL-STAR AIR PROS</x:v>
      </x:c>
      <x:c r="E858" s="60" t="str">
        <x:v>https://allstarairpros.com</x:v>
      </x:c>
      <x:c r="F858" s="60" t="str">
        <x:v>https://www.allstarairpros.com/</x:v>
      </x:c>
      <x:c r="G858" s="60" t="str">
        <x:v>Florence</x:v>
      </x:c>
      <x:c r="H858" s="60" t="str">
        <x:v>South Carolina</x:v>
      </x:c>
      <x:c r="I858" s="60" t="str">
        <x:v>HVAC</x:v>
      </x:c>
      <x:c r="J858" s="60" t="str">
        <x:v>ALL-STAR AIR PROS</x:v>
      </x:c>
      <x:c r="K858" s="60" t="str"/>
      <x:c r="L858" s="60" t="str">
        <x:v>Owner / decision maker to verify</x:v>
      </x:c>
      <x:c r="M858" s="60" t="str"/>
      <x:c r="N858" s="60" t="str"/>
      <x:c r="O858" s="60" t="str">
        <x:v>(843) 468-5777</x:v>
      </x:c>
      <x:c r="P858" s="60" t="str"/>
      <x:c r="Q858" s="60" t="str"/>
      <x:c r="R858" s="60" t="str"/>
      <x:c r="S858" s="60" t="str">
        <x:v>5</x:v>
      </x:c>
      <x:c r="T858" s="74" t="str">
        <x:v>90</x:v>
      </x:c>
      <x:c r="U858" s="60" t="str"/>
      <x:c r="V858" s="74" t="str">
        <x:v>26</x:v>
      </x:c>
      <x:c r="W858" s="74" t="str">
        <x:v>0</x:v>
      </x:c>
      <x:c r="X858" s="74" t="str">
        <x:v>10</x:v>
      </x:c>
      <x:c r="Y858" s="74" t="str">
        <x:v>2</x:v>
      </x:c>
      <x:c r="Z858" s="74" t="str">
        <x:v>5</x:v>
      </x:c>
      <x:c r="AA858" s="74" t="str">
        <x:v>0</x:v>
      </x:c>
      <x:c r="AB858" s="74" t="str">
        <x:v>0</x:v>
      </x:c>
      <x:c r="AC858" s="74" t="str">
        <x:v>0</x:v>
      </x:c>
      <x:c r="AD858" s="74" t="str">
        <x:v>0</x:v>
      </x:c>
      <x:c r="AE858" s="74" t="str">
        <x:v>0</x:v>
      </x:c>
      <x:c r="AF858" s="74" t="str"/>
      <x:c r="AG858" s="74" t="str">
        <x:v>0</x:v>
      </x:c>
      <x:c r="AH858" s="74" t="str">
        <x:v>0</x:v>
      </x:c>
      <x:c r="AI858" s="74" t="str">
        <x:v>0</x:v>
      </x:c>
      <x:c r="AJ858" s="74" t="str">
        <x:v>0</x:v>
      </x:c>
      <x:c r="AK858" s="74" t="str">
        <x:v>0</x:v>
      </x:c>
      <x:c r="AL858" s="74" t="str">
        <x:v>0</x:v>
      </x:c>
      <x:c r="AM858" s="74" t="str">
        <x:v>1</x:v>
      </x:c>
      <x:c r="AN858" s="74" t="str">
        <x:v>0</x:v>
      </x:c>
      <x:c r="AO858" s="60" t="str">
        <x:v>0</x:v>
      </x:c>
      <x:c r="AP858" s="76" t="str">
        <x:v>ICP fit; paid-demand need requires manual verification</x:v>
      </x:c>
      <x:c r="AQ858" s="76" t="str">
        <x:v>no embedded homepage video detected</x:v>
      </x:c>
      <x:c r="AR858" s="76" t="str">
        <x:v>I was reviewing hvac companies in Florence, South Carolina and ALL-STAR AIR PROS looked like a strong fit for a creative test.</x:v>
      </x:c>
      <x:c r="AS858" s="76" t="str">
        <x:v>no-cool-call to same-day comfort ad</x:v>
      </x:c>
      <x:c r="AT858" s="76" t="str">
        <x:v>ALL-STAR AIR PROS ad concept</x:v>
      </x:c>
      <x:c r="AU858" s="76" t="str">
        <x:v>Hi ALL-STAR AIR PROS — I was reviewing hvac companies in Florence, South Carolina and ALL-STAR AIR PROS looked like a strong fit for a creative test. I mapped a private 15-second no-cool-call to same-day comfort ad for ALL-STAR AIR PROS using only public brand context—not for publishing, just to show the angle. We build three client-approved video ad concepts in seven days, then turn the winners into fresh variations. No filming day required. Worth sending the private sample?</x:v>
      </x:c>
      <x:c r="AV858" s="76" t="str">
        <x:v>Quick follow-up: the sample angle is a no-cool-call to same-day comfort ad. If it misses the mark, no problem—I won't keep chasing. Should I send it?</x:v>
      </x:c>
      <x:c r="AW858" s="76" t="str">
        <x:v>Hi ALL-STAR AIR PROS, Ryan here. I was looking at ALL-STAR AIR PROS's public marketing and noticed: icp fit; paid-demand need requires manual verification. I mapped one private no-cool-call to same-day comfort ad as an example. Did I catch you with 30 seconds?</x:v>
      </x:c>
      <x:c r="AX858" s="60" t="str">
        <x:v>https://www.facebook.com/ads/library/?active_status=active&amp;ad_type=all&amp;country=US&amp;q=ALL-STAR%20AIR%20PROS&amp;search_type=keyword_unordered</x:v>
      </x:c>
      <x:c r="AY858" s="60" t="str">
        <x:v>ok:200</x:v>
      </x:c>
      <x:c r="AZ858" s="60" t="n">
        <x:v>46232.722858796296</x:v>
      </x:c>
      <x:c r="BA858" s="60" t="str">
        <x:v>Google Maps home-services export</x:v>
      </x:c>
      <x:c r="BB858" s="60" t="str">
        <x:v>https://allstarairpros.com | https://maps.google.com/?cid=4853879322103260584&amp;g_mp=Cidnb29nbGUubWFwcy5wbGFjZXMudjEuUGxhY2VzLlNlYXJjaFRleHQQAhgEIAA</x:v>
      </x:c>
      <x:c r="BC858" s="60" t="str"/>
    </x:row>
    <x:row r="859" ht="18" customHeight="1">
      <x:c r="A859" s="70" t="str">
        <x:v>858</x:v>
      </x:c>
      <x:c r="B859" s="70" t="str">
        <x:v>C - Verify</x:v>
      </x:c>
      <x:c r="C859" s="72" t="str">
        <x:v>43</x:v>
      </x:c>
      <x:c r="D859" s="60" t="str">
        <x:v>Wildwood Exteriors LLC</x:v>
      </x:c>
      <x:c r="E859" s="60" t="str">
        <x:v>https://wildwoodexteriorsllc.com</x:v>
      </x:c>
      <x:c r="F859" s="60" t="str">
        <x:v>https://wildwoodexteriorsllc.com</x:v>
      </x:c>
      <x:c r="G859" s="60" t="str">
        <x:v>Charleston</x:v>
      </x:c>
      <x:c r="H859" s="60" t="str">
        <x:v>South Carolina Metropolitan Area</x:v>
      </x:c>
      <x:c r="I859" s="60" t="str">
        <x:v>Windows &amp; Doors</x:v>
      </x:c>
      <x:c r="J859" s="60" t="str">
        <x:v>Karri</x:v>
      </x:c>
      <x:c r="K859" s="60" t="str">
        <x:v>Whitwood</x:v>
      </x:c>
      <x:c r="L859" s="60" t="str">
        <x:v>Managing Owner</x:v>
      </x:c>
      <x:c r="M859" s="60" t="str">
        <x:v>karri@wildwoodexteriorsllc.com</x:v>
      </x:c>
      <x:c r="N859" s="60" t="str">
        <x:v>Verified with BounceBan on 08 Jun 26 12:06</x:v>
      </x:c>
      <x:c r="O859" s="60" t="str">
        <x:v>+1 803 818 0115</x:v>
      </x:c>
      <x:c r="P859" s="60" t="str">
        <x:v>https://www.linkedin.com/in/karri-whitwood</x:v>
      </x:c>
      <x:c r="Q859" s="60" t="str">
        <x:v>2-10</x:v>
      </x:c>
      <x:c r="R859" s="60" t="str">
        <x:v>100000-499999</x:v>
      </x:c>
      <x:c r="S859" s="60" t="str"/>
      <x:c r="T859" s="74" t="str">
        <x:v>0</x:v>
      </x:c>
      <x:c r="U859" s="60" t="str"/>
      <x:c r="V859" s="74" t="str">
        <x:v>26</x:v>
      </x:c>
      <x:c r="W859" s="74" t="str">
        <x:v>0</x:v>
      </x:c>
      <x:c r="X859" s="74" t="str">
        <x:v>10</x:v>
      </x:c>
      <x:c r="Y859" s="74" t="str">
        <x:v>0</x:v>
      </x:c>
      <x:c r="Z859" s="74" t="str">
        <x:v>10</x:v>
      </x:c>
      <x:c r="AA859" s="74" t="str">
        <x:v>0</x:v>
      </x:c>
      <x:c r="AB859" s="74" t="str">
        <x:v>0</x:v>
      </x:c>
      <x:c r="AC859" s="74" t="str">
        <x:v>0</x:v>
      </x:c>
      <x:c r="AD859" s="74" t="str">
        <x:v>0</x:v>
      </x:c>
      <x:c r="AE859" s="74" t="str">
        <x:v>0</x:v>
      </x:c>
      <x:c r="AF859" s="74" t="str"/>
      <x:c r="AG859" s="74" t="str">
        <x:v>0</x:v>
      </x:c>
      <x:c r="AH859" s="74" t="str">
        <x:v>0</x:v>
      </x:c>
      <x:c r="AI859" s="74" t="str">
        <x:v>0</x:v>
      </x:c>
      <x:c r="AJ859" s="74" t="str">
        <x:v>0</x:v>
      </x:c>
      <x:c r="AK859" s="74" t="str">
        <x:v>0</x:v>
      </x:c>
      <x:c r="AL859" s="74" t="str">
        <x:v>0</x:v>
      </x:c>
      <x:c r="AM859" s="74" t="str">
        <x:v>0</x:v>
      </x:c>
      <x:c r="AN859" s="74" t="str">
        <x:v>0</x:v>
      </x:c>
      <x:c r="AO859" s="60" t="str">
        <x:v>0</x:v>
      </x:c>
      <x:c r="AP859" s="76" t="str">
        <x:v>ICP fit; paid-demand need requires manual verification</x:v>
      </x:c>
      <x:c r="AQ859" s="76" t="str">
        <x:v>no embedded homepage video detected</x:v>
      </x:c>
      <x:c r="AR859" s="76" t="str">
        <x:v>I was reviewing windows &amp; doors companies in Charleston, South Carolina Metropolitan Area and Wildwood Exteriors LLC looked like a strong fit for a creative test.</x:v>
      </x:c>
      <x:c r="AS859" s="76" t="str">
        <x:v>energy-loss to installed-window transformation ad</x:v>
      </x:c>
      <x:c r="AT859" s="76" t="str">
        <x:v>Wildwood Exteriors LLC ad concept</x:v>
      </x:c>
      <x:c r="AU859" s="76" t="str">
        <x:v>Hi Karri — I was reviewing windows &amp; doors companies in Charleston, South Carolina Metropolitan Area and Wildwood Exteriors LLC looked like a strong fit for a creative test. I mapped a private 15-second energy-loss to installed-window transformation ad for Wildwood Exteriors LLC using only public brand context—not for publishing, just to show the angle. We build three client-approved video ad concepts in seven days, then turn the winners into fresh variations. No filming day required. Worth sending the private sample?</x:v>
      </x:c>
      <x:c r="AV859" s="76" t="str">
        <x:v>Quick follow-up: the sample angle is a energy-loss to installed-window transformation ad. If it misses the mark, no problem—I won't keep chasing. Should I send it?</x:v>
      </x:c>
      <x:c r="AW859" s="76" t="str">
        <x:v>Hi Karri, Ryan here. I was looking at Wildwood Exteriors LLC's public marketing and noticed: icp fit; paid-demand need requires manual verification. I mapped one private energy-loss to installed-window transformation ad as an example. Did I catch you with 30 seconds?</x:v>
      </x:c>
      <x:c r="AX859" s="60" t="str">
        <x:v>https://www.facebook.com/ads/library/?active_status=active&amp;ad_type=all&amp;country=US&amp;q=Wildwood%20Exteriors%20LLC&amp;search_type=keyword_unordered</x:v>
      </x:c>
      <x:c r="AY859" s="60" t="str">
        <x:v>http:404</x:v>
      </x:c>
      <x:c r="AZ859" s="60" t="n">
        <x:v>46232.722858796296</x:v>
      </x:c>
      <x:c r="BA859" s="60" t="str">
        <x:v>AI Ark SC trades export</x:v>
      </x:c>
      <x:c r="BB859" s="60" t="str">
        <x:v>https://wildwoodexteriorsllc.com | https://www.linkedin.com/company/wildwoodexteriorsllc</x:v>
      </x:c>
      <x:c r="BC859" s="60" t="str"/>
    </x:row>
    <x:row r="860" ht="18" customHeight="1">
      <x:c r="A860" s="70" t="str">
        <x:v>859</x:v>
      </x:c>
      <x:c r="B860" s="70" t="str">
        <x:v>C - Verify</x:v>
      </x:c>
      <x:c r="C860" s="72" t="str">
        <x:v>43</x:v>
      </x:c>
      <x:c r="D860" s="60" t="str">
        <x:v>Professional Concrete, Inc.</x:v>
      </x:c>
      <x:c r="E860" s="60" t="str">
        <x:v>https://professionalconcreteinc.com</x:v>
      </x:c>
      <x:c r="F860" s="60" t="str">
        <x:v>http://professionalconcreteinc.com</x:v>
      </x:c>
      <x:c r="G860" s="60" t="str">
        <x:v>Little River</x:v>
      </x:c>
      <x:c r="H860" s="60" t="str">
        <x:v>South Carolina</x:v>
      </x:c>
      <x:c r="I860" s="60" t="str">
        <x:v>General Contractor</x:v>
      </x:c>
      <x:c r="J860" s="60" t="str">
        <x:v>Staton</x:v>
      </x:c>
      <x:c r="K860" s="60" t="str">
        <x:v>McIntyre</x:v>
      </x:c>
      <x:c r="L860" s="60" t="str">
        <x:v>Owner/CEO</x:v>
      </x:c>
      <x:c r="M860" s="60" t="str">
        <x:v>staton@professionalconcreteinc.com</x:v>
      </x:c>
      <x:c r="N860" s="60" t="str">
        <x:v>Verified with BounceBan on 08 Jun 26 12:06</x:v>
      </x:c>
      <x:c r="O860" s="60" t="str">
        <x:v>+1 843 241 5231</x:v>
      </x:c>
      <x:c r="P860" s="60" t="str">
        <x:v>https://www.linkedin.com/in/staton-mcintyre-2996b8148</x:v>
      </x:c>
      <x:c r="Q860" s="60" t="str">
        <x:v>51-200</x:v>
      </x:c>
      <x:c r="R860" s="60" t="str">
        <x:v>100000-499999</x:v>
      </x:c>
      <x:c r="S860" s="60" t="str"/>
      <x:c r="T860" s="74" t="str">
        <x:v>0</x:v>
      </x:c>
      <x:c r="U860" s="60" t="str"/>
      <x:c r="V860" s="74" t="str">
        <x:v>23</x:v>
      </x:c>
      <x:c r="W860" s="74" t="str">
        <x:v>0</x:v>
      </x:c>
      <x:c r="X860" s="74" t="str">
        <x:v>10</x:v>
      </x:c>
      <x:c r="Y860" s="74" t="str">
        <x:v>0</x:v>
      </x:c>
      <x:c r="Z860" s="74" t="str">
        <x:v>10</x:v>
      </x:c>
      <x:c r="AA860" s="74" t="str">
        <x:v>0</x:v>
      </x:c>
      <x:c r="AB860" s="74" t="str">
        <x:v>0</x:v>
      </x:c>
      <x:c r="AC860" s="74" t="str">
        <x:v>0</x:v>
      </x:c>
      <x:c r="AD860" s="74" t="str">
        <x:v>0</x:v>
      </x:c>
      <x:c r="AE860" s="74" t="str">
        <x:v>0</x:v>
      </x:c>
      <x:c r="AF860" s="74" t="str"/>
      <x:c r="AG860" s="74" t="str">
        <x:v>0</x:v>
      </x:c>
      <x:c r="AH860" s="74" t="str">
        <x:v>0</x:v>
      </x:c>
      <x:c r="AI860" s="74" t="str">
        <x:v>0</x:v>
      </x:c>
      <x:c r="AJ860" s="74" t="str">
        <x:v>0</x:v>
      </x:c>
      <x:c r="AK860" s="74" t="str">
        <x:v>0</x:v>
      </x:c>
      <x:c r="AL860" s="74" t="str">
        <x:v>0</x:v>
      </x:c>
      <x:c r="AM860" s="74" t="str">
        <x:v>0</x:v>
      </x:c>
      <x:c r="AN860" s="74" t="str">
        <x:v>0</x:v>
      </x:c>
      <x:c r="AO860" s="60" t="str">
        <x:v>0</x:v>
      </x:c>
      <x:c r="AP860" s="76" t="str">
        <x:v>ICP fit; paid-demand need requires manual verification</x:v>
      </x:c>
      <x:c r="AQ860" s="76" t="str">
        <x:v>no embedded homepage video detected</x:v>
      </x:c>
      <x:c r="AR860" s="76" t="str">
        <x:v>I was reviewing general contractor companies in Little River, South Carolina and Professional Concrete, Inc. looked like a strong fit for a creative test.</x:v>
      </x:c>
      <x:c r="AS860" s="76" t="str">
        <x:v>project walkthrough with proof milestones</x:v>
      </x:c>
      <x:c r="AT860" s="76" t="str">
        <x:v>Professional Concrete, Inc. ad concept</x:v>
      </x:c>
      <x:c r="AU860" s="76" t="str">
        <x:v>Hi Staton — I was reviewing general contractor companies in Little River, South Carolina and Professional Concrete, Inc. looked like a strong fit for a creative test. I mapped a private 15-second project walkthrough with proof milestones for Professional Concrete, Inc. using only public brand context—not for publishing, just to show the angle. We build three client-approved video ad concepts in seven days, then turn the winners into fresh variations. No filming day required. Worth sending the private sample?</x:v>
      </x:c>
      <x:c r="AV860" s="76" t="str">
        <x:v>Quick follow-up: the sample angle is a project walkthrough with proof milestones. If it misses the mark, no problem—I won't keep chasing. Should I send it?</x:v>
      </x:c>
      <x:c r="AW860" s="76" t="str">
        <x:v>Hi Staton, Ryan here. I was looking at Professional Concrete, Inc.'s public marketing and noticed: icp fit; paid-demand need requires manual verification. I mapped one private project walkthrough with proof milestones as an example. Did I catch you with 30 seconds?</x:v>
      </x:c>
      <x:c r="AX860" s="60" t="str">
        <x:v>https://www.facebook.com/ads/library/?active_status=active&amp;ad_type=all&amp;country=US&amp;q=Professional%20Concrete%2C%20Inc.&amp;search_type=keyword_unordered</x:v>
      </x:c>
      <x:c r="AY860" s="60" t="str">
        <x:v>ok:200</x:v>
      </x:c>
      <x:c r="AZ860" s="60" t="n">
        <x:v>46232.722858796296</x:v>
      </x:c>
      <x:c r="BA860" s="60" t="str">
        <x:v>AI Ark SC trades export</x:v>
      </x:c>
      <x:c r="BB860" s="60" t="str">
        <x:v>https://professionalconcreteinc.com | https://www.linkedin.com/company/professional-concrete-inc</x:v>
      </x:c>
      <x:c r="BC860" s="60" t="str"/>
    </x:row>
    <x:row r="861" ht="18" customHeight="1">
      <x:c r="A861" s="70" t="str">
        <x:v>860</x:v>
      </x:c>
      <x:c r="B861" s="70" t="str">
        <x:v>C - Verify</x:v>
      </x:c>
      <x:c r="C861" s="72" t="str">
        <x:v>43</x:v>
      </x:c>
      <x:c r="D861" s="60" t="str">
        <x:v>Martin+Murray Installation, LLC</x:v>
      </x:c>
      <x:c r="E861" s="60" t="str">
        <x:v>https://martinmurrayinstallation.com</x:v>
      </x:c>
      <x:c r="F861" s="60" t="str">
        <x:v>https://martinmurrayinstallation.com</x:v>
      </x:c>
      <x:c r="G861" s="60" t="str">
        <x:v>Charleston</x:v>
      </x:c>
      <x:c r="H861" s="60" t="str">
        <x:v>South Carolina</x:v>
      </x:c>
      <x:c r="I861" s="60" t="str">
        <x:v>General Contractor</x:v>
      </x:c>
      <x:c r="J861" s="60" t="str">
        <x:v>Harrison</x:v>
      </x:c>
      <x:c r="K861" s="60" t="str">
        <x:v>Murray</x:v>
      </x:c>
      <x:c r="L861" s="60" t="str">
        <x:v>Company Owner</x:v>
      </x:c>
      <x:c r="M861" s="60" t="str">
        <x:v>harrison@martinmurrayinstallation.com</x:v>
      </x:c>
      <x:c r="N861" s="60" t="str">
        <x:v>Verified with BounceBan on 08 Jun 26 12:06</x:v>
      </x:c>
      <x:c r="O861" s="60" t="str">
        <x:v>+1 843 817 8366</x:v>
      </x:c>
      <x:c r="P861" s="60" t="str">
        <x:v>https://www.linkedin.com/in/harrisonmurray</x:v>
      </x:c>
      <x:c r="Q861" s="60" t="str">
        <x:v>11-50</x:v>
      </x:c>
      <x:c r="R861" s="60" t="str">
        <x:v>100000-499999</x:v>
      </x:c>
      <x:c r="S861" s="60" t="str"/>
      <x:c r="T861" s="74" t="str">
        <x:v>0</x:v>
      </x:c>
      <x:c r="U861" s="60" t="str"/>
      <x:c r="V861" s="74" t="str">
        <x:v>23</x:v>
      </x:c>
      <x:c r="W861" s="74" t="str">
        <x:v>0</x:v>
      </x:c>
      <x:c r="X861" s="74" t="str">
        <x:v>10</x:v>
      </x:c>
      <x:c r="Y861" s="74" t="str">
        <x:v>0</x:v>
      </x:c>
      <x:c r="Z861" s="74" t="str">
        <x:v>10</x:v>
      </x:c>
      <x:c r="AA861" s="74" t="str">
        <x:v>0</x:v>
      </x:c>
      <x:c r="AB861" s="74" t="str">
        <x:v>0</x:v>
      </x:c>
      <x:c r="AC861" s="74" t="str">
        <x:v>0</x:v>
      </x:c>
      <x:c r="AD861" s="74" t="str">
        <x:v>0</x:v>
      </x:c>
      <x:c r="AE861" s="74" t="str">
        <x:v>0</x:v>
      </x:c>
      <x:c r="AF861" s="74" t="str"/>
      <x:c r="AG861" s="74" t="str">
        <x:v>0</x:v>
      </x:c>
      <x:c r="AH861" s="74" t="str">
        <x:v>0</x:v>
      </x:c>
      <x:c r="AI861" s="74" t="str">
        <x:v>0</x:v>
      </x:c>
      <x:c r="AJ861" s="74" t="str">
        <x:v>0</x:v>
      </x:c>
      <x:c r="AK861" s="74" t="str">
        <x:v>0</x:v>
      </x:c>
      <x:c r="AL861" s="74" t="str">
        <x:v>0</x:v>
      </x:c>
      <x:c r="AM861" s="74" t="str">
        <x:v>0</x:v>
      </x:c>
      <x:c r="AN861" s="74" t="str">
        <x:v>0</x:v>
      </x:c>
      <x:c r="AO861" s="60" t="str">
        <x:v>2026</x:v>
      </x:c>
      <x:c r="AP861" s="76" t="str">
        <x:v>ICP fit; paid-demand need requires manual verification</x:v>
      </x:c>
      <x:c r="AQ861" s="76" t="str">
        <x:v>no embedded homepage video detected</x:v>
      </x:c>
      <x:c r="AR861" s="76" t="str">
        <x:v>I was reviewing general contractor companies in Charleston, South Carolina and Martin+Murray Installation, LLC looked like a strong fit for a creative test.</x:v>
      </x:c>
      <x:c r="AS861" s="76" t="str">
        <x:v>project walkthrough with proof milestones</x:v>
      </x:c>
      <x:c r="AT861" s="76" t="str">
        <x:v>Martin+Murray Installation, LLC ad concept</x:v>
      </x:c>
      <x:c r="AU861" s="76" t="str">
        <x:v>Hi Harrison — I was reviewing general contractor companies in Charleston, South Carolina and Martin+Murray Installation, LLC looked like a strong fit for a creative test. I mapped a private 15-second project walkthrough with proof milestones for Martin+Murray Installation, LLC using only public brand context—not for publishing, just to show the angle. We build three client-approved video ad concepts in seven days, then turn the winners into fresh variations. No filming day required. Worth sending the private sample?</x:v>
      </x:c>
      <x:c r="AV861" s="76" t="str">
        <x:v>Quick follow-up: the sample angle is a project walkthrough with proof milestones. If it misses the mark, no problem—I won't keep chasing. Should I send it?</x:v>
      </x:c>
      <x:c r="AW861" s="76" t="str">
        <x:v>Hi Harrison, Ryan here. I was looking at Martin+Murray Installation, LLC's public marketing and noticed: icp fit; paid-demand need requires manual verification. I mapped one private project walkthrough with proof milestones as an example. Did I catch you with 30 seconds?</x:v>
      </x:c>
      <x:c r="AX861" s="60" t="str">
        <x:v>https://www.facebook.com/ads/library/?active_status=active&amp;ad_type=all&amp;country=US&amp;q=Martin%2BMurray%20Installation%2C%20LLC&amp;search_type=keyword_unordered</x:v>
      </x:c>
      <x:c r="AY861" s="60" t="str">
        <x:v>ok:200</x:v>
      </x:c>
      <x:c r="AZ861" s="60" t="n">
        <x:v>46232.722858796296</x:v>
      </x:c>
      <x:c r="BA861" s="60" t="str">
        <x:v>AI Ark SC trades export</x:v>
      </x:c>
      <x:c r="BB861" s="60" t="str">
        <x:v>https://martinmurrayinstallation.com | https://www.linkedin.com/company/core-specialty-contractors-llc</x:v>
      </x:c>
      <x:c r="BC861" s="60" t="str"/>
    </x:row>
    <x:row r="862" ht="18" customHeight="1">
      <x:c r="A862" s="70" t="str">
        <x:v>861</x:v>
      </x:c>
      <x:c r="B862" s="70" t="str">
        <x:v>C - Verify</x:v>
      </x:c>
      <x:c r="C862" s="72" t="str">
        <x:v>43</x:v>
      </x:c>
      <x:c r="D862" s="60" t="str">
        <x:v>Knot Yet Cabinet Works, Inc.</x:v>
      </x:c>
      <x:c r="E862" s="60" t="str">
        <x:v>https://knotyetcabinetworks.com</x:v>
      </x:c>
      <x:c r="F862" s="60" t="str">
        <x:v>http://www.knotyetcabinetworks.com/</x:v>
      </x:c>
      <x:c r="G862" s="60" t="str">
        <x:v>Rock Hill</x:v>
      </x:c>
      <x:c r="H862" s="60" t="str">
        <x:v>South Carolina</x:v>
      </x:c>
      <x:c r="I862" s="60" t="str">
        <x:v>General Contractor</x:v>
      </x:c>
      <x:c r="J862" s="60" t="str">
        <x:v>Rob</x:v>
      </x:c>
      <x:c r="K862" s="60" t="str">
        <x:v>Jacobson</x:v>
      </x:c>
      <x:c r="L862" s="60" t="str">
        <x:v>Vice President and Owner</x:v>
      </x:c>
      <x:c r="M862" s="60" t="str">
        <x:v>rob@knotyetcabinetworks.com</x:v>
      </x:c>
      <x:c r="N862" s="60" t="str">
        <x:v>Verified with BounceBan on 08 Jun 26 12:06</x:v>
      </x:c>
      <x:c r="O862" s="60" t="str">
        <x:v>+1 704 907 1463</x:v>
      </x:c>
      <x:c r="P862" s="60" t="str">
        <x:v>https://www.linkedin.com/in/rjacobson</x:v>
      </x:c>
      <x:c r="Q862" s="60" t="str">
        <x:v>11-50</x:v>
      </x:c>
      <x:c r="R862" s="60" t="str">
        <x:v>100000-499999</x:v>
      </x:c>
      <x:c r="S862" s="60" t="str"/>
      <x:c r="T862" s="74" t="str">
        <x:v>0</x:v>
      </x:c>
      <x:c r="U862" s="60" t="str"/>
      <x:c r="V862" s="74" t="str">
        <x:v>23</x:v>
      </x:c>
      <x:c r="W862" s="74" t="str">
        <x:v>0</x:v>
      </x:c>
      <x:c r="X862" s="74" t="str">
        <x:v>10</x:v>
      </x:c>
      <x:c r="Y862" s="74" t="str">
        <x:v>0</x:v>
      </x:c>
      <x:c r="Z862" s="74" t="str">
        <x:v>10</x:v>
      </x:c>
      <x:c r="AA862" s="74" t="str">
        <x:v>0</x:v>
      </x:c>
      <x:c r="AB862" s="74" t="str">
        <x:v>0</x:v>
      </x:c>
      <x:c r="AC862" s="74" t="str">
        <x:v>0</x:v>
      </x:c>
      <x:c r="AD862" s="74" t="str">
        <x:v>0</x:v>
      </x:c>
      <x:c r="AE862" s="74" t="str">
        <x:v>0</x:v>
      </x:c>
      <x:c r="AF862" s="74" t="str"/>
      <x:c r="AG862" s="74" t="str">
        <x:v>0</x:v>
      </x:c>
      <x:c r="AH862" s="74" t="str">
        <x:v>0</x:v>
      </x:c>
      <x:c r="AI862" s="74" t="str">
        <x:v>0</x:v>
      </x:c>
      <x:c r="AJ862" s="74" t="str">
        <x:v>0</x:v>
      </x:c>
      <x:c r="AK862" s="74" t="str">
        <x:v>0</x:v>
      </x:c>
      <x:c r="AL862" s="74" t="str">
        <x:v>0</x:v>
      </x:c>
      <x:c r="AM862" s="74" t="str">
        <x:v>0</x:v>
      </x:c>
      <x:c r="AN862" s="74" t="str">
        <x:v>0</x:v>
      </x:c>
      <x:c r="AO862" s="60" t="str">
        <x:v>0</x:v>
      </x:c>
      <x:c r="AP862" s="76" t="str">
        <x:v>ICP fit; paid-demand need requires manual verification</x:v>
      </x:c>
      <x:c r="AQ862" s="76" t="str">
        <x:v>no embedded homepage video detected</x:v>
      </x:c>
      <x:c r="AR862" s="76" t="str">
        <x:v>I was reviewing general contractor companies in Rock Hill, South Carolina and Knot Yet Cabinet Works, Inc. looked like a strong fit for a creative test.</x:v>
      </x:c>
      <x:c r="AS862" s="76" t="str">
        <x:v>project walkthrough with proof milestones</x:v>
      </x:c>
      <x:c r="AT862" s="76" t="str">
        <x:v>Knot Yet Cabinet Works, Inc. ad concept</x:v>
      </x:c>
      <x:c r="AU862" s="76" t="str">
        <x:v>Hi Rob — I was reviewing general contractor companies in Rock Hill, South Carolina and Knot Yet Cabinet Works, Inc. looked like a strong fit for a creative test. I mapped a private 15-second project walkthrough with proof milestones for Knot Yet Cabinet Works, Inc. using only public brand context—not for publishing, just to show the angle. We build three client-approved video ad concepts in seven days, then turn the winners into fresh variations. No filming day required. Worth sending the private sample?</x:v>
      </x:c>
      <x:c r="AV862" s="76" t="str">
        <x:v>Quick follow-up: the sample angle is a project walkthrough with proof milestones. If it misses the mark, no problem—I won't keep chasing. Should I send it?</x:v>
      </x:c>
      <x:c r="AW862" s="76" t="str">
        <x:v>Hi Rob, Ryan here. I was looking at Knot Yet Cabinet Works, Inc.'s public marketing and noticed: icp fit; paid-demand need requires manual verification. I mapped one private project walkthrough with proof milestones as an example. Did I catch you with 30 seconds?</x:v>
      </x:c>
      <x:c r="AX862" s="60" t="str">
        <x:v>https://www.facebook.com/ads/library/?active_status=active&amp;ad_type=all&amp;country=US&amp;q=Knot%20Yet%20Cabinet%20Works%2C%20Inc.&amp;search_type=keyword_unordered</x:v>
      </x:c>
      <x:c r="AY862" s="60" t="str">
        <x:v>ok:200</x:v>
      </x:c>
      <x:c r="AZ862" s="60" t="n">
        <x:v>46232.722858796296</x:v>
      </x:c>
      <x:c r="BA862" s="60" t="str">
        <x:v>AI Ark SC trades export</x:v>
      </x:c>
      <x:c r="BB862" s="60" t="str">
        <x:v>https://knotyetcabinetworks.com | https://www.linkedin.com/company/knot-yet-cabinet-works-inc-</x:v>
      </x:c>
      <x:c r="BC862" s="60" t="str"/>
    </x:row>
    <x:row r="863" ht="18" customHeight="1">
      <x:c r="A863" s="70" t="str">
        <x:v>862</x:v>
      </x:c>
      <x:c r="B863" s="70" t="str">
        <x:v>C - Verify</x:v>
      </x:c>
      <x:c r="C863" s="72" t="str">
        <x:v>43</x:v>
      </x:c>
      <x:c r="D863" s="60" t="str">
        <x:v>Crescent Moon Landscaping</x:v>
      </x:c>
      <x:c r="E863" s="60" t="str">
        <x:v>https://cmscaping.com</x:v>
      </x:c>
      <x:c r="F863" s="60" t="str">
        <x:v>https://cmscaping.com</x:v>
      </x:c>
      <x:c r="G863" s="60" t="str">
        <x:v>Charleston</x:v>
      </x:c>
      <x:c r="H863" s="60" t="str">
        <x:v>South Carolina</x:v>
      </x:c>
      <x:c r="I863" s="60" t="str">
        <x:v>Landscaping &amp; Tree</x:v>
      </x:c>
      <x:c r="J863" s="60" t="str">
        <x:v>Steven</x:v>
      </x:c>
      <x:c r="K863" s="60" t="str">
        <x:v>Watford</x:v>
      </x:c>
      <x:c r="L863" s="60" t="str">
        <x:v>Owner</x:v>
      </x:c>
      <x:c r="M863" s="60" t="str">
        <x:v>swatford@cmscaping.com</x:v>
      </x:c>
      <x:c r="N863" s="60" t="str">
        <x:v>Verified with BounceBan on 08 Jun 26 12:06</x:v>
      </x:c>
      <x:c r="O863" s="60" t="str">
        <x:v>+1 843 323 9090</x:v>
      </x:c>
      <x:c r="P863" s="60" t="str">
        <x:v>https://www.linkedin.com/in/steven-watford-a319a353</x:v>
      </x:c>
      <x:c r="Q863" s="60" t="str">
        <x:v>2-10</x:v>
      </x:c>
      <x:c r="R863" s="60" t="str">
        <x:v>500000-999999</x:v>
      </x:c>
      <x:c r="S863" s="60" t="str"/>
      <x:c r="T863" s="74" t="str">
        <x:v>0</x:v>
      </x:c>
      <x:c r="U863" s="60" t="str"/>
      <x:c r="V863" s="74" t="str">
        <x:v>24</x:v>
      </x:c>
      <x:c r="W863" s="74" t="str">
        <x:v>0</x:v>
      </x:c>
      <x:c r="X863" s="74" t="str">
        <x:v>9</x:v>
      </x:c>
      <x:c r="Y863" s="74" t="str">
        <x:v>0</x:v>
      </x:c>
      <x:c r="Z863" s="74" t="str">
        <x:v>10</x:v>
      </x:c>
      <x:c r="AA863" s="74" t="str">
        <x:v>0</x:v>
      </x:c>
      <x:c r="AB863" s="74" t="str">
        <x:v>0</x:v>
      </x:c>
      <x:c r="AC863" s="74" t="str">
        <x:v>0</x:v>
      </x:c>
      <x:c r="AD863" s="74" t="str">
        <x:v>0</x:v>
      </x:c>
      <x:c r="AE863" s="74" t="str">
        <x:v>0</x:v>
      </x:c>
      <x:c r="AF863" s="74" t="str"/>
      <x:c r="AG863" s="74" t="str">
        <x:v>0</x:v>
      </x:c>
      <x:c r="AH863" s="74" t="str">
        <x:v>0</x:v>
      </x:c>
      <x:c r="AI863" s="74" t="str">
        <x:v>0</x:v>
      </x:c>
      <x:c r="AJ863" s="74" t="str">
        <x:v>0</x:v>
      </x:c>
      <x:c r="AK863" s="74" t="str">
        <x:v>0</x:v>
      </x:c>
      <x:c r="AL863" s="74" t="str">
        <x:v>1</x:v>
      </x:c>
      <x:c r="AM863" s="74" t="str">
        <x:v>1</x:v>
      </x:c>
      <x:c r="AN863" s="74" t="str">
        <x:v>0</x:v>
      </x:c>
      <x:c r="AO863" s="60" t="str">
        <x:v>2024</x:v>
      </x:c>
      <x:c r="AP863" s="76" t="str">
        <x:v>ICP fit; paid-demand need requires manual verification</x:v>
      </x:c>
      <x:c r="AQ863" s="76" t="str">
        <x:v>no embedded homepage video detected</x:v>
      </x:c>
      <x:c r="AR863" s="76" t="str">
        <x:v>I was reviewing landscaping &amp; tree companies in Charleston, South Carolina and Crescent Moon Landscaping looked like a strong fit for a creative test.</x:v>
      </x:c>
      <x:c r="AS863" s="76" t="str">
        <x:v>property transformation ad</x:v>
      </x:c>
      <x:c r="AT863" s="76" t="str">
        <x:v>Crescent Moon Landscaping ad concept</x:v>
      </x:c>
      <x:c r="AU863" s="76" t="str">
        <x:v>Hi Steven — I was reviewing landscaping &amp; tree companies in Charleston, South Carolina and Crescent Moon Landscaping looked like a strong fit for a creative test. I mapped a private 15-second property transformation ad for Crescent Moon Landscaping using only public brand context—not for publishing, just to show the angle. We build three client-approved video ad concepts in seven days, then turn the winners into fresh variations. No filming day required. Worth sending the private sample?</x:v>
      </x:c>
      <x:c r="AV863" s="76" t="str">
        <x:v>Quick follow-up: the sample angle is a property transformation ad. If it misses the mark, no problem—I won't keep chasing. Should I send it?</x:v>
      </x:c>
      <x:c r="AW863" s="76" t="str">
        <x:v>Hi Steven, Ryan here. I was looking at Crescent Moon Landscaping's public marketing and noticed: icp fit; paid-demand need requires manual verification. I mapped one private property transformation ad as an example. Did I catch you with 30 seconds?</x:v>
      </x:c>
      <x:c r="AX863" s="60" t="str">
        <x:v>https://www.facebook.com/ads/library/?active_status=active&amp;ad_type=all&amp;country=US&amp;q=Crescent%20Moon%20Landscaping&amp;search_type=keyword_unordered</x:v>
      </x:c>
      <x:c r="AY863" s="60" t="str">
        <x:v>ok:200</x:v>
      </x:c>
      <x:c r="AZ863" s="60" t="n">
        <x:v>46232.722858796296</x:v>
      </x:c>
      <x:c r="BA863" s="60" t="str">
        <x:v>AI Ark SC trades export</x:v>
      </x:c>
      <x:c r="BB863" s="60" t="str">
        <x:v>https://cmscaping.com | https://www.linkedin.com/company/crescent-moon-landscaping</x:v>
      </x:c>
      <x:c r="BC863" s="60" t="str"/>
    </x:row>
    <x:row r="864" ht="18" customHeight="1">
      <x:c r="A864" s="70" t="str">
        <x:v>863</x:v>
      </x:c>
      <x:c r="B864" s="70" t="str">
        <x:v>C - Verify</x:v>
      </x:c>
      <x:c r="C864" s="72" t="str">
        <x:v>43</x:v>
      </x:c>
      <x:c r="D864" s="60" t="str">
        <x:v>Palmetto Crawlspace</x:v>
      </x:c>
      <x:c r="E864" s="60" t="str">
        <x:v>https://palmettocrawlspace.com</x:v>
      </x:c>
      <x:c r="F864" s="60" t="str">
        <x:v>https://www.palmettocrawlspace.com/</x:v>
      </x:c>
      <x:c r="G864" s="60" t="str">
        <x:v>Mount Pleasant</x:v>
      </x:c>
      <x:c r="H864" s="60" t="str">
        <x:v>South Carolina</x:v>
      </x:c>
      <x:c r="I864" s="60" t="str">
        <x:v>Foundation &amp; Waterproofing</x:v>
      </x:c>
      <x:c r="J864" s="60" t="str">
        <x:v>Brooks</x:v>
      </x:c>
      <x:c r="K864" s="60" t="str">
        <x:v>Lucas</x:v>
      </x:c>
      <x:c r="L864" s="60" t="str">
        <x:v>Business Owner</x:v>
      </x:c>
      <x:c r="M864" s="60" t="str">
        <x:v>brooks@palmettocrawlspace.com</x:v>
      </x:c>
      <x:c r="N864" s="60" t="str">
        <x:v>Verified with BounceBan on 08 Jun 26 12:06</x:v>
      </x:c>
      <x:c r="O864" s="60" t="str"/>
      <x:c r="P864" s="60" t="str">
        <x:v>https://www.linkedin.com/in/brooks-lucas-</x:v>
      </x:c>
      <x:c r="Q864" s="60" t="str">
        <x:v>2-10</x:v>
      </x:c>
      <x:c r="R864" s="60" t="str">
        <x:v>0-99999</x:v>
      </x:c>
      <x:c r="S864" s="60" t="str"/>
      <x:c r="T864" s="74" t="str">
        <x:v>0</x:v>
      </x:c>
      <x:c r="U864" s="60" t="str"/>
      <x:c r="V864" s="74" t="str">
        <x:v>26</x:v>
      </x:c>
      <x:c r="W864" s="74" t="str">
        <x:v>0</x:v>
      </x:c>
      <x:c r="X864" s="74" t="str">
        <x:v>10</x:v>
      </x:c>
      <x:c r="Y864" s="74" t="str">
        <x:v>0</x:v>
      </x:c>
      <x:c r="Z864" s="74" t="str">
        <x:v>7</x:v>
      </x:c>
      <x:c r="AA864" s="74" t="str">
        <x:v>0</x:v>
      </x:c>
      <x:c r="AB864" s="74" t="str">
        <x:v>0</x:v>
      </x:c>
      <x:c r="AC864" s="74" t="str">
        <x:v>0</x:v>
      </x:c>
      <x:c r="AD864" s="74" t="str">
        <x:v>0</x:v>
      </x:c>
      <x:c r="AE864" s="74" t="str">
        <x:v>0</x:v>
      </x:c>
      <x:c r="AF864" s="74" t="str"/>
      <x:c r="AG864" s="74" t="str">
        <x:v>0</x:v>
      </x:c>
      <x:c r="AH864" s="74" t="str">
        <x:v>0</x:v>
      </x:c>
      <x:c r="AI864" s="74" t="str">
        <x:v>0</x:v>
      </x:c>
      <x:c r="AJ864" s="74" t="str">
        <x:v>0</x:v>
      </x:c>
      <x:c r="AK864" s="74" t="str">
        <x:v>0</x:v>
      </x:c>
      <x:c r="AL864" s="74" t="str">
        <x:v>0</x:v>
      </x:c>
      <x:c r="AM864" s="74" t="str">
        <x:v>0</x:v>
      </x:c>
      <x:c r="AN864" s="74" t="str">
        <x:v>0</x:v>
      </x:c>
      <x:c r="AO864" s="60" t="str">
        <x:v>0</x:v>
      </x:c>
      <x:c r="AP864" s="76" t="str">
        <x:v>ICP fit; paid-demand need requires manual verification</x:v>
      </x:c>
      <x:c r="AQ864" s="76" t="str">
        <x:v>no embedded homepage video detected</x:v>
      </x:c>
      <x:c r="AR864" s="76" t="str">
        <x:v>I was reviewing foundation &amp; waterproofing companies in Mount Pleasant, South Carolina and Palmetto Crawlspace looked like a strong fit for a creative test.</x:v>
      </x:c>
      <x:c r="AS864" s="76" t="str">
        <x:v>visible-warning-signs inspection ad</x:v>
      </x:c>
      <x:c r="AT864" s="76" t="str">
        <x:v>Palmetto Crawlspace ad concept</x:v>
      </x:c>
      <x:c r="AU864" s="76" t="str">
        <x:v>Hi Brooks — I was reviewing foundation &amp; waterproofing companies in Mount Pleasant, South Carolina and Palmetto Crawlspace looked like a strong fit for a creative test. I mapped a private 15-second visible-warning-signs inspection ad for Palmetto Crawlspace using only public brand context—not for publishing, just to show the angle. We build three client-approved video ad concepts in seven days, then turn the winners into fresh variations. No filming day required. Worth sending the private sample?</x:v>
      </x:c>
      <x:c r="AV864" s="76" t="str">
        <x:v>Quick follow-up: the sample angle is a visible-warning-signs inspection ad. If it misses the mark, no problem—I won't keep chasing. Should I send it?</x:v>
      </x:c>
      <x:c r="AW864" s="76" t="str">
        <x:v>Hi Brooks, Ryan here. I was looking at Palmetto Crawlspace's public marketing and noticed: icp fit; paid-demand need requires manual verification. I mapped one private visible-warning-signs inspection ad as an example. Did I catch you with 30 seconds?</x:v>
      </x:c>
      <x:c r="AX864" s="60" t="str">
        <x:v>https://www.facebook.com/ads/library/?active_status=active&amp;ad_type=all&amp;country=US&amp;q=Palmetto%20Crawlspace&amp;search_type=keyword_unordered</x:v>
      </x:c>
      <x:c r="AY864" s="60" t="str">
        <x:v>ok:200</x:v>
      </x:c>
      <x:c r="AZ864" s="60" t="n">
        <x:v>46232.722858796296</x:v>
      </x:c>
      <x:c r="BA864" s="60" t="str">
        <x:v>AI Ark SC trades export</x:v>
      </x:c>
      <x:c r="BB864" s="60" t="str">
        <x:v>https://palmettocrawlspace.com | https://www.linkedin.com/company/palmetto-crawlspace</x:v>
      </x:c>
      <x:c r="BC864" s="60" t="str"/>
    </x:row>
    <x:row r="865" ht="18" customHeight="1">
      <x:c r="A865" s="70" t="str">
        <x:v>864</x:v>
      </x:c>
      <x:c r="B865" s="70" t="str">
        <x:v>C - Verify</x:v>
      </x:c>
      <x:c r="C865" s="72" t="str">
        <x:v>43</x:v>
      </x:c>
      <x:c r="D865" s="60" t="str">
        <x:v>Greenville Home Exteriors, LLC</x:v>
      </x:c>
      <x:c r="E865" s="60" t="str">
        <x:v>https://gvlhe.com</x:v>
      </x:c>
      <x:c r="F865" s="60" t="str">
        <x:v>https://gvlhe.com</x:v>
      </x:c>
      <x:c r="G865" s="60" t="str">
        <x:v>Greenville</x:v>
      </x:c>
      <x:c r="H865" s="60" t="str">
        <x:v>South Carolina</x:v>
      </x:c>
      <x:c r="I865" s="60" t="str">
        <x:v>Windows &amp; Doors</x:v>
      </x:c>
      <x:c r="J865" s="60" t="str">
        <x:v>Steven</x:v>
      </x:c>
      <x:c r="K865" s="60" t="str">
        <x:v>Hawkins</x:v>
      </x:c>
      <x:c r="L865" s="60" t="str">
        <x:v>Business Owner</x:v>
      </x:c>
      <x:c r="M865" s="60" t="str">
        <x:v>steven@gvlhe.com</x:v>
      </x:c>
      <x:c r="N865" s="60" t="str">
        <x:v>Verified with BounceBan on 08 Jun 26 12:06</x:v>
      </x:c>
      <x:c r="O865" s="60" t="str"/>
      <x:c r="P865" s="60" t="str">
        <x:v>https://www.linkedin.com/in/steven-hawkins-73b56323b</x:v>
      </x:c>
      <x:c r="Q865" s="60" t="str">
        <x:v>2-10</x:v>
      </x:c>
      <x:c r="R865" s="60" t="str"/>
      <x:c r="S865" s="60" t="str"/>
      <x:c r="T865" s="74" t="str">
        <x:v>0</x:v>
      </x:c>
      <x:c r="U865" s="60" t="str"/>
      <x:c r="V865" s="74" t="str">
        <x:v>26</x:v>
      </x:c>
      <x:c r="W865" s="74" t="str">
        <x:v>0</x:v>
      </x:c>
      <x:c r="X865" s="74" t="str">
        <x:v>10</x:v>
      </x:c>
      <x:c r="Y865" s="74" t="str">
        <x:v>0</x:v>
      </x:c>
      <x:c r="Z865" s="74" t="str">
        <x:v>7</x:v>
      </x:c>
      <x:c r="AA865" s="74" t="str">
        <x:v>0</x:v>
      </x:c>
      <x:c r="AB865" s="74" t="str">
        <x:v>0</x:v>
      </x:c>
      <x:c r="AC865" s="74" t="str">
        <x:v>0</x:v>
      </x:c>
      <x:c r="AD865" s="74" t="str">
        <x:v>0</x:v>
      </x:c>
      <x:c r="AE865" s="74" t="str">
        <x:v>0</x:v>
      </x:c>
      <x:c r="AF865" s="74" t="str"/>
      <x:c r="AG865" s="74" t="str">
        <x:v>0</x:v>
      </x:c>
      <x:c r="AH865" s="74" t="str">
        <x:v>0</x:v>
      </x:c>
      <x:c r="AI865" s="74" t="str">
        <x:v>0</x:v>
      </x:c>
      <x:c r="AJ865" s="74" t="str">
        <x:v>0</x:v>
      </x:c>
      <x:c r="AK865" s="74" t="str">
        <x:v>0</x:v>
      </x:c>
      <x:c r="AL865" s="74" t="str">
        <x:v>0</x:v>
      </x:c>
      <x:c r="AM865" s="74" t="str">
        <x:v>0</x:v>
      </x:c>
      <x:c r="AN865" s="74" t="str">
        <x:v>0</x:v>
      </x:c>
      <x:c r="AO865" s="60" t="str">
        <x:v>0</x:v>
      </x:c>
      <x:c r="AP865" s="76" t="str">
        <x:v>ICP fit; paid-demand need requires manual verification</x:v>
      </x:c>
      <x:c r="AQ865" s="76" t="str">
        <x:v>no embedded homepage video detected</x:v>
      </x:c>
      <x:c r="AR865" s="76" t="str">
        <x:v>I was reviewing windows &amp; doors companies in Greenville, South Carolina and Greenville Home Exteriors, LLC looked like a strong fit for a creative test.</x:v>
      </x:c>
      <x:c r="AS865" s="76" t="str">
        <x:v>energy-loss to installed-window transformation ad</x:v>
      </x:c>
      <x:c r="AT865" s="76" t="str">
        <x:v>Greenville Home Exteriors, LLC ad concept</x:v>
      </x:c>
      <x:c r="AU865" s="76" t="str">
        <x:v>Hi Steven — I was reviewing windows &amp; doors companies in Greenville, South Carolina and Greenville Home Exteriors, LLC looked like a strong fit for a creative test. I mapped a private 15-second energy-loss to installed-window transformation ad for Greenville Home Exteriors, LLC using only public brand context—not for publishing, just to show the angle. We build three client-approved video ad concepts in seven days, then turn the winners into fresh variations. No filming day required. Worth sending the private sample?</x:v>
      </x:c>
      <x:c r="AV865" s="76" t="str">
        <x:v>Quick follow-up: the sample angle is a energy-loss to installed-window transformation ad. If it misses the mark, no problem—I won't keep chasing. Should I send it?</x:v>
      </x:c>
      <x:c r="AW865" s="76" t="str">
        <x:v>Hi Steven, Ryan here. I was looking at Greenville Home Exteriors, LLC's public marketing and noticed: icp fit; paid-demand need requires manual verification. I mapped one private energy-loss to installed-window transformation ad as an example. Did I catch you with 30 seconds?</x:v>
      </x:c>
      <x:c r="AX865" s="60" t="str">
        <x:v>https://www.facebook.com/ads/library/?active_status=active&amp;ad_type=all&amp;country=US&amp;q=Greenville%20Home%20Exteriors%2C%20LLC&amp;search_type=keyword_unordered</x:v>
      </x:c>
      <x:c r="AY865" s="60" t="str">
        <x:v>ok:200</x:v>
      </x:c>
      <x:c r="AZ865" s="60" t="n">
        <x:v>46232.722858796296</x:v>
      </x:c>
      <x:c r="BA865" s="60" t="str">
        <x:v>AI Ark SC trades export</x:v>
      </x:c>
      <x:c r="BB865" s="60" t="str">
        <x:v>https://gvlhe.com | https://www.linkedin.com/company/greenville-home-exteriors-llc</x:v>
      </x:c>
      <x:c r="BC865" s="60" t="str"/>
    </x:row>
    <x:row r="866" ht="18" customHeight="1">
      <x:c r="A866" s="70" t="str">
        <x:v>865</x:v>
      </x:c>
      <x:c r="B866" s="70" t="str">
        <x:v>C - Verify</x:v>
      </x:c>
      <x:c r="C866" s="72" t="str">
        <x:v>43</x:v>
      </x:c>
      <x:c r="D866" s="60" t="str">
        <x:v>Carolina EcoClean Services, LLC</x:v>
      </x:c>
      <x:c r="E866" s="60" t="str">
        <x:v>https://carolinaecoclean.com</x:v>
      </x:c>
      <x:c r="F866" s="60" t="str">
        <x:v>https://carolinaecoclean.com</x:v>
      </x:c>
      <x:c r="G866" s="60" t="str">
        <x:v>Columbia</x:v>
      </x:c>
      <x:c r="H866" s="60" t="str">
        <x:v>South Carolina Metropolitan Area</x:v>
      </x:c>
      <x:c r="I866" s="60" t="str">
        <x:v>Windows &amp; Doors</x:v>
      </x:c>
      <x:c r="J866" s="60" t="str">
        <x:v>Rachel</x:v>
      </x:c>
      <x:c r="K866" s="60" t="str">
        <x:v>Evans</x:v>
      </x:c>
      <x:c r="L866" s="60" t="str">
        <x:v>Co-Owner</x:v>
      </x:c>
      <x:c r="M866" s="60" t="str">
        <x:v>rachel@carolinaecoclean.com</x:v>
      </x:c>
      <x:c r="N866" s="60" t="str">
        <x:v>Verified with BounceBan on 08 Jun 26 12:06</x:v>
      </x:c>
      <x:c r="O866" s="60" t="str"/>
      <x:c r="P866" s="60" t="str">
        <x:v>https://www.linkedin.com/in/rachel-a-evans</x:v>
      </x:c>
      <x:c r="Q866" s="60" t="str">
        <x:v>11-50</x:v>
      </x:c>
      <x:c r="R866" s="60" t="str">
        <x:v>100000-499999</x:v>
      </x:c>
      <x:c r="S866" s="60" t="str"/>
      <x:c r="T866" s="74" t="str">
        <x:v>0</x:v>
      </x:c>
      <x:c r="U866" s="60" t="str"/>
      <x:c r="V866" s="74" t="str">
        <x:v>29</x:v>
      </x:c>
      <x:c r="W866" s="74" t="str">
        <x:v>0</x:v>
      </x:c>
      <x:c r="X866" s="74" t="str">
        <x:v>10</x:v>
      </x:c>
      <x:c r="Y866" s="74" t="str">
        <x:v>0</x:v>
      </x:c>
      <x:c r="Z866" s="74" t="str">
        <x:v>7</x:v>
      </x:c>
      <x:c r="AA866" s="74" t="str">
        <x:v>0</x:v>
      </x:c>
      <x:c r="AB866" s="74" t="str">
        <x:v>0</x:v>
      </x:c>
      <x:c r="AC866" s="74" t="str">
        <x:v>0</x:v>
      </x:c>
      <x:c r="AD866" s="74" t="str">
        <x:v>0</x:v>
      </x:c>
      <x:c r="AE866" s="74" t="str">
        <x:v>0</x:v>
      </x:c>
      <x:c r="AF866" s="74" t="str"/>
      <x:c r="AG866" s="74" t="str">
        <x:v>0</x:v>
      </x:c>
      <x:c r="AH866" s="74" t="str">
        <x:v>0</x:v>
      </x:c>
      <x:c r="AI866" s="74" t="str">
        <x:v>0</x:v>
      </x:c>
      <x:c r="AJ866" s="74" t="str">
        <x:v>0</x:v>
      </x:c>
      <x:c r="AK866" s="74" t="str">
        <x:v>0</x:v>
      </x:c>
      <x:c r="AL866" s="74" t="str">
        <x:v>0</x:v>
      </x:c>
      <x:c r="AM866" s="74" t="str">
        <x:v>0</x:v>
      </x:c>
      <x:c r="AN866" s="74" t="str">
        <x:v>0</x:v>
      </x:c>
      <x:c r="AO866" s="60" t="str">
        <x:v>0</x:v>
      </x:c>
      <x:c r="AP866" s="76" t="str">
        <x:v>ICP fit; paid-demand need requires manual verification</x:v>
      </x:c>
      <x:c r="AQ866" s="76" t="str">
        <x:v>no embedded homepage video detected</x:v>
      </x:c>
      <x:c r="AR866" s="76" t="str">
        <x:v>I was reviewing windows &amp; doors companies in Columbia, South Carolina Metropolitan Area and Carolina EcoClean Services, LLC looked like a strong fit for a creative test.</x:v>
      </x:c>
      <x:c r="AS866" s="76" t="str">
        <x:v>energy-loss to installed-window transformation ad</x:v>
      </x:c>
      <x:c r="AT866" s="76" t="str">
        <x:v>Carolina EcoClean Services, LLC ad concept</x:v>
      </x:c>
      <x:c r="AU866" s="76" t="str">
        <x:v>Hi Rachel — I was reviewing windows &amp; doors companies in Columbia, South Carolina Metropolitan Area and Carolina EcoClean Services, LLC looked like a strong fit for a creative test. I mapped a private 15-second energy-loss to installed-window transformation ad for Carolina EcoClean Services, LLC using only public brand context—not for publishing, just to show the angle. We build three client-approved video ad concepts in seven days, then turn the winners into fresh variations. No filming day required. Worth sending the private sample?</x:v>
      </x:c>
      <x:c r="AV866" s="76" t="str">
        <x:v>Quick follow-up: the sample angle is a energy-loss to installed-window transformation ad. If it misses the mark, no problem—I won't keep chasing. Should I send it?</x:v>
      </x:c>
      <x:c r="AW866" s="76" t="str">
        <x:v>Hi Rachel, Ryan here. I was looking at Carolina EcoClean Services, LLC's public marketing and noticed: icp fit; paid-demand need requires manual verification. I mapped one private energy-loss to installed-window transformation ad as an example. Did I catch you with 30 seconds?</x:v>
      </x:c>
      <x:c r="AX866" s="60" t="str">
        <x:v>https://www.facebook.com/ads/library/?active_status=active&amp;ad_type=all&amp;country=US&amp;q=Carolina%20EcoClean%20Services%2C%20LLC&amp;search_type=keyword_unordered</x:v>
      </x:c>
      <x:c r="AY866" s="60" t="str">
        <x:v>http:404</x:v>
      </x:c>
      <x:c r="AZ866" s="60" t="n">
        <x:v>46232.722858796296</x:v>
      </x:c>
      <x:c r="BA866" s="60" t="str">
        <x:v>AI Ark SC trades export</x:v>
      </x:c>
      <x:c r="BB866" s="60" t="str">
        <x:v>https://carolinaecoclean.com | https://www.linkedin.com/company/carolina-ecoclean-services</x:v>
      </x:c>
      <x:c r="BC866" s="60" t="str"/>
    </x:row>
    <x:row r="867" ht="18" customHeight="1">
      <x:c r="A867" s="70" t="str">
        <x:v>866</x:v>
      </x:c>
      <x:c r="B867" s="70" t="str">
        <x:v>C - Verify</x:v>
      </x:c>
      <x:c r="C867" s="72" t="str">
        <x:v>43</x:v>
      </x:c>
      <x:c r="D867" s="60" t="str">
        <x:v>Two Brothers Roofing LLC</x:v>
      </x:c>
      <x:c r="E867" s="60" t="str">
        <x:v>https://twobrothersroofingllcsc.com</x:v>
      </x:c>
      <x:c r="F867" s="60" t="str">
        <x:v>http://twobrothersroofingllcsc.com</x:v>
      </x:c>
      <x:c r="G867" s="60" t="str">
        <x:v>Hilton Head Island</x:v>
      </x:c>
      <x:c r="H867" s="60" t="str">
        <x:v>South Carolina</x:v>
      </x:c>
      <x:c r="I867" s="60" t="str">
        <x:v>Roofing</x:v>
      </x:c>
      <x:c r="J867" s="60" t="str">
        <x:v>Clemente</x:v>
      </x:c>
      <x:c r="K867" s="60" t="str">
        <x:v>Sandoval</x:v>
      </x:c>
      <x:c r="L867" s="60" t="str">
        <x:v>Company Owner</x:v>
      </x:c>
      <x:c r="M867" s="60" t="str"/>
      <x:c r="N867" s="60" t="str"/>
      <x:c r="O867" s="60" t="str">
        <x:v>+1 843 298 6012, +1 843 247 6644</x:v>
      </x:c>
      <x:c r="P867" s="60" t="str">
        <x:v>https://www.linkedin.com/in/clemente-sandoval-130101124</x:v>
      </x:c>
      <x:c r="Q867" s="60" t="str">
        <x:v>2-10</x:v>
      </x:c>
      <x:c r="R867" s="60" t="str">
        <x:v>100000-499999</x:v>
      </x:c>
      <x:c r="S867" s="60" t="str"/>
      <x:c r="T867" s="74" t="str">
        <x:v>0</x:v>
      </x:c>
      <x:c r="U867" s="60" t="str"/>
      <x:c r="V867" s="74" t="str">
        <x:v>28</x:v>
      </x:c>
      <x:c r="W867" s="74" t="str">
        <x:v>0</x:v>
      </x:c>
      <x:c r="X867" s="74" t="str">
        <x:v>10</x:v>
      </x:c>
      <x:c r="Y867" s="74" t="str">
        <x:v>0</x:v>
      </x:c>
      <x:c r="Z867" s="74" t="str">
        <x:v>5</x:v>
      </x:c>
      <x:c r="AA867" s="74" t="str">
        <x:v>0</x:v>
      </x:c>
      <x:c r="AB867" s="74" t="str">
        <x:v>0</x:v>
      </x:c>
      <x:c r="AC867" s="74" t="str">
        <x:v>0</x:v>
      </x:c>
      <x:c r="AD867" s="74" t="str">
        <x:v>0</x:v>
      </x:c>
      <x:c r="AE867" s="74" t="str">
        <x:v>0</x:v>
      </x:c>
      <x:c r="AF867" s="74" t="str"/>
      <x:c r="AG867" s="74" t="str">
        <x:v>0</x:v>
      </x:c>
      <x:c r="AH867" s="74" t="str">
        <x:v>0</x:v>
      </x:c>
      <x:c r="AI867" s="74" t="str">
        <x:v>0</x:v>
      </x:c>
      <x:c r="AJ867" s="74" t="str">
        <x:v>0</x:v>
      </x:c>
      <x:c r="AK867" s="74" t="str">
        <x:v>0</x:v>
      </x:c>
      <x:c r="AL867" s="74" t="str">
        <x:v>0</x:v>
      </x:c>
      <x:c r="AM867" s="74" t="str">
        <x:v>0</x:v>
      </x:c>
      <x:c r="AN867" s="74" t="str">
        <x:v>0</x:v>
      </x:c>
      <x:c r="AO867" s="60" t="str">
        <x:v>0</x:v>
      </x:c>
      <x:c r="AP867" s="76" t="str">
        <x:v>ICP fit; paid-demand need requires manual verification</x:v>
      </x:c>
      <x:c r="AQ867" s="76" t="str">
        <x:v>no embedded homepage video detected</x:v>
      </x:c>
      <x:c r="AR867" s="76" t="str">
        <x:v>I was reviewing roofing companies in Hilton Head Island, South Carolina and Two Brothers Roofing LLC looked like a strong fit for a creative test.</x:v>
      </x:c>
      <x:c r="AS867" s="76" t="str">
        <x:v>storm-to-inspection before/after ad</x:v>
      </x:c>
      <x:c r="AT867" s="76" t="str">
        <x:v>Two Brothers Roofing LLC ad concept</x:v>
      </x:c>
      <x:c r="AU867" s="76" t="str">
        <x:v>Hi Clemente — I was reviewing roofing companies in Hilton Head Island, South Carolina and Two Brothers Roofing LLC looked like a strong fit for a creative test. I mapped a private 15-second storm-to-inspection before/after ad for Two Brothers Roofing LLC using only public brand context—not for publishing, just to show the angle. We build three client-approved video ad concepts in seven days, then turn the winners into fresh variations. No filming day required. Worth sending the private sample?</x:v>
      </x:c>
      <x:c r="AV867" s="76" t="str">
        <x:v>Quick follow-up: the sample angle is a storm-to-inspection before/after ad. If it misses the mark, no problem—I won't keep chasing. Should I send it?</x:v>
      </x:c>
      <x:c r="AW867" s="76" t="str">
        <x:v>Hi Clemente, Ryan here. I was looking at Two Brothers Roofing LLC's public marketing and noticed: icp fit; paid-demand need requires manual verification. I mapped one private storm-to-inspection before/after ad as an example. Did I catch you with 30 seconds?</x:v>
      </x:c>
      <x:c r="AX867" s="60" t="str">
        <x:v>https://www.facebook.com/ads/library/?active_status=active&amp;ad_type=all&amp;country=US&amp;q=Two%20Brothers%20Roofing%20LLC&amp;search_type=keyword_unordered</x:v>
      </x:c>
      <x:c r="AY867" s="60" t="str">
        <x:v>ok:200</x:v>
      </x:c>
      <x:c r="AZ867" s="60" t="n">
        <x:v>46232.722858796296</x:v>
      </x:c>
      <x:c r="BA867" s="60" t="str">
        <x:v>AI Ark SC trades export</x:v>
      </x:c>
      <x:c r="BB867" s="60" t="str">
        <x:v>https://twobrothersroofingllcsc.com | https://www.linkedin.com/company/two-brothers-roofing-llc</x:v>
      </x:c>
      <x:c r="BC867" s="60" t="str"/>
    </x:row>
    <x:row r="868" ht="18" customHeight="1">
      <x:c r="A868" s="70" t="str">
        <x:v>867</x:v>
      </x:c>
      <x:c r="B868" s="70" t="str">
        <x:v>C - Verify</x:v>
      </x:c>
      <x:c r="C868" s="72" t="str">
        <x:v>43</x:v>
      </x:c>
      <x:c r="D868" s="60" t="str">
        <x:v>TISHADAM CONSTRUCTION</x:v>
      </x:c>
      <x:c r="E868" s="60" t="str">
        <x:v>https://tishadam.com</x:v>
      </x:c>
      <x:c r="F868" s="60" t="str">
        <x:v>http://www.tishadam.com/</x:v>
      </x:c>
      <x:c r="G868" s="60" t="str">
        <x:v>Jonesville</x:v>
      </x:c>
      <x:c r="H868" s="60" t="str">
        <x:v>South Carolina</x:v>
      </x:c>
      <x:c r="I868" s="60" t="str">
        <x:v>Restoration</x:v>
      </x:c>
      <x:c r="J868" s="60" t="str">
        <x:v>Damian</x:v>
      </x:c>
      <x:c r="K868" s="60" t="str">
        <x:v>Morrill</x:v>
      </x:c>
      <x:c r="L868" s="60" t="str">
        <x:v>Owner</x:v>
      </x:c>
      <x:c r="M868" s="60" t="str"/>
      <x:c r="N868" s="60" t="str"/>
      <x:c r="O868" s="60" t="str">
        <x:v>+1 845 656 8417</x:v>
      </x:c>
      <x:c r="P868" s="60" t="str">
        <x:v>https://www.linkedin.com/in/damian-morrill-033123106</x:v>
      </x:c>
      <x:c r="Q868" s="60" t="str">
        <x:v>2-10</x:v>
      </x:c>
      <x:c r="R868" s="60" t="str">
        <x:v>100000-499999</x:v>
      </x:c>
      <x:c r="S868" s="60" t="str"/>
      <x:c r="T868" s="74" t="str">
        <x:v>0</x:v>
      </x:c>
      <x:c r="U868" s="60" t="str"/>
      <x:c r="V868" s="74" t="str">
        <x:v>28</x:v>
      </x:c>
      <x:c r="W868" s="74" t="str">
        <x:v>0</x:v>
      </x:c>
      <x:c r="X868" s="74" t="str">
        <x:v>10</x:v>
      </x:c>
      <x:c r="Y868" s="74" t="str">
        <x:v>0</x:v>
      </x:c>
      <x:c r="Z868" s="74" t="str">
        <x:v>5</x:v>
      </x:c>
      <x:c r="AA868" s="74" t="str">
        <x:v>0</x:v>
      </x:c>
      <x:c r="AB868" s="74" t="str">
        <x:v>0</x:v>
      </x:c>
      <x:c r="AC868" s="74" t="str">
        <x:v>0</x:v>
      </x:c>
      <x:c r="AD868" s="74" t="str">
        <x:v>0</x:v>
      </x:c>
      <x:c r="AE868" s="74" t="str">
        <x:v>0</x:v>
      </x:c>
      <x:c r="AF868" s="74" t="str"/>
      <x:c r="AG868" s="74" t="str">
        <x:v>0</x:v>
      </x:c>
      <x:c r="AH868" s="74" t="str">
        <x:v>0</x:v>
      </x:c>
      <x:c r="AI868" s="74" t="str">
        <x:v>0</x:v>
      </x:c>
      <x:c r="AJ868" s="74" t="str">
        <x:v>0</x:v>
      </x:c>
      <x:c r="AK868" s="74" t="str">
        <x:v>0</x:v>
      </x:c>
      <x:c r="AL868" s="74" t="str">
        <x:v>0</x:v>
      </x:c>
      <x:c r="AM868" s="74" t="str">
        <x:v>0</x:v>
      </x:c>
      <x:c r="AN868" s="74" t="str">
        <x:v>0</x:v>
      </x:c>
      <x:c r="AO868" s="60" t="str">
        <x:v>0</x:v>
      </x:c>
      <x:c r="AP868" s="76" t="str">
        <x:v>ICP fit; paid-demand need requires manual verification</x:v>
      </x:c>
      <x:c r="AQ868" s="76" t="str">
        <x:v>no embedded homepage video detected</x:v>
      </x:c>
      <x:c r="AR868" s="76" t="str">
        <x:v>I was reviewing restoration companies in Jonesville, South Carolina and TISHADAM CONSTRUCTION looked like a strong fit for a creative test.</x:v>
      </x:c>
      <x:c r="AS868" s="76" t="str">
        <x:v>first-24-hours emergency-response ad</x:v>
      </x:c>
      <x:c r="AT868" s="76" t="str">
        <x:v>TISHADAM CONSTRUCTION ad concept</x:v>
      </x:c>
      <x:c r="AU868" s="76" t="str">
        <x:v>Hi Damian — I was reviewing restoration companies in Jonesville, South Carolina and TISHADAM CONSTRUCTION looked like a strong fit for a creative test. I mapped a private 15-second first-24-hours emergency-response ad for TISHADAM CONSTRUCTION using only public brand context—not for publishing, just to show the angle. We build three client-approved video ad concepts in seven days, then turn the winners into fresh variations. No filming day required. Worth sending the private sample?</x:v>
      </x:c>
      <x:c r="AV868" s="76" t="str">
        <x:v>Quick follow-up: the sample angle is a first-24-hours emergency-response ad. If it misses the mark, no problem—I won't keep chasing. Should I send it?</x:v>
      </x:c>
      <x:c r="AW868" s="76" t="str">
        <x:v>Hi Damian, Ryan here. I was looking at TISHADAM CONSTRUCTION's public marketing and noticed: icp fit; paid-demand need requires manual verification. I mapped one private first-24-hours emergency-response ad as an example. Did I catch you with 30 seconds?</x:v>
      </x:c>
      <x:c r="AX868" s="60" t="str">
        <x:v>https://www.facebook.com/ads/library/?active_status=active&amp;ad_type=all&amp;country=US&amp;q=TISHADAM%20CONSTRUCTION&amp;search_type=keyword_unordered</x:v>
      </x:c>
      <x:c r="AY868" s="60" t="str">
        <x:v>ok:200</x:v>
      </x:c>
      <x:c r="AZ868" s="60" t="n">
        <x:v>46232.722858796296</x:v>
      </x:c>
      <x:c r="BA868" s="60" t="str">
        <x:v>AI Ark SC trades export</x:v>
      </x:c>
      <x:c r="BB868" s="60" t="str">
        <x:v>https://tishadam.com | https://www.linkedin.com/company/tishadam-construction</x:v>
      </x:c>
      <x:c r="BC868" s="60" t="str"/>
    </x:row>
    <x:row r="869" ht="18" customHeight="1">
      <x:c r="A869" s="70" t="str">
        <x:v>868</x:v>
      </x:c>
      <x:c r="B869" s="70" t="str">
        <x:v>C - Verify</x:v>
      </x:c>
      <x:c r="C869" s="72" t="str">
        <x:v>43</x:v>
      </x:c>
      <x:c r="D869" s="60" t="str">
        <x:v>Southern Roofing Services Inc</x:v>
      </x:c>
      <x:c r="E869" s="60" t="str">
        <x:v>https://southernroofing.com</x:v>
      </x:c>
      <x:c r="F869" s="60" t="str">
        <x:v>https://southernroofing.com</x:v>
      </x:c>
      <x:c r="G869" s="60" t="str">
        <x:v>Sumter</x:v>
      </x:c>
      <x:c r="H869" s="60" t="str">
        <x:v>South Carolina</x:v>
      </x:c>
      <x:c r="I869" s="60" t="str">
        <x:v>Roofing</x:v>
      </x:c>
      <x:c r="J869" s="60" t="str">
        <x:v>Southern Roofing Services Inc</x:v>
      </x:c>
      <x:c r="K869" s="60" t="str"/>
      <x:c r="L869" s="60" t="str">
        <x:v>Owner / decision maker to verify</x:v>
      </x:c>
      <x:c r="M869" s="60" t="str"/>
      <x:c r="N869" s="60" t="str"/>
      <x:c r="O869" s="60" t="str">
        <x:v>(803) 773-8221</x:v>
      </x:c>
      <x:c r="P869" s="60" t="str"/>
      <x:c r="Q869" s="60" t="str"/>
      <x:c r="R869" s="60" t="str"/>
      <x:c r="S869" s="60" t="str">
        <x:v>4.6</x:v>
      </x:c>
      <x:c r="T869" s="74" t="str">
        <x:v>12</x:v>
      </x:c>
      <x:c r="U869" s="60" t="str"/>
      <x:c r="V869" s="74" t="str">
        <x:v>25</x:v>
      </x:c>
      <x:c r="W869" s="74" t="str">
        <x:v>0</x:v>
      </x:c>
      <x:c r="X869" s="74" t="str">
        <x:v>13</x:v>
      </x:c>
      <x:c r="Y869" s="74" t="str">
        <x:v>0</x:v>
      </x:c>
      <x:c r="Z869" s="74" t="str">
        <x:v>5</x:v>
      </x:c>
      <x:c r="AA869" s="74" t="str">
        <x:v>0</x:v>
      </x:c>
      <x:c r="AB869" s="74" t="str">
        <x:v>0</x:v>
      </x:c>
      <x:c r="AC869" s="74" t="str">
        <x:v>0</x:v>
      </x:c>
      <x:c r="AD869" s="74" t="str">
        <x:v>0</x:v>
      </x:c>
      <x:c r="AE869" s="74" t="str">
        <x:v>0</x:v>
      </x:c>
      <x:c r="AF869" s="74" t="str"/>
      <x:c r="AG869" s="74" t="str">
        <x:v>0</x:v>
      </x:c>
      <x:c r="AH869" s="74" t="str">
        <x:v>0</x:v>
      </x:c>
      <x:c r="AI869" s="74" t="str">
        <x:v>0</x:v>
      </x:c>
      <x:c r="AJ869" s="74" t="str">
        <x:v>0</x:v>
      </x:c>
      <x:c r="AK869" s="74" t="str">
        <x:v>0</x:v>
      </x:c>
      <x:c r="AL869" s="74" t="str">
        <x:v>0</x:v>
      </x:c>
      <x:c r="AM869" s="74" t="str">
        <x:v>0</x:v>
      </x:c>
      <x:c r="AN869" s="74" t="str">
        <x:v>0</x:v>
      </x:c>
      <x:c r="AO869" s="60" t="str">
        <x:v>2016</x:v>
      </x:c>
      <x:c r="AP869" s="76" t="str">
        <x:v>ICP fit; paid-demand need requires manual verification</x:v>
      </x:c>
      <x:c r="AQ869" s="76" t="str">
        <x:v>no embedded homepage video detected</x:v>
      </x:c>
      <x:c r="AR869" s="76" t="str">
        <x:v>I was reviewing roofing companies in Sumter, South Carolina and Southern Roofing Services Inc looked like a strong fit for a creative test.</x:v>
      </x:c>
      <x:c r="AS869" s="76" t="str">
        <x:v>storm-to-inspection before/after ad</x:v>
      </x:c>
      <x:c r="AT869" s="76" t="str">
        <x:v>Southern Roofing Services Inc ad concept</x:v>
      </x:c>
      <x:c r="AU869" s="76" t="str">
        <x:v>Hi Southern Roofing Services Inc — I was reviewing roofing companies in Sumter, South Carolina and Southern Roofing Services Inc looked like a strong fit for a creative test. I mapped a private 15-second storm-to-inspection before/after ad for Southern Roofing Services Inc using only public brand context—not for publishing, just to show the angle. We build three client-approved video ad concepts in seven days, then turn the winners into fresh variations. No filming day required. Worth sending the private sample?</x:v>
      </x:c>
      <x:c r="AV869" s="76" t="str">
        <x:v>Quick follow-up: the sample angle is a storm-to-inspection before/after ad. If it misses the mark, no problem—I won't keep chasing. Should I send it?</x:v>
      </x:c>
      <x:c r="AW869" s="76" t="str">
        <x:v>Hi Southern Roofing Services Inc, Ryan here. I was looking at Southern Roofing Services Inc's public marketing and noticed: icp fit; paid-demand need requires manual verification. I mapped one private storm-to-inspection before/after ad as an example. Did I catch you with 30 seconds?</x:v>
      </x:c>
      <x:c r="AX869" s="60" t="str">
        <x:v>https://www.facebook.com/ads/library/?active_status=active&amp;ad_type=all&amp;country=US&amp;q=Southern%20Roofing%20Services%20Inc&amp;search_type=keyword_unordered</x:v>
      </x:c>
      <x:c r="AY869" s="60" t="str">
        <x:v>ok:200</x:v>
      </x:c>
      <x:c r="AZ869" s="60" t="n">
        <x:v>46232.722858796296</x:v>
      </x:c>
      <x:c r="BA869" s="60" t="str">
        <x:v>Google Maps home-services export</x:v>
      </x:c>
      <x:c r="BB869" s="60" t="str">
        <x:v>https://maps.google.com/?cid=4091464760629812685&amp;g_mp=Cidnb29nbGUubWFwcy5wbGFjZXMudjEuUGxhY2VzLlNlYXJjaFRleHQQAhgEIAA | https://southernroofing.com</x:v>
      </x:c>
      <x:c r="BC869" s="60" t="str"/>
    </x:row>
    <x:row r="870" ht="18" customHeight="1">
      <x:c r="A870" s="70" t="str">
        <x:v>869</x:v>
      </x:c>
      <x:c r="B870" s="70" t="str">
        <x:v>C - Verify</x:v>
      </x:c>
      <x:c r="C870" s="72" t="str">
        <x:v>43</x:v>
      </x:c>
      <x:c r="D870" s="60" t="str">
        <x:v>SJ Martin Consulting</x:v>
      </x:c>
      <x:c r="E870" s="60" t="str">
        <x:v>https://sjmartinconsulting.com</x:v>
      </x:c>
      <x:c r="F870" s="60" t="str">
        <x:v>https://sjmartinconsulting.com</x:v>
      </x:c>
      <x:c r="G870" s="60" t="str">
        <x:v>Beaufort</x:v>
      </x:c>
      <x:c r="H870" s="60" t="str">
        <x:v>South Carolina</x:v>
      </x:c>
      <x:c r="I870" s="60" t="str">
        <x:v>Roofing</x:v>
      </x:c>
      <x:c r="J870" s="60" t="str">
        <x:v>Sarah J.</x:v>
      </x:c>
      <x:c r="K870" s="60" t="str">
        <x:v>Martin, CPCC</x:v>
      </x:c>
      <x:c r="L870" s="60" t="str">
        <x:v>Company Owner</x:v>
      </x:c>
      <x:c r="M870" s="60" t="str"/>
      <x:c r="N870" s="60" t="str"/>
      <x:c r="O870" s="60" t="str">
        <x:v>+1 860 462 2914</x:v>
      </x:c>
      <x:c r="P870" s="60" t="str">
        <x:v>https://www.linkedin.com/in/sarah-j-martin-cpcc-799b1339</x:v>
      </x:c>
      <x:c r="Q870" s="60" t="str">
        <x:v>2-10</x:v>
      </x:c>
      <x:c r="R870" s="60" t="str">
        <x:v>0-99999</x:v>
      </x:c>
      <x:c r="S870" s="60" t="str"/>
      <x:c r="T870" s="74" t="str">
        <x:v>0</x:v>
      </x:c>
      <x:c r="U870" s="60" t="str"/>
      <x:c r="V870" s="74" t="str">
        <x:v>28</x:v>
      </x:c>
      <x:c r="W870" s="74" t="str">
        <x:v>0</x:v>
      </x:c>
      <x:c r="X870" s="74" t="str">
        <x:v>10</x:v>
      </x:c>
      <x:c r="Y870" s="74" t="str">
        <x:v>0</x:v>
      </x:c>
      <x:c r="Z870" s="74" t="str">
        <x:v>5</x:v>
      </x:c>
      <x:c r="AA870" s="74" t="str">
        <x:v>0</x:v>
      </x:c>
      <x:c r="AB870" s="74" t="str">
        <x:v>0</x:v>
      </x:c>
      <x:c r="AC870" s="74" t="str">
        <x:v>0</x:v>
      </x:c>
      <x:c r="AD870" s="74" t="str">
        <x:v>0</x:v>
      </x:c>
      <x:c r="AE870" s="74" t="str">
        <x:v>0</x:v>
      </x:c>
      <x:c r="AF870" s="74" t="str"/>
      <x:c r="AG870" s="74" t="str">
        <x:v>0</x:v>
      </x:c>
      <x:c r="AH870" s="74" t="str">
        <x:v>0</x:v>
      </x:c>
      <x:c r="AI870" s="74" t="str">
        <x:v>0</x:v>
      </x:c>
      <x:c r="AJ870" s="74" t="str">
        <x:v>0</x:v>
      </x:c>
      <x:c r="AK870" s="74" t="str">
        <x:v>0</x:v>
      </x:c>
      <x:c r="AL870" s="74" t="str">
        <x:v>0</x:v>
      </x:c>
      <x:c r="AM870" s="74" t="str">
        <x:v>0</x:v>
      </x:c>
      <x:c r="AN870" s="74" t="str">
        <x:v>0</x:v>
      </x:c>
      <x:c r="AO870" s="60" t="str">
        <x:v>2025</x:v>
      </x:c>
      <x:c r="AP870" s="76" t="str">
        <x:v>ICP fit; paid-demand need requires manual verification</x:v>
      </x:c>
      <x:c r="AQ870" s="76" t="str">
        <x:v>no embedded homepage video detected</x:v>
      </x:c>
      <x:c r="AR870" s="76" t="str">
        <x:v>I was reviewing roofing companies in Beaufort, South Carolina and SJ Martin Consulting looked like a strong fit for a creative test.</x:v>
      </x:c>
      <x:c r="AS870" s="76" t="str">
        <x:v>storm-to-inspection before/after ad</x:v>
      </x:c>
      <x:c r="AT870" s="76" t="str">
        <x:v>SJ Martin Consulting ad concept</x:v>
      </x:c>
      <x:c r="AU870" s="76" t="str">
        <x:v>Hi Sarah J. — I was reviewing roofing companies in Beaufort, South Carolina and SJ Martin Consulting looked like a strong fit for a creative test. I mapped a private 15-second storm-to-inspection before/after ad for SJ Martin Consulting using only public brand context—not for publishing, just to show the angle. We build three client-approved video ad concepts in seven days, then turn the winners into fresh variations. No filming day required. Worth sending the private sample?</x:v>
      </x:c>
      <x:c r="AV870" s="76" t="str">
        <x:v>Quick follow-up: the sample angle is a storm-to-inspection before/after ad. If it misses the mark, no problem—I won't keep chasing. Should I send it?</x:v>
      </x:c>
      <x:c r="AW870" s="76" t="str">
        <x:v>Hi Sarah J., Ryan here. I was looking at SJ Martin Consulting's public marketing and noticed: icp fit; paid-demand need requires manual verification. I mapped one private storm-to-inspection before/after ad as an example. Did I catch you with 30 seconds?</x:v>
      </x:c>
      <x:c r="AX870" s="60" t="str">
        <x:v>https://www.facebook.com/ads/library/?active_status=active&amp;ad_type=all&amp;country=US&amp;q=SJ%20Martin%20Consulting&amp;search_type=keyword_unordered</x:v>
      </x:c>
      <x:c r="AY870" s="60" t="str">
        <x:v>ok:200</x:v>
      </x:c>
      <x:c r="AZ870" s="60" t="n">
        <x:v>46232.722858796296</x:v>
      </x:c>
      <x:c r="BA870" s="60" t="str">
        <x:v>AI Ark SC trades export</x:v>
      </x:c>
      <x:c r="BB870" s="60" t="str">
        <x:v>https://sjmartinconsulting.com | https://www.linkedin.com/company/sj-martin-consulting</x:v>
      </x:c>
      <x:c r="BC870" s="60" t="str"/>
    </x:row>
    <x:row r="871" ht="18" customHeight="1">
      <x:c r="A871" s="70" t="str">
        <x:v>870</x:v>
      </x:c>
      <x:c r="B871" s="70" t="str">
        <x:v>C - Verify</x:v>
      </x:c>
      <x:c r="C871" s="72" t="str">
        <x:v>43</x:v>
      </x:c>
      <x:c r="D871" s="60" t="str">
        <x:v>Martol Marble and Granite of Charleston</x:v>
      </x:c>
      <x:c r="E871" s="60" t="str">
        <x:v>https://martolgranite.com</x:v>
      </x:c>
      <x:c r="F871" s="60" t="str">
        <x:v>https://martolgranite.com</x:v>
      </x:c>
      <x:c r="G871" s="60" t="str">
        <x:v>Charleston</x:v>
      </x:c>
      <x:c r="H871" s="60" t="str">
        <x:v>South Carolina</x:v>
      </x:c>
      <x:c r="I871" s="60" t="str">
        <x:v>Remodeling</x:v>
      </x:c>
      <x:c r="J871" s="60" t="str">
        <x:v>Ivan</x:v>
      </x:c>
      <x:c r="K871" s="60" t="str">
        <x:v>Stefanyshyn</x:v>
      </x:c>
      <x:c r="L871" s="60" t="str">
        <x:v>co-owner</x:v>
      </x:c>
      <x:c r="M871" s="60" t="str"/>
      <x:c r="N871" s="60" t="str"/>
      <x:c r="O871" s="60" t="str">
        <x:v>+1 803 351 1408, +1 803 750 8068</x:v>
      </x:c>
      <x:c r="P871" s="60" t="str">
        <x:v>https://www.linkedin.com/in/ivan-stefanyshyn-9b111379</x:v>
      </x:c>
      <x:c r="Q871" s="60" t="str">
        <x:v>2-10</x:v>
      </x:c>
      <x:c r="R871" s="60" t="str">
        <x:v>100000-499999</x:v>
      </x:c>
      <x:c r="S871" s="60" t="str"/>
      <x:c r="T871" s="74" t="str">
        <x:v>0</x:v>
      </x:c>
      <x:c r="U871" s="60" t="str"/>
      <x:c r="V871" s="74" t="str">
        <x:v>25</x:v>
      </x:c>
      <x:c r="W871" s="74" t="str">
        <x:v>0</x:v>
      </x:c>
      <x:c r="X871" s="74" t="str">
        <x:v>13</x:v>
      </x:c>
      <x:c r="Y871" s="74" t="str">
        <x:v>0</x:v>
      </x:c>
      <x:c r="Z871" s="74" t="str">
        <x:v>5</x:v>
      </x:c>
      <x:c r="AA871" s="74" t="str">
        <x:v>0</x:v>
      </x:c>
      <x:c r="AB871" s="74" t="str">
        <x:v>0</x:v>
      </x:c>
      <x:c r="AC871" s="74" t="str">
        <x:v>0</x:v>
      </x:c>
      <x:c r="AD871" s="74" t="str">
        <x:v>0</x:v>
      </x:c>
      <x:c r="AE871" s="74" t="str">
        <x:v>0</x:v>
      </x:c>
      <x:c r="AF871" s="74" t="str"/>
      <x:c r="AG871" s="74" t="str">
        <x:v>0</x:v>
      </x:c>
      <x:c r="AH871" s="74" t="str">
        <x:v>0</x:v>
      </x:c>
      <x:c r="AI871" s="74" t="str">
        <x:v>0</x:v>
      </x:c>
      <x:c r="AJ871" s="74" t="str">
        <x:v>0</x:v>
      </x:c>
      <x:c r="AK871" s="74" t="str">
        <x:v>0</x:v>
      </x:c>
      <x:c r="AL871" s="74" t="str">
        <x:v>0</x:v>
      </x:c>
      <x:c r="AM871" s="74" t="str">
        <x:v>0</x:v>
      </x:c>
      <x:c r="AN871" s="74" t="str">
        <x:v>0</x:v>
      </x:c>
      <x:c r="AO871" s="60" t="str">
        <x:v>2024</x:v>
      </x:c>
      <x:c r="AP871" s="76" t="str">
        <x:v>ICP fit; paid-demand need requires manual verification</x:v>
      </x:c>
      <x:c r="AQ871" s="76" t="str">
        <x:v>no embedded homepage video detected</x:v>
      </x:c>
      <x:c r="AR871" s="76" t="str">
        <x:v>I was reviewing remodeling companies in Charleston, South Carolina and Martol Marble and Granite of Charleston looked like a strong fit for a creative test.</x:v>
      </x:c>
      <x:c r="AS871" s="76" t="str">
        <x:v>project reveal with budget-and-timeline proof</x:v>
      </x:c>
      <x:c r="AT871" s="76" t="str">
        <x:v>Martol Marble and Granite of Charleston ad concept</x:v>
      </x:c>
      <x:c r="AU871" s="76" t="str">
        <x:v>Hi Ivan — I was reviewing remodeling companies in Charleston, South Carolina and Martol Marble and Granite of Charleston looked like a strong fit for a creative test. I mapped a private 15-second project reveal with budget-and-timeline proof for Martol Marble and Granite of Charleston using only public brand context—not for publishing, just to show the angle. We build three client-approved video ad concepts in seven days, then turn the winners into fresh variations. No filming day required. Worth sending the private sample?</x:v>
      </x:c>
      <x:c r="AV871" s="76" t="str">
        <x:v>Quick follow-up: the sample angle is a project reveal with budget-and-timeline proof. If it misses the mark, no problem—I won't keep chasing. Should I send it?</x:v>
      </x:c>
      <x:c r="AW871" s="76" t="str">
        <x:v>Hi Ivan, Ryan here. I was looking at Martol Marble and Granite of Charleston's public marketing and noticed: icp fit; paid-demand need requires manual verification. I mapped one private project reveal with budget-and-timeline proof as an example. Did I catch you with 30 seconds?</x:v>
      </x:c>
      <x:c r="AX871" s="60" t="str">
        <x:v>https://www.facebook.com/ads/library/?active_status=active&amp;ad_type=all&amp;country=US&amp;q=Martol%20Marble%20and%20Granite%20of%20Charleston&amp;search_type=keyword_unordered</x:v>
      </x:c>
      <x:c r="AY871" s="60" t="str">
        <x:v>ok:200</x:v>
      </x:c>
      <x:c r="AZ871" s="60" t="n">
        <x:v>46232.722858796296</x:v>
      </x:c>
      <x:c r="BA871" s="60" t="str">
        <x:v>AI Ark SC trades export</x:v>
      </x:c>
      <x:c r="BB871" s="60" t="str">
        <x:v>https://martolgranite.com | https://www.linkedin.com/company/martol-marble-and-granite-of-charleston</x:v>
      </x:c>
      <x:c r="BC871" s="60" t="str"/>
    </x:row>
    <x:row r="872" ht="18" customHeight="1">
      <x:c r="A872" s="70" t="str">
        <x:v>871</x:v>
      </x:c>
      <x:c r="B872" s="70" t="str">
        <x:v>C - Verify</x:v>
      </x:c>
      <x:c r="C872" s="72" t="str">
        <x:v>43</x:v>
      </x:c>
      <x:c r="D872" s="60" t="str">
        <x:v>Furman Construction</x:v>
      </x:c>
      <x:c r="E872" s="60" t="str">
        <x:v>https://furmanconstruction.com</x:v>
      </x:c>
      <x:c r="F872" s="60" t="str">
        <x:v>https://www.furmanconstruction.com/</x:v>
      </x:c>
      <x:c r="G872" s="60" t="str">
        <x:v>Goose Creek</x:v>
      </x:c>
      <x:c r="H872" s="60" t="str">
        <x:v>South Carolina</x:v>
      </x:c>
      <x:c r="I872" s="60" t="str">
        <x:v>Roofing</x:v>
      </x:c>
      <x:c r="J872" s="60" t="str">
        <x:v>Seth</x:v>
      </x:c>
      <x:c r="K872" s="60" t="str">
        <x:v>Furman</x:v>
      </x:c>
      <x:c r="L872" s="60" t="str">
        <x:v>Business Owner</x:v>
      </x:c>
      <x:c r="M872" s="60" t="str"/>
      <x:c r="N872" s="60" t="str"/>
      <x:c r="O872" s="60" t="str">
        <x:v>+1 919 526 0405</x:v>
      </x:c>
      <x:c r="P872" s="60" t="str">
        <x:v>https://www.linkedin.com/in/seth-furman-370237101</x:v>
      </x:c>
      <x:c r="Q872" s="60" t="str">
        <x:v>2-10</x:v>
      </x:c>
      <x:c r="R872" s="60" t="str">
        <x:v>100000-499999</x:v>
      </x:c>
      <x:c r="S872" s="60" t="str"/>
      <x:c r="T872" s="74" t="str">
        <x:v>0</x:v>
      </x:c>
      <x:c r="U872" s="60" t="str"/>
      <x:c r="V872" s="74" t="str">
        <x:v>28</x:v>
      </x:c>
      <x:c r="W872" s="74" t="str">
        <x:v>0</x:v>
      </x:c>
      <x:c r="X872" s="74" t="str">
        <x:v>10</x:v>
      </x:c>
      <x:c r="Y872" s="74" t="str">
        <x:v>0</x:v>
      </x:c>
      <x:c r="Z872" s="74" t="str">
        <x:v>5</x:v>
      </x:c>
      <x:c r="AA872" s="74" t="str">
        <x:v>0</x:v>
      </x:c>
      <x:c r="AB872" s="74" t="str">
        <x:v>0</x:v>
      </x:c>
      <x:c r="AC872" s="74" t="str">
        <x:v>0</x:v>
      </x:c>
      <x:c r="AD872" s="74" t="str">
        <x:v>0</x:v>
      </x:c>
      <x:c r="AE872" s="74" t="str">
        <x:v>0</x:v>
      </x:c>
      <x:c r="AF872" s="74" t="str"/>
      <x:c r="AG872" s="74" t="str">
        <x:v>0</x:v>
      </x:c>
      <x:c r="AH872" s="74" t="str">
        <x:v>0</x:v>
      </x:c>
      <x:c r="AI872" s="74" t="str">
        <x:v>0</x:v>
      </x:c>
      <x:c r="AJ872" s="74" t="str">
        <x:v>0</x:v>
      </x:c>
      <x:c r="AK872" s="74" t="str">
        <x:v>0</x:v>
      </x:c>
      <x:c r="AL872" s="74" t="str">
        <x:v>0</x:v>
      </x:c>
      <x:c r="AM872" s="74" t="str">
        <x:v>1</x:v>
      </x:c>
      <x:c r="AN872" s="74" t="str">
        <x:v>0</x:v>
      </x:c>
      <x:c r="AO872" s="60" t="str">
        <x:v>0</x:v>
      </x:c>
      <x:c r="AP872" s="76" t="str">
        <x:v>ICP fit; paid-demand need requires manual verification</x:v>
      </x:c>
      <x:c r="AQ872" s="76" t="str">
        <x:v>no embedded homepage video detected</x:v>
      </x:c>
      <x:c r="AR872" s="76" t="str">
        <x:v>I was reviewing roofing companies in Goose Creek, South Carolina and Furman Construction looked like a strong fit for a creative test.</x:v>
      </x:c>
      <x:c r="AS872" s="76" t="str">
        <x:v>storm-to-inspection before/after ad</x:v>
      </x:c>
      <x:c r="AT872" s="76" t="str">
        <x:v>Furman Construction ad concept</x:v>
      </x:c>
      <x:c r="AU872" s="76" t="str">
        <x:v>Hi Seth — I was reviewing roofing companies in Goose Creek, South Carolina and Furman Construction looked like a strong fit for a creative test. I mapped a private 15-second storm-to-inspection before/after ad for Furman Construction using only public brand context—not for publishing, just to show the angle. We build three client-approved video ad concepts in seven days, then turn the winners into fresh variations. No filming day required. Worth sending the private sample?</x:v>
      </x:c>
      <x:c r="AV872" s="76" t="str">
        <x:v>Quick follow-up: the sample angle is a storm-to-inspection before/after ad. If it misses the mark, no problem—I won't keep chasing. Should I send it?</x:v>
      </x:c>
      <x:c r="AW872" s="76" t="str">
        <x:v>Hi Seth, Ryan here. I was looking at Furman Construction's public marketing and noticed: icp fit; paid-demand need requires manual verification. I mapped one private storm-to-inspection before/after ad as an example. Did I catch you with 30 seconds?</x:v>
      </x:c>
      <x:c r="AX872" s="60" t="str">
        <x:v>https://www.facebook.com/ads/library/?active_status=active&amp;ad_type=all&amp;country=US&amp;q=Furman%20Construction&amp;search_type=keyword_unordered</x:v>
      </x:c>
      <x:c r="AY872" s="60" t="str">
        <x:v>ok:200</x:v>
      </x:c>
      <x:c r="AZ872" s="60" t="n">
        <x:v>46232.722858796296</x:v>
      </x:c>
      <x:c r="BA872" s="60" t="str">
        <x:v>AI Ark SC trades export</x:v>
      </x:c>
      <x:c r="BB872" s="60" t="str">
        <x:v>https://furmanconstruction.com | https://www.linkedin.com/company/furman-construction</x:v>
      </x:c>
      <x:c r="BC872" s="60" t="str"/>
    </x:row>
    <x:row r="873" ht="18" customHeight="1">
      <x:c r="A873" s="70" t="str">
        <x:v>872</x:v>
      </x:c>
      <x:c r="B873" s="70" t="str">
        <x:v>C - Verify</x:v>
      </x:c>
      <x:c r="C873" s="72" t="str">
        <x:v>43</x:v>
      </x:c>
      <x:c r="D873" s="60" t="str">
        <x:v>Aladdin Doors Franchising, Inc</x:v>
      </x:c>
      <x:c r="E873" s="60" t="str">
        <x:v>https://aladdingaragedoors.com</x:v>
      </x:c>
      <x:c r="F873" s="60" t="str">
        <x:v>https://Stellargaragedoor.com/</x:v>
      </x:c>
      <x:c r="G873" s="60" t="str">
        <x:v>Rock Hill</x:v>
      </x:c>
      <x:c r="H873" s="60" t="str">
        <x:v>South Carolina</x:v>
      </x:c>
      <x:c r="I873" s="60" t="str">
        <x:v>Garage Doors</x:v>
      </x:c>
      <x:c r="J873" s="60" t="str">
        <x:v>Kimberly</x:v>
      </x:c>
      <x:c r="K873" s="60" t="str">
        <x:v>Paulavage</x:v>
      </x:c>
      <x:c r="L873" s="60" t="str">
        <x:v>Owner</x:v>
      </x:c>
      <x:c r="M873" s="60" t="str"/>
      <x:c r="N873" s="60" t="str"/>
      <x:c r="O873" s="60" t="str">
        <x:v>+1 877 366 7247</x:v>
      </x:c>
      <x:c r="P873" s="60" t="str">
        <x:v>https://www.linkedin.com/in/kimberly-paulavage-4886b8218</x:v>
      </x:c>
      <x:c r="Q873" s="60" t="str">
        <x:v>11-50</x:v>
      </x:c>
      <x:c r="R873" s="60" t="str">
        <x:v>500000-999999</x:v>
      </x:c>
      <x:c r="S873" s="60" t="str"/>
      <x:c r="T873" s="74" t="str">
        <x:v>0</x:v>
      </x:c>
      <x:c r="U873" s="60" t="str"/>
      <x:c r="V873" s="74" t="str">
        <x:v>28</x:v>
      </x:c>
      <x:c r="W873" s="74" t="str">
        <x:v>0</x:v>
      </x:c>
      <x:c r="X873" s="74" t="str">
        <x:v>10</x:v>
      </x:c>
      <x:c r="Y873" s="74" t="str">
        <x:v>0</x:v>
      </x:c>
      <x:c r="Z873" s="74" t="str">
        <x:v>5</x:v>
      </x:c>
      <x:c r="AA873" s="74" t="str">
        <x:v>0</x:v>
      </x:c>
      <x:c r="AB873" s="74" t="str">
        <x:v>0</x:v>
      </x:c>
      <x:c r="AC873" s="74" t="str">
        <x:v>0</x:v>
      </x:c>
      <x:c r="AD873" s="74" t="str">
        <x:v>0</x:v>
      </x:c>
      <x:c r="AE873" s="74" t="str">
        <x:v>0</x:v>
      </x:c>
      <x:c r="AF873" s="74" t="str"/>
      <x:c r="AG873" s="74" t="str">
        <x:v>0</x:v>
      </x:c>
      <x:c r="AH873" s="74" t="str">
        <x:v>0</x:v>
      </x:c>
      <x:c r="AI873" s="74" t="str">
        <x:v>0</x:v>
      </x:c>
      <x:c r="AJ873" s="74" t="str">
        <x:v>0</x:v>
      </x:c>
      <x:c r="AK873" s="74" t="str">
        <x:v>0</x:v>
      </x:c>
      <x:c r="AL873" s="74" t="str">
        <x:v>0</x:v>
      </x:c>
      <x:c r="AM873" s="74" t="str">
        <x:v>0</x:v>
      </x:c>
      <x:c r="AN873" s="74" t="str">
        <x:v>0</x:v>
      </x:c>
      <x:c r="AO873" s="60" t="str">
        <x:v>0</x:v>
      </x:c>
      <x:c r="AP873" s="76" t="str">
        <x:v>ICP fit; paid-demand need requires manual verification</x:v>
      </x:c>
      <x:c r="AQ873" s="76" t="str">
        <x:v>no embedded homepage video detected</x:v>
      </x:c>
      <x:c r="AR873" s="76" t="str">
        <x:v>I was reviewing garage doors companies in Rock Hill, South Carolina and Aladdin Doors Franchising, Inc looked like a strong fit for a creative test.</x:v>
      </x:c>
      <x:c r="AS873" s="76" t="str">
        <x:v>curb-appeal transformation ad</x:v>
      </x:c>
      <x:c r="AT873" s="76" t="str">
        <x:v>Aladdin Doors Franchising, Inc ad concept</x:v>
      </x:c>
      <x:c r="AU873" s="76" t="str">
        <x:v>Hi Kimberly — I was reviewing garage doors companies in Rock Hill, South Carolina and Aladdin Doors Franchising, Inc looked like a strong fit for a creative test. I mapped a private 15-second curb-appeal transformation ad for Aladdin Doors Franchising, Inc using only public brand context—not for publishing, just to show the angle. We build three client-approved video ad concepts in seven days, then turn the winners into fresh variations. No filming day required. Worth sending the private sample?</x:v>
      </x:c>
      <x:c r="AV873" s="76" t="str">
        <x:v>Quick follow-up: the sample angle is a curb-appeal transformation ad. If it misses the mark, no problem—I won't keep chasing. Should I send it?</x:v>
      </x:c>
      <x:c r="AW873" s="76" t="str">
        <x:v>Hi Kimberly, Ryan here. I was looking at Aladdin Doors Franchising, Inc's public marketing and noticed: icp fit; paid-demand need requires manual verification. I mapped one private curb-appeal transformation ad as an example. Did I catch you with 30 seconds?</x:v>
      </x:c>
      <x:c r="AX873" s="60" t="str">
        <x:v>https://www.facebook.com/ads/library/?active_status=active&amp;ad_type=all&amp;country=US&amp;q=Aladdin%20Doors%20Franchising%2C%20Inc&amp;search_type=keyword_unordered</x:v>
      </x:c>
      <x:c r="AY873" s="60" t="str">
        <x:v>ok:200</x:v>
      </x:c>
      <x:c r="AZ873" s="60" t="n">
        <x:v>46232.722858796296</x:v>
      </x:c>
      <x:c r="BA873" s="60" t="str">
        <x:v>AI Ark SC trades export</x:v>
      </x:c>
      <x:c r="BB873" s="60" t="str">
        <x:v>https://aladdingaragedoors.com | https://www.linkedin.com/company/aladdindoors</x:v>
      </x:c>
      <x:c r="BC873" s="60" t="str"/>
    </x:row>
    <x:row r="874" ht="18" customHeight="1">
      <x:c r="A874" s="70" t="str">
        <x:v>873</x:v>
      </x:c>
      <x:c r="B874" s="70" t="str">
        <x:v>C - Verify</x:v>
      </x:c>
      <x:c r="C874" s="72" t="str">
        <x:v>42</x:v>
      </x:c>
      <x:c r="D874" s="60" t="str">
        <x:v>KTM Electric</x:v>
      </x:c>
      <x:c r="E874" s="60" t="str">
        <x:v>https://ktmelectricsc.com</x:v>
      </x:c>
      <x:c r="F874" s="60" t="str">
        <x:v>https://ktmelectricsc.com</x:v>
      </x:c>
      <x:c r="G874" s="60" t="str">
        <x:v>Mount Pleasant</x:v>
      </x:c>
      <x:c r="H874" s="60" t="str">
        <x:v>South Carolina</x:v>
      </x:c>
      <x:c r="I874" s="60" t="str">
        <x:v>Electrical</x:v>
      </x:c>
      <x:c r="J874" s="60" t="str">
        <x:v>KTM Electric</x:v>
      </x:c>
      <x:c r="K874" s="60" t="str"/>
      <x:c r="L874" s="60" t="str">
        <x:v>Owner / decision maker to verify</x:v>
      </x:c>
      <x:c r="M874" s="60" t="str"/>
      <x:c r="N874" s="60" t="str"/>
      <x:c r="O874" s="60" t="str">
        <x:v>(843) 388-7219</x:v>
      </x:c>
      <x:c r="P874" s="60" t="str"/>
      <x:c r="Q874" s="60" t="str"/>
      <x:c r="R874" s="60" t="str"/>
      <x:c r="S874" s="60" t="str">
        <x:v>4.7</x:v>
      </x:c>
      <x:c r="T874" s="74" t="str">
        <x:v>14</x:v>
      </x:c>
      <x:c r="U874" s="60" t="str">
        <x:v>no_show, slow_response</x:v>
      </x:c>
      <x:c r="V874" s="74" t="str">
        <x:v>19</x:v>
      </x:c>
      <x:c r="W874" s="74" t="str">
        <x:v>6</x:v>
      </x:c>
      <x:c r="X874" s="74" t="str">
        <x:v>12</x:v>
      </x:c>
      <x:c r="Y874" s="74" t="str">
        <x:v>0</x:v>
      </x:c>
      <x:c r="Z874" s="74" t="str">
        <x:v>5</x:v>
      </x:c>
      <x:c r="AA874" s="74" t="str">
        <x:v>0</x:v>
      </x:c>
      <x:c r="AB874" s="74" t="str">
        <x:v>0</x:v>
      </x:c>
      <x:c r="AC874" s="74" t="str">
        <x:v>1</x:v>
      </x:c>
      <x:c r="AD874" s="74" t="str">
        <x:v>0</x:v>
      </x:c>
      <x:c r="AE874" s="74" t="str">
        <x:v>0</x:v>
      </x:c>
      <x:c r="AF874" s="74" t="str">
        <x:v>jobber</x:v>
      </x:c>
      <x:c r="AG874" s="74" t="str">
        <x:v>0</x:v>
      </x:c>
      <x:c r="AH874" s="74" t="str">
        <x:v>0</x:v>
      </x:c>
      <x:c r="AI874" s="74" t="str">
        <x:v>0</x:v>
      </x:c>
      <x:c r="AJ874" s="74" t="str">
        <x:v>0</x:v>
      </x:c>
      <x:c r="AK874" s="74" t="str">
        <x:v>0</x:v>
      </x:c>
      <x:c r="AL874" s="74" t="str">
        <x:v>0</x:v>
      </x:c>
      <x:c r="AM874" s="74" t="str">
        <x:v>0</x:v>
      </x:c>
      <x:c r="AN874" s="74" t="str">
        <x:v>0</x:v>
      </x:c>
      <x:c r="AO874" s="60" t="str">
        <x:v>2026</x:v>
      </x:c>
      <x:c r="AP874" s="76" t="str">
        <x:v>ICP fit; paid-demand need requires manual verification</x:v>
      </x:c>
      <x:c r="AQ874" s="76" t="str">
        <x:v>no embedded homepage video detected</x:v>
      </x:c>
      <x:c r="AR874" s="76" t="str">
        <x:v>I was reviewing electrical companies in Mount Pleasant, South Carolina and KTM Electric looked like a strong fit for a creative test.</x:v>
      </x:c>
      <x:c r="AS874" s="76" t="str">
        <x:v>safety inspection problem/solution ad</x:v>
      </x:c>
      <x:c r="AT874" s="76" t="str">
        <x:v>KTM Electric ad concept</x:v>
      </x:c>
      <x:c r="AU874" s="76" t="str">
        <x:v>Hi KTM Electric — I was reviewing electrical companies in Mount Pleasant, South Carolina and KTM Electric looked like a strong fit for a creative test. I mapped a private 15-second safety inspection problem/solution ad for KTM Electric using only public brand context—not for publishing, just to show the angle. We build three client-approved video ad concepts in seven days, then turn the winners into fresh variations. No filming day required. Worth sending the private sample?</x:v>
      </x:c>
      <x:c r="AV874" s="76" t="str">
        <x:v>Quick follow-up: the sample angle is a safety inspection problem/solution ad. If it misses the mark, no problem—I won't keep chasing. Should I send it?</x:v>
      </x:c>
      <x:c r="AW874" s="76" t="str">
        <x:v>Hi KTM Electric, Ryan here. I was looking at KTM Electric's public marketing and noticed: icp fit; paid-demand need requires manual verification. I mapped one private safety inspection problem/solution ad as an example. Did I catch you with 30 seconds?</x:v>
      </x:c>
      <x:c r="AX874" s="60" t="str">
        <x:v>https://www.facebook.com/ads/library/?active_status=active&amp;ad_type=all&amp;country=US&amp;q=KTM%20Electric&amp;search_type=keyword_unordered</x:v>
      </x:c>
      <x:c r="AY874" s="60" t="str">
        <x:v>ok:200</x:v>
      </x:c>
      <x:c r="AZ874" s="60" t="n">
        <x:v>46232.722858796296</x:v>
      </x:c>
      <x:c r="BA874" s="60" t="str">
        <x:v>Google Maps home-services export</x:v>
      </x:c>
      <x:c r="BB874" s="60" t="str">
        <x:v>https://ktmelectricsc.com | https://maps.google.com/?cid=2051915106085844136&amp;g_mp=Cidnb29nbGUubWFwcy5wbGFjZXMudjEuUGxhY2VzLlNlYXJjaFRleHQQAhgEIAA</x:v>
      </x:c>
      <x:c r="BC874" s="60" t="str"/>
    </x:row>
    <x:row r="875" ht="18" customHeight="1">
      <x:c r="A875" s="70" t="str">
        <x:v>874</x:v>
      </x:c>
      <x:c r="B875" s="70" t="str">
        <x:v>C - Verify</x:v>
      </x:c>
      <x:c r="C875" s="72" t="str">
        <x:v>42</x:v>
      </x:c>
      <x:c r="D875" s="60" t="str">
        <x:v>Eugene's Marble &amp; Granite</x:v>
      </x:c>
      <x:c r="E875" s="60" t="str">
        <x:v>https://granite-marble-tops.com</x:v>
      </x:c>
      <x:c r="F875" s="60" t="str">
        <x:v>https://granite-marble-tops.com</x:v>
      </x:c>
      <x:c r="G875" s="60" t="str">
        <x:v>Ravenel</x:v>
      </x:c>
      <x:c r="H875" s="60" t="str">
        <x:v>South Carolina</x:v>
      </x:c>
      <x:c r="I875" s="60" t="str">
        <x:v>Remodeling</x:v>
      </x:c>
      <x:c r="J875" s="60" t="str">
        <x:v>Yevgeniy</x:v>
      </x:c>
      <x:c r="K875" s="60" t="str">
        <x:v>Konikov</x:v>
      </x:c>
      <x:c r="L875" s="60" t="str">
        <x:v>Business Owner</x:v>
      </x:c>
      <x:c r="M875" s="60" t="str"/>
      <x:c r="N875" s="60" t="str"/>
      <x:c r="O875" s="60" t="str"/>
      <x:c r="P875" s="60" t="str">
        <x:v>https://www.linkedin.com/in/yevgeniy-konikov-a4421224b</x:v>
      </x:c>
      <x:c r="Q875" s="60" t="str">
        <x:v>2-10</x:v>
      </x:c>
      <x:c r="R875" s="60" t="str">
        <x:v>100000-499999</x:v>
      </x:c>
      <x:c r="S875" s="60" t="str"/>
      <x:c r="T875" s="74" t="str">
        <x:v>0</x:v>
      </x:c>
      <x:c r="U875" s="60" t="str"/>
      <x:c r="V875" s="74" t="str">
        <x:v>25</x:v>
      </x:c>
      <x:c r="W875" s="74" t="str">
        <x:v>3</x:v>
      </x:c>
      <x:c r="X875" s="74" t="str">
        <x:v>0</x:v>
      </x:c>
      <x:c r="Y875" s="74" t="str">
        <x:v>12</x:v>
      </x:c>
      <x:c r="Z875" s="74" t="str">
        <x:v>2</x:v>
      </x:c>
      <x:c r="AA875" s="74" t="str">
        <x:v>0</x:v>
      </x:c>
      <x:c r="AB875" s="74" t="str">
        <x:v>0</x:v>
      </x:c>
      <x:c r="AC875" s="74" t="str">
        <x:v>1</x:v>
      </x:c>
      <x:c r="AD875" s="74" t="str">
        <x:v>0</x:v>
      </x:c>
      <x:c r="AE875" s="74" t="str">
        <x:v>0</x:v>
      </x:c>
      <x:c r="AF875" s="74" t="str"/>
      <x:c r="AG875" s="74" t="str">
        <x:v>1</x:v>
      </x:c>
      <x:c r="AH875" s="74" t="str">
        <x:v>1</x:v>
      </x:c>
      <x:c r="AI875" s="74" t="str">
        <x:v>1</x:v>
      </x:c>
      <x:c r="AJ875" s="74" t="str">
        <x:v>0</x:v>
      </x:c>
      <x:c r="AK875" s="74" t="str">
        <x:v>1</x:v>
      </x:c>
      <x:c r="AL875" s="74" t="str">
        <x:v>1</x:v>
      </x:c>
      <x:c r="AM875" s="74" t="str">
        <x:v>1</x:v>
      </x:c>
      <x:c r="AN875" s="74" t="str">
        <x:v>1</x:v>
      </x:c>
      <x:c r="AO875" s="60" t="str">
        <x:v>2026</x:v>
      </x:c>
      <x:c r="AP875" s="76" t="str">
        <x:v>ICP fit; paid-demand need requires manual verification</x:v>
      </x:c>
      <x:c r="AQ875" s="76" t="str">
        <x:v>project/gallery proof; testimonials; visible service offer</x:v>
      </x:c>
      <x:c r="AR875" s="76" t="str">
        <x:v>I was reviewing remodeling companies in Ravenel, South Carolina and Eugene's Marble &amp; Granite looked like a strong fit for a creative test.</x:v>
      </x:c>
      <x:c r="AS875" s="76" t="str">
        <x:v>project reveal with budget-and-timeline proof</x:v>
      </x:c>
      <x:c r="AT875" s="76" t="str">
        <x:v>Eugene's Marble &amp; Granite ad concept</x:v>
      </x:c>
      <x:c r="AU875" s="76" t="str">
        <x:v>Hi Yevgeniy — I was reviewing remodeling companies in Ravenel, South Carolina and Eugene's Marble &amp; Granite looked like a strong fit for a creative test. I mapped a private 15-second project reveal with budget-and-timeline proof for Eugene's Marble &amp; Granite using only public brand context—not for publishing, just to show the angle. We build three client-approved video ad concepts in seven days, then turn the winners into fresh variations. No filming day required. Worth sending the private sample?</x:v>
      </x:c>
      <x:c r="AV875" s="76" t="str">
        <x:v>Quick follow-up: the sample angle is a project reveal with budget-and-timeline proof. If it misses the mark, no problem—I won't keep chasing. Should I send it?</x:v>
      </x:c>
      <x:c r="AW875" s="76" t="str">
        <x:v>Hi Yevgeniy, Ryan here. I was looking at Eugene's Marble &amp; Granite's public marketing and noticed: icp fit; paid-demand need requires manual verification. I mapped one private project reveal with budget-and-timeline proof as an example. Did I catch you with 30 seconds?</x:v>
      </x:c>
      <x:c r="AX875" s="60" t="str">
        <x:v>https://www.facebook.com/ads/library/?active_status=active&amp;ad_type=all&amp;country=US&amp;q=Eugene%27s%20Marble%20%26%20Granite&amp;search_type=keyword_unordered</x:v>
      </x:c>
      <x:c r="AY875" s="60" t="str">
        <x:v>ok:200</x:v>
      </x:c>
      <x:c r="AZ875" s="60" t="n">
        <x:v>46232.722858796296</x:v>
      </x:c>
      <x:c r="BA875" s="60" t="str">
        <x:v>AI Ark SC trades export</x:v>
      </x:c>
      <x:c r="BB875" s="60" t="str">
        <x:v>https://granite-marble-tops.com | https://www.linkedin.com/company/eugene-s-marble-granite</x:v>
      </x:c>
      <x:c r="BC875" s="60" t="str"/>
    </x:row>
    <x:row r="876" ht="18" customHeight="1">
      <x:c r="A876" s="70" t="str">
        <x:v>875</x:v>
      </x:c>
      <x:c r="B876" s="70" t="str">
        <x:v>C - Verify</x:v>
      </x:c>
      <x:c r="C876" s="72" t="str">
        <x:v>42</x:v>
      </x:c>
      <x:c r="D876" s="60" t="str">
        <x:v>Selectric LLC</x:v>
      </x:c>
      <x:c r="E876" s="60" t="str">
        <x:v>https://selectricllc.com</x:v>
      </x:c>
      <x:c r="F876" s="60" t="str">
        <x:v>https://selectricllc.com</x:v>
      </x:c>
      <x:c r="G876" s="60" t="str">
        <x:v>Beaufort</x:v>
      </x:c>
      <x:c r="H876" s="60" t="str">
        <x:v>South Carolina</x:v>
      </x:c>
      <x:c r="I876" s="60" t="str">
        <x:v>Plumbing</x:v>
      </x:c>
      <x:c r="J876" s="60" t="str">
        <x:v>Selectric LLC</x:v>
      </x:c>
      <x:c r="K876" s="60" t="str"/>
      <x:c r="L876" s="60" t="str">
        <x:v>Owner / decision maker to verify</x:v>
      </x:c>
      <x:c r="M876" s="60" t="str"/>
      <x:c r="N876" s="60" t="str"/>
      <x:c r="O876" s="60" t="str">
        <x:v>(843) 812-9215</x:v>
      </x:c>
      <x:c r="P876" s="60" t="str"/>
      <x:c r="Q876" s="60" t="str"/>
      <x:c r="R876" s="60" t="str"/>
      <x:c r="S876" s="60" t="str">
        <x:v>5</x:v>
      </x:c>
      <x:c r="T876" s="74" t="str">
        <x:v>137</x:v>
      </x:c>
      <x:c r="U876" s="60" t="str"/>
      <x:c r="V876" s="74" t="str">
        <x:v>24</x:v>
      </x:c>
      <x:c r="W876" s="74" t="str">
        <x:v>3</x:v>
      </x:c>
      <x:c r="X876" s="74" t="str">
        <x:v>0</x:v>
      </x:c>
      <x:c r="Y876" s="74" t="str">
        <x:v>10</x:v>
      </x:c>
      <x:c r="Z876" s="74" t="str">
        <x:v>5</x:v>
      </x:c>
      <x:c r="AA876" s="74" t="str">
        <x:v>0</x:v>
      </x:c>
      <x:c r="AB876" s="74" t="str">
        <x:v>0</x:v>
      </x:c>
      <x:c r="AC876" s="74" t="str">
        <x:v>1</x:v>
      </x:c>
      <x:c r="AD876" s="74" t="str">
        <x:v>0</x:v>
      </x:c>
      <x:c r="AE876" s="74" t="str">
        <x:v>0</x:v>
      </x:c>
      <x:c r="AF876" s="74" t="str"/>
      <x:c r="AG876" s="74" t="str">
        <x:v>1</x:v>
      </x:c>
      <x:c r="AH876" s="74" t="str">
        <x:v>0</x:v>
      </x:c>
      <x:c r="AI876" s="74" t="str">
        <x:v>1</x:v>
      </x:c>
      <x:c r="AJ876" s="74" t="str">
        <x:v>0</x:v>
      </x:c>
      <x:c r="AK876" s="74" t="str">
        <x:v>1</x:v>
      </x:c>
      <x:c r="AL876" s="74" t="str">
        <x:v>0</x:v>
      </x:c>
      <x:c r="AM876" s="74" t="str">
        <x:v>0</x:v>
      </x:c>
      <x:c r="AN876" s="74" t="str">
        <x:v>1</x:v>
      </x:c>
      <x:c r="AO876" s="60" t="str">
        <x:v>0</x:v>
      </x:c>
      <x:c r="AP876" s="76" t="str">
        <x:v>ICP fit; paid-demand need requires manual verification</x:v>
      </x:c>
      <x:c r="AQ876" s="76" t="str">
        <x:v>testimonials; visible service offer</x:v>
      </x:c>
      <x:c r="AR876" s="76" t="str">
        <x:v>I was reviewing plumbing companies in Beaufort, South Carolina and Selectric LLC looked like a strong fit for a creative test.</x:v>
      </x:c>
      <x:c r="AS876" s="76" t="str">
        <x:v>small symptom to prevented-emergency ad</x:v>
      </x:c>
      <x:c r="AT876" s="76" t="str">
        <x:v>Selectric LLC ad concept</x:v>
      </x:c>
      <x:c r="AU876" s="76" t="str">
        <x:v>Hi Selectric LLC — I was reviewing plumbing companies in Beaufort, South Carolina and Selectric LLC looked like a strong fit for a creative test. I mapped a private 15-second small symptom to prevented-emergency ad for Selectric LLC using only public brand context—not for publishing, just to show the angle. We build three client-approved video ad concepts in seven days, then turn the winners into fresh variations. No filming day required. Worth sending the private sample?</x:v>
      </x:c>
      <x:c r="AV876" s="76" t="str">
        <x:v>Quick follow-up: the sample angle is a small symptom to prevented-emergency ad. If it misses the mark, no problem—I won't keep chasing. Should I send it?</x:v>
      </x:c>
      <x:c r="AW876" s="76" t="str">
        <x:v>Hi Selectric LLC, Ryan here. I was looking at Selectric LLC's public marketing and noticed: icp fit; paid-demand need requires manual verification. I mapped one private small symptom to prevented-emergency ad as an example. Did I catch you with 30 seconds?</x:v>
      </x:c>
      <x:c r="AX876" s="60" t="str">
        <x:v>https://www.facebook.com/ads/library/?active_status=active&amp;ad_type=all&amp;country=US&amp;q=Selectric%20LLC&amp;search_type=keyword_unordered</x:v>
      </x:c>
      <x:c r="AY876" s="60" t="str">
        <x:v>ok:200</x:v>
      </x:c>
      <x:c r="AZ876" s="60" t="n">
        <x:v>46232.722858796296</x:v>
      </x:c>
      <x:c r="BA876" s="60" t="str">
        <x:v>Google Maps home-services export</x:v>
      </x:c>
      <x:c r="BB876" s="60" t="str">
        <x:v>https://maps.google.com/?cid=13794365685947483151&amp;g_mp=Cidnb29nbGUubWFwcy5wbGFjZXMudjEuUGxhY2VzLlNlYXJjaFRleHQQAhgEIAA | https://maps.google.com/?cid=17509636713337319204&amp;g_mp=Cidnb29nbGUubWFwcy5wbGFjZXMudjEuUGxhY2VzLlNlYXJjaFRleHQQAhgEIAA | https://selectricllc.com</x:v>
      </x:c>
      <x:c r="BC876" s="60" t="str"/>
    </x:row>
    <x:row r="877" ht="18" customHeight="1">
      <x:c r="A877" s="70" t="str">
        <x:v>876</x:v>
      </x:c>
      <x:c r="B877" s="70" t="str">
        <x:v>C - Verify</x:v>
      </x:c>
      <x:c r="C877" s="72" t="str">
        <x:v>42</x:v>
      </x:c>
      <x:c r="D877" s="60" t="str">
        <x:v>Padgett Construction</x:v>
      </x:c>
      <x:c r="E877" s="60" t="str">
        <x:v>https://padgettconstruction.com</x:v>
      </x:c>
      <x:c r="F877" s="60" t="str">
        <x:v>https://padgettconstruction.com</x:v>
      </x:c>
      <x:c r="G877" s="60" t="str">
        <x:v>Aiken</x:v>
      </x:c>
      <x:c r="H877" s="60" t="str">
        <x:v>South Carolina</x:v>
      </x:c>
      <x:c r="I877" s="60" t="str">
        <x:v>General Contractor</x:v>
      </x:c>
      <x:c r="J877" s="60" t="str">
        <x:v>Phillip</x:v>
      </x:c>
      <x:c r="K877" s="60" t="str">
        <x:v>Padgett</x:v>
      </x:c>
      <x:c r="L877" s="60" t="str">
        <x:v>Owner</x:v>
      </x:c>
      <x:c r="M877" s="60" t="str"/>
      <x:c r="N877" s="60" t="str"/>
      <x:c r="O877" s="60" t="str">
        <x:v>+1 859 276 1200</x:v>
      </x:c>
      <x:c r="P877" s="60" t="str">
        <x:v>https://www.linkedin.com/in/phillip-padgett-907784b3</x:v>
      </x:c>
      <x:c r="Q877" s="60" t="str">
        <x:v>11-50</x:v>
      </x:c>
      <x:c r="R877" s="60" t="str">
        <x:v>500000-999999</x:v>
      </x:c>
      <x:c r="S877" s="60" t="str"/>
      <x:c r="T877" s="74" t="str">
        <x:v>0</x:v>
      </x:c>
      <x:c r="U877" s="60" t="str"/>
      <x:c r="V877" s="74" t="str">
        <x:v>25</x:v>
      </x:c>
      <x:c r="W877" s="74" t="str">
        <x:v>3</x:v>
      </x:c>
      <x:c r="X877" s="74" t="str">
        <x:v>0</x:v>
      </x:c>
      <x:c r="Y877" s="74" t="str">
        <x:v>9</x:v>
      </x:c>
      <x:c r="Z877" s="74" t="str">
        <x:v>5</x:v>
      </x:c>
      <x:c r="AA877" s="74" t="str">
        <x:v>0</x:v>
      </x:c>
      <x:c r="AB877" s="74" t="str">
        <x:v>0</x:v>
      </x:c>
      <x:c r="AC877" s="74" t="str">
        <x:v>1</x:v>
      </x:c>
      <x:c r="AD877" s="74" t="str">
        <x:v>0</x:v>
      </x:c>
      <x:c r="AE877" s="74" t="str">
        <x:v>0</x:v>
      </x:c>
      <x:c r="AF877" s="74" t="str"/>
      <x:c r="AG877" s="74" t="str">
        <x:v>1</x:v>
      </x:c>
      <x:c r="AH877" s="74" t="str">
        <x:v>1</x:v>
      </x:c>
      <x:c r="AI877" s="74" t="str">
        <x:v>1</x:v>
      </x:c>
      <x:c r="AJ877" s="74" t="str">
        <x:v>0</x:v>
      </x:c>
      <x:c r="AK877" s="74" t="str">
        <x:v>0</x:v>
      </x:c>
      <x:c r="AL877" s="74" t="str">
        <x:v>1</x:v>
      </x:c>
      <x:c r="AM877" s="74" t="str">
        <x:v>1</x:v>
      </x:c>
      <x:c r="AN877" s="74" t="str">
        <x:v>0</x:v>
      </x:c>
      <x:c r="AO877" s="60" t="str">
        <x:v>2026</x:v>
      </x:c>
      <x:c r="AP877" s="76" t="str">
        <x:v>ICP fit; paid-demand need requires manual verification</x:v>
      </x:c>
      <x:c r="AQ877" s="76" t="str">
        <x:v>project/gallery proof; testimonials</x:v>
      </x:c>
      <x:c r="AR877" s="76" t="str">
        <x:v>I was reviewing general contractor companies in Aiken, South Carolina and Padgett Construction looked like a strong fit for a creative test.</x:v>
      </x:c>
      <x:c r="AS877" s="76" t="str">
        <x:v>project walkthrough with proof milestones</x:v>
      </x:c>
      <x:c r="AT877" s="76" t="str">
        <x:v>Padgett Construction ad concept</x:v>
      </x:c>
      <x:c r="AU877" s="76" t="str">
        <x:v>Hi Phillip — I was reviewing general contractor companies in Aiken, South Carolina and Padgett Construction looked like a strong fit for a creative test. I mapped a private 15-second project walkthrough with proof milestones for Padgett Construction using only public brand context—not for publishing, just to show the angle. We build three client-approved video ad concepts in seven days, then turn the winners into fresh variations. No filming day required. Worth sending the private sample?</x:v>
      </x:c>
      <x:c r="AV877" s="76" t="str">
        <x:v>Quick follow-up: the sample angle is a project walkthrough with proof milestones. If it misses the mark, no problem—I won't keep chasing. Should I send it?</x:v>
      </x:c>
      <x:c r="AW877" s="76" t="str">
        <x:v>Hi Phillip, Ryan here. I was looking at Padgett Construction's public marketing and noticed: icp fit; paid-demand need requires manual verification. I mapped one private project walkthrough with proof milestones as an example. Did I catch you with 30 seconds?</x:v>
      </x:c>
      <x:c r="AX877" s="60" t="str">
        <x:v>https://www.facebook.com/ads/library/?active_status=active&amp;ad_type=all&amp;country=US&amp;q=Padgett%20Construction&amp;search_type=keyword_unordered</x:v>
      </x:c>
      <x:c r="AY877" s="60" t="str">
        <x:v>ok:200</x:v>
      </x:c>
      <x:c r="AZ877" s="60" t="n">
        <x:v>46232.722858796296</x:v>
      </x:c>
      <x:c r="BA877" s="60" t="str">
        <x:v>AI Ark SC trades export</x:v>
      </x:c>
      <x:c r="BB877" s="60" t="str">
        <x:v>https://padgettconstruction.com | https://www.linkedin.com/company/padgett-construction</x:v>
      </x:c>
      <x:c r="BC877" s="60" t="str"/>
    </x:row>
    <x:row r="878" ht="18" customHeight="1">
      <x:c r="A878" s="70" t="str">
        <x:v>877</x:v>
      </x:c>
      <x:c r="B878" s="70" t="str">
        <x:v>C - Verify</x:v>
      </x:c>
      <x:c r="C878" s="72" t="str">
        <x:v>42</x:v>
      </x:c>
      <x:c r="D878" s="60" t="str">
        <x:v>Finishing Touch Team</x:v>
      </x:c>
      <x:c r="E878" s="60" t="str">
        <x:v>https://finishingtouchteam.com</x:v>
      </x:c>
      <x:c r="F878" s="60" t="str">
        <x:v>https://www.finishingtouchteam.com/</x:v>
      </x:c>
      <x:c r="G878" s="60" t="str">
        <x:v>Lexington County</x:v>
      </x:c>
      <x:c r="H878" s="60" t="str">
        <x:v>South Carolina</x:v>
      </x:c>
      <x:c r="I878" s="60" t="str">
        <x:v>General Contractor</x:v>
      </x:c>
      <x:c r="J878" s="60" t="str">
        <x:v>Russ</x:v>
      </x:c>
      <x:c r="K878" s="60" t="str">
        <x:v>Marchese</x:v>
      </x:c>
      <x:c r="L878" s="60" t="str">
        <x:v>Company Owner</x:v>
      </x:c>
      <x:c r="M878" s="60" t="str">
        <x:v>russ@finishingtouchteam.com</x:v>
      </x:c>
      <x:c r="N878" s="60" t="str">
        <x:v>Verified with BounceBan on 08 Jun 26 12:06</x:v>
      </x:c>
      <x:c r="O878" s="60" t="str">
        <x:v>+1 803 479 1701</x:v>
      </x:c>
      <x:c r="P878" s="60" t="str">
        <x:v>https://www.linkedin.com/in/russ-marchese-67a07418</x:v>
      </x:c>
      <x:c r="Q878" s="60" t="str">
        <x:v>null+</x:v>
      </x:c>
      <x:c r="R878" s="60" t="str">
        <x:v>100000-499999</x:v>
      </x:c>
      <x:c r="S878" s="60" t="str"/>
      <x:c r="T878" s="74" t="str">
        <x:v>0</x:v>
      </x:c>
      <x:c r="U878" s="60" t="str"/>
      <x:c r="V878" s="74" t="str">
        <x:v>17</x:v>
      </x:c>
      <x:c r="W878" s="74" t="str">
        <x:v>3</x:v>
      </x:c>
      <x:c r="X878" s="74" t="str">
        <x:v>4</x:v>
      </x:c>
      <x:c r="Y878" s="74" t="str">
        <x:v>8</x:v>
      </x:c>
      <x:c r="Z878" s="74" t="str">
        <x:v>10</x:v>
      </x:c>
      <x:c r="AA878" s="74" t="str">
        <x:v>0</x:v>
      </x:c>
      <x:c r="AB878" s="74" t="str">
        <x:v>0</x:v>
      </x:c>
      <x:c r="AC878" s="74" t="str">
        <x:v>1</x:v>
      </x:c>
      <x:c r="AD878" s="74" t="str">
        <x:v>0</x:v>
      </x:c>
      <x:c r="AE878" s="74" t="str">
        <x:v>0</x:v>
      </x:c>
      <x:c r="AF878" s="74" t="str"/>
      <x:c r="AG878" s="74" t="str">
        <x:v>1</x:v>
      </x:c>
      <x:c r="AH878" s="74" t="str">
        <x:v>1</x:v>
      </x:c>
      <x:c r="AI878" s="74" t="str">
        <x:v>0</x:v>
      </x:c>
      <x:c r="AJ878" s="74" t="str">
        <x:v>0</x:v>
      </x:c>
      <x:c r="AK878" s="74" t="str">
        <x:v>1</x:v>
      </x:c>
      <x:c r="AL878" s="74" t="str">
        <x:v>0</x:v>
      </x:c>
      <x:c r="AM878" s="74" t="str">
        <x:v>1</x:v>
      </x:c>
      <x:c r="AN878" s="74" t="str">
        <x:v>0</x:v>
      </x:c>
      <x:c r="AO878" s="60" t="str">
        <x:v>2025</x:v>
      </x:c>
      <x:c r="AP878" s="76" t="str">
        <x:v>ICP fit; paid-demand need requires manual verification</x:v>
      </x:c>
      <x:c r="AQ878" s="76" t="str">
        <x:v>project/gallery proof; visible service offer</x:v>
      </x:c>
      <x:c r="AR878" s="76" t="str">
        <x:v>I was reviewing general contractor companies in Lexington County, South Carolina and Finishing Touch Team looked like a strong fit for a creative test.</x:v>
      </x:c>
      <x:c r="AS878" s="76" t="str">
        <x:v>project walkthrough with proof milestones</x:v>
      </x:c>
      <x:c r="AT878" s="76" t="str">
        <x:v>Finishing Touch Team ad concept</x:v>
      </x:c>
      <x:c r="AU878" s="76" t="str">
        <x:v>Hi Russ — I was reviewing general contractor companies in Lexington County, South Carolina and Finishing Touch Team looked like a strong fit for a creative test. I mapped a private 15-second project walkthrough with proof milestones for Finishing Touch Team using only public brand context—not for publishing, just to show the angle. We build three client-approved video ad concepts in seven days, then turn the winners into fresh variations. No filming day required. Worth sending the private sample?</x:v>
      </x:c>
      <x:c r="AV878" s="76" t="str">
        <x:v>Quick follow-up: the sample angle is a project walkthrough with proof milestones. If it misses the mark, no problem—I won't keep chasing. Should I send it?</x:v>
      </x:c>
      <x:c r="AW878" s="76" t="str">
        <x:v>Hi Russ, Ryan here. I was looking at Finishing Touch Team's public marketing and noticed: icp fit; paid-demand need requires manual verification. I mapped one private project walkthrough with proof milestones as an example. Did I catch you with 30 seconds?</x:v>
      </x:c>
      <x:c r="AX878" s="60" t="str">
        <x:v>https://www.facebook.com/ads/library/?active_status=active&amp;ad_type=all&amp;country=US&amp;q=Finishing%20Touch%20Team&amp;search_type=keyword_unordered</x:v>
      </x:c>
      <x:c r="AY878" s="60" t="str">
        <x:v>ok:200</x:v>
      </x:c>
      <x:c r="AZ878" s="60" t="n">
        <x:v>46232.722858796296</x:v>
      </x:c>
      <x:c r="BA878" s="60" t="str">
        <x:v>AI Ark SC trades export</x:v>
      </x:c>
      <x:c r="BB878" s="60" t="str">
        <x:v>https://finishingtouchteam.com | https://www.linkedin.com/company/finishing-touch-team</x:v>
      </x:c>
      <x:c r="BC878" s="60" t="str"/>
    </x:row>
    <x:row r="879" ht="18" customHeight="1">
      <x:c r="A879" s="70" t="str">
        <x:v>878</x:v>
      </x:c>
      <x:c r="B879" s="70" t="str">
        <x:v>C - Verify</x:v>
      </x:c>
      <x:c r="C879" s="72" t="str">
        <x:v>42</x:v>
      </x:c>
      <x:c r="D879" s="60" t="str">
        <x:v>Hilton Head Garage Doors</x:v>
      </x:c>
      <x:c r="E879" s="60" t="str">
        <x:v>https://hiltonheadgaragedoors.com</x:v>
      </x:c>
      <x:c r="F879" s="60" t="str">
        <x:v>https://www.hiltonheadgaragedoors.com/</x:v>
      </x:c>
      <x:c r="G879" s="60" t="str">
        <x:v>Beaufort</x:v>
      </x:c>
      <x:c r="H879" s="60" t="str">
        <x:v>South Carolina</x:v>
      </x:c>
      <x:c r="I879" s="60" t="str">
        <x:v>Garage Doors</x:v>
      </x:c>
      <x:c r="J879" s="60" t="str">
        <x:v>Hilton Head Garage Doors</x:v>
      </x:c>
      <x:c r="K879" s="60" t="str"/>
      <x:c r="L879" s="60" t="str">
        <x:v>Owner / decision maker to verify</x:v>
      </x:c>
      <x:c r="M879" s="60" t="str"/>
      <x:c r="N879" s="60" t="str"/>
      <x:c r="O879" s="60" t="str">
        <x:v>(843) 645-0691</x:v>
      </x:c>
      <x:c r="P879" s="60" t="str"/>
      <x:c r="Q879" s="60" t="str"/>
      <x:c r="R879" s="60" t="str"/>
      <x:c r="S879" s="60" t="str">
        <x:v>4.9</x:v>
      </x:c>
      <x:c r="T879" s="74" t="str">
        <x:v>99</x:v>
      </x:c>
      <x:c r="U879" s="60" t="str"/>
      <x:c r="V879" s="74" t="str">
        <x:v>22</x:v>
      </x:c>
      <x:c r="W879" s="74" t="str">
        <x:v>3</x:v>
      </x:c>
      <x:c r="X879" s="74" t="str">
        <x:v>6</x:v>
      </x:c>
      <x:c r="Y879" s="74" t="str">
        <x:v>6</x:v>
      </x:c>
      <x:c r="Z879" s="74" t="str">
        <x:v>5</x:v>
      </x:c>
      <x:c r="AA879" s="74" t="str">
        <x:v>0</x:v>
      </x:c>
      <x:c r="AB879" s="74" t="str">
        <x:v>0</x:v>
      </x:c>
      <x:c r="AC879" s="74" t="str">
        <x:v>1</x:v>
      </x:c>
      <x:c r="AD879" s="74" t="str">
        <x:v>0</x:v>
      </x:c>
      <x:c r="AE879" s="74" t="str">
        <x:v>0</x:v>
      </x:c>
      <x:c r="AF879" s="74" t="str"/>
      <x:c r="AG879" s="74" t="str">
        <x:v>0</x:v>
      </x:c>
      <x:c r="AH879" s="74" t="str">
        <x:v>0</x:v>
      </x:c>
      <x:c r="AI879" s="74" t="str">
        <x:v>1</x:v>
      </x:c>
      <x:c r="AJ879" s="74" t="str">
        <x:v>0</x:v>
      </x:c>
      <x:c r="AK879" s="74" t="str">
        <x:v>0</x:v>
      </x:c>
      <x:c r="AL879" s="74" t="str">
        <x:v>1</x:v>
      </x:c>
      <x:c r="AM879" s="74" t="str">
        <x:v>1</x:v>
      </x:c>
      <x:c r="AN879" s="74" t="str">
        <x:v>0</x:v>
      </x:c>
      <x:c r="AO879" s="60" t="str">
        <x:v>2026</x:v>
      </x:c>
      <x:c r="AP879" s="76" t="str">
        <x:v>ICP fit; paid-demand need requires manual verification</x:v>
      </x:c>
      <x:c r="AQ879" s="76" t="str">
        <x:v>testimonials; no embedded homepage video detected</x:v>
      </x:c>
      <x:c r="AR879" s="76" t="str">
        <x:v>I was reviewing garage doors companies in Beaufort, South Carolina and Hilton Head Garage Doors looked like a strong fit for a creative test.</x:v>
      </x:c>
      <x:c r="AS879" s="76" t="str">
        <x:v>curb-appeal transformation ad</x:v>
      </x:c>
      <x:c r="AT879" s="76" t="str">
        <x:v>Hilton Head Garage Doors ad concept</x:v>
      </x:c>
      <x:c r="AU879" s="76" t="str">
        <x:v>Hi Hilton Head Garage Doors — I was reviewing garage doors companies in Beaufort, South Carolina and Hilton Head Garage Doors looked like a strong fit for a creative test. I mapped a private 15-second curb-appeal transformation ad for Hilton Head Garage Doors using only public brand context—not for publishing, just to show the angle. We build three client-approved video ad concepts in seven days, then turn the winners into fresh variations. No filming day required. Worth sending the private sample?</x:v>
      </x:c>
      <x:c r="AV879" s="76" t="str">
        <x:v>Quick follow-up: the sample angle is a curb-appeal transformation ad. If it misses the mark, no problem—I won't keep chasing. Should I send it?</x:v>
      </x:c>
      <x:c r="AW879" s="76" t="str">
        <x:v>Hi Hilton Head Garage Doors, Ryan here. I was looking at Hilton Head Garage Doors's public marketing and noticed: icp fit; paid-demand need requires manual verification. I mapped one private curb-appeal transformation ad as an example. Did I catch you with 30 seconds?</x:v>
      </x:c>
      <x:c r="AX879" s="60" t="str">
        <x:v>https://www.facebook.com/ads/library/?active_status=active&amp;ad_type=all&amp;country=US&amp;q=Hilton%20Head%20Garage%20Doors&amp;search_type=keyword_unordered</x:v>
      </x:c>
      <x:c r="AY879" s="60" t="str">
        <x:v>ok:200</x:v>
      </x:c>
      <x:c r="AZ879" s="60" t="n">
        <x:v>46232.722858796296</x:v>
      </x:c>
      <x:c r="BA879" s="60" t="str">
        <x:v>Google Maps home-services export</x:v>
      </x:c>
      <x:c r="BB879" s="60" t="str">
        <x:v>https://hiltonheadgaragedoors.com | https://maps.google.com/?cid=511787642403635998&amp;g_mp=Cidnb29nbGUubWFwcy5wbGFjZXMudjEuUGxhY2VzLlNlYXJjaFRleHQQAhgEIAA</x:v>
      </x:c>
      <x:c r="BC879" s="60" t="str"/>
    </x:row>
    <x:row r="880" ht="18" customHeight="1">
      <x:c r="A880" s="70" t="str">
        <x:v>879</x:v>
      </x:c>
      <x:c r="B880" s="70" t="str">
        <x:v>C - Verify</x:v>
      </x:c>
      <x:c r="C880" s="72" t="str">
        <x:v>42</x:v>
      </x:c>
      <x:c r="D880" s="60" t="str">
        <x:v>Hatfield Heating and Air Conditioning Inc. – 24/7 Emergency HVAC Services</x:v>
      </x:c>
      <x:c r="E880" s="60" t="str">
        <x:v>https://anytimeserviceguys.com</x:v>
      </x:c>
      <x:c r="F880" s="60" t="str">
        <x:v>https://anytimeserviceguys.com</x:v>
      </x:c>
      <x:c r="G880" s="60" t="str">
        <x:v>Sumter</x:v>
      </x:c>
      <x:c r="H880" s="60" t="str">
        <x:v>South Carolina</x:v>
      </x:c>
      <x:c r="I880" s="60" t="str">
        <x:v>HVAC</x:v>
      </x:c>
      <x:c r="J880" s="60" t="str">
        <x:v>Hatfield Heating and Air Conditioning Inc. – 24/7 Emergency HVAC Services</x:v>
      </x:c>
      <x:c r="K880" s="60" t="str"/>
      <x:c r="L880" s="60" t="str">
        <x:v>Owner / decision maker to verify</x:v>
      </x:c>
      <x:c r="M880" s="60" t="str"/>
      <x:c r="N880" s="60" t="str"/>
      <x:c r="O880" s="60" t="str">
        <x:v>(803) 494-2631</x:v>
      </x:c>
      <x:c r="P880" s="60" t="str"/>
      <x:c r="Q880" s="60" t="str"/>
      <x:c r="R880" s="60" t="str"/>
      <x:c r="S880" s="60" t="str">
        <x:v>4.9</x:v>
      </x:c>
      <x:c r="T880" s="74" t="str">
        <x:v>100</x:v>
      </x:c>
      <x:c r="U880" s="60" t="str"/>
      <x:c r="V880" s="74" t="str">
        <x:v>28</x:v>
      </x:c>
      <x:c r="W880" s="74" t="str">
        <x:v>3</x:v>
      </x:c>
      <x:c r="X880" s="74" t="str">
        <x:v>0</x:v>
      </x:c>
      <x:c r="Y880" s="74" t="str">
        <x:v>6</x:v>
      </x:c>
      <x:c r="Z880" s="74" t="str">
        <x:v>5</x:v>
      </x:c>
      <x:c r="AA880" s="74" t="str">
        <x:v>0</x:v>
      </x:c>
      <x:c r="AB880" s="74" t="str">
        <x:v>0</x:v>
      </x:c>
      <x:c r="AC880" s="74" t="str">
        <x:v>1</x:v>
      </x:c>
      <x:c r="AD880" s="74" t="str">
        <x:v>0</x:v>
      </x:c>
      <x:c r="AE880" s="74" t="str">
        <x:v>0</x:v>
      </x:c>
      <x:c r="AF880" s="74" t="str"/>
      <x:c r="AG880" s="74" t="str">
        <x:v>1</x:v>
      </x:c>
      <x:c r="AH880" s="74" t="str">
        <x:v>0</x:v>
      </x:c>
      <x:c r="AI880" s="74" t="str">
        <x:v>0</x:v>
      </x:c>
      <x:c r="AJ880" s="74" t="str">
        <x:v>0</x:v>
      </x:c>
      <x:c r="AK880" s="74" t="str">
        <x:v>1</x:v>
      </x:c>
      <x:c r="AL880" s="74" t="str">
        <x:v>1</x:v>
      </x:c>
      <x:c r="AM880" s="74" t="str">
        <x:v>1</x:v>
      </x:c>
      <x:c r="AN880" s="74" t="str">
        <x:v>0</x:v>
      </x:c>
      <x:c r="AO880" s="60" t="str">
        <x:v>2026</x:v>
      </x:c>
      <x:c r="AP880" s="76" t="str">
        <x:v>ICP fit; paid-demand need requires manual verification</x:v>
      </x:c>
      <x:c r="AQ880" s="76" t="str">
        <x:v>visible service offer</x:v>
      </x:c>
      <x:c r="AR880" s="76" t="str">
        <x:v>I was reviewing hvac companies in Sumter, South Carolina and Hatfield Heating and Air Conditioning Inc. – 24/7 Emergency HVAC Services looked like a strong fit for a creative test.</x:v>
      </x:c>
      <x:c r="AS880" s="76" t="str">
        <x:v>no-cool-call to same-day comfort ad</x:v>
      </x:c>
      <x:c r="AT880" s="76" t="str">
        <x:v>Hatfield Heating and Air Conditioning Inc. – 24/7 Emergency HVAC Services ad concept</x:v>
      </x:c>
      <x:c r="AU880" s="76" t="str">
        <x:v>Hi Hatfield Heating and Air Conditioning Inc. – 24/7 Emergency HVAC Services — I was reviewing hvac companies in Sumter, South Carolina and Hatfield Heating and Air Conditioning Inc. – 24/7 Emergency HVAC Services looked like a strong fit for a creative test. I mapped a private 15-second no-cool-call to same-day comfort ad for Hatfield Heating and Air Conditioning Inc. – 24/7 Emergency HVAC Services using only public brand context—not for publishing, just to show the angle. We build three client-approved video ad concepts in seven days, then turn the winners into fresh variations. No filming day required. Worth sending the private sample?</x:v>
      </x:c>
      <x:c r="AV880" s="76" t="str">
        <x:v>Quick follow-up: the sample angle is a no-cool-call to same-day comfort ad. If it misses the mark, no problem—I won't keep chasing. Should I send it?</x:v>
      </x:c>
      <x:c r="AW880" s="76" t="str">
        <x:v>Hi Hatfield Heating and Air Conditioning Inc. – 24/7 Emergency HVAC Services, Ryan here. I was looking at Hatfield Heating and Air Conditioning Inc. – 24/7 Emergency HVAC Services's public marketing and noticed: icp fit; paid-demand need requires manual verification. I mapped one private no-cool-call to same-day comfort ad as an example. Did I catch you with 30 seconds?</x:v>
      </x:c>
      <x:c r="AX880" s="60" t="str">
        <x:v>https://www.facebook.com/ads/library/?active_status=active&amp;ad_type=all&amp;country=US&amp;q=Hatfield%20Heating%20and%20Air%20Conditioning%20Inc.%20%E2%80%93%2024/7%20Emergency%20HVAC%20Services&amp;search_type=keyword_unordered</x:v>
      </x:c>
      <x:c r="AY880" s="60" t="str">
        <x:v>ok:200</x:v>
      </x:c>
      <x:c r="AZ880" s="60" t="n">
        <x:v>46232.722858796296</x:v>
      </x:c>
      <x:c r="BA880" s="60" t="str">
        <x:v>Google Maps home-services export</x:v>
      </x:c>
      <x:c r="BB880" s="60" t="str">
        <x:v>https://anytimeserviceguys.com | https://maps.google.com/?cid=12181380968113285793&amp;g_mp=Cidnb29nbGUubWFwcy5wbGFjZXMudjEuUGxhY2VzLlNlYXJjaFRleHQQAhgEIAA</x:v>
      </x:c>
      <x:c r="BC880" s="60" t="str"/>
    </x:row>
    <x:row r="881" ht="18" customHeight="1">
      <x:c r="A881" s="70" t="str">
        <x:v>880</x:v>
      </x:c>
      <x:c r="B881" s="70" t="str">
        <x:v>C - Verify</x:v>
      </x:c>
      <x:c r="C881" s="72" t="str">
        <x:v>42</x:v>
      </x:c>
      <x:c r="D881" s="60" t="str">
        <x:v>Drip Doctor Plumbing</x:v>
      </x:c>
      <x:c r="E881" s="60" t="str">
        <x:v>https://dripdrplumbing.com</x:v>
      </x:c>
      <x:c r="F881" s="60" t="str">
        <x:v>https://dripdrplumbing.com</x:v>
      </x:c>
      <x:c r="G881" s="60" t="str">
        <x:v>Charleston</x:v>
      </x:c>
      <x:c r="H881" s="60" t="str">
        <x:v>South Carolina</x:v>
      </x:c>
      <x:c r="I881" s="60" t="str">
        <x:v>Plumbing</x:v>
      </x:c>
      <x:c r="J881" s="60" t="str">
        <x:v>Drip Doctor Plumbing</x:v>
      </x:c>
      <x:c r="K881" s="60" t="str"/>
      <x:c r="L881" s="60" t="str">
        <x:v>Owner / decision maker to verify</x:v>
      </x:c>
      <x:c r="M881" s="60" t="str"/>
      <x:c r="N881" s="60" t="str"/>
      <x:c r="O881" s="60" t="str">
        <x:v>(854) 201-2013</x:v>
      </x:c>
      <x:c r="P881" s="60" t="str"/>
      <x:c r="Q881" s="60" t="str"/>
      <x:c r="R881" s="60" t="str"/>
      <x:c r="S881" s="60" t="str">
        <x:v>4.9</x:v>
      </x:c>
      <x:c r="T881" s="74" t="str">
        <x:v>50</x:v>
      </x:c>
      <x:c r="U881" s="60" t="str"/>
      <x:c r="V881" s="74" t="str">
        <x:v>22</x:v>
      </x:c>
      <x:c r="W881" s="74" t="str">
        <x:v>3</x:v>
      </x:c>
      <x:c r="X881" s="74" t="str">
        <x:v>6</x:v>
      </x:c>
      <x:c r="Y881" s="74" t="str">
        <x:v>6</x:v>
      </x:c>
      <x:c r="Z881" s="74" t="str">
        <x:v>5</x:v>
      </x:c>
      <x:c r="AA881" s="74" t="str">
        <x:v>0</x:v>
      </x:c>
      <x:c r="AB881" s="74" t="str">
        <x:v>0</x:v>
      </x:c>
      <x:c r="AC881" s="74" t="str">
        <x:v>1</x:v>
      </x:c>
      <x:c r="AD881" s="74" t="str">
        <x:v>0</x:v>
      </x:c>
      <x:c r="AE881" s="74" t="str">
        <x:v>0</x:v>
      </x:c>
      <x:c r="AF881" s="74" t="str"/>
      <x:c r="AG881" s="74" t="str">
        <x:v>0</x:v>
      </x:c>
      <x:c r="AH881" s="74" t="str">
        <x:v>0</x:v>
      </x:c>
      <x:c r="AI881" s="74" t="str">
        <x:v>1</x:v>
      </x:c>
      <x:c r="AJ881" s="74" t="str">
        <x:v>0</x:v>
      </x:c>
      <x:c r="AK881" s="74" t="str">
        <x:v>0</x:v>
      </x:c>
      <x:c r="AL881" s="74" t="str">
        <x:v>1</x:v>
      </x:c>
      <x:c r="AM881" s="74" t="str">
        <x:v>1</x:v>
      </x:c>
      <x:c r="AN881" s="74" t="str">
        <x:v>0</x:v>
      </x:c>
      <x:c r="AO881" s="60" t="str">
        <x:v>2026</x:v>
      </x:c>
      <x:c r="AP881" s="76" t="str">
        <x:v>ICP fit; paid-demand need requires manual verification</x:v>
      </x:c>
      <x:c r="AQ881" s="76" t="str">
        <x:v>testimonials; no embedded homepage video detected</x:v>
      </x:c>
      <x:c r="AR881" s="76" t="str">
        <x:v>I was reviewing plumbing companies in Charleston, South Carolina and Drip Doctor Plumbing looked like a strong fit for a creative test.</x:v>
      </x:c>
      <x:c r="AS881" s="76" t="str">
        <x:v>small symptom to prevented-emergency ad</x:v>
      </x:c>
      <x:c r="AT881" s="76" t="str">
        <x:v>Drip Doctor Plumbing ad concept</x:v>
      </x:c>
      <x:c r="AU881" s="76" t="str">
        <x:v>Hi Drip Doctor Plumbing — I was reviewing plumbing companies in Charleston, South Carolina and Drip Doctor Plumbing looked like a strong fit for a creative test. I mapped a private 15-second small symptom to prevented-emergency ad for Drip Doctor Plumbing using only public brand context—not for publishing, just to show the angle. We build three client-approved video ad concepts in seven days, then turn the winners into fresh variations. No filming day required. Worth sending the private sample?</x:v>
      </x:c>
      <x:c r="AV881" s="76" t="str">
        <x:v>Quick follow-up: the sample angle is a small symptom to prevented-emergency ad. If it misses the mark, no problem—I won't keep chasing. Should I send it?</x:v>
      </x:c>
      <x:c r="AW881" s="76" t="str">
        <x:v>Hi Drip Doctor Plumbing, Ryan here. I was looking at Drip Doctor Plumbing's public marketing and noticed: icp fit; paid-demand need requires manual verification. I mapped one private small symptom to prevented-emergency ad as an example. Did I catch you with 30 seconds?</x:v>
      </x:c>
      <x:c r="AX881" s="60" t="str">
        <x:v>https://www.facebook.com/ads/library/?active_status=active&amp;ad_type=all&amp;country=US&amp;q=Drip%20Doctor%20Plumbing&amp;search_type=keyword_unordered</x:v>
      </x:c>
      <x:c r="AY881" s="60" t="str">
        <x:v>ok:200</x:v>
      </x:c>
      <x:c r="AZ881" s="60" t="n">
        <x:v>46232.722858796296</x:v>
      </x:c>
      <x:c r="BA881" s="60" t="str">
        <x:v>Google Maps home-services export</x:v>
      </x:c>
      <x:c r="BB881" s="60" t="str">
        <x:v>https://dripdrplumbing.com | https://maps.google.com/?cid=2126480169502456856&amp;g_mp=Cidnb29nbGUubWFwcy5wbGFjZXMudjEuUGxhY2VzLlNlYXJjaFRleHQQAhgEIAA</x:v>
      </x:c>
      <x:c r="BC881" s="60" t="str"/>
    </x:row>
    <x:row r="882" ht="18" customHeight="1">
      <x:c r="A882" s="70" t="str">
        <x:v>881</x:v>
      </x:c>
      <x:c r="B882" s="70" t="str">
        <x:v>C - Verify</x:v>
      </x:c>
      <x:c r="C882" s="72" t="str">
        <x:v>42</x:v>
      </x:c>
      <x:c r="D882" s="60" t="str">
        <x:v>24 Hr Garage Door Service, LLC</x:v>
      </x:c>
      <x:c r="E882" s="60" t="str">
        <x:v>https://24hrgaragedoorservice.com</x:v>
      </x:c>
      <x:c r="F882" s="60" t="str">
        <x:v>http://www.24hrgaragedoorservice.com/</x:v>
      </x:c>
      <x:c r="G882" s="60" t="str">
        <x:v>Columbia</x:v>
      </x:c>
      <x:c r="H882" s="60" t="str">
        <x:v>South Carolina</x:v>
      </x:c>
      <x:c r="I882" s="60" t="str">
        <x:v>Garage Doors</x:v>
      </x:c>
      <x:c r="J882" s="60" t="str">
        <x:v>24 Hr Garage Door Service, LLC</x:v>
      </x:c>
      <x:c r="K882" s="60" t="str"/>
      <x:c r="L882" s="60" t="str">
        <x:v>Owner / decision maker to verify</x:v>
      </x:c>
      <x:c r="M882" s="60" t="str"/>
      <x:c r="N882" s="60" t="str"/>
      <x:c r="O882" s="60" t="str">
        <x:v>(803) 420-4810</x:v>
      </x:c>
      <x:c r="P882" s="60" t="str"/>
      <x:c r="Q882" s="60" t="str"/>
      <x:c r="R882" s="60" t="str"/>
      <x:c r="S882" s="60" t="str">
        <x:v>5</x:v>
      </x:c>
      <x:c r="T882" s="74" t="str">
        <x:v>190</x:v>
      </x:c>
      <x:c r="U882" s="60" t="str"/>
      <x:c r="V882" s="74" t="str">
        <x:v>24</x:v>
      </x:c>
      <x:c r="W882" s="74" t="str">
        <x:v>3</x:v>
      </x:c>
      <x:c r="X882" s="74" t="str">
        <x:v>4</x:v>
      </x:c>
      <x:c r="Y882" s="74" t="str">
        <x:v>6</x:v>
      </x:c>
      <x:c r="Z882" s="74" t="str">
        <x:v>5</x:v>
      </x:c>
      <x:c r="AA882" s="74" t="str">
        <x:v>0</x:v>
      </x:c>
      <x:c r="AB882" s="74" t="str">
        <x:v>0</x:v>
      </x:c>
      <x:c r="AC882" s="74" t="str">
        <x:v>1</x:v>
      </x:c>
      <x:c r="AD882" s="74" t="str">
        <x:v>0</x:v>
      </x:c>
      <x:c r="AE882" s="74" t="str">
        <x:v>0</x:v>
      </x:c>
      <x:c r="AF882" s="74" t="str"/>
      <x:c r="AG882" s="74" t="str">
        <x:v>1</x:v>
      </x:c>
      <x:c r="AH882" s="74" t="str">
        <x:v>0</x:v>
      </x:c>
      <x:c r="AI882" s="74" t="str">
        <x:v>0</x:v>
      </x:c>
      <x:c r="AJ882" s="74" t="str">
        <x:v>0</x:v>
      </x:c>
      <x:c r="AK882" s="74" t="str">
        <x:v>1</x:v>
      </x:c>
      <x:c r="AL882" s="74" t="str">
        <x:v>0</x:v>
      </x:c>
      <x:c r="AM882" s="74" t="str">
        <x:v>1</x:v>
      </x:c>
      <x:c r="AN882" s="74" t="str">
        <x:v>0</x:v>
      </x:c>
      <x:c r="AO882" s="60" t="str">
        <x:v>0</x:v>
      </x:c>
      <x:c r="AP882" s="76" t="str">
        <x:v>ICP fit; paid-demand need requires manual verification</x:v>
      </x:c>
      <x:c r="AQ882" s="76" t="str">
        <x:v>visible service offer</x:v>
      </x:c>
      <x:c r="AR882" s="76" t="str">
        <x:v>I was reviewing garage doors companies in Columbia, South Carolina and 24 Hr Garage Door Service, LLC looked like a strong fit for a creative test.</x:v>
      </x:c>
      <x:c r="AS882" s="76" t="str">
        <x:v>curb-appeal transformation ad</x:v>
      </x:c>
      <x:c r="AT882" s="76" t="str">
        <x:v>24 Hr Garage Door Service, LLC ad concept</x:v>
      </x:c>
      <x:c r="AU882" s="76" t="str">
        <x:v>Hi 24 Hr Garage Door Service, LLC — I was reviewing garage doors companies in Columbia, South Carolina and 24 Hr Garage Door Service, LLC looked like a strong fit for a creative test. I mapped a private 15-second curb-appeal transformation ad for 24 Hr Garage Door Service, LLC using only public brand context—not for publishing, just to show the angle. We build three client-approved video ad concepts in seven days, then turn the winners into fresh variations. No filming day required. Worth sending the private sample?</x:v>
      </x:c>
      <x:c r="AV882" s="76" t="str">
        <x:v>Quick follow-up: the sample angle is a curb-appeal transformation ad. If it misses the mark, no problem—I won't keep chasing. Should I send it?</x:v>
      </x:c>
      <x:c r="AW882" s="76" t="str">
        <x:v>Hi 24 Hr Garage Door Service, LLC, Ryan here. I was looking at 24 Hr Garage Door Service, LLC's public marketing and noticed: icp fit; paid-demand need requires manual verification. I mapped one private curb-appeal transformation ad as an example. Did I catch you with 30 seconds?</x:v>
      </x:c>
      <x:c r="AX882" s="60" t="str">
        <x:v>https://www.facebook.com/ads/library/?active_status=active&amp;ad_type=all&amp;country=US&amp;q=24%20Hr%20Garage%20Door%20Service%2C%20LLC&amp;search_type=keyword_unordered</x:v>
      </x:c>
      <x:c r="AY882" s="60" t="str">
        <x:v>ok:200</x:v>
      </x:c>
      <x:c r="AZ882" s="60" t="n">
        <x:v>46232.722858796296</x:v>
      </x:c>
      <x:c r="BA882" s="60" t="str">
        <x:v>Google Maps home-services export</x:v>
      </x:c>
      <x:c r="BB882" s="60" t="str">
        <x:v>https://24hrgaragedoorservice.com | https://maps.google.com/?cid=6506336401322538533&amp;g_mp=Cidnb29nbGUubWFwcy5wbGFjZXMudjEuUGxhY2VzLlNlYXJjaFRleHQQAhgEIAA</x:v>
      </x:c>
      <x:c r="BC882" s="60" t="str"/>
    </x:row>
    <x:row r="883" ht="18" customHeight="1">
      <x:c r="A883" s="70" t="str">
        <x:v>882</x:v>
      </x:c>
      <x:c r="B883" s="70" t="str">
        <x:v>C - Verify</x:v>
      </x:c>
      <x:c r="C883" s="72" t="str">
        <x:v>42</x:v>
      </x:c>
      <x:c r="D883" s="60" t="str">
        <x:v>May Electric</x:v>
      </x:c>
      <x:c r="E883" s="60" t="str">
        <x:v>https://mayelectric.com</x:v>
      </x:c>
      <x:c r="F883" s="60" t="str">
        <x:v>https://www.mayelectric.com/</x:v>
      </x:c>
      <x:c r="G883" s="60" t="str">
        <x:v>Hilton Head</x:v>
      </x:c>
      <x:c r="H883" s="60" t="str">
        <x:v>South Carolina</x:v>
      </x:c>
      <x:c r="I883" s="60" t="str">
        <x:v>Electrical</x:v>
      </x:c>
      <x:c r="J883" s="60" t="str">
        <x:v>May Electric</x:v>
      </x:c>
      <x:c r="K883" s="60" t="str"/>
      <x:c r="L883" s="60" t="str">
        <x:v>Owner / decision maker to verify</x:v>
      </x:c>
      <x:c r="M883" s="60" t="str"/>
      <x:c r="N883" s="60" t="str"/>
      <x:c r="O883" s="60" t="str">
        <x:v>(843) 689-3115</x:v>
      </x:c>
      <x:c r="P883" s="60" t="str"/>
      <x:c r="Q883" s="60" t="str"/>
      <x:c r="R883" s="60" t="str"/>
      <x:c r="S883" s="60" t="str">
        <x:v>4.6</x:v>
      </x:c>
      <x:c r="T883" s="74" t="str">
        <x:v>16</x:v>
      </x:c>
      <x:c r="U883" s="60" t="str"/>
      <x:c r="V883" s="74" t="str">
        <x:v>19</x:v>
      </x:c>
      <x:c r="W883" s="74" t="str">
        <x:v>3</x:v>
      </x:c>
      <x:c r="X883" s="74" t="str">
        <x:v>10</x:v>
      </x:c>
      <x:c r="Y883" s="74" t="str">
        <x:v>5</x:v>
      </x:c>
      <x:c r="Z883" s="74" t="str">
        <x:v>5</x:v>
      </x:c>
      <x:c r="AA883" s="74" t="str">
        <x:v>0</x:v>
      </x:c>
      <x:c r="AB883" s="74" t="str">
        <x:v>0</x:v>
      </x:c>
      <x:c r="AC883" s="74" t="str">
        <x:v>1</x:v>
      </x:c>
      <x:c r="AD883" s="74" t="str">
        <x:v>0</x:v>
      </x:c>
      <x:c r="AE883" s="74" t="str">
        <x:v>0</x:v>
      </x:c>
      <x:c r="AF883" s="74" t="str"/>
      <x:c r="AG883" s="74" t="str">
        <x:v>0</x:v>
      </x:c>
      <x:c r="AH883" s="74" t="str">
        <x:v>1</x:v>
      </x:c>
      <x:c r="AI883" s="74" t="str">
        <x:v>0</x:v>
      </x:c>
      <x:c r="AJ883" s="74" t="str">
        <x:v>0</x:v>
      </x:c>
      <x:c r="AK883" s="74" t="str">
        <x:v>0</x:v>
      </x:c>
      <x:c r="AL883" s="74" t="str">
        <x:v>0</x:v>
      </x:c>
      <x:c r="AM883" s="74" t="str">
        <x:v>0</x:v>
      </x:c>
      <x:c r="AN883" s="74" t="str">
        <x:v>0</x:v>
      </x:c>
      <x:c r="AO883" s="60" t="str">
        <x:v>2026</x:v>
      </x:c>
      <x:c r="AP883" s="76" t="str">
        <x:v>Project/gallery proof found; no embedded homepage video found</x:v>
      </x:c>
      <x:c r="AQ883" s="76" t="str">
        <x:v>project/gallery proof; no embedded homepage video detected</x:v>
      </x:c>
      <x:c r="AR883" s="76" t="str">
        <x:v>I found project/gallery proof on May Electric's site that could be repackaged into short-form ad concepts.</x:v>
      </x:c>
      <x:c r="AS883" s="76" t="str">
        <x:v>safety inspection problem/solution ad</x:v>
      </x:c>
      <x:c r="AT883" s="76" t="str">
        <x:v>May Electric ad concept</x:v>
      </x:c>
      <x:c r="AU883" s="76" t="str">
        <x:v>Hi May Electric — I found project/gallery proof on May Electric's site that could be repackaged into short-form ad concepts. I mapped a private 15-second safety inspection problem/solution ad for May Electric using only public brand context—not for publishing, just to show the angle. We build three client-approved video ad concepts in seven days, then turn the winners into fresh variations. No filming day required. Worth sending the private sample?</x:v>
      </x:c>
      <x:c r="AV883" s="76" t="str">
        <x:v>Quick follow-up: the sample angle is a safety inspection problem/solution ad. If it misses the mark, no problem—I won't keep chasing. Should I send it?</x:v>
      </x:c>
      <x:c r="AW883" s="76" t="str">
        <x:v>Hi May Electric, Ryan here. I was looking at May Electric's public marketing and noticed: project/gallery proof found; no embedded homepage video found. I mapped one private safety inspection problem/solution ad as an example. Did I catch you with 30 seconds?</x:v>
      </x:c>
      <x:c r="AX883" s="60" t="str">
        <x:v>https://www.facebook.com/ads/library/?active_status=active&amp;ad_type=all&amp;country=US&amp;q=May%20Electric&amp;search_type=keyword_unordered</x:v>
      </x:c>
      <x:c r="AY883" s="60" t="str">
        <x:v>ok:200</x:v>
      </x:c>
      <x:c r="AZ883" s="60" t="n">
        <x:v>46232.722858796296</x:v>
      </x:c>
      <x:c r="BA883" s="60" t="str">
        <x:v>Google Maps home-services export</x:v>
      </x:c>
      <x:c r="BB883" s="60" t="str">
        <x:v>https://maps.google.com/?cid=1279058383097010105&amp;g_mp=Cidnb29nbGUubWFwcy5wbGFjZXMudjEuUGxhY2VzLlNlYXJjaFRleHQQAhgEIAA | https://mayelectric.com</x:v>
      </x:c>
      <x:c r="BC883" s="60" t="str"/>
    </x:row>
    <x:row r="884" ht="18" customHeight="1">
      <x:c r="A884" s="70" t="str">
        <x:v>883</x:v>
      </x:c>
      <x:c r="B884" s="70" t="str">
        <x:v>C - Verify</x:v>
      </x:c>
      <x:c r="C884" s="72" t="str">
        <x:v>42</x:v>
      </x:c>
      <x:c r="D884" s="60" t="str">
        <x:v>Concrete Service Company</x:v>
      </x:c>
      <x:c r="E884" s="60" t="str">
        <x:v>https://concreteservice.com</x:v>
      </x:c>
      <x:c r="F884" s="60" t="str">
        <x:v>https://www.concreteservice.com/</x:v>
      </x:c>
      <x:c r="G884" s="60" t="str">
        <x:v>Florence</x:v>
      </x:c>
      <x:c r="H884" s="60" t="str">
        <x:v>South Carolina</x:v>
      </x:c>
      <x:c r="I884" s="60" t="str">
        <x:v>General Contractor</x:v>
      </x:c>
      <x:c r="J884" s="60" t="str">
        <x:v>Robin</x:v>
      </x:c>
      <x:c r="K884" s="60" t="str">
        <x:v>Kirby</x:v>
      </x:c>
      <x:c r="L884" s="60" t="str">
        <x:v>Owner</x:v>
      </x:c>
      <x:c r="M884" s="60" t="str"/>
      <x:c r="N884" s="60" t="str"/>
      <x:c r="O884" s="60" t="str"/>
      <x:c r="P884" s="60" t="str">
        <x:v>https://www.linkedin.com/in/robin-kirby-b49017163</x:v>
      </x:c>
      <x:c r="Q884" s="60" t="str">
        <x:v>51-200</x:v>
      </x:c>
      <x:c r="R884" s="60" t="str">
        <x:v>1000000-4999999</x:v>
      </x:c>
      <x:c r="S884" s="60" t="str"/>
      <x:c r="T884" s="74" t="str">
        <x:v>0</x:v>
      </x:c>
      <x:c r="U884" s="60" t="str"/>
      <x:c r="V884" s="74" t="str">
        <x:v>27</x:v>
      </x:c>
      <x:c r="W884" s="74" t="str">
        <x:v>3</x:v>
      </x:c>
      <x:c r="X884" s="74" t="str">
        <x:v>6</x:v>
      </x:c>
      <x:c r="Y884" s="74" t="str">
        <x:v>4</x:v>
      </x:c>
      <x:c r="Z884" s="74" t="str">
        <x:v>2</x:v>
      </x:c>
      <x:c r="AA884" s="74" t="str">
        <x:v>0</x:v>
      </x:c>
      <x:c r="AB884" s="74" t="str">
        <x:v>0</x:v>
      </x:c>
      <x:c r="AC884" s="74" t="str">
        <x:v>1</x:v>
      </x:c>
      <x:c r="AD884" s="74" t="str">
        <x:v>0</x:v>
      </x:c>
      <x:c r="AE884" s="74" t="str">
        <x:v>0</x:v>
      </x:c>
      <x:c r="AF884" s="74" t="str"/>
      <x:c r="AG884" s="74" t="str">
        <x:v>0</x:v>
      </x:c>
      <x:c r="AH884" s="74" t="str">
        <x:v>0</x:v>
      </x:c>
      <x:c r="AI884" s="74" t="str">
        <x:v>1</x:v>
      </x:c>
      <x:c r="AJ884" s="74" t="str">
        <x:v>0</x:v>
      </x:c>
      <x:c r="AK884" s="74" t="str">
        <x:v>0</x:v>
      </x:c>
      <x:c r="AL884" s="74" t="str">
        <x:v>1</x:v>
      </x:c>
      <x:c r="AM884" s="74" t="str">
        <x:v>1</x:v>
      </x:c>
      <x:c r="AN884" s="74" t="str">
        <x:v>0</x:v>
      </x:c>
      <x:c r="AO884" s="60" t="str">
        <x:v>0</x:v>
      </x:c>
      <x:c r="AP884" s="76" t="str">
        <x:v>ICP fit; paid-demand need requires manual verification</x:v>
      </x:c>
      <x:c r="AQ884" s="76" t="str">
        <x:v>testimonials; no embedded homepage video detected</x:v>
      </x:c>
      <x:c r="AR884" s="76" t="str">
        <x:v>I was reviewing general contractor companies in Florence, South Carolina and Concrete Service Company looked like a strong fit for a creative test.</x:v>
      </x:c>
      <x:c r="AS884" s="76" t="str">
        <x:v>project walkthrough with proof milestones</x:v>
      </x:c>
      <x:c r="AT884" s="76" t="str">
        <x:v>Concrete Service Company ad concept</x:v>
      </x:c>
      <x:c r="AU884" s="76" t="str">
        <x:v>Hi Robin — I was reviewing general contractor companies in Florence, South Carolina and Concrete Service Company looked like a strong fit for a creative test. I mapped a private 15-second project walkthrough with proof milestones for Concrete Service Company using only public brand context—not for publishing, just to show the angle. We build three client-approved video ad concepts in seven days, then turn the winners into fresh variations. No filming day required. Worth sending the private sample?</x:v>
      </x:c>
      <x:c r="AV884" s="76" t="str">
        <x:v>Quick follow-up: the sample angle is a project walkthrough with proof milestones. If it misses the mark, no problem—I won't keep chasing. Should I send it?</x:v>
      </x:c>
      <x:c r="AW884" s="76" t="str">
        <x:v>Hi Robin, Ryan here. I was looking at Concrete Service Company's public marketing and noticed: icp fit; paid-demand need requires manual verification. I mapped one private project walkthrough with proof milestones as an example. Did I catch you with 30 seconds?</x:v>
      </x:c>
      <x:c r="AX884" s="60" t="str">
        <x:v>https://www.facebook.com/ads/library/?active_status=active&amp;ad_type=all&amp;country=US&amp;q=Concrete%20Service%20Company&amp;search_type=keyword_unordered</x:v>
      </x:c>
      <x:c r="AY884" s="60" t="str">
        <x:v>ok:200</x:v>
      </x:c>
      <x:c r="AZ884" s="60" t="n">
        <x:v>46232.722858796296</x:v>
      </x:c>
      <x:c r="BA884" s="60" t="str">
        <x:v>AI Ark SC trades export</x:v>
      </x:c>
      <x:c r="BB884" s="60" t="str">
        <x:v>https://concreteservice.com | https://www.linkedin.com/company/concrete-service-company</x:v>
      </x:c>
      <x:c r="BC884" s="60" t="str"/>
    </x:row>
    <x:row r="885" ht="18" customHeight="1">
      <x:c r="A885" s="70" t="str">
        <x:v>884</x:v>
      </x:c>
      <x:c r="B885" s="70" t="str">
        <x:v>C - Verify</x:v>
      </x:c>
      <x:c r="C885" s="72" t="str">
        <x:v>42</x:v>
      </x:c>
      <x:c r="D885" s="60" t="str">
        <x:v>Ripply's Roofing &amp; Restoration</x:v>
      </x:c>
      <x:c r="E885" s="60" t="str">
        <x:v>https://ripplys.com</x:v>
      </x:c>
      <x:c r="F885" s="60" t="str">
        <x:v>https://www.ripplys.com/</x:v>
      </x:c>
      <x:c r="G885" s="60" t="str">
        <x:v>Summerville</x:v>
      </x:c>
      <x:c r="H885" s="60" t="str">
        <x:v>South Carolina</x:v>
      </x:c>
      <x:c r="I885" s="60" t="str">
        <x:v>Roofing</x:v>
      </x:c>
      <x:c r="J885" s="60" t="str">
        <x:v>Ripply's Roofing &amp; Restoration</x:v>
      </x:c>
      <x:c r="K885" s="60" t="str"/>
      <x:c r="L885" s="60" t="str">
        <x:v>Owner / decision maker to verify</x:v>
      </x:c>
      <x:c r="M885" s="60" t="str"/>
      <x:c r="N885" s="60" t="str"/>
      <x:c r="O885" s="60" t="str">
        <x:v>(843) 964-0011</x:v>
      </x:c>
      <x:c r="P885" s="60" t="str"/>
      <x:c r="Q885" s="60" t="str"/>
      <x:c r="R885" s="60" t="str"/>
      <x:c r="S885" s="60" t="str">
        <x:v>5</x:v>
      </x:c>
      <x:c r="T885" s="74" t="str">
        <x:v>15</x:v>
      </x:c>
      <x:c r="U885" s="60" t="str"/>
      <x:c r="V885" s="74" t="str">
        <x:v>25</x:v>
      </x:c>
      <x:c r="W885" s="74" t="str">
        <x:v>3</x:v>
      </x:c>
      <x:c r="X885" s="74" t="str">
        <x:v>6</x:v>
      </x:c>
      <x:c r="Y885" s="74" t="str">
        <x:v>3</x:v>
      </x:c>
      <x:c r="Z885" s="74" t="str">
        <x:v>5</x:v>
      </x:c>
      <x:c r="AA885" s="74" t="str">
        <x:v>0</x:v>
      </x:c>
      <x:c r="AB885" s="74" t="str">
        <x:v>0</x:v>
      </x:c>
      <x:c r="AC885" s="74" t="str">
        <x:v>1</x:v>
      </x:c>
      <x:c r="AD885" s="74" t="str">
        <x:v>0</x:v>
      </x:c>
      <x:c r="AE885" s="74" t="str">
        <x:v>0</x:v>
      </x:c>
      <x:c r="AF885" s="74" t="str"/>
      <x:c r="AG885" s="74" t="str">
        <x:v>0</x:v>
      </x:c>
      <x:c r="AH885" s="74" t="str">
        <x:v>0</x:v>
      </x:c>
      <x:c r="AI885" s="74" t="str">
        <x:v>0</x:v>
      </x:c>
      <x:c r="AJ885" s="74" t="str">
        <x:v>0</x:v>
      </x:c>
      <x:c r="AK885" s="74" t="str">
        <x:v>1</x:v>
      </x:c>
      <x:c r="AL885" s="74" t="str">
        <x:v>1</x:v>
      </x:c>
      <x:c r="AM885" s="74" t="str">
        <x:v>1</x:v>
      </x:c>
      <x:c r="AN885" s="74" t="str">
        <x:v>0</x:v>
      </x:c>
      <x:c r="AO885" s="60" t="str">
        <x:v>0</x:v>
      </x:c>
      <x:c r="AP885" s="76" t="str">
        <x:v>ICP fit; paid-demand need requires manual verification</x:v>
      </x:c>
      <x:c r="AQ885" s="76" t="str">
        <x:v>visible service offer; no embedded homepage video detected</x:v>
      </x:c>
      <x:c r="AR885" s="76" t="str">
        <x:v>I was reviewing roofing companies in Summerville, South Carolina and Ripply's Roofing &amp; Restoration looked like a strong fit for a creative test.</x:v>
      </x:c>
      <x:c r="AS885" s="76" t="str">
        <x:v>storm-to-inspection before/after ad</x:v>
      </x:c>
      <x:c r="AT885" s="76" t="str">
        <x:v>Ripply's Roofing &amp; Restoration ad concept</x:v>
      </x:c>
      <x:c r="AU885" s="76" t="str">
        <x:v>Hi Ripply's Roofing &amp; Restoration — I was reviewing roofing companies in Summerville, South Carolina and Ripply's Roofing &amp; Restoration looked like a strong fit for a creative test. I mapped a private 15-second storm-to-inspection before/after ad for Ripply's Roofing &amp; Restoration using only public brand context—not for publishing, just to show the angle. We build three client-approved video ad concepts in seven days, then turn the winners into fresh variations. No filming day required. Worth sending the private sample?</x:v>
      </x:c>
      <x:c r="AV885" s="76" t="str">
        <x:v>Quick follow-up: the sample angle is a storm-to-inspection before/after ad. If it misses the mark, no problem—I won't keep chasing. Should I send it?</x:v>
      </x:c>
      <x:c r="AW885" s="76" t="str">
        <x:v>Hi Ripply's Roofing &amp; Restoration, Ryan here. I was looking at Ripply's Roofing &amp; Restoration's public marketing and noticed: icp fit; paid-demand need requires manual verification. I mapped one private storm-to-inspection before/after ad as an example. Did I catch you with 30 seconds?</x:v>
      </x:c>
      <x:c r="AX885" s="60" t="str">
        <x:v>https://www.facebook.com/ads/library/?active_status=active&amp;ad_type=all&amp;country=US&amp;q=Ripply%27s%20Roofing%20%26%20Restoration&amp;search_type=keyword_unordered</x:v>
      </x:c>
      <x:c r="AY885" s="60" t="str">
        <x:v>ok:200</x:v>
      </x:c>
      <x:c r="AZ885" s="60" t="n">
        <x:v>46232.722858796296</x:v>
      </x:c>
      <x:c r="BA885" s="60" t="str">
        <x:v>Google Maps home-services export</x:v>
      </x:c>
      <x:c r="BB885" s="60" t="str">
        <x:v>https://maps.google.com/?cid=3029590230247223986&amp;g_mp=Cidnb29nbGUubWFwcy5wbGFjZXMudjEuUGxhY2VzLlNlYXJjaFRleHQQAhgEIAA | https://ripplys.com</x:v>
      </x:c>
      <x:c r="BC885" s="60" t="str"/>
    </x:row>
    <x:row r="886" ht="18" customHeight="1">
      <x:c r="A886" s="70" t="str">
        <x:v>885</x:v>
      </x:c>
      <x:c r="B886" s="70" t="str">
        <x:v>C - Verify</x:v>
      </x:c>
      <x:c r="C886" s="72" t="str">
        <x:v>42</x:v>
      </x:c>
      <x:c r="D886" s="60" t="str">
        <x:v>Escarate Electric</x:v>
      </x:c>
      <x:c r="E886" s="60" t="str">
        <x:v>https://escarateelectric.com</x:v>
      </x:c>
      <x:c r="F886" s="60" t="str">
        <x:v>https://www.escarateelectric.com/</x:v>
      </x:c>
      <x:c r="G886" s="60" t="str">
        <x:v>Lancaster</x:v>
      </x:c>
      <x:c r="H886" s="60" t="str">
        <x:v>South Carolina</x:v>
      </x:c>
      <x:c r="I886" s="60" t="str">
        <x:v>Remodeling</x:v>
      </x:c>
      <x:c r="J886" s="60" t="str">
        <x:v>Edgar</x:v>
      </x:c>
      <x:c r="K886" s="60" t="str">
        <x:v>Escarate</x:v>
      </x:c>
      <x:c r="L886" s="60" t="str">
        <x:v>Owner</x:v>
      </x:c>
      <x:c r="M886" s="60" t="str"/>
      <x:c r="N886" s="60" t="str"/>
      <x:c r="O886" s="60" t="str"/>
      <x:c r="P886" s="60" t="str">
        <x:v>https://www.linkedin.com/in/edgar-escarate-0667ba342</x:v>
      </x:c>
      <x:c r="Q886" s="60" t="str">
        <x:v>11-50</x:v>
      </x:c>
      <x:c r="R886" s="60" t="str">
        <x:v>0-99999</x:v>
      </x:c>
      <x:c r="S886" s="60" t="str"/>
      <x:c r="T886" s="74" t="str">
        <x:v>0</x:v>
      </x:c>
      <x:c r="U886" s="60" t="str"/>
      <x:c r="V886" s="74" t="str">
        <x:v>28</x:v>
      </x:c>
      <x:c r="W886" s="74" t="str">
        <x:v>3</x:v>
      </x:c>
      <x:c r="X886" s="74" t="str">
        <x:v>6</x:v>
      </x:c>
      <x:c r="Y886" s="74" t="str">
        <x:v>3</x:v>
      </x:c>
      <x:c r="Z886" s="74" t="str">
        <x:v>2</x:v>
      </x:c>
      <x:c r="AA886" s="74" t="str">
        <x:v>0</x:v>
      </x:c>
      <x:c r="AB886" s="74" t="str">
        <x:v>0</x:v>
      </x:c>
      <x:c r="AC886" s="74" t="str">
        <x:v>1</x:v>
      </x:c>
      <x:c r="AD886" s="74" t="str">
        <x:v>0</x:v>
      </x:c>
      <x:c r="AE886" s="74" t="str">
        <x:v>0</x:v>
      </x:c>
      <x:c r="AF886" s="74" t="str"/>
      <x:c r="AG886" s="74" t="str">
        <x:v>0</x:v>
      </x:c>
      <x:c r="AH886" s="74" t="str">
        <x:v>0</x:v>
      </x:c>
      <x:c r="AI886" s="74" t="str">
        <x:v>0</x:v>
      </x:c>
      <x:c r="AJ886" s="74" t="str">
        <x:v>0</x:v>
      </x:c>
      <x:c r="AK886" s="74" t="str">
        <x:v>1</x:v>
      </x:c>
      <x:c r="AL886" s="74" t="str">
        <x:v>0</x:v>
      </x:c>
      <x:c r="AM886" s="74" t="str">
        <x:v>1</x:v>
      </x:c>
      <x:c r="AN886" s="74" t="str">
        <x:v>1</x:v>
      </x:c>
      <x:c r="AO886" s="60" t="str">
        <x:v>2026</x:v>
      </x:c>
      <x:c r="AP886" s="76" t="str">
        <x:v>ICP fit; paid-demand need requires manual verification</x:v>
      </x:c>
      <x:c r="AQ886" s="76" t="str">
        <x:v>visible service offer; no embedded homepage video detected</x:v>
      </x:c>
      <x:c r="AR886" s="76" t="str">
        <x:v>I was reviewing remodeling companies in Lancaster, South Carolina and Escarate Electric looked like a strong fit for a creative test.</x:v>
      </x:c>
      <x:c r="AS886" s="76" t="str">
        <x:v>project reveal with budget-and-timeline proof</x:v>
      </x:c>
      <x:c r="AT886" s="76" t="str">
        <x:v>Escarate Electric ad concept</x:v>
      </x:c>
      <x:c r="AU886" s="76" t="str">
        <x:v>Hi Edgar — I was reviewing remodeling companies in Lancaster, South Carolina and Escarate Electric looked like a strong fit for a creative test. I mapped a private 15-second project reveal with budget-and-timeline proof for Escarate Electric using only public brand context—not for publishing, just to show the angle. We build three client-approved video ad concepts in seven days, then turn the winners into fresh variations. No filming day required. Worth sending the private sample?</x:v>
      </x:c>
      <x:c r="AV886" s="76" t="str">
        <x:v>Quick follow-up: the sample angle is a project reveal with budget-and-timeline proof. If it misses the mark, no problem—I won't keep chasing. Should I send it?</x:v>
      </x:c>
      <x:c r="AW886" s="76" t="str">
        <x:v>Hi Edgar, Ryan here. I was looking at Escarate Electric's public marketing and noticed: icp fit; paid-demand need requires manual verification. I mapped one private project reveal with budget-and-timeline proof as an example. Did I catch you with 30 seconds?</x:v>
      </x:c>
      <x:c r="AX886" s="60" t="str">
        <x:v>https://www.facebook.com/ads/library/?active_status=active&amp;ad_type=all&amp;country=US&amp;q=Escarate%20Electric&amp;search_type=keyword_unordered</x:v>
      </x:c>
      <x:c r="AY886" s="60" t="str">
        <x:v>ok:200</x:v>
      </x:c>
      <x:c r="AZ886" s="60" t="n">
        <x:v>46232.722858796296</x:v>
      </x:c>
      <x:c r="BA886" s="60" t="str">
        <x:v>AI Ark SC trades export</x:v>
      </x:c>
      <x:c r="BB886" s="60" t="str">
        <x:v>https://escarateelectric.com | https://www.linkedin.com/company/escarate-electric</x:v>
      </x:c>
      <x:c r="BC886" s="60" t="str"/>
    </x:row>
    <x:row r="887" ht="18" customHeight="1">
      <x:c r="A887" s="70" t="str">
        <x:v>886</x:v>
      </x:c>
      <x:c r="B887" s="70" t="str">
        <x:v>C - Verify</x:v>
      </x:c>
      <x:c r="C887" s="72" t="str">
        <x:v>42</x:v>
      </x:c>
      <x:c r="D887" s="60" t="str">
        <x:v>Perfecto Plumbing &amp;Gas LLC</x:v>
      </x:c>
      <x:c r="E887" s="60" t="str">
        <x:v>https://perfectoplumber.com</x:v>
      </x:c>
      <x:c r="F887" s="60" t="str">
        <x:v>https://perfectoplumber.com</x:v>
      </x:c>
      <x:c r="G887" s="60" t="str">
        <x:v>Columbia</x:v>
      </x:c>
      <x:c r="H887" s="60" t="str">
        <x:v>South Carolina</x:v>
      </x:c>
      <x:c r="I887" s="60" t="str">
        <x:v>Plumbing</x:v>
      </x:c>
      <x:c r="J887" s="60" t="str">
        <x:v>Perfecto Plumbing &amp;Gas LLC</x:v>
      </x:c>
      <x:c r="K887" s="60" t="str"/>
      <x:c r="L887" s="60" t="str">
        <x:v>Owner / decision maker to verify</x:v>
      </x:c>
      <x:c r="M887" s="60" t="str"/>
      <x:c r="N887" s="60" t="str"/>
      <x:c r="O887" s="60" t="str">
        <x:v>(803) 404-9984</x:v>
      </x:c>
      <x:c r="P887" s="60" t="str"/>
      <x:c r="Q887" s="60" t="str"/>
      <x:c r="R887" s="60" t="str"/>
      <x:c r="S887" s="60" t="str">
        <x:v>4.9</x:v>
      </x:c>
      <x:c r="T887" s="74" t="str">
        <x:v>60</x:v>
      </x:c>
      <x:c r="U887" s="60" t="str"/>
      <x:c r="V887" s="74" t="str">
        <x:v>22</x:v>
      </x:c>
      <x:c r="W887" s="74" t="str">
        <x:v>3</x:v>
      </x:c>
      <x:c r="X887" s="74" t="str">
        <x:v>10</x:v>
      </x:c>
      <x:c r="Y887" s="74" t="str">
        <x:v>2</x:v>
      </x:c>
      <x:c r="Z887" s="74" t="str">
        <x:v>5</x:v>
      </x:c>
      <x:c r="AA887" s="74" t="str">
        <x:v>0</x:v>
      </x:c>
      <x:c r="AB887" s="74" t="str">
        <x:v>0</x:v>
      </x:c>
      <x:c r="AC887" s="74" t="str">
        <x:v>1</x:v>
      </x:c>
      <x:c r="AD887" s="74" t="str">
        <x:v>0</x:v>
      </x:c>
      <x:c r="AE887" s="74" t="str">
        <x:v>0</x:v>
      </x:c>
      <x:c r="AF887" s="74" t="str"/>
      <x:c r="AG887" s="74" t="str">
        <x:v>0</x:v>
      </x:c>
      <x:c r="AH887" s="74" t="str">
        <x:v>0</x:v>
      </x:c>
      <x:c r="AI887" s="74" t="str">
        <x:v>0</x:v>
      </x:c>
      <x:c r="AJ887" s="74" t="str">
        <x:v>0</x:v>
      </x:c>
      <x:c r="AK887" s="74" t="str">
        <x:v>0</x:v>
      </x:c>
      <x:c r="AL887" s="74" t="str">
        <x:v>0</x:v>
      </x:c>
      <x:c r="AM887" s="74" t="str">
        <x:v>0</x:v>
      </x:c>
      <x:c r="AN887" s="74" t="str">
        <x:v>0</x:v>
      </x:c>
      <x:c r="AO887" s="60" t="str">
        <x:v>2026</x:v>
      </x:c>
      <x:c r="AP887" s="76" t="str">
        <x:v>ICP fit; paid-demand need requires manual verification</x:v>
      </x:c>
      <x:c r="AQ887" s="76" t="str">
        <x:v>no embedded homepage video detected</x:v>
      </x:c>
      <x:c r="AR887" s="76" t="str">
        <x:v>I was reviewing plumbing companies in Columbia, South Carolina and Perfecto Plumbing &amp;Gas LLC looked like a strong fit for a creative test.</x:v>
      </x:c>
      <x:c r="AS887" s="76" t="str">
        <x:v>small symptom to prevented-emergency ad</x:v>
      </x:c>
      <x:c r="AT887" s="76" t="str">
        <x:v>Perfecto Plumbing &amp;Gas LLC ad concept</x:v>
      </x:c>
      <x:c r="AU887" s="76" t="str">
        <x:v>Hi Perfecto Plumbing &amp;Gas LLC — I was reviewing plumbing companies in Columbia, South Carolina and Perfecto Plumbing &amp;Gas LLC looked like a strong fit for a creative test. I mapped a private 15-second small symptom to prevented-emergency ad for Perfecto Plumbing &amp;Gas LLC using only public brand context—not for publishing, just to show the angle. We build three client-approved video ad concepts in seven days, then turn the winners into fresh variations. No filming day required. Worth sending the private sample?</x:v>
      </x:c>
      <x:c r="AV887" s="76" t="str">
        <x:v>Quick follow-up: the sample angle is a small symptom to prevented-emergency ad. If it misses the mark, no problem—I won't keep chasing. Should I send it?</x:v>
      </x:c>
      <x:c r="AW887" s="76" t="str">
        <x:v>Hi Perfecto Plumbing &amp;Gas LLC, Ryan here. I was looking at Perfecto Plumbing &amp;Gas LLC's public marketing and noticed: icp fit; paid-demand need requires manual verification. I mapped one private small symptom to prevented-emergency ad as an example. Did I catch you with 30 seconds?</x:v>
      </x:c>
      <x:c r="AX887" s="60" t="str">
        <x:v>https://www.facebook.com/ads/library/?active_status=active&amp;ad_type=all&amp;country=US&amp;q=Perfecto%20Plumbing%20%26Gas%20LLC&amp;search_type=keyword_unordered</x:v>
      </x:c>
      <x:c r="AY887" s="60" t="str">
        <x:v>ok:200</x:v>
      </x:c>
      <x:c r="AZ887" s="60" t="n">
        <x:v>46232.722858796296</x:v>
      </x:c>
      <x:c r="BA887" s="60" t="str">
        <x:v>Google Maps home-services export</x:v>
      </x:c>
      <x:c r="BB887" s="60" t="str">
        <x:v>https://maps.google.com/?cid=9472558003561169524&amp;g_mp=Cidnb29nbGUubWFwcy5wbGFjZXMudjEuUGxhY2VzLlNlYXJjaFRleHQQAhgEIAA | https://perfectoplumber.com</x:v>
      </x:c>
      <x:c r="BC887" s="60" t="str"/>
    </x:row>
    <x:row r="888" ht="18" customHeight="1">
      <x:c r="A888" s="70" t="str">
        <x:v>887</x:v>
      </x:c>
      <x:c r="B888" s="70" t="str">
        <x:v>C - Verify</x:v>
      </x:c>
      <x:c r="C888" s="72" t="str">
        <x:v>42</x:v>
      </x:c>
      <x:c r="D888" s="60" t="str">
        <x:v>Hughes Supply - Aiken</x:v>
      </x:c>
      <x:c r="E888" s="60" t="str">
        <x:v>https://hughesaiken.com</x:v>
      </x:c>
      <x:c r="F888" s="60" t="str">
        <x:v>https://hughesaiken.com</x:v>
      </x:c>
      <x:c r="G888" s="60" t="str">
        <x:v>Aiken</x:v>
      </x:c>
      <x:c r="H888" s="60" t="str">
        <x:v>South Carolina</x:v>
      </x:c>
      <x:c r="I888" s="60" t="str">
        <x:v>Plumbing</x:v>
      </x:c>
      <x:c r="J888" s="60" t="str">
        <x:v>Hughes Supply - Aiken</x:v>
      </x:c>
      <x:c r="K888" s="60" t="str"/>
      <x:c r="L888" s="60" t="str">
        <x:v>Owner / decision maker to verify</x:v>
      </x:c>
      <x:c r="M888" s="60" t="str"/>
      <x:c r="N888" s="60" t="str"/>
      <x:c r="O888" s="60" t="str">
        <x:v>(803) 648-1374</x:v>
      </x:c>
      <x:c r="P888" s="60" t="str"/>
      <x:c r="Q888" s="60" t="str"/>
      <x:c r="R888" s="60" t="str"/>
      <x:c r="S888" s="60" t="str">
        <x:v>4.5</x:v>
      </x:c>
      <x:c r="T888" s="74" t="str">
        <x:v>32</x:v>
      </x:c>
      <x:c r="U888" s="60" t="str"/>
      <x:c r="V888" s="74" t="str">
        <x:v>22</x:v>
      </x:c>
      <x:c r="W888" s="74" t="str">
        <x:v>3</x:v>
      </x:c>
      <x:c r="X888" s="74" t="str">
        <x:v>10</x:v>
      </x:c>
      <x:c r="Y888" s="74" t="str">
        <x:v>2</x:v>
      </x:c>
      <x:c r="Z888" s="74" t="str">
        <x:v>5</x:v>
      </x:c>
      <x:c r="AA888" s="74" t="str">
        <x:v>0</x:v>
      </x:c>
      <x:c r="AB888" s="74" t="str">
        <x:v>0</x:v>
      </x:c>
      <x:c r="AC888" s="74" t="str">
        <x:v>1</x:v>
      </x:c>
      <x:c r="AD888" s="74" t="str">
        <x:v>0</x:v>
      </x:c>
      <x:c r="AE888" s="74" t="str">
        <x:v>0</x:v>
      </x:c>
      <x:c r="AF888" s="74" t="str"/>
      <x:c r="AG888" s="74" t="str">
        <x:v>0</x:v>
      </x:c>
      <x:c r="AH888" s="74" t="str">
        <x:v>0</x:v>
      </x:c>
      <x:c r="AI888" s="74" t="str">
        <x:v>0</x:v>
      </x:c>
      <x:c r="AJ888" s="74" t="str">
        <x:v>0</x:v>
      </x:c>
      <x:c r="AK888" s="74" t="str">
        <x:v>0</x:v>
      </x:c>
      <x:c r="AL888" s="74" t="str">
        <x:v>0</x:v>
      </x:c>
      <x:c r="AM888" s="74" t="str">
        <x:v>0</x:v>
      </x:c>
      <x:c r="AN888" s="74" t="str">
        <x:v>0</x:v>
      </x:c>
      <x:c r="AO888" s="60" t="str">
        <x:v>2026</x:v>
      </x:c>
      <x:c r="AP888" s="76" t="str">
        <x:v>ICP fit; paid-demand need requires manual verification</x:v>
      </x:c>
      <x:c r="AQ888" s="76" t="str">
        <x:v>no embedded homepage video detected</x:v>
      </x:c>
      <x:c r="AR888" s="76" t="str">
        <x:v>I was reviewing plumbing companies in Aiken, South Carolina and Hughes Supply - Aiken looked like a strong fit for a creative test.</x:v>
      </x:c>
      <x:c r="AS888" s="76" t="str">
        <x:v>small symptom to prevented-emergency ad</x:v>
      </x:c>
      <x:c r="AT888" s="76" t="str">
        <x:v>Hughes Supply - Aiken ad concept</x:v>
      </x:c>
      <x:c r="AU888" s="76" t="str">
        <x:v>Hi Hughes Supply - Aiken — I was reviewing plumbing companies in Aiken, South Carolina and Hughes Supply - Aiken looked like a strong fit for a creative test. I mapped a private 15-second small symptom to prevented-emergency ad for Hughes Supply - Aiken using only public brand context—not for publishing, just to show the angle. We build three client-approved video ad concepts in seven days, then turn the winners into fresh variations. No filming day required. Worth sending the private sample?</x:v>
      </x:c>
      <x:c r="AV888" s="76" t="str">
        <x:v>Quick follow-up: the sample angle is a small symptom to prevented-emergency ad. If it misses the mark, no problem—I won't keep chasing. Should I send it?</x:v>
      </x:c>
      <x:c r="AW888" s="76" t="str">
        <x:v>Hi Hughes Supply - Aiken, Ryan here. I was looking at Hughes Supply - Aiken's public marketing and noticed: icp fit; paid-demand need requires manual verification. I mapped one private small symptom to prevented-emergency ad as an example. Did I catch you with 30 seconds?</x:v>
      </x:c>
      <x:c r="AX888" s="60" t="str">
        <x:v>https://www.facebook.com/ads/library/?active_status=active&amp;ad_type=all&amp;country=US&amp;q=Hughes%20Supply%20-%20Aiken&amp;search_type=keyword_unordered</x:v>
      </x:c>
      <x:c r="AY888" s="60" t="str">
        <x:v>ok:200</x:v>
      </x:c>
      <x:c r="AZ888" s="60" t="n">
        <x:v>46232.722858796296</x:v>
      </x:c>
      <x:c r="BA888" s="60" t="str">
        <x:v>Google Maps home-services export</x:v>
      </x:c>
      <x:c r="BB888" s="60" t="str">
        <x:v>https://hughesaiken.com | https://maps.google.com/?cid=7346952308308905396&amp;g_mp=Cidnb29nbGUubWFwcy5wbGFjZXMudjEuUGxhY2VzLlNlYXJjaFRleHQQAhgEIAA</x:v>
      </x:c>
      <x:c r="BC888" s="60" t="str"/>
    </x:row>
    <x:row r="889" ht="18" customHeight="1">
      <x:c r="A889" s="70" t="str">
        <x:v>888</x:v>
      </x:c>
      <x:c r="B889" s="70" t="str">
        <x:v>C - Verify</x:v>
      </x:c>
      <x:c r="C889" s="72" t="str">
        <x:v>42</x:v>
      </x:c>
      <x:c r="D889" s="60" t="str">
        <x:v>Grace Plumbing and Water Filtration LLC</x:v>
      </x:c>
      <x:c r="E889" s="60" t="str">
        <x:v>https://graceplumbingco.com</x:v>
      </x:c>
      <x:c r="F889" s="60" t="str">
        <x:v>https://graceplumbingco.com</x:v>
      </x:c>
      <x:c r="G889" s="60" t="str">
        <x:v>Mount Pleasant</x:v>
      </x:c>
      <x:c r="H889" s="60" t="str">
        <x:v>South Carolina</x:v>
      </x:c>
      <x:c r="I889" s="60" t="str">
        <x:v>Plumbing</x:v>
      </x:c>
      <x:c r="J889" s="60" t="str">
        <x:v>Grace Plumbing and Water Filtration LLC</x:v>
      </x:c>
      <x:c r="K889" s="60" t="str"/>
      <x:c r="L889" s="60" t="str">
        <x:v>Owner / decision maker to verify</x:v>
      </x:c>
      <x:c r="M889" s="60" t="str"/>
      <x:c r="N889" s="60" t="str"/>
      <x:c r="O889" s="60" t="str">
        <x:v>(843) 955-8000</x:v>
      </x:c>
      <x:c r="P889" s="60" t="str"/>
      <x:c r="Q889" s="60" t="str"/>
      <x:c r="R889" s="60" t="str"/>
      <x:c r="S889" s="60" t="str">
        <x:v>5</x:v>
      </x:c>
      <x:c r="T889" s="74" t="str">
        <x:v>38</x:v>
      </x:c>
      <x:c r="U889" s="60" t="str"/>
      <x:c r="V889" s="74" t="str">
        <x:v>22</x:v>
      </x:c>
      <x:c r="W889" s="74" t="str">
        <x:v>3</x:v>
      </x:c>
      <x:c r="X889" s="74" t="str">
        <x:v>10</x:v>
      </x:c>
      <x:c r="Y889" s="74" t="str">
        <x:v>2</x:v>
      </x:c>
      <x:c r="Z889" s="74" t="str">
        <x:v>5</x:v>
      </x:c>
      <x:c r="AA889" s="74" t="str">
        <x:v>0</x:v>
      </x:c>
      <x:c r="AB889" s="74" t="str">
        <x:v>0</x:v>
      </x:c>
      <x:c r="AC889" s="74" t="str">
        <x:v>1</x:v>
      </x:c>
      <x:c r="AD889" s="74" t="str">
        <x:v>0</x:v>
      </x:c>
      <x:c r="AE889" s="74" t="str">
        <x:v>0</x:v>
      </x:c>
      <x:c r="AF889" s="74" t="str"/>
      <x:c r="AG889" s="74" t="str">
        <x:v>0</x:v>
      </x:c>
      <x:c r="AH889" s="74" t="str">
        <x:v>0</x:v>
      </x:c>
      <x:c r="AI889" s="74" t="str">
        <x:v>0</x:v>
      </x:c>
      <x:c r="AJ889" s="74" t="str">
        <x:v>0</x:v>
      </x:c>
      <x:c r="AK889" s="74" t="str">
        <x:v>0</x:v>
      </x:c>
      <x:c r="AL889" s="74" t="str">
        <x:v>0</x:v>
      </x:c>
      <x:c r="AM889" s="74" t="str">
        <x:v>1</x:v>
      </x:c>
      <x:c r="AN889" s="74" t="str">
        <x:v>0</x:v>
      </x:c>
      <x:c r="AO889" s="60" t="str">
        <x:v>2026</x:v>
      </x:c>
      <x:c r="AP889" s="76" t="str">
        <x:v>ICP fit; paid-demand need requires manual verification</x:v>
      </x:c>
      <x:c r="AQ889" s="76" t="str">
        <x:v>no embedded homepage video detected</x:v>
      </x:c>
      <x:c r="AR889" s="76" t="str">
        <x:v>I was reviewing plumbing companies in Mount Pleasant, South Carolina and Grace Plumbing and Water Filtration LLC looked like a strong fit for a creative test.</x:v>
      </x:c>
      <x:c r="AS889" s="76" t="str">
        <x:v>small symptom to prevented-emergency ad</x:v>
      </x:c>
      <x:c r="AT889" s="76" t="str">
        <x:v>Grace Plumbing and Water Filtration LLC ad concept</x:v>
      </x:c>
      <x:c r="AU889" s="76" t="str">
        <x:v>Hi Grace Plumbing and Water Filtration LLC — I was reviewing plumbing companies in Mount Pleasant, South Carolina and Grace Plumbing and Water Filtration LLC looked like a strong fit for a creative test. I mapped a private 15-second small symptom to prevented-emergency ad for Grace Plumbing and Water Filtration LLC using only public brand context—not for publishing, just to show the angle. We build three client-approved video ad concepts in seven days, then turn the winners into fresh variations. No filming day required. Worth sending the private sample?</x:v>
      </x:c>
      <x:c r="AV889" s="76" t="str">
        <x:v>Quick follow-up: the sample angle is a small symptom to prevented-emergency ad. If it misses the mark, no problem—I won't keep chasing. Should I send it?</x:v>
      </x:c>
      <x:c r="AW889" s="76" t="str">
        <x:v>Hi Grace Plumbing and Water Filtration LLC, Ryan here. I was looking at Grace Plumbing and Water Filtration LLC's public marketing and noticed: icp fit; paid-demand need requires manual verification. I mapped one private small symptom to prevented-emergency ad as an example. Did I catch you with 30 seconds?</x:v>
      </x:c>
      <x:c r="AX889" s="60" t="str">
        <x:v>https://www.facebook.com/ads/library/?active_status=active&amp;ad_type=all&amp;country=US&amp;q=Grace%20Plumbing%20and%20Water%20Filtration%20LLC&amp;search_type=keyword_unordered</x:v>
      </x:c>
      <x:c r="AY889" s="60" t="str">
        <x:v>ok:200</x:v>
      </x:c>
      <x:c r="AZ889" s="60" t="n">
        <x:v>46232.722858796296</x:v>
      </x:c>
      <x:c r="BA889" s="60" t="str">
        <x:v>Google Maps home-services export</x:v>
      </x:c>
      <x:c r="BB889" s="60" t="str">
        <x:v>https://graceplumbingco.com | https://maps.google.com/?cid=13728169984176741456&amp;g_mp=Cidnb29nbGUubWFwcy5wbGFjZXMudjEuUGxhY2VzLlNlYXJjaFRleHQQAhgEIAA</x:v>
      </x:c>
      <x:c r="BC889" s="60" t="str"/>
    </x:row>
    <x:row r="890" ht="18" customHeight="1">
      <x:c r="A890" s="70" t="str">
        <x:v>889</x:v>
      </x:c>
      <x:c r="B890" s="70" t="str">
        <x:v>C - Verify</x:v>
      </x:c>
      <x:c r="C890" s="72" t="str">
        <x:v>42</x:v>
      </x:c>
      <x:c r="D890" s="60" t="str">
        <x:v>Southeastern Roofing &amp; Exteriors</x:v>
      </x:c>
      <x:c r="E890" s="60" t="str">
        <x:v>https://southeasternroofingsc.com</x:v>
      </x:c>
      <x:c r="F890" s="60" t="str">
        <x:v>https://www.southeasternroofingsc.com/</x:v>
      </x:c>
      <x:c r="G890" s="60" t="str">
        <x:v>Mount Pleasant</x:v>
      </x:c>
      <x:c r="H890" s="60" t="str">
        <x:v>South Carolina</x:v>
      </x:c>
      <x:c r="I890" s="60" t="str">
        <x:v>Roofing</x:v>
      </x:c>
      <x:c r="J890" s="60" t="str">
        <x:v>Southeastern Roofing &amp; Exteriors</x:v>
      </x:c>
      <x:c r="K890" s="60" t="str"/>
      <x:c r="L890" s="60" t="str">
        <x:v>Owner / decision maker to verify</x:v>
      </x:c>
      <x:c r="M890" s="60" t="str"/>
      <x:c r="N890" s="60" t="str"/>
      <x:c r="O890" s="60" t="str">
        <x:v>(843) 890-8833</x:v>
      </x:c>
      <x:c r="P890" s="60" t="str"/>
      <x:c r="Q890" s="60" t="str"/>
      <x:c r="R890" s="60" t="str"/>
      <x:c r="S890" s="60" t="str">
        <x:v>5</x:v>
      </x:c>
      <x:c r="T890" s="74" t="str">
        <x:v>35</x:v>
      </x:c>
      <x:c r="U890" s="60" t="str"/>
      <x:c r="V890" s="74" t="str">
        <x:v>27</x:v>
      </x:c>
      <x:c r="W890" s="74" t="str">
        <x:v>0</x:v>
      </x:c>
      <x:c r="X890" s="74" t="str">
        <x:v>0</x:v>
      </x:c>
      <x:c r="Y890" s="74" t="str">
        <x:v>10</x:v>
      </x:c>
      <x:c r="Z890" s="74" t="str">
        <x:v>5</x:v>
      </x:c>
      <x:c r="AA890" s="74" t="str">
        <x:v>0</x:v>
      </x:c>
      <x:c r="AB890" s="74" t="str">
        <x:v>0</x:v>
      </x:c>
      <x:c r="AC890" s="74" t="str">
        <x:v>0</x:v>
      </x:c>
      <x:c r="AD890" s="74" t="str">
        <x:v>0</x:v>
      </x:c>
      <x:c r="AE890" s="74" t="str">
        <x:v>0</x:v>
      </x:c>
      <x:c r="AF890" s="74" t="str"/>
      <x:c r="AG890" s="74" t="str">
        <x:v>1</x:v>
      </x:c>
      <x:c r="AH890" s="74" t="str">
        <x:v>1</x:v>
      </x:c>
      <x:c r="AI890" s="74" t="str">
        <x:v>0</x:v>
      </x:c>
      <x:c r="AJ890" s="74" t="str">
        <x:v>0</x:v>
      </x:c>
      <x:c r="AK890" s="74" t="str">
        <x:v>1</x:v>
      </x:c>
      <x:c r="AL890" s="74" t="str">
        <x:v>1</x:v>
      </x:c>
      <x:c r="AM890" s="74" t="str">
        <x:v>1</x:v>
      </x:c>
      <x:c r="AN890" s="74" t="str">
        <x:v>0</x:v>
      </x:c>
      <x:c r="AO890" s="60" t="str">
        <x:v>2025</x:v>
      </x:c>
      <x:c r="AP890" s="76" t="str">
        <x:v>ICP fit; paid-demand need requires manual verification</x:v>
      </x:c>
      <x:c r="AQ890" s="76" t="str">
        <x:v>project/gallery proof; visible service offer</x:v>
      </x:c>
      <x:c r="AR890" s="76" t="str">
        <x:v>I was reviewing roofing companies in Mount Pleasant, South Carolina and Southeastern Roofing &amp; Exteriors looked like a strong fit for a creative test.</x:v>
      </x:c>
      <x:c r="AS890" s="76" t="str">
        <x:v>storm-to-inspection before/after ad</x:v>
      </x:c>
      <x:c r="AT890" s="76" t="str">
        <x:v>Southeastern Roofing &amp; Exteriors ad concept</x:v>
      </x:c>
      <x:c r="AU890" s="76" t="str">
        <x:v>Hi Southeastern Roofing &amp; Exteriors — I was reviewing roofing companies in Mount Pleasant, South Carolina and Southeastern Roofing &amp; Exteriors looked like a strong fit for a creative test. I mapped a private 15-second storm-to-inspection before/after ad for Southeastern Roofing &amp; Exteriors using only public brand context—not for publishing, just to show the angle. We build three client-approved video ad concepts in seven days, then turn the winners into fresh variations. No filming day required. Worth sending the private sample?</x:v>
      </x:c>
      <x:c r="AV890" s="76" t="str">
        <x:v>Quick follow-up: the sample angle is a storm-to-inspection before/after ad. If it misses the mark, no problem—I won't keep chasing. Should I send it?</x:v>
      </x:c>
      <x:c r="AW890" s="76" t="str">
        <x:v>Hi Southeastern Roofing &amp; Exteriors, Ryan here. I was looking at Southeastern Roofing &amp; Exteriors's public marketing and noticed: icp fit; paid-demand need requires manual verification. I mapped one private storm-to-inspection before/after ad as an example. Did I catch you with 30 seconds?</x:v>
      </x:c>
      <x:c r="AX890" s="60" t="str">
        <x:v>https://www.facebook.com/ads/library/?active_status=active&amp;ad_type=all&amp;country=US&amp;q=Southeastern%20Roofing%20%26%20Exteriors&amp;search_type=keyword_unordered</x:v>
      </x:c>
      <x:c r="AY890" s="60" t="str">
        <x:v>ok:200</x:v>
      </x:c>
      <x:c r="AZ890" s="60" t="n">
        <x:v>46232.722858796296</x:v>
      </x:c>
      <x:c r="BA890" s="60" t="str">
        <x:v>Google Maps home-services export</x:v>
      </x:c>
      <x:c r="BB890" s="60" t="str">
        <x:v>https://maps.google.com/?cid=2018716226606389966&amp;g_mp=Cidnb29nbGUubWFwcy5wbGFjZXMudjEuUGxhY2VzLlNlYXJjaFRleHQQAhgEIAA | https://southeasternroofingsc.com</x:v>
      </x:c>
      <x:c r="BC890" s="60" t="str"/>
    </x:row>
    <x:row r="891" ht="18" customHeight="1">
      <x:c r="A891" s="70" t="str">
        <x:v>890</x:v>
      </x:c>
      <x:c r="B891" s="70" t="str">
        <x:v>C - Verify</x:v>
      </x:c>
      <x:c r="C891" s="72" t="str">
        <x:v>42</x:v>
      </x:c>
      <x:c r="D891" s="60" t="str">
        <x:v>United Construction Company</x:v>
      </x:c>
      <x:c r="E891" s="60" t="str">
        <x:v>https://unitedconstruction.com</x:v>
      </x:c>
      <x:c r="F891" s="60" t="str">
        <x:v>https://unitedconstruction.com</x:v>
      </x:c>
      <x:c r="G891" s="60" t="str">
        <x:v>Lexington County</x:v>
      </x:c>
      <x:c r="H891" s="60" t="str">
        <x:v>South Carolina</x:v>
      </x:c>
      <x:c r="I891" s="60" t="str">
        <x:v>General Contractor</x:v>
      </x:c>
      <x:c r="J891" s="60" t="str">
        <x:v>John</x:v>
      </x:c>
      <x:c r="K891" s="60" t="str">
        <x:v>Dickerson</x:v>
      </x:c>
      <x:c r="L891" s="60" t="str">
        <x:v>owner</x:v>
      </x:c>
      <x:c r="M891" s="60" t="str"/>
      <x:c r="N891" s="60" t="str"/>
      <x:c r="O891" s="60" t="str"/>
      <x:c r="P891" s="60" t="str">
        <x:v>https://www.linkedin.com/in/john-dickerson-a0b029a1</x:v>
      </x:c>
      <x:c r="Q891" s="60" t="str">
        <x:v>51-200</x:v>
      </x:c>
      <x:c r="R891" s="60" t="str">
        <x:v>10000000-24999999</x:v>
      </x:c>
      <x:c r="S891" s="60" t="str"/>
      <x:c r="T891" s="74" t="str">
        <x:v>0</x:v>
      </x:c>
      <x:c r="U891" s="60" t="str"/>
      <x:c r="V891" s="74" t="str">
        <x:v>27</x:v>
      </x:c>
      <x:c r="W891" s="74" t="str">
        <x:v>0</x:v>
      </x:c>
      <x:c r="X891" s="74" t="str">
        <x:v>4</x:v>
      </x:c>
      <x:c r="Y891" s="74" t="str">
        <x:v>9</x:v>
      </x:c>
      <x:c r="Z891" s="74" t="str">
        <x:v>2</x:v>
      </x:c>
      <x:c r="AA891" s="74" t="str">
        <x:v>0</x:v>
      </x:c>
      <x:c r="AB891" s="74" t="str">
        <x:v>0</x:v>
      </x:c>
      <x:c r="AC891" s="74" t="str">
        <x:v>0</x:v>
      </x:c>
      <x:c r="AD891" s="74" t="str">
        <x:v>0</x:v>
      </x:c>
      <x:c r="AE891" s="74" t="str">
        <x:v>0</x:v>
      </x:c>
      <x:c r="AF891" s="74" t="str"/>
      <x:c r="AG891" s="74" t="str">
        <x:v>1</x:v>
      </x:c>
      <x:c r="AH891" s="74" t="str">
        <x:v>1</x:v>
      </x:c>
      <x:c r="AI891" s="74" t="str">
        <x:v>1</x:v>
      </x:c>
      <x:c r="AJ891" s="74" t="str">
        <x:v>0</x:v>
      </x:c>
      <x:c r="AK891" s="74" t="str">
        <x:v>0</x:v>
      </x:c>
      <x:c r="AL891" s="74" t="str">
        <x:v>0</x:v>
      </x:c>
      <x:c r="AM891" s="74" t="str">
        <x:v>0</x:v>
      </x:c>
      <x:c r="AN891" s="74" t="str">
        <x:v>0</x:v>
      </x:c>
      <x:c r="AO891" s="60" t="str">
        <x:v>0</x:v>
      </x:c>
      <x:c r="AP891" s="76" t="str">
        <x:v>ICP fit; paid-demand need requires manual verification</x:v>
      </x:c>
      <x:c r="AQ891" s="76" t="str">
        <x:v>project/gallery proof; testimonials</x:v>
      </x:c>
      <x:c r="AR891" s="76" t="str">
        <x:v>I was reviewing general contractor companies in Lexington County, South Carolina and United Construction Company looked like a strong fit for a creative test.</x:v>
      </x:c>
      <x:c r="AS891" s="76" t="str">
        <x:v>project walkthrough with proof milestones</x:v>
      </x:c>
      <x:c r="AT891" s="76" t="str">
        <x:v>United Construction Company ad concept</x:v>
      </x:c>
      <x:c r="AU891" s="76" t="str">
        <x:v>Hi John — I was reviewing general contractor companies in Lexington County, South Carolina and United Construction Company looked like a strong fit for a creative test. I mapped a private 15-second project walkthrough with proof milestones for United Construction Company using only public brand context—not for publishing, just to show the angle. We build three client-approved video ad concepts in seven days, then turn the winners into fresh variations. No filming day required. Worth sending the private sample?</x:v>
      </x:c>
      <x:c r="AV891" s="76" t="str">
        <x:v>Quick follow-up: the sample angle is a project walkthrough with proof milestones. If it misses the mark, no problem—I won't keep chasing. Should I send it?</x:v>
      </x:c>
      <x:c r="AW891" s="76" t="str">
        <x:v>Hi John, Ryan here. I was looking at United Construction Company's public marketing and noticed: icp fit; paid-demand need requires manual verification. I mapped one private project walkthrough with proof milestones as an example. Did I catch you with 30 seconds?</x:v>
      </x:c>
      <x:c r="AX891" s="60" t="str">
        <x:v>https://www.facebook.com/ads/library/?active_status=active&amp;ad_type=all&amp;country=US&amp;q=United%20Construction%20Company&amp;search_type=keyword_unordered</x:v>
      </x:c>
      <x:c r="AY891" s="60" t="str">
        <x:v>ok:200</x:v>
      </x:c>
      <x:c r="AZ891" s="60" t="n">
        <x:v>46232.722858796296</x:v>
      </x:c>
      <x:c r="BA891" s="60" t="str">
        <x:v>AI Ark SC trades export</x:v>
      </x:c>
      <x:c r="BB891" s="60" t="str">
        <x:v>https://unitedconstruction.com | https://www.linkedin.com/company/united-construction-company</x:v>
      </x:c>
      <x:c r="BC891" s="60" t="str"/>
    </x:row>
    <x:row r="892" ht="18" customHeight="1">
      <x:c r="A892" s="70" t="str">
        <x:v>891</x:v>
      </x:c>
      <x:c r="B892" s="70" t="str">
        <x:v>C - Verify</x:v>
      </x:c>
      <x:c r="C892" s="72" t="str">
        <x:v>42</x:v>
      </x:c>
      <x:c r="D892" s="60" t="str">
        <x:v>Szady's Services LLC</x:v>
      </x:c>
      <x:c r="E892" s="60" t="str">
        <x:v>https://szadyelectrical.com</x:v>
      </x:c>
      <x:c r="F892" s="60" t="str">
        <x:v>https://szadyelectrical.com</x:v>
      </x:c>
      <x:c r="G892" s="60" t="str">
        <x:v>Hilton Head</x:v>
      </x:c>
      <x:c r="H892" s="60" t="str">
        <x:v>South Carolina</x:v>
      </x:c>
      <x:c r="I892" s="60" t="str">
        <x:v>Electrical</x:v>
      </x:c>
      <x:c r="J892" s="60" t="str">
        <x:v>Szady's Services LLC</x:v>
      </x:c>
      <x:c r="K892" s="60" t="str"/>
      <x:c r="L892" s="60" t="str">
        <x:v>Owner / decision maker to verify</x:v>
      </x:c>
      <x:c r="M892" s="60" t="str"/>
      <x:c r="N892" s="60" t="str"/>
      <x:c r="O892" s="60" t="str">
        <x:v>(843) 757-5771</x:v>
      </x:c>
      <x:c r="P892" s="60" t="str"/>
      <x:c r="Q892" s="60" t="str"/>
      <x:c r="R892" s="60" t="str"/>
      <x:c r="S892" s="60" t="str">
        <x:v>5</x:v>
      </x:c>
      <x:c r="T892" s="74" t="str">
        <x:v>123</x:v>
      </x:c>
      <x:c r="U892" s="60" t="str"/>
      <x:c r="V892" s="74" t="str">
        <x:v>23</x:v>
      </x:c>
      <x:c r="W892" s="74" t="str">
        <x:v>0</x:v>
      </x:c>
      <x:c r="X892" s="74" t="str">
        <x:v>6</x:v>
      </x:c>
      <x:c r="Y892" s="74" t="str">
        <x:v>8</x:v>
      </x:c>
      <x:c r="Z892" s="74" t="str">
        <x:v>5</x:v>
      </x:c>
      <x:c r="AA892" s="74" t="str">
        <x:v>0</x:v>
      </x:c>
      <x:c r="AB892" s="74" t="str">
        <x:v>0</x:v>
      </x:c>
      <x:c r="AC892" s="74" t="str">
        <x:v>0</x:v>
      </x:c>
      <x:c r="AD892" s="74" t="str">
        <x:v>0</x:v>
      </x:c>
      <x:c r="AE892" s="74" t="str">
        <x:v>0</x:v>
      </x:c>
      <x:c r="AF892" s="74" t="str"/>
      <x:c r="AG892" s="74" t="str">
        <x:v>0</x:v>
      </x:c>
      <x:c r="AH892" s="74" t="str">
        <x:v>1</x:v>
      </x:c>
      <x:c r="AI892" s="74" t="str">
        <x:v>0</x:v>
      </x:c>
      <x:c r="AJ892" s="74" t="str">
        <x:v>0</x:v>
      </x:c>
      <x:c r="AK892" s="74" t="str">
        <x:v>0</x:v>
      </x:c>
      <x:c r="AL892" s="74" t="str">
        <x:v>1</x:v>
      </x:c>
      <x:c r="AM892" s="74" t="str">
        <x:v>1</x:v>
      </x:c>
      <x:c r="AN892" s="74" t="str">
        <x:v>1</x:v>
      </x:c>
      <x:c r="AO892" s="60" t="str">
        <x:v>2026</x:v>
      </x:c>
      <x:c r="AP892" s="76" t="str">
        <x:v>Project/gallery proof found; no embedded homepage video found</x:v>
      </x:c>
      <x:c r="AQ892" s="76" t="str">
        <x:v>project/gallery proof; no embedded homepage video detected</x:v>
      </x:c>
      <x:c r="AR892" s="76" t="str">
        <x:v>I found project/gallery proof on Szady's Services LLC's site that could be repackaged into short-form ad concepts.</x:v>
      </x:c>
      <x:c r="AS892" s="76" t="str">
        <x:v>safety inspection problem/solution ad</x:v>
      </x:c>
      <x:c r="AT892" s="76" t="str">
        <x:v>Szady's Services LLC ad concept</x:v>
      </x:c>
      <x:c r="AU892" s="76" t="str">
        <x:v>Hi Szady's Services LLC — I found project/gallery proof on Szady's Services LLC's site that could be repackaged into short-form ad concepts. I mapped a private 15-second safety inspection problem/solution ad for Szady's Services LLC using only public brand context—not for publishing, just to show the angle. We build three client-approved video ad concepts in seven days, then turn the winners into fresh variations. No filming day required. Worth sending the private sample?</x:v>
      </x:c>
      <x:c r="AV892" s="76" t="str">
        <x:v>Quick follow-up: the sample angle is a safety inspection problem/solution ad. If it misses the mark, no problem—I won't keep chasing. Should I send it?</x:v>
      </x:c>
      <x:c r="AW892" s="76" t="str">
        <x:v>Hi Szady's Services LLC, Ryan here. I was looking at Szady's Services LLC's public marketing and noticed: project/gallery proof found; no embedded homepage video found. I mapped one private safety inspection problem/solution ad as an example. Did I catch you with 30 seconds?</x:v>
      </x:c>
      <x:c r="AX892" s="60" t="str">
        <x:v>https://www.facebook.com/ads/library/?active_status=active&amp;ad_type=all&amp;country=US&amp;q=Szady%27s%20Services%20LLC&amp;search_type=keyword_unordered</x:v>
      </x:c>
      <x:c r="AY892" s="60" t="str">
        <x:v>ok:200</x:v>
      </x:c>
      <x:c r="AZ892" s="60" t="n">
        <x:v>46232.722858796296</x:v>
      </x:c>
      <x:c r="BA892" s="60" t="str">
        <x:v>Google Maps home-services export</x:v>
      </x:c>
      <x:c r="BB892" s="60" t="str">
        <x:v>https://maps.google.com/?cid=16494347285707616564&amp;g_mp=Cidnb29nbGUubWFwcy5wbGFjZXMudjEuUGxhY2VzLlNlYXJjaFRleHQQAhgEIAA | https://szadyelectrical.com</x:v>
      </x:c>
      <x:c r="BC892" s="60" t="str"/>
    </x:row>
    <x:row r="893" ht="18" customHeight="1">
      <x:c r="A893" s="70" t="str">
        <x:v>892</x:v>
      </x:c>
      <x:c r="B893" s="70" t="str">
        <x:v>C - Verify</x:v>
      </x:c>
      <x:c r="C893" s="72" t="str">
        <x:v>42</x:v>
      </x:c>
      <x:c r="D893" s="60" t="str">
        <x:v>Engineered Electrical Solutions LLC</x:v>
      </x:c>
      <x:c r="E893" s="60" t="str">
        <x:v>https://engelectricalsolutions.com</x:v>
      </x:c>
      <x:c r="F893" s="60" t="str">
        <x:v>https://engelectricalsolutions.com</x:v>
      </x:c>
      <x:c r="G893" s="60" t="str">
        <x:v>Summerville</x:v>
      </x:c>
      <x:c r="H893" s="60" t="str">
        <x:v>South Carolina</x:v>
      </x:c>
      <x:c r="I893" s="60" t="str">
        <x:v>Electrical</x:v>
      </x:c>
      <x:c r="J893" s="60" t="str">
        <x:v>Engineered Electrical Solutions LLC</x:v>
      </x:c>
      <x:c r="K893" s="60" t="str"/>
      <x:c r="L893" s="60" t="str">
        <x:v>Owner / decision maker to verify</x:v>
      </x:c>
      <x:c r="M893" s="60" t="str"/>
      <x:c r="N893" s="60" t="str"/>
      <x:c r="O893" s="60" t="str">
        <x:v>(843) 420-3029</x:v>
      </x:c>
      <x:c r="P893" s="60" t="str"/>
      <x:c r="Q893" s="60" t="str"/>
      <x:c r="R893" s="60" t="str"/>
      <x:c r="S893" s="60" t="str">
        <x:v>4.8</x:v>
      </x:c>
      <x:c r="T893" s="74" t="str">
        <x:v>24</x:v>
      </x:c>
      <x:c r="U893" s="60" t="str"/>
      <x:c r="V893" s="74" t="str">
        <x:v>19</x:v>
      </x:c>
      <x:c r="W893" s="74" t="str">
        <x:v>0</x:v>
      </x:c>
      <x:c r="X893" s="74" t="str">
        <x:v>10</x:v>
      </x:c>
      <x:c r="Y893" s="74" t="str">
        <x:v>8</x:v>
      </x:c>
      <x:c r="Z893" s="74" t="str">
        <x:v>5</x:v>
      </x:c>
      <x:c r="AA893" s="74" t="str">
        <x:v>0</x:v>
      </x:c>
      <x:c r="AB893" s="74" t="str">
        <x:v>0</x:v>
      </x:c>
      <x:c r="AC893" s="74" t="str">
        <x:v>0</x:v>
      </x:c>
      <x:c r="AD893" s="74" t="str">
        <x:v>0</x:v>
      </x:c>
      <x:c r="AE893" s="74" t="str">
        <x:v>0</x:v>
      </x:c>
      <x:c r="AF893" s="74" t="str"/>
      <x:c r="AG893" s="74" t="str">
        <x:v>0</x:v>
      </x:c>
      <x:c r="AH893" s="74" t="str">
        <x:v>1</x:v>
      </x:c>
      <x:c r="AI893" s="74" t="str">
        <x:v>0</x:v>
      </x:c>
      <x:c r="AJ893" s="74" t="str">
        <x:v>0</x:v>
      </x:c>
      <x:c r="AK893" s="74" t="str">
        <x:v>1</x:v>
      </x:c>
      <x:c r="AL893" s="74" t="str">
        <x:v>0</x:v>
      </x:c>
      <x:c r="AM893" s="74" t="str">
        <x:v>0</x:v>
      </x:c>
      <x:c r="AN893" s="74" t="str">
        <x:v>0</x:v>
      </x:c>
      <x:c r="AO893" s="60" t="str">
        <x:v>2026</x:v>
      </x:c>
      <x:c r="AP893" s="76" t="str">
        <x:v>Project/gallery proof found; no embedded homepage video found</x:v>
      </x:c>
      <x:c r="AQ893" s="76" t="str">
        <x:v>project/gallery proof; visible service offer; no embedded homepage video detected</x:v>
      </x:c>
      <x:c r="AR893" s="76" t="str">
        <x:v>I found project/gallery proof on Engineered Electrical Solutions LLC's site that could be repackaged into short-form ad concepts.</x:v>
      </x:c>
      <x:c r="AS893" s="76" t="str">
        <x:v>safety inspection problem/solution ad</x:v>
      </x:c>
      <x:c r="AT893" s="76" t="str">
        <x:v>Engineered Electrical Solutions LLC ad concept</x:v>
      </x:c>
      <x:c r="AU893" s="76" t="str">
        <x:v>Hi Engineered Electrical Solutions LLC — I found project/gallery proof on Engineered Electrical Solutions LLC's site that could be repackaged into short-form ad concepts. I mapped a private 15-second safety inspection problem/solution ad for Engineered Electrical Solutions LLC using only public brand context—not for publishing, just to show the angle. We build three client-approved video ad concepts in seven days, then turn the winners into fresh variations. No filming day required. Worth sending the private sample?</x:v>
      </x:c>
      <x:c r="AV893" s="76" t="str">
        <x:v>Quick follow-up: the sample angle is a safety inspection problem/solution ad. If it misses the mark, no problem—I won't keep chasing. Should I send it?</x:v>
      </x:c>
      <x:c r="AW893" s="76" t="str">
        <x:v>Hi Engineered Electrical Solutions LLC, Ryan here. I was looking at Engineered Electrical Solutions LLC's public marketing and noticed: project/gallery proof found; no embedded homepage video found. I mapped one private safety inspection problem/solution ad as an example. Did I catch you with 30 seconds?</x:v>
      </x:c>
      <x:c r="AX893" s="60" t="str">
        <x:v>https://www.facebook.com/ads/library/?active_status=active&amp;ad_type=all&amp;country=US&amp;q=Engineered%20Electrical%20Solutions%20LLC&amp;search_type=keyword_unordered</x:v>
      </x:c>
      <x:c r="AY893" s="60" t="str">
        <x:v>ok:200</x:v>
      </x:c>
      <x:c r="AZ893" s="60" t="n">
        <x:v>46232.722858796296</x:v>
      </x:c>
      <x:c r="BA893" s="60" t="str">
        <x:v>Google Maps home-services export</x:v>
      </x:c>
      <x:c r="BB893" s="60" t="str">
        <x:v>https://engelectricalsolutions.com | https://maps.google.com/?cid=14529539806152361680&amp;g_mp=Cidnb29nbGUubWFwcy5wbGFjZXMudjEuUGxhY2VzLlNlYXJjaFRleHQQAhgEIAA</x:v>
      </x:c>
      <x:c r="BC893" s="60" t="str"/>
    </x:row>
    <x:row r="894" ht="18" customHeight="1">
      <x:c r="A894" s="70" t="str">
        <x:v>893</x:v>
      </x:c>
      <x:c r="B894" s="70" t="str">
        <x:v>C - Verify</x:v>
      </x:c>
      <x:c r="C894" s="72" t="str">
        <x:v>42</x:v>
      </x:c>
      <x:c r="D894" s="60" t="str">
        <x:v>Garage Doors Today Greenville LLC</x:v>
      </x:c>
      <x:c r="E894" s="60" t="str">
        <x:v>https://garagedoorstodaygreenville.com</x:v>
      </x:c>
      <x:c r="F894" s="60" t="str">
        <x:v>https://garagedoorstodaygreenville.com</x:v>
      </x:c>
      <x:c r="G894" s="60" t="str">
        <x:v>Greenville</x:v>
      </x:c>
      <x:c r="H894" s="60" t="str">
        <x:v>South Carolina</x:v>
      </x:c>
      <x:c r="I894" s="60" t="str">
        <x:v>Garage Doors</x:v>
      </x:c>
      <x:c r="J894" s="60" t="str">
        <x:v>Garage Doors Today Greenville LLC</x:v>
      </x:c>
      <x:c r="K894" s="60" t="str"/>
      <x:c r="L894" s="60" t="str">
        <x:v>Owner / decision maker to verify</x:v>
      </x:c>
      <x:c r="M894" s="60" t="str"/>
      <x:c r="N894" s="60" t="str"/>
      <x:c r="O894" s="60" t="str">
        <x:v>(864) 385-2187</x:v>
      </x:c>
      <x:c r="P894" s="60" t="str"/>
      <x:c r="Q894" s="60" t="str"/>
      <x:c r="R894" s="60" t="str"/>
      <x:c r="S894" s="60" t="str">
        <x:v>5</x:v>
      </x:c>
      <x:c r="T894" s="74" t="str">
        <x:v>273</x:v>
      </x:c>
      <x:c r="U894" s="60" t="str"/>
      <x:c r="V894" s="74" t="str">
        <x:v>25</x:v>
      </x:c>
      <x:c r="W894" s="74" t="str">
        <x:v>0</x:v>
      </x:c>
      <x:c r="X894" s="74" t="str">
        <x:v>6</x:v>
      </x:c>
      <x:c r="Y894" s="74" t="str">
        <x:v>6</x:v>
      </x:c>
      <x:c r="Z894" s="74" t="str">
        <x:v>5</x:v>
      </x:c>
      <x:c r="AA894" s="74" t="str">
        <x:v>0</x:v>
      </x:c>
      <x:c r="AB894" s="74" t="str">
        <x:v>0</x:v>
      </x:c>
      <x:c r="AC894" s="74" t="str">
        <x:v>0</x:v>
      </x:c>
      <x:c r="AD894" s="74" t="str">
        <x:v>0</x:v>
      </x:c>
      <x:c r="AE894" s="74" t="str">
        <x:v>0</x:v>
      </x:c>
      <x:c r="AF894" s="74" t="str"/>
      <x:c r="AG894" s="74" t="str">
        <x:v>0</x:v>
      </x:c>
      <x:c r="AH894" s="74" t="str">
        <x:v>0</x:v>
      </x:c>
      <x:c r="AI894" s="74" t="str">
        <x:v>0</x:v>
      </x:c>
      <x:c r="AJ894" s="74" t="str">
        <x:v>0</x:v>
      </x:c>
      <x:c r="AK894" s="74" t="str">
        <x:v>1</x:v>
      </x:c>
      <x:c r="AL894" s="74" t="str">
        <x:v>1</x:v>
      </x:c>
      <x:c r="AM894" s="74" t="str">
        <x:v>1</x:v>
      </x:c>
      <x:c r="AN894" s="74" t="str">
        <x:v>0</x:v>
      </x:c>
      <x:c r="AO894" s="60" t="str">
        <x:v>2026</x:v>
      </x:c>
      <x:c r="AP894" s="76" t="str">
        <x:v>273 Google reviews; no embedded homepage video found</x:v>
      </x:c>
      <x:c r="AQ894" s="76" t="str">
        <x:v>visible service offer; no embedded homepage video detected</x:v>
      </x:c>
      <x:c r="AR894" s="76" t="str">
        <x:v>Garage Doors Today Greenville LLC has 273 Google reviews—strong proof that could be turned into short-form ad concepts.</x:v>
      </x:c>
      <x:c r="AS894" s="76" t="str">
        <x:v>curb-appeal transformation ad</x:v>
      </x:c>
      <x:c r="AT894" s="76" t="str">
        <x:v>Garage Doors Today Greenville LLC ad concept</x:v>
      </x:c>
      <x:c r="AU894" s="76" t="str">
        <x:v>Hi Garage Doors Today Greenville LLC — Garage Doors Today Greenville LLC has 273 Google reviews—strong proof that could be turned into short-form ad concepts. I mapped a private 15-second curb-appeal transformation ad for Garage Doors Today Greenville LLC using only public brand context—not for publishing, just to show the angle. We build three client-approved video ad concepts in seven days, then turn the winners into fresh variations. No filming day required. Worth sending the private sample?</x:v>
      </x:c>
      <x:c r="AV894" s="76" t="str">
        <x:v>Quick follow-up: the sample angle is a curb-appeal transformation ad. If it misses the mark, no problem—I won't keep chasing. Should I send it?</x:v>
      </x:c>
      <x:c r="AW894" s="76" t="str">
        <x:v>Hi Garage Doors Today Greenville LLC, Ryan here. I was looking at Garage Doors Today Greenville LLC's public marketing and noticed: 273 google reviews; no embedded homepage video found. I mapped one private curb-appeal transformation ad as an example. Did I catch you with 30 seconds?</x:v>
      </x:c>
      <x:c r="AX894" s="60" t="str">
        <x:v>https://www.facebook.com/ads/library/?active_status=active&amp;ad_type=all&amp;country=US&amp;q=Garage%20Doors%20Today%20Greenville%20LLC&amp;search_type=keyword_unordered</x:v>
      </x:c>
      <x:c r="AY894" s="60" t="str">
        <x:v>ok:200</x:v>
      </x:c>
      <x:c r="AZ894" s="60" t="n">
        <x:v>46232.722858796296</x:v>
      </x:c>
      <x:c r="BA894" s="60" t="str">
        <x:v>Google Maps home-services export</x:v>
      </x:c>
      <x:c r="BB894" s="60" t="str">
        <x:v>https://garagedoorstodaygreenville.com | https://maps.google.com/?cid=12197999524483247751&amp;g_mp=Cidnb29nbGUubWFwcy5wbGFjZXMudjEuUGxhY2VzLlNlYXJjaFRleHQQAhgEIAA</x:v>
      </x:c>
      <x:c r="BC894" s="60" t="str"/>
    </x:row>
    <x:row r="895" ht="18" customHeight="1">
      <x:c r="A895" s="70" t="str">
        <x:v>894</x:v>
      </x:c>
      <x:c r="B895" s="70" t="str">
        <x:v>C - Verify</x:v>
      </x:c>
      <x:c r="C895" s="72" t="str">
        <x:v>42</x:v>
      </x:c>
      <x:c r="D895" s="60" t="str">
        <x:v>Shoreline Construction</x:v>
      </x:c>
      <x:c r="E895" s="60" t="str">
        <x:v>https://shoreline-commercial.com</x:v>
      </x:c>
      <x:c r="F895" s="60" t="str">
        <x:v>https://www.shoreline-commercial.com/</x:v>
      </x:c>
      <x:c r="G895" s="60" t="str">
        <x:v>Bluffton</x:v>
      </x:c>
      <x:c r="H895" s="60" t="str">
        <x:v>South Carolina</x:v>
      </x:c>
      <x:c r="I895" s="60" t="str">
        <x:v>General Contractor</x:v>
      </x:c>
      <x:c r="J895" s="60" t="str">
        <x:v>Chris</x:v>
      </x:c>
      <x:c r="K895" s="60" t="str">
        <x:v>Dalzell</x:v>
      </x:c>
      <x:c r="L895" s="60" t="str">
        <x:v>Business Owner</x:v>
      </x:c>
      <x:c r="M895" s="60" t="str">
        <x:v>chris@shoreconsc.com</x:v>
      </x:c>
      <x:c r="N895" s="60" t="str">
        <x:v>Verified with BounceBan on 08 Jun 26 12:06</x:v>
      </x:c>
      <x:c r="O895" s="60" t="str">
        <x:v>+1 843 247 0157</x:v>
      </x:c>
      <x:c r="P895" s="60" t="str">
        <x:v>https://www.linkedin.com/in/chris-dalzell-265694122</x:v>
      </x:c>
      <x:c r="Q895" s="60" t="str">
        <x:v>11-50</x:v>
      </x:c>
      <x:c r="R895" s="60" t="str">
        <x:v>1000000-4999999</x:v>
      </x:c>
      <x:c r="S895" s="60" t="str"/>
      <x:c r="T895" s="74" t="str">
        <x:v>0</x:v>
      </x:c>
      <x:c r="U895" s="60" t="str"/>
      <x:c r="V895" s="74" t="str">
        <x:v>27</x:v>
      </x:c>
      <x:c r="W895" s="74" t="str">
        <x:v>0</x:v>
      </x:c>
      <x:c r="X895" s="74" t="str">
        <x:v>0</x:v>
      </x:c>
      <x:c r="Y895" s="74" t="str">
        <x:v>5</x:v>
      </x:c>
      <x:c r="Z895" s="74" t="str">
        <x:v>10</x:v>
      </x:c>
      <x:c r="AA895" s="74" t="str">
        <x:v>0</x:v>
      </x:c>
      <x:c r="AB895" s="74" t="str">
        <x:v>0</x:v>
      </x:c>
      <x:c r="AC895" s="74" t="str">
        <x:v>0</x:v>
      </x:c>
      <x:c r="AD895" s="74" t="str">
        <x:v>0</x:v>
      </x:c>
      <x:c r="AE895" s="74" t="str">
        <x:v>0</x:v>
      </x:c>
      <x:c r="AF895" s="74" t="str"/>
      <x:c r="AG895" s="74" t="str">
        <x:v>1</x:v>
      </x:c>
      <x:c r="AH895" s="74" t="str">
        <x:v>1</x:v>
      </x:c>
      <x:c r="AI895" s="74" t="str">
        <x:v>0</x:v>
      </x:c>
      <x:c r="AJ895" s="74" t="str">
        <x:v>0</x:v>
      </x:c>
      <x:c r="AK895" s="74" t="str">
        <x:v>0</x:v>
      </x:c>
      <x:c r="AL895" s="74" t="str">
        <x:v>1</x:v>
      </x:c>
      <x:c r="AM895" s="74" t="str">
        <x:v>1</x:v>
      </x:c>
      <x:c r="AN895" s="74" t="str">
        <x:v>0</x:v>
      </x:c>
      <x:c r="AO895" s="60" t="str">
        <x:v>2026</x:v>
      </x:c>
      <x:c r="AP895" s="76" t="str">
        <x:v>ICP fit; paid-demand need requires manual verification</x:v>
      </x:c>
      <x:c r="AQ895" s="76" t="str">
        <x:v>project/gallery proof</x:v>
      </x:c>
      <x:c r="AR895" s="76" t="str">
        <x:v>I was reviewing general contractor companies in Bluffton, South Carolina and Shoreline Construction looked like a strong fit for a creative test.</x:v>
      </x:c>
      <x:c r="AS895" s="76" t="str">
        <x:v>project walkthrough with proof milestones</x:v>
      </x:c>
      <x:c r="AT895" s="76" t="str">
        <x:v>Shoreline Construction ad concept</x:v>
      </x:c>
      <x:c r="AU895" s="76" t="str">
        <x:v>Hi Chris — I was reviewing general contractor companies in Bluffton, South Carolina and Shoreline Construction looked like a strong fit for a creative test. I mapped a private 15-second project walkthrough with proof milestones for Shoreline Construction using only public brand context—not for publishing, just to show the angle. We build three client-approved video ad concepts in seven days, then turn the winners into fresh variations. No filming day required. Worth sending the private sample?</x:v>
      </x:c>
      <x:c r="AV895" s="76" t="str">
        <x:v>Quick follow-up: the sample angle is a project walkthrough with proof milestones. If it misses the mark, no problem—I won't keep chasing. Should I send it?</x:v>
      </x:c>
      <x:c r="AW895" s="76" t="str">
        <x:v>Hi Chris, Ryan here. I was looking at Shoreline Construction's public marketing and noticed: icp fit; paid-demand need requires manual verification. I mapped one private project walkthrough with proof milestones as an example. Did I catch you with 30 seconds?</x:v>
      </x:c>
      <x:c r="AX895" s="60" t="str">
        <x:v>https://www.facebook.com/ads/library/?active_status=active&amp;ad_type=all&amp;country=US&amp;q=Shoreline%20Construction&amp;search_type=keyword_unordered</x:v>
      </x:c>
      <x:c r="AY895" s="60" t="str">
        <x:v>ok:200</x:v>
      </x:c>
      <x:c r="AZ895" s="60" t="n">
        <x:v>46232.722858796296</x:v>
      </x:c>
      <x:c r="BA895" s="60" t="str">
        <x:v>AI Ark SC trades export</x:v>
      </x:c>
      <x:c r="BB895" s="60" t="str">
        <x:v>https://shoreline-commercial.com | https://www.linkedin.com/company/shorelineconstruction</x:v>
      </x:c>
      <x:c r="BC895" s="60" t="str"/>
    </x:row>
    <x:row r="896" ht="18" customHeight="1">
      <x:c r="A896" s="70" t="str">
        <x:v>895</x:v>
      </x:c>
      <x:c r="B896" s="70" t="str">
        <x:v>C - Verify</x:v>
      </x:c>
      <x:c r="C896" s="72" t="str">
        <x:v>42</x:v>
      </x:c>
      <x:c r="D896" s="60" t="str">
        <x:v>Miller Jackson Coating Solutions</x:v>
      </x:c>
      <x:c r="E896" s="60" t="str">
        <x:v>https://millerjackson.com</x:v>
      </x:c>
      <x:c r="F896" s="60" t="str">
        <x:v>https://www.millerjackson.com/</x:v>
      </x:c>
      <x:c r="G896" s="60" t="str">
        <x:v>Greenville-spartanburg-anderson</x:v>
      </x:c>
      <x:c r="H896" s="60" t="str">
        <x:v>South Carolina Area</x:v>
      </x:c>
      <x:c r="I896" s="60" t="str">
        <x:v>Pools &amp; Spas</x:v>
      </x:c>
      <x:c r="J896" s="60" t="str">
        <x:v>Dustin</x:v>
      </x:c>
      <x:c r="K896" s="60" t="str">
        <x:v>Miller</x:v>
      </x:c>
      <x:c r="L896" s="60" t="str">
        <x:v>Co-Owner</x:v>
      </x:c>
      <x:c r="M896" s="60" t="str">
        <x:v>dmiller@millerjackson.com</x:v>
      </x:c>
      <x:c r="N896" s="60" t="str">
        <x:v>Verified with BounceBan on 08 Jun 26 12:06</x:v>
      </x:c>
      <x:c r="O896" s="60" t="str">
        <x:v>+1 864 704 0311</x:v>
      </x:c>
      <x:c r="P896" s="60" t="str">
        <x:v>https://www.linkedin.com/in/dustin-miller-4a4202170</x:v>
      </x:c>
      <x:c r="Q896" s="60" t="str">
        <x:v>2-10</x:v>
      </x:c>
      <x:c r="R896" s="60" t="str">
        <x:v>0-99999</x:v>
      </x:c>
      <x:c r="S896" s="60" t="str"/>
      <x:c r="T896" s="74" t="str">
        <x:v>0</x:v>
      </x:c>
      <x:c r="U896" s="60" t="str"/>
      <x:c r="V896" s="74" t="str">
        <x:v>24</x:v>
      </x:c>
      <x:c r="W896" s="74" t="str">
        <x:v>0</x:v>
      </x:c>
      <x:c r="X896" s="74" t="str">
        <x:v>3</x:v>
      </x:c>
      <x:c r="Y896" s="74" t="str">
        <x:v>5</x:v>
      </x:c>
      <x:c r="Z896" s="74" t="str">
        <x:v>10</x:v>
      </x:c>
      <x:c r="AA896" s="74" t="str">
        <x:v>0</x:v>
      </x:c>
      <x:c r="AB896" s="74" t="str">
        <x:v>0</x:v>
      </x:c>
      <x:c r="AC896" s="74" t="str">
        <x:v>0</x:v>
      </x:c>
      <x:c r="AD896" s="74" t="str">
        <x:v>0</x:v>
      </x:c>
      <x:c r="AE896" s="74" t="str">
        <x:v>0</x:v>
      </x:c>
      <x:c r="AF896" s="74" t="str"/>
      <x:c r="AG896" s="74" t="str">
        <x:v>1</x:v>
      </x:c>
      <x:c r="AH896" s="74" t="str">
        <x:v>1</x:v>
      </x:c>
      <x:c r="AI896" s="74" t="str">
        <x:v>0</x:v>
      </x:c>
      <x:c r="AJ896" s="74" t="str">
        <x:v>0</x:v>
      </x:c>
      <x:c r="AK896" s="74" t="str">
        <x:v>0</x:v>
      </x:c>
      <x:c r="AL896" s="74" t="str">
        <x:v>1</x:v>
      </x:c>
      <x:c r="AM896" s="74" t="str">
        <x:v>1</x:v>
      </x:c>
      <x:c r="AN896" s="74" t="str">
        <x:v>0</x:v>
      </x:c>
      <x:c r="AO896" s="60" t="str">
        <x:v>2018</x:v>
      </x:c>
      <x:c r="AP896" s="76" t="str">
        <x:v>ICP fit; paid-demand need requires manual verification</x:v>
      </x:c>
      <x:c r="AQ896" s="76" t="str">
        <x:v>project/gallery proof</x:v>
      </x:c>
      <x:c r="AR896" s="76" t="str">
        <x:v>I was reviewing pools &amp; spas companies in Greenville-spartanburg-anderson, South Carolina Area and Miller Jackson Coating Solutions looked like a strong fit for a creative test.</x:v>
      </x:c>
      <x:c r="AS896" s="76" t="str">
        <x:v>backyard-before to finished-project reveal</x:v>
      </x:c>
      <x:c r="AT896" s="76" t="str">
        <x:v>Miller Jackson Coating Solutions ad concept</x:v>
      </x:c>
      <x:c r="AU896" s="76" t="str">
        <x:v>Hi Dustin — I was reviewing pools &amp; spas companies in Greenville-spartanburg-anderson, South Carolina Area and Miller Jackson Coating Solutions looked like a strong fit for a creative test. I mapped a private 15-second backyard-before to finished-project reveal for Miller Jackson Coating Solutions using only public brand context—not for publishing, just to show the angle. We build three client-approved video ad concepts in seven days, then turn the winners into fresh variations. No filming day required. Worth sending the private sample?</x:v>
      </x:c>
      <x:c r="AV896" s="76" t="str">
        <x:v>Quick follow-up: the sample angle is a backyard-before to finished-project reveal. If it misses the mark, no problem—I won't keep chasing. Should I send it?</x:v>
      </x:c>
      <x:c r="AW896" s="76" t="str">
        <x:v>Hi Dustin, Ryan here. I was looking at Miller Jackson Coating Solutions's public marketing and noticed: icp fit; paid-demand need requires manual verification. I mapped one private backyard-before to finished-project reveal as an example. Did I catch you with 30 seconds?</x:v>
      </x:c>
      <x:c r="AX896" s="60" t="str">
        <x:v>https://www.facebook.com/ads/library/?active_status=active&amp;ad_type=all&amp;country=US&amp;q=Miller%20Jackson%20Coating%20Solutions&amp;search_type=keyword_unordered</x:v>
      </x:c>
      <x:c r="AY896" s="60" t="str">
        <x:v>ok:200</x:v>
      </x:c>
      <x:c r="AZ896" s="60" t="n">
        <x:v>46232.722858796296</x:v>
      </x:c>
      <x:c r="BA896" s="60" t="str">
        <x:v>AI Ark SC trades export</x:v>
      </x:c>
      <x:c r="BB896" s="60" t="str">
        <x:v>https://millerjackson.com | https://www.linkedin.com/company/miller-jackson-coating-solutions</x:v>
      </x:c>
      <x:c r="BC896" s="60" t="str"/>
    </x:row>
    <x:row r="897" ht="18" customHeight="1">
      <x:c r="A897" s="70" t="str">
        <x:v>896</x:v>
      </x:c>
      <x:c r="B897" s="70" t="str">
        <x:v>C - Verify</x:v>
      </x:c>
      <x:c r="C897" s="72" t="str">
        <x:v>42</x:v>
      </x:c>
      <x:c r="D897" s="60" t="str">
        <x:v>Stelluti Plumbing &amp; Gas</x:v>
      </x:c>
      <x:c r="E897" s="60" t="str">
        <x:v>https://stellutiplumbing.com</x:v>
      </x:c>
      <x:c r="F897" s="60" t="str">
        <x:v>https://www.stellutiplumbing.com/</x:v>
      </x:c>
      <x:c r="G897" s="60" t="str">
        <x:v>Charleston</x:v>
      </x:c>
      <x:c r="H897" s="60" t="str">
        <x:v>South Carolina</x:v>
      </x:c>
      <x:c r="I897" s="60" t="str">
        <x:v>Plumbing</x:v>
      </x:c>
      <x:c r="J897" s="60" t="str">
        <x:v>Stelluti Plumbing &amp; Gas</x:v>
      </x:c>
      <x:c r="K897" s="60" t="str"/>
      <x:c r="L897" s="60" t="str">
        <x:v>Owner / decision maker to verify</x:v>
      </x:c>
      <x:c r="M897" s="60" t="str"/>
      <x:c r="N897" s="60" t="str"/>
      <x:c r="O897" s="60" t="str">
        <x:v>(914) 830-3357</x:v>
      </x:c>
      <x:c r="P897" s="60" t="str"/>
      <x:c r="Q897" s="60" t="str"/>
      <x:c r="R897" s="60" t="str"/>
      <x:c r="S897" s="60" t="str">
        <x:v>5</x:v>
      </x:c>
      <x:c r="T897" s="74" t="str">
        <x:v>82</x:v>
      </x:c>
      <x:c r="U897" s="60" t="str"/>
      <x:c r="V897" s="74" t="str">
        <x:v>22</x:v>
      </x:c>
      <x:c r="W897" s="74" t="str">
        <x:v>0</x:v>
      </x:c>
      <x:c r="X897" s="74" t="str">
        <x:v>10</x:v>
      </x:c>
      <x:c r="Y897" s="74" t="str">
        <x:v>5</x:v>
      </x:c>
      <x:c r="Z897" s="74" t="str">
        <x:v>5</x:v>
      </x:c>
      <x:c r="AA897" s="74" t="str">
        <x:v>0</x:v>
      </x:c>
      <x:c r="AB897" s="74" t="str">
        <x:v>0</x:v>
      </x:c>
      <x:c r="AC897" s="74" t="str">
        <x:v>0</x:v>
      </x:c>
      <x:c r="AD897" s="74" t="str">
        <x:v>0</x:v>
      </x:c>
      <x:c r="AE897" s="74" t="str">
        <x:v>0</x:v>
      </x:c>
      <x:c r="AF897" s="74" t="str"/>
      <x:c r="AG897" s="74" t="str">
        <x:v>0</x:v>
      </x:c>
      <x:c r="AH897" s="74" t="str">
        <x:v>0</x:v>
      </x:c>
      <x:c r="AI897" s="74" t="str">
        <x:v>0</x:v>
      </x:c>
      <x:c r="AJ897" s="74" t="str">
        <x:v>0</x:v>
      </x:c>
      <x:c r="AK897" s="74" t="str">
        <x:v>1</x:v>
      </x:c>
      <x:c r="AL897" s="74" t="str">
        <x:v>0</x:v>
      </x:c>
      <x:c r="AM897" s="74" t="str">
        <x:v>0</x:v>
      </x:c>
      <x:c r="AN897" s="74" t="str">
        <x:v>0</x:v>
      </x:c>
      <x:c r="AO897" s="60" t="str">
        <x:v>0</x:v>
      </x:c>
      <x:c r="AP897" s="76" t="str">
        <x:v>ICP fit; paid-demand need requires manual verification</x:v>
      </x:c>
      <x:c r="AQ897" s="76" t="str">
        <x:v>visible service offer; no embedded homepage video detected</x:v>
      </x:c>
      <x:c r="AR897" s="76" t="str">
        <x:v>I was reviewing plumbing companies in Charleston, South Carolina and Stelluti Plumbing &amp; Gas looked like a strong fit for a creative test.</x:v>
      </x:c>
      <x:c r="AS897" s="76" t="str">
        <x:v>small symptom to prevented-emergency ad</x:v>
      </x:c>
      <x:c r="AT897" s="76" t="str">
        <x:v>Stelluti Plumbing &amp; Gas ad concept</x:v>
      </x:c>
      <x:c r="AU897" s="76" t="str">
        <x:v>Hi Stelluti Plumbing &amp; Gas — I was reviewing plumbing companies in Charleston, South Carolina and Stelluti Plumbing &amp; Gas looked like a strong fit for a creative test. I mapped a private 15-second small symptom to prevented-emergency ad for Stelluti Plumbing &amp; Gas using only public brand context—not for publishing, just to show the angle. We build three client-approved video ad concepts in seven days, then turn the winners into fresh variations. No filming day required. Worth sending the private sample?</x:v>
      </x:c>
      <x:c r="AV897" s="76" t="str">
        <x:v>Quick follow-up: the sample angle is a small symptom to prevented-emergency ad. If it misses the mark, no problem—I won't keep chasing. Should I send it?</x:v>
      </x:c>
      <x:c r="AW897" s="76" t="str">
        <x:v>Hi Stelluti Plumbing &amp; Gas, Ryan here. I was looking at Stelluti Plumbing &amp; Gas's public marketing and noticed: icp fit; paid-demand need requires manual verification. I mapped one private small symptom to prevented-emergency ad as an example. Did I catch you with 30 seconds?</x:v>
      </x:c>
      <x:c r="AX897" s="60" t="str">
        <x:v>https://www.facebook.com/ads/library/?active_status=active&amp;ad_type=all&amp;country=US&amp;q=Stelluti%20Plumbing%20%26%20Gas&amp;search_type=keyword_unordered</x:v>
      </x:c>
      <x:c r="AY897" s="60" t="str">
        <x:v>ok:200</x:v>
      </x:c>
      <x:c r="AZ897" s="60" t="n">
        <x:v>46232.722858796296</x:v>
      </x:c>
      <x:c r="BA897" s="60" t="str">
        <x:v>Google Maps home-services export</x:v>
      </x:c>
      <x:c r="BB897" s="60" t="str">
        <x:v>https://maps.google.com/?cid=13223942486427321086&amp;g_mp=Cidnb29nbGUubWFwcy5wbGFjZXMudjEuUGxhY2VzLlNlYXJjaFRleHQQAhgEIAA | https://stellutiplumbing.com</x:v>
      </x:c>
      <x:c r="BC897" s="60" t="str"/>
    </x:row>
    <x:row r="898" ht="18" customHeight="1">
      <x:c r="A898" s="70" t="str">
        <x:v>897</x:v>
      </x:c>
      <x:c r="B898" s="70" t="str">
        <x:v>C - Verify</x:v>
      </x:c>
      <x:c r="C898" s="72" t="str">
        <x:v>42</x:v>
      </x:c>
      <x:c r="D898" s="60" t="str">
        <x:v>ProMaster Garage Door</x:v>
      </x:c>
      <x:c r="E898" s="60" t="str">
        <x:v>https://promastergaragedoor.com</x:v>
      </x:c>
      <x:c r="F898" s="60" t="str">
        <x:v>https://promastergaragedoor.com</x:v>
      </x:c>
      <x:c r="G898" s="60" t="str">
        <x:v>Charleston</x:v>
      </x:c>
      <x:c r="H898" s="60" t="str">
        <x:v>South Carolina</x:v>
      </x:c>
      <x:c r="I898" s="60" t="str">
        <x:v>Garage Doors</x:v>
      </x:c>
      <x:c r="J898" s="60" t="str">
        <x:v>ProMaster Garage Door</x:v>
      </x:c>
      <x:c r="K898" s="60" t="str"/>
      <x:c r="L898" s="60" t="str">
        <x:v>Owner / decision maker to verify</x:v>
      </x:c>
      <x:c r="M898" s="60" t="str"/>
      <x:c r="N898" s="60" t="str"/>
      <x:c r="O898" s="60" t="str">
        <x:v>(843) 938-2786</x:v>
      </x:c>
      <x:c r="P898" s="60" t="str"/>
      <x:c r="Q898" s="60" t="str"/>
      <x:c r="R898" s="60" t="str"/>
      <x:c r="S898" s="60" t="str">
        <x:v>5</x:v>
      </x:c>
      <x:c r="T898" s="74" t="str">
        <x:v>54</x:v>
      </x:c>
      <x:c r="U898" s="60" t="str"/>
      <x:c r="V898" s="74" t="str">
        <x:v>22</x:v>
      </x:c>
      <x:c r="W898" s="74" t="str">
        <x:v>0</x:v>
      </x:c>
      <x:c r="X898" s="74" t="str">
        <x:v>10</x:v>
      </x:c>
      <x:c r="Y898" s="74" t="str">
        <x:v>5</x:v>
      </x:c>
      <x:c r="Z898" s="74" t="str">
        <x:v>5</x:v>
      </x:c>
      <x:c r="AA898" s="74" t="str">
        <x:v>0</x:v>
      </x:c>
      <x:c r="AB898" s="74" t="str">
        <x:v>0</x:v>
      </x:c>
      <x:c r="AC898" s="74" t="str">
        <x:v>0</x:v>
      </x:c>
      <x:c r="AD898" s="74" t="str">
        <x:v>0</x:v>
      </x:c>
      <x:c r="AE898" s="74" t="str">
        <x:v>0</x:v>
      </x:c>
      <x:c r="AF898" s="74" t="str"/>
      <x:c r="AG898" s="74" t="str">
        <x:v>0</x:v>
      </x:c>
      <x:c r="AH898" s="74" t="str">
        <x:v>0</x:v>
      </x:c>
      <x:c r="AI898" s="74" t="str">
        <x:v>0</x:v>
      </x:c>
      <x:c r="AJ898" s="74" t="str">
        <x:v>0</x:v>
      </x:c>
      <x:c r="AK898" s="74" t="str">
        <x:v>1</x:v>
      </x:c>
      <x:c r="AL898" s="74" t="str">
        <x:v>0</x:v>
      </x:c>
      <x:c r="AM898" s="74" t="str">
        <x:v>1</x:v>
      </x:c>
      <x:c r="AN898" s="74" t="str">
        <x:v>0</x:v>
      </x:c>
      <x:c r="AO898" s="60" t="str">
        <x:v>2026</x:v>
      </x:c>
      <x:c r="AP898" s="76" t="str">
        <x:v>ICP fit; paid-demand need requires manual verification</x:v>
      </x:c>
      <x:c r="AQ898" s="76" t="str">
        <x:v>visible service offer; no embedded homepage video detected</x:v>
      </x:c>
      <x:c r="AR898" s="76" t="str">
        <x:v>I was reviewing garage doors companies in Charleston, South Carolina and ProMaster Garage Door looked like a strong fit for a creative test.</x:v>
      </x:c>
      <x:c r="AS898" s="76" t="str">
        <x:v>curb-appeal transformation ad</x:v>
      </x:c>
      <x:c r="AT898" s="76" t="str">
        <x:v>ProMaster Garage Door ad concept</x:v>
      </x:c>
      <x:c r="AU898" s="76" t="str">
        <x:v>Hi ProMaster Garage Door — I was reviewing garage doors companies in Charleston, South Carolina and ProMaster Garage Door looked like a strong fit for a creative test. I mapped a private 15-second curb-appeal transformation ad for ProMaster Garage Door using only public brand context—not for publishing, just to show the angle. We build three client-approved video ad concepts in seven days, then turn the winners into fresh variations. No filming day required. Worth sending the private sample?</x:v>
      </x:c>
      <x:c r="AV898" s="76" t="str">
        <x:v>Quick follow-up: the sample angle is a curb-appeal transformation ad. If it misses the mark, no problem—I won't keep chasing. Should I send it?</x:v>
      </x:c>
      <x:c r="AW898" s="76" t="str">
        <x:v>Hi ProMaster Garage Door, Ryan here. I was looking at ProMaster Garage Door's public marketing and noticed: icp fit; paid-demand need requires manual verification. I mapped one private curb-appeal transformation ad as an example. Did I catch you with 30 seconds?</x:v>
      </x:c>
      <x:c r="AX898" s="60" t="str">
        <x:v>https://www.facebook.com/ads/library/?active_status=active&amp;ad_type=all&amp;country=US&amp;q=ProMaster%20Garage%20Door&amp;search_type=keyword_unordered</x:v>
      </x:c>
      <x:c r="AY898" s="60" t="str">
        <x:v>ok:200</x:v>
      </x:c>
      <x:c r="AZ898" s="60" t="n">
        <x:v>46232.722858796296</x:v>
      </x:c>
      <x:c r="BA898" s="60" t="str">
        <x:v>Google Maps home-services export</x:v>
      </x:c>
      <x:c r="BB898" s="60" t="str">
        <x:v>https://maps.google.com/?cid=14373313050072142550&amp;g_mp=Cidnb29nbGUubWFwcy5wbGFjZXMudjEuUGxhY2VzLlNlYXJjaFRleHQQAhgEIAA | https://promastergaragedoor.com</x:v>
      </x:c>
      <x:c r="BC898" s="60" t="str"/>
    </x:row>
    <x:row r="899" ht="18" customHeight="1">
      <x:c r="A899" s="70" t="str">
        <x:v>898</x:v>
      </x:c>
      <x:c r="B899" s="70" t="str">
        <x:v>C - Verify</x:v>
      </x:c>
      <x:c r="C899" s="72" t="str">
        <x:v>42</x:v>
      </x:c>
      <x:c r="D899" s="60" t="str">
        <x:v>McNeill Plumbing Inc.</x:v>
      </x:c>
      <x:c r="E899" s="60" t="str">
        <x:v>https://mcneillplumbing.net</x:v>
      </x:c>
      <x:c r="F899" s="60" t="str">
        <x:v>https://www.mcneillplumbing.net/</x:v>
      </x:c>
      <x:c r="G899" s="60" t="str">
        <x:v>Aiken</x:v>
      </x:c>
      <x:c r="H899" s="60" t="str">
        <x:v>South Carolina</x:v>
      </x:c>
      <x:c r="I899" s="60" t="str">
        <x:v>Plumbing</x:v>
      </x:c>
      <x:c r="J899" s="60" t="str">
        <x:v>McNeill Plumbing Inc.</x:v>
      </x:c>
      <x:c r="K899" s="60" t="str"/>
      <x:c r="L899" s="60" t="str">
        <x:v>Owner / decision maker to verify</x:v>
      </x:c>
      <x:c r="M899" s="60" t="str"/>
      <x:c r="N899" s="60" t="str"/>
      <x:c r="O899" s="60" t="str">
        <x:v>(803) 643-0433</x:v>
      </x:c>
      <x:c r="P899" s="60" t="str"/>
      <x:c r="Q899" s="60" t="str"/>
      <x:c r="R899" s="60" t="str"/>
      <x:c r="S899" s="60" t="str">
        <x:v>4.8</x:v>
      </x:c>
      <x:c r="T899" s="74" t="str">
        <x:v>36</x:v>
      </x:c>
      <x:c r="U899" s="60" t="str"/>
      <x:c r="V899" s="74" t="str">
        <x:v>22</x:v>
      </x:c>
      <x:c r="W899" s="74" t="str">
        <x:v>0</x:v>
      </x:c>
      <x:c r="X899" s="74" t="str">
        <x:v>10</x:v>
      </x:c>
      <x:c r="Y899" s="74" t="str">
        <x:v>5</x:v>
      </x:c>
      <x:c r="Z899" s="74" t="str">
        <x:v>5</x:v>
      </x:c>
      <x:c r="AA899" s="74" t="str">
        <x:v>0</x:v>
      </x:c>
      <x:c r="AB899" s="74" t="str">
        <x:v>0</x:v>
      </x:c>
      <x:c r="AC899" s="74" t="str">
        <x:v>0</x:v>
      </x:c>
      <x:c r="AD899" s="74" t="str">
        <x:v>0</x:v>
      </x:c>
      <x:c r="AE899" s="74" t="str">
        <x:v>0</x:v>
      </x:c>
      <x:c r="AF899" s="74" t="str"/>
      <x:c r="AG899" s="74" t="str">
        <x:v>0</x:v>
      </x:c>
      <x:c r="AH899" s="74" t="str">
        <x:v>0</x:v>
      </x:c>
      <x:c r="AI899" s="74" t="str">
        <x:v>0</x:v>
      </x:c>
      <x:c r="AJ899" s="74" t="str">
        <x:v>0</x:v>
      </x:c>
      <x:c r="AK899" s="74" t="str">
        <x:v>1</x:v>
      </x:c>
      <x:c r="AL899" s="74" t="str">
        <x:v>0</x:v>
      </x:c>
      <x:c r="AM899" s="74" t="str">
        <x:v>1</x:v>
      </x:c>
      <x:c r="AN899" s="74" t="str">
        <x:v>0</x:v>
      </x:c>
      <x:c r="AO899" s="60" t="str">
        <x:v>0</x:v>
      </x:c>
      <x:c r="AP899" s="76" t="str">
        <x:v>ICP fit; paid-demand need requires manual verification</x:v>
      </x:c>
      <x:c r="AQ899" s="76" t="str">
        <x:v>visible service offer; no embedded homepage video detected</x:v>
      </x:c>
      <x:c r="AR899" s="76" t="str">
        <x:v>I was reviewing plumbing companies in Aiken, South Carolina and McNeill Plumbing Inc. looked like a strong fit for a creative test.</x:v>
      </x:c>
      <x:c r="AS899" s="76" t="str">
        <x:v>small symptom to prevented-emergency ad</x:v>
      </x:c>
      <x:c r="AT899" s="76" t="str">
        <x:v>McNeill Plumbing Inc. ad concept</x:v>
      </x:c>
      <x:c r="AU899" s="76" t="str">
        <x:v>Hi McNeill Plumbing Inc. — I was reviewing plumbing companies in Aiken, South Carolina and McNeill Plumbing Inc. looked like a strong fit for a creative test. I mapped a private 15-second small symptom to prevented-emergency ad for McNeill Plumbing Inc. using only public brand context—not for publishing, just to show the angle. We build three client-approved video ad concepts in seven days, then turn the winners into fresh variations. No filming day required. Worth sending the private sample?</x:v>
      </x:c>
      <x:c r="AV899" s="76" t="str">
        <x:v>Quick follow-up: the sample angle is a small symptom to prevented-emergency ad. If it misses the mark, no problem—I won't keep chasing. Should I send it?</x:v>
      </x:c>
      <x:c r="AW899" s="76" t="str">
        <x:v>Hi McNeill Plumbing Inc., Ryan here. I was looking at McNeill Plumbing Inc.'s public marketing and noticed: icp fit; paid-demand need requires manual verification. I mapped one private small symptom to prevented-emergency ad as an example. Did I catch you with 30 seconds?</x:v>
      </x:c>
      <x:c r="AX899" s="60" t="str">
        <x:v>https://www.facebook.com/ads/library/?active_status=active&amp;ad_type=all&amp;country=US&amp;q=McNeill%20Plumbing%20Inc.&amp;search_type=keyword_unordered</x:v>
      </x:c>
      <x:c r="AY899" s="60" t="str">
        <x:v>ok:200</x:v>
      </x:c>
      <x:c r="AZ899" s="60" t="n">
        <x:v>46232.722858796296</x:v>
      </x:c>
      <x:c r="BA899" s="60" t="str">
        <x:v>Google Maps home-services export</x:v>
      </x:c>
      <x:c r="BB899" s="60" t="str">
        <x:v>https://maps.google.com/?cid=8942583041835110663&amp;g_mp=Cidnb29nbGUubWFwcy5wbGFjZXMudjEuUGxhY2VzLlNlYXJjaFRleHQQAhgEIAA | https://mcneillplumbing.net</x:v>
      </x:c>
      <x:c r="BC899" s="60" t="str"/>
    </x:row>
    <x:row r="900" ht="18" customHeight="1">
      <x:c r="A900" s="70" t="str">
        <x:v>899</x:v>
      </x:c>
      <x:c r="B900" s="70" t="str">
        <x:v>C - Verify</x:v>
      </x:c>
      <x:c r="C900" s="72" t="str">
        <x:v>42</x:v>
      </x:c>
      <x:c r="D900" s="60" t="str">
        <x:v>Jay Andrews Electrical Services</x:v>
      </x:c>
      <x:c r="E900" s="60" t="str">
        <x:v>https://jayandrewselectricalservices.com</x:v>
      </x:c>
      <x:c r="F900" s="60" t="str">
        <x:v>https://jayandrewselectricalservices.com</x:v>
      </x:c>
      <x:c r="G900" s="60" t="str">
        <x:v>Sumter</x:v>
      </x:c>
      <x:c r="H900" s="60" t="str">
        <x:v>South Carolina</x:v>
      </x:c>
      <x:c r="I900" s="60" t="str">
        <x:v>Plumbing</x:v>
      </x:c>
      <x:c r="J900" s="60" t="str">
        <x:v>Jay Andrews Electrical Services</x:v>
      </x:c>
      <x:c r="K900" s="60" t="str"/>
      <x:c r="L900" s="60" t="str">
        <x:v>Owner / decision maker to verify</x:v>
      </x:c>
      <x:c r="M900" s="60" t="str"/>
      <x:c r="N900" s="60" t="str"/>
      <x:c r="O900" s="60" t="str">
        <x:v>(803) 938-2811</x:v>
      </x:c>
      <x:c r="P900" s="60" t="str"/>
      <x:c r="Q900" s="60" t="str"/>
      <x:c r="R900" s="60" t="str"/>
      <x:c r="S900" s="60" t="str">
        <x:v>4.8</x:v>
      </x:c>
      <x:c r="T900" s="74" t="str">
        <x:v>72</x:v>
      </x:c>
      <x:c r="U900" s="60" t="str"/>
      <x:c r="V900" s="74" t="str">
        <x:v>22</x:v>
      </x:c>
      <x:c r="W900" s="74" t="str">
        <x:v>0</x:v>
      </x:c>
      <x:c r="X900" s="74" t="str">
        <x:v>10</x:v>
      </x:c>
      <x:c r="Y900" s="74" t="str">
        <x:v>5</x:v>
      </x:c>
      <x:c r="Z900" s="74" t="str">
        <x:v>5</x:v>
      </x:c>
      <x:c r="AA900" s="74" t="str">
        <x:v>0</x:v>
      </x:c>
      <x:c r="AB900" s="74" t="str">
        <x:v>0</x:v>
      </x:c>
      <x:c r="AC900" s="74" t="str">
        <x:v>0</x:v>
      </x:c>
      <x:c r="AD900" s="74" t="str">
        <x:v>0</x:v>
      </x:c>
      <x:c r="AE900" s="74" t="str">
        <x:v>0</x:v>
      </x:c>
      <x:c r="AF900" s="74" t="str"/>
      <x:c r="AG900" s="74" t="str">
        <x:v>0</x:v>
      </x:c>
      <x:c r="AH900" s="74" t="str">
        <x:v>0</x:v>
      </x:c>
      <x:c r="AI900" s="74" t="str">
        <x:v>0</x:v>
      </x:c>
      <x:c r="AJ900" s="74" t="str">
        <x:v>0</x:v>
      </x:c>
      <x:c r="AK900" s="74" t="str">
        <x:v>1</x:v>
      </x:c>
      <x:c r="AL900" s="74" t="str">
        <x:v>0</x:v>
      </x:c>
      <x:c r="AM900" s="74" t="str">
        <x:v>0</x:v>
      </x:c>
      <x:c r="AN900" s="74" t="str">
        <x:v>0</x:v>
      </x:c>
      <x:c r="AO900" s="60" t="str">
        <x:v>2026</x:v>
      </x:c>
      <x:c r="AP900" s="76" t="str">
        <x:v>ICP fit; paid-demand need requires manual verification</x:v>
      </x:c>
      <x:c r="AQ900" s="76" t="str">
        <x:v>visible service offer; no embedded homepage video detected</x:v>
      </x:c>
      <x:c r="AR900" s="76" t="str">
        <x:v>I was reviewing plumbing companies in Sumter, South Carolina and Jay Andrews Electrical Services looked like a strong fit for a creative test.</x:v>
      </x:c>
      <x:c r="AS900" s="76" t="str">
        <x:v>small symptom to prevented-emergency ad</x:v>
      </x:c>
      <x:c r="AT900" s="76" t="str">
        <x:v>Jay Andrews Electrical Services ad concept</x:v>
      </x:c>
      <x:c r="AU900" s="76" t="str">
        <x:v>Hi Jay Andrews Electrical Services — I was reviewing plumbing companies in Sumter, South Carolina and Jay Andrews Electrical Services looked like a strong fit for a creative test. I mapped a private 15-second small symptom to prevented-emergency ad for Jay Andrews Electrical Services using only public brand context—not for publishing, just to show the angle. We build three client-approved video ad concepts in seven days, then turn the winners into fresh variations. No filming day required. Worth sending the private sample?</x:v>
      </x:c>
      <x:c r="AV900" s="76" t="str">
        <x:v>Quick follow-up: the sample angle is a small symptom to prevented-emergency ad. If it misses the mark, no problem—I won't keep chasing. Should I send it?</x:v>
      </x:c>
      <x:c r="AW900" s="76" t="str">
        <x:v>Hi Jay Andrews Electrical Services, Ryan here. I was looking at Jay Andrews Electrical Services's public marketing and noticed: icp fit; paid-demand need requires manual verification. I mapped one private small symptom to prevented-emergency ad as an example. Did I catch you with 30 seconds?</x:v>
      </x:c>
      <x:c r="AX900" s="60" t="str">
        <x:v>https://www.facebook.com/ads/library/?active_status=active&amp;ad_type=all&amp;country=US&amp;q=Jay%20Andrews%20Electrical%20Services&amp;search_type=keyword_unordered</x:v>
      </x:c>
      <x:c r="AY900" s="60" t="str">
        <x:v>ok:200</x:v>
      </x:c>
      <x:c r="AZ900" s="60" t="n">
        <x:v>46232.722858796296</x:v>
      </x:c>
      <x:c r="BA900" s="60" t="str">
        <x:v>Google Maps home-services export</x:v>
      </x:c>
      <x:c r="BB900" s="60" t="str">
        <x:v>https://jayandrewselectricalservices.com | https://maps.google.com/?cid=1384121712613100734&amp;g_mp=Cidnb29nbGUubWFwcy5wbGFjZXMudjEuUGxhY2VzLlNlYXJjaFRleHQQAhgEIAA</x:v>
      </x:c>
      <x:c r="BC900" s="60" t="str"/>
    </x:row>
    <x:row r="901" ht="18" customHeight="1">
      <x:c r="A901" s="70" t="str">
        <x:v>900</x:v>
      </x:c>
      <x:c r="B901" s="70" t="str">
        <x:v>C - Verify</x:v>
      </x:c>
      <x:c r="C901" s="72" t="str">
        <x:v>42</x:v>
      </x:c>
      <x:c r="D901" s="60" t="str">
        <x:v>Heroic Builders LLC</x:v>
      </x:c>
      <x:c r="E901" s="60" t="str">
        <x:v>https://heroicbuildersllc.com</x:v>
      </x:c>
      <x:c r="F901" s="60" t="str">
        <x:v>https://www.heroicbuildersllc.com/</x:v>
      </x:c>
      <x:c r="G901" s="60" t="str">
        <x:v>Greenville</x:v>
      </x:c>
      <x:c r="H901" s="60" t="str">
        <x:v>South Carolina</x:v>
      </x:c>
      <x:c r="I901" s="60" t="str">
        <x:v>Foundation &amp; Waterproofing</x:v>
      </x:c>
      <x:c r="J901" s="60" t="str">
        <x:v>Bradley</x:v>
      </x:c>
      <x:c r="K901" s="60" t="str">
        <x:v>Shebs</x:v>
      </x:c>
      <x:c r="L901" s="60" t="str">
        <x:v>Business Owner</x:v>
      </x:c>
      <x:c r="M901" s="60" t="str"/>
      <x:c r="N901" s="60" t="str"/>
      <x:c r="O901" s="60" t="str">
        <x:v>+1 337 424 7796</x:v>
      </x:c>
      <x:c r="P901" s="60" t="str">
        <x:v>https://www.linkedin.com/in/bradley-shebs</x:v>
      </x:c>
      <x:c r="Q901" s="60" t="str">
        <x:v>2-10</x:v>
      </x:c>
      <x:c r="R901" s="60" t="str">
        <x:v>0-99999</x:v>
      </x:c>
      <x:c r="S901" s="60" t="str"/>
      <x:c r="T901" s="74" t="str">
        <x:v>0</x:v>
      </x:c>
      <x:c r="U901" s="60" t="str"/>
      <x:c r="V901" s="74" t="str">
        <x:v>26</x:v>
      </x:c>
      <x:c r="W901" s="74" t="str">
        <x:v>0</x:v>
      </x:c>
      <x:c r="X901" s="74" t="str">
        <x:v>6</x:v>
      </x:c>
      <x:c r="Y901" s="74" t="str">
        <x:v>5</x:v>
      </x:c>
      <x:c r="Z901" s="74" t="str">
        <x:v>5</x:v>
      </x:c>
      <x:c r="AA901" s="74" t="str">
        <x:v>0</x:v>
      </x:c>
      <x:c r="AB901" s="74" t="str">
        <x:v>0</x:v>
      </x:c>
      <x:c r="AC901" s="74" t="str">
        <x:v>0</x:v>
      </x:c>
      <x:c r="AD901" s="74" t="str">
        <x:v>0</x:v>
      </x:c>
      <x:c r="AE901" s="74" t="str">
        <x:v>0</x:v>
      </x:c>
      <x:c r="AF901" s="74" t="str"/>
      <x:c r="AG901" s="74" t="str">
        <x:v>0</x:v>
      </x:c>
      <x:c r="AH901" s="74" t="str">
        <x:v>1</x:v>
      </x:c>
      <x:c r="AI901" s="74" t="str">
        <x:v>0</x:v>
      </x:c>
      <x:c r="AJ901" s="74" t="str">
        <x:v>0</x:v>
      </x:c>
      <x:c r="AK901" s="74" t="str">
        <x:v>0</x:v>
      </x:c>
      <x:c r="AL901" s="74" t="str">
        <x:v>1</x:v>
      </x:c>
      <x:c r="AM901" s="74" t="str">
        <x:v>1</x:v>
      </x:c>
      <x:c r="AN901" s="74" t="str">
        <x:v>0</x:v>
      </x:c>
      <x:c r="AO901" s="60" t="str">
        <x:v>0</x:v>
      </x:c>
      <x:c r="AP901" s="76" t="str">
        <x:v>Project/gallery proof found; no embedded homepage video found</x:v>
      </x:c>
      <x:c r="AQ901" s="76" t="str">
        <x:v>project/gallery proof; no embedded homepage video detected</x:v>
      </x:c>
      <x:c r="AR901" s="76" t="str">
        <x:v>I found project/gallery proof on Heroic Builders LLC's site that could be repackaged into short-form ad concepts.</x:v>
      </x:c>
      <x:c r="AS901" s="76" t="str">
        <x:v>visible-warning-signs inspection ad</x:v>
      </x:c>
      <x:c r="AT901" s="76" t="str">
        <x:v>Heroic Builders LLC ad concept</x:v>
      </x:c>
      <x:c r="AU901" s="76" t="str">
        <x:v>Hi Bradley — I found project/gallery proof on Heroic Builders LLC's site that could be repackaged into short-form ad concepts. I mapped a private 15-second visible-warning-signs inspection ad for Heroic Builders LLC using only public brand context—not for publishing, just to show the angle. We build three client-approved video ad concepts in seven days, then turn the winners into fresh variations. No filming day required. Worth sending the private sample?</x:v>
      </x:c>
      <x:c r="AV901" s="76" t="str">
        <x:v>Quick follow-up: the sample angle is a visible-warning-signs inspection ad. If it misses the mark, no problem—I won't keep chasing. Should I send it?</x:v>
      </x:c>
      <x:c r="AW901" s="76" t="str">
        <x:v>Hi Bradley, Ryan here. I was looking at Heroic Builders LLC's public marketing and noticed: project/gallery proof found; no embedded homepage video found. I mapped one private visible-warning-signs inspection ad as an example. Did I catch you with 30 seconds?</x:v>
      </x:c>
      <x:c r="AX901" s="60" t="str">
        <x:v>https://www.facebook.com/ads/library/?active_status=active&amp;ad_type=all&amp;country=US&amp;q=Heroic%20Builders%20LLC&amp;search_type=keyword_unordered</x:v>
      </x:c>
      <x:c r="AY901" s="60" t="str">
        <x:v>ok:200</x:v>
      </x:c>
      <x:c r="AZ901" s="60" t="n">
        <x:v>46232.722858796296</x:v>
      </x:c>
      <x:c r="BA901" s="60" t="str">
        <x:v>AI Ark SC trades export</x:v>
      </x:c>
      <x:c r="BB901" s="60" t="str">
        <x:v>https://heroicbuildersllc.com | https://www.linkedin.com/company/heroic-builders-llc</x:v>
      </x:c>
      <x:c r="BC901" s="60" t="str"/>
    </x:row>
    <x:row r="902" ht="18" customHeight="1">
      <x:c r="A902" s="70" t="str">
        <x:v>901</x:v>
      </x:c>
      <x:c r="B902" s="70" t="str">
        <x:v>C - Verify</x:v>
      </x:c>
      <x:c r="C902" s="72" t="str">
        <x:v>42</x:v>
      </x:c>
      <x:c r="D902" s="60" t="str">
        <x:v>First Choice Plumbing Services LLC</x:v>
      </x:c>
      <x:c r="E902" s="60" t="str">
        <x:v>https://firstchoiceplumbingmb.com</x:v>
      </x:c>
      <x:c r="F902" s="60" t="str">
        <x:v>https://firstchoiceplumbingmb.com</x:v>
      </x:c>
      <x:c r="G902" s="60" t="str">
        <x:v>Myrtle Beach</x:v>
      </x:c>
      <x:c r="H902" s="60" t="str">
        <x:v>South Carolina</x:v>
      </x:c>
      <x:c r="I902" s="60" t="str">
        <x:v>Plumbing</x:v>
      </x:c>
      <x:c r="J902" s="60" t="str">
        <x:v>First Choice Plumbing Services LLC</x:v>
      </x:c>
      <x:c r="K902" s="60" t="str"/>
      <x:c r="L902" s="60" t="str">
        <x:v>Owner / decision maker to verify</x:v>
      </x:c>
      <x:c r="M902" s="60" t="str"/>
      <x:c r="N902" s="60" t="str"/>
      <x:c r="O902" s="60" t="str">
        <x:v>(843) 353-4923</x:v>
      </x:c>
      <x:c r="P902" s="60" t="str"/>
      <x:c r="Q902" s="60" t="str"/>
      <x:c r="R902" s="60" t="str"/>
      <x:c r="S902" s="60" t="str">
        <x:v>4.7</x:v>
      </x:c>
      <x:c r="T902" s="74" t="str">
        <x:v>95</x:v>
      </x:c>
      <x:c r="U902" s="60" t="str"/>
      <x:c r="V902" s="74" t="str">
        <x:v>22</x:v>
      </x:c>
      <x:c r="W902" s="74" t="str">
        <x:v>0</x:v>
      </x:c>
      <x:c r="X902" s="74" t="str">
        <x:v>10</x:v>
      </x:c>
      <x:c r="Y902" s="74" t="str">
        <x:v>5</x:v>
      </x:c>
      <x:c r="Z902" s="74" t="str">
        <x:v>5</x:v>
      </x:c>
      <x:c r="AA902" s="74" t="str">
        <x:v>0</x:v>
      </x:c>
      <x:c r="AB902" s="74" t="str">
        <x:v>0</x:v>
      </x:c>
      <x:c r="AC902" s="74" t="str">
        <x:v>0</x:v>
      </x:c>
      <x:c r="AD902" s="74" t="str">
        <x:v>0</x:v>
      </x:c>
      <x:c r="AE902" s="74" t="str">
        <x:v>0</x:v>
      </x:c>
      <x:c r="AF902" s="74" t="str"/>
      <x:c r="AG902" s="74" t="str">
        <x:v>0</x:v>
      </x:c>
      <x:c r="AH902" s="74" t="str">
        <x:v>0</x:v>
      </x:c>
      <x:c r="AI902" s="74" t="str">
        <x:v>0</x:v>
      </x:c>
      <x:c r="AJ902" s="74" t="str">
        <x:v>0</x:v>
      </x:c>
      <x:c r="AK902" s="74" t="str">
        <x:v>1</x:v>
      </x:c>
      <x:c r="AL902" s="74" t="str">
        <x:v>0</x:v>
      </x:c>
      <x:c r="AM902" s="74" t="str">
        <x:v>1</x:v>
      </x:c>
      <x:c r="AN902" s="74" t="str">
        <x:v>0</x:v>
      </x:c>
      <x:c r="AO902" s="60" t="str">
        <x:v>0</x:v>
      </x:c>
      <x:c r="AP902" s="76" t="str">
        <x:v>ICP fit; paid-demand need requires manual verification</x:v>
      </x:c>
      <x:c r="AQ902" s="76" t="str">
        <x:v>visible service offer; no embedded homepage video detected</x:v>
      </x:c>
      <x:c r="AR902" s="76" t="str">
        <x:v>I was reviewing plumbing companies in Myrtle Beach, South Carolina and First Choice Plumbing Services LLC looked like a strong fit for a creative test.</x:v>
      </x:c>
      <x:c r="AS902" s="76" t="str">
        <x:v>small symptom to prevented-emergency ad</x:v>
      </x:c>
      <x:c r="AT902" s="76" t="str">
        <x:v>First Choice Plumbing Services LLC ad concept</x:v>
      </x:c>
      <x:c r="AU902" s="76" t="str">
        <x:v>Hi First Choice Plumbing Services LLC — I was reviewing plumbing companies in Myrtle Beach, South Carolina and First Choice Plumbing Services LLC looked like a strong fit for a creative test. I mapped a private 15-second small symptom to prevented-emergency ad for First Choice Plumbing Services LLC using only public brand context—not for publishing, just to show the angle. We build three client-approved video ad concepts in seven days, then turn the winners into fresh variations. No filming day required. Worth sending the private sample?</x:v>
      </x:c>
      <x:c r="AV902" s="76" t="str">
        <x:v>Quick follow-up: the sample angle is a small symptom to prevented-emergency ad. If it misses the mark, no problem—I won't keep chasing. Should I send it?</x:v>
      </x:c>
      <x:c r="AW902" s="76" t="str">
        <x:v>Hi First Choice Plumbing Services LLC, Ryan here. I was looking at First Choice Plumbing Services LLC's public marketing and noticed: icp fit; paid-demand need requires manual verification. I mapped one private small symptom to prevented-emergency ad as an example. Did I catch you with 30 seconds?</x:v>
      </x:c>
      <x:c r="AX902" s="60" t="str">
        <x:v>https://www.facebook.com/ads/library/?active_status=active&amp;ad_type=all&amp;country=US&amp;q=First%20Choice%20Plumbing%20Services%20LLC&amp;search_type=keyword_unordered</x:v>
      </x:c>
      <x:c r="AY902" s="60" t="str">
        <x:v>ok:200</x:v>
      </x:c>
      <x:c r="AZ902" s="60" t="n">
        <x:v>46232.722858796296</x:v>
      </x:c>
      <x:c r="BA902" s="60" t="str">
        <x:v>Google Maps home-services export</x:v>
      </x:c>
      <x:c r="BB902" s="60" t="str">
        <x:v>https://firstchoiceplumbingmb.com | https://maps.google.com/?cid=11001735730783959265&amp;g_mp=Cidnb29nbGUubWFwcy5wbGFjZXMudjEuUGxhY2VzLlNlYXJjaFRleHQQAhgEIAA</x:v>
      </x:c>
      <x:c r="BC902" s="60" t="str"/>
    </x:row>
    <x:row r="903" ht="18" customHeight="1">
      <x:c r="A903" s="70" t="str">
        <x:v>902</x:v>
      </x:c>
      <x:c r="B903" s="70" t="str">
        <x:v>C - Verify</x:v>
      </x:c>
      <x:c r="C903" s="72" t="str">
        <x:v>42</x:v>
      </x:c>
      <x:c r="D903" s="60" t="str">
        <x:v>Adw Inc</x:v>
      </x:c>
      <x:c r="E903" s="60" t="str">
        <x:v>https://adwplumbing.com</x:v>
      </x:c>
      <x:c r="F903" s="60" t="str">
        <x:v>https://adwplumbing.com</x:v>
      </x:c>
      <x:c r="G903" s="60" t="str">
        <x:v>Spartanburg</x:v>
      </x:c>
      <x:c r="H903" s="60" t="str">
        <x:v>South Carolina</x:v>
      </x:c>
      <x:c r="I903" s="60" t="str">
        <x:v>Plumbing</x:v>
      </x:c>
      <x:c r="J903" s="60" t="str">
        <x:v>Adw Inc</x:v>
      </x:c>
      <x:c r="K903" s="60" t="str"/>
      <x:c r="L903" s="60" t="str">
        <x:v>Owner / decision maker to verify</x:v>
      </x:c>
      <x:c r="M903" s="60" t="str"/>
      <x:c r="N903" s="60" t="str"/>
      <x:c r="O903" s="60" t="str">
        <x:v>(864) 582-4444</x:v>
      </x:c>
      <x:c r="P903" s="60" t="str"/>
      <x:c r="Q903" s="60" t="str"/>
      <x:c r="R903" s="60" t="str"/>
      <x:c r="S903" s="60" t="str">
        <x:v>4.3</x:v>
      </x:c>
      <x:c r="T903" s="74" t="str">
        <x:v>32</x:v>
      </x:c>
      <x:c r="U903" s="60" t="str"/>
      <x:c r="V903" s="74" t="str">
        <x:v>22</x:v>
      </x:c>
      <x:c r="W903" s="74" t="str">
        <x:v>0</x:v>
      </x:c>
      <x:c r="X903" s="74" t="str">
        <x:v>10</x:v>
      </x:c>
      <x:c r="Y903" s="74" t="str">
        <x:v>5</x:v>
      </x:c>
      <x:c r="Z903" s="74" t="str">
        <x:v>5</x:v>
      </x:c>
      <x:c r="AA903" s="74" t="str">
        <x:v>0</x:v>
      </x:c>
      <x:c r="AB903" s="74" t="str">
        <x:v>0</x:v>
      </x:c>
      <x:c r="AC903" s="74" t="str">
        <x:v>0</x:v>
      </x:c>
      <x:c r="AD903" s="74" t="str">
        <x:v>0</x:v>
      </x:c>
      <x:c r="AE903" s="74" t="str">
        <x:v>0</x:v>
      </x:c>
      <x:c r="AF903" s="74" t="str"/>
      <x:c r="AG903" s="74" t="str">
        <x:v>0</x:v>
      </x:c>
      <x:c r="AH903" s="74" t="str">
        <x:v>0</x:v>
      </x:c>
      <x:c r="AI903" s="74" t="str">
        <x:v>0</x:v>
      </x:c>
      <x:c r="AJ903" s="74" t="str">
        <x:v>0</x:v>
      </x:c>
      <x:c r="AK903" s="74" t="str">
        <x:v>1</x:v>
      </x:c>
      <x:c r="AL903" s="74" t="str">
        <x:v>0</x:v>
      </x:c>
      <x:c r="AM903" s="74" t="str">
        <x:v>0</x:v>
      </x:c>
      <x:c r="AN903" s="74" t="str">
        <x:v>0</x:v>
      </x:c>
      <x:c r="AO903" s="60" t="str">
        <x:v>2026</x:v>
      </x:c>
      <x:c r="AP903" s="76" t="str">
        <x:v>ICP fit; paid-demand need requires manual verification</x:v>
      </x:c>
      <x:c r="AQ903" s="76" t="str">
        <x:v>visible service offer; no embedded homepage video detected</x:v>
      </x:c>
      <x:c r="AR903" s="76" t="str">
        <x:v>I was reviewing plumbing companies in Spartanburg, South Carolina and Adw Inc looked like a strong fit for a creative test.</x:v>
      </x:c>
      <x:c r="AS903" s="76" t="str">
        <x:v>small symptom to prevented-emergency ad</x:v>
      </x:c>
      <x:c r="AT903" s="76" t="str">
        <x:v>Adw Inc ad concept</x:v>
      </x:c>
      <x:c r="AU903" s="76" t="str">
        <x:v>Hi Adw Inc — I was reviewing plumbing companies in Spartanburg, South Carolina and Adw Inc looked like a strong fit for a creative test. I mapped a private 15-second small symptom to prevented-emergency ad for Adw Inc using only public brand context—not for publishing, just to show the angle. We build three client-approved video ad concepts in seven days, then turn the winners into fresh variations. No filming day required. Worth sending the private sample?</x:v>
      </x:c>
      <x:c r="AV903" s="76" t="str">
        <x:v>Quick follow-up: the sample angle is a small symptom to prevented-emergency ad. If it misses the mark, no problem—I won't keep chasing. Should I send it?</x:v>
      </x:c>
      <x:c r="AW903" s="76" t="str">
        <x:v>Hi Adw Inc, Ryan here. I was looking at Adw Inc's public marketing and noticed: icp fit; paid-demand need requires manual verification. I mapped one private small symptom to prevented-emergency ad as an example. Did I catch you with 30 seconds?</x:v>
      </x:c>
      <x:c r="AX903" s="60" t="str">
        <x:v>https://www.facebook.com/ads/library/?active_status=active&amp;ad_type=all&amp;country=US&amp;q=Adw%20Inc&amp;search_type=keyword_unordered</x:v>
      </x:c>
      <x:c r="AY903" s="60" t="str">
        <x:v>ok:200</x:v>
      </x:c>
      <x:c r="AZ903" s="60" t="n">
        <x:v>46232.722858796296</x:v>
      </x:c>
      <x:c r="BA903" s="60" t="str">
        <x:v>Google Maps home-services export</x:v>
      </x:c>
      <x:c r="BB903" s="60" t="str">
        <x:v>https://adwplumbing.com | https://maps.google.com/?cid=7246668279344480200&amp;g_mp=Cidnb29nbGUubWFwcy5wbGFjZXMudjEuUGxhY2VzLlNlYXJjaFRleHQQAhgEIAA</x:v>
      </x:c>
      <x:c r="BC903" s="60" t="str"/>
    </x:row>
    <x:row r="904" ht="18" customHeight="1">
      <x:c r="A904" s="70" t="str">
        <x:v>903</x:v>
      </x:c>
      <x:c r="B904" s="70" t="str">
        <x:v>C - Verify</x:v>
      </x:c>
      <x:c r="C904" s="72" t="str">
        <x:v>42</x:v>
      </x:c>
      <x:c r="D904" s="60" t="str">
        <x:v>3 Phase Electric LLC</x:v>
      </x:c>
      <x:c r="E904" s="60" t="str">
        <x:v>https://3phaseelectric.net</x:v>
      </x:c>
      <x:c r="F904" s="60" t="str">
        <x:v>https://3phaseelectric.net</x:v>
      </x:c>
      <x:c r="G904" s="60" t="str">
        <x:v>Tamassee</x:v>
      </x:c>
      <x:c r="H904" s="60" t="str">
        <x:v>South Carolina</x:v>
      </x:c>
      <x:c r="I904" s="60" t="str">
        <x:v>General Contractor</x:v>
      </x:c>
      <x:c r="J904" s="60" t="str">
        <x:v>Mark</x:v>
      </x:c>
      <x:c r="K904" s="60" t="str">
        <x:v>Burgess</x:v>
      </x:c>
      <x:c r="L904" s="60" t="str">
        <x:v>Co-Owner</x:v>
      </x:c>
      <x:c r="M904" s="60" t="str"/>
      <x:c r="N904" s="60" t="str"/>
      <x:c r="O904" s="60" t="str">
        <x:v>+1 864 784 1739</x:v>
      </x:c>
      <x:c r="P904" s="60" t="str">
        <x:v>https://www.linkedin.com/in/mark-burgess-628145130</x:v>
      </x:c>
      <x:c r="Q904" s="60" t="str">
        <x:v>2-10</x:v>
      </x:c>
      <x:c r="R904" s="60" t="str">
        <x:v>500000-999999</x:v>
      </x:c>
      <x:c r="S904" s="60" t="str"/>
      <x:c r="T904" s="74" t="str">
        <x:v>0</x:v>
      </x:c>
      <x:c r="U904" s="60" t="str"/>
      <x:c r="V904" s="74" t="str">
        <x:v>22</x:v>
      </x:c>
      <x:c r="W904" s="74" t="str">
        <x:v>0</x:v>
      </x:c>
      <x:c r="X904" s="74" t="str">
        <x:v>10</x:v>
      </x:c>
      <x:c r="Y904" s="74" t="str">
        <x:v>5</x:v>
      </x:c>
      <x:c r="Z904" s="74" t="str">
        <x:v>5</x:v>
      </x:c>
      <x:c r="AA904" s="74" t="str">
        <x:v>0</x:v>
      </x:c>
      <x:c r="AB904" s="74" t="str">
        <x:v>0</x:v>
      </x:c>
      <x:c r="AC904" s="74" t="str">
        <x:v>0</x:v>
      </x:c>
      <x:c r="AD904" s="74" t="str">
        <x:v>0</x:v>
      </x:c>
      <x:c r="AE904" s="74" t="str">
        <x:v>0</x:v>
      </x:c>
      <x:c r="AF904" s="74" t="str"/>
      <x:c r="AG904" s="74" t="str">
        <x:v>0</x:v>
      </x:c>
      <x:c r="AH904" s="74" t="str">
        <x:v>1</x:v>
      </x:c>
      <x:c r="AI904" s="74" t="str">
        <x:v>0</x:v>
      </x:c>
      <x:c r="AJ904" s="74" t="str">
        <x:v>0</x:v>
      </x:c>
      <x:c r="AK904" s="74" t="str">
        <x:v>0</x:v>
      </x:c>
      <x:c r="AL904" s="74" t="str">
        <x:v>0</x:v>
      </x:c>
      <x:c r="AM904" s="74" t="str">
        <x:v>1</x:v>
      </x:c>
      <x:c r="AN904" s="74" t="str">
        <x:v>0</x:v>
      </x:c>
      <x:c r="AO904" s="60" t="str">
        <x:v>2025</x:v>
      </x:c>
      <x:c r="AP904" s="76" t="str">
        <x:v>Project/gallery proof found; no embedded homepage video found</x:v>
      </x:c>
      <x:c r="AQ904" s="76" t="str">
        <x:v>project/gallery proof; no embedded homepage video detected</x:v>
      </x:c>
      <x:c r="AR904" s="76" t="str">
        <x:v>I found project/gallery proof on 3 Phase Electric LLC's site that could be repackaged into short-form ad concepts.</x:v>
      </x:c>
      <x:c r="AS904" s="76" t="str">
        <x:v>project walkthrough with proof milestones</x:v>
      </x:c>
      <x:c r="AT904" s="76" t="str">
        <x:v>3 Phase Electric LLC ad concept</x:v>
      </x:c>
      <x:c r="AU904" s="76" t="str">
        <x:v>Hi Mark — I found project/gallery proof on 3 Phase Electric LLC's site that could be repackaged into short-form ad concepts. I mapped a private 15-second project walkthrough with proof milestones for 3 Phase Electric LLC using only public brand context—not for publishing, just to show the angle. We build three client-approved video ad concepts in seven days, then turn the winners into fresh variations. No filming day required. Worth sending the private sample?</x:v>
      </x:c>
      <x:c r="AV904" s="76" t="str">
        <x:v>Quick follow-up: the sample angle is a project walkthrough with proof milestones. If it misses the mark, no problem—I won't keep chasing. Should I send it?</x:v>
      </x:c>
      <x:c r="AW904" s="76" t="str">
        <x:v>Hi Mark, Ryan here. I was looking at 3 Phase Electric LLC's public marketing and noticed: project/gallery proof found; no embedded homepage video found. I mapped one private project walkthrough with proof milestones as an example. Did I catch you with 30 seconds?</x:v>
      </x:c>
      <x:c r="AX904" s="60" t="str">
        <x:v>https://www.facebook.com/ads/library/?active_status=active&amp;ad_type=all&amp;country=US&amp;q=3%20Phase%20Electric%20LLC&amp;search_type=keyword_unordered</x:v>
      </x:c>
      <x:c r="AY904" s="60" t="str">
        <x:v>ok:200</x:v>
      </x:c>
      <x:c r="AZ904" s="60" t="n">
        <x:v>46232.722858796296</x:v>
      </x:c>
      <x:c r="BA904" s="60" t="str">
        <x:v>AI Ark SC trades export</x:v>
      </x:c>
      <x:c r="BB904" s="60" t="str">
        <x:v>https://3phaseelectric.net | https://www.linkedin.com/company/3-phase-electric-llc</x:v>
      </x:c>
      <x:c r="BC904" s="60" t="str"/>
    </x:row>
    <x:row r="905" ht="18" customHeight="1">
      <x:c r="A905" s="70" t="str">
        <x:v>904</x:v>
      </x:c>
      <x:c r="B905" s="70" t="str">
        <x:v>C - Verify</x:v>
      </x:c>
      <x:c r="C905" s="72" t="str">
        <x:v>42</x:v>
      </x:c>
      <x:c r="D905" s="60" t="str">
        <x:v>Generation Roofing</x:v>
      </x:c>
      <x:c r="E905" s="60" t="str">
        <x:v>https://generationroofing.co.uk</x:v>
      </x:c>
      <x:c r="F905" s="60" t="str">
        <x:v>https://generationroofing.co.uk</x:v>
      </x:c>
      <x:c r="G905" s="60" t="str">
        <x:v>Greenville</x:v>
      </x:c>
      <x:c r="H905" s="60" t="str">
        <x:v>South Carolina</x:v>
      </x:c>
      <x:c r="I905" s="60" t="str">
        <x:v>Roofing</x:v>
      </x:c>
      <x:c r="J905" s="60" t="str">
        <x:v>Joseph</x:v>
      </x:c>
      <x:c r="K905" s="60" t="str">
        <x:v>Zimmer</x:v>
      </x:c>
      <x:c r="L905" s="60" t="str">
        <x:v>Business Owner</x:v>
      </x:c>
      <x:c r="M905" s="60" t="str"/>
      <x:c r="N905" s="60" t="str"/>
      <x:c r="O905" s="60" t="str"/>
      <x:c r="P905" s="60" t="str">
        <x:v>https://www.linkedin.com/in/joseph-zimmer-101459115</x:v>
      </x:c>
      <x:c r="Q905" s="60" t="str">
        <x:v>null+</x:v>
      </x:c>
      <x:c r="R905" s="60" t="str">
        <x:v>0-99999</x:v>
      </x:c>
      <x:c r="S905" s="60" t="str"/>
      <x:c r="T905" s="74" t="str">
        <x:v>0</x:v>
      </x:c>
      <x:c r="U905" s="60" t="str"/>
      <x:c r="V905" s="74" t="str">
        <x:v>25</x:v>
      </x:c>
      <x:c r="W905" s="74" t="str">
        <x:v>0</x:v>
      </x:c>
      <x:c r="X905" s="74" t="str">
        <x:v>10</x:v>
      </x:c>
      <x:c r="Y905" s="74" t="str">
        <x:v>5</x:v>
      </x:c>
      <x:c r="Z905" s="74" t="str">
        <x:v>2</x:v>
      </x:c>
      <x:c r="AA905" s="74" t="str">
        <x:v>0</x:v>
      </x:c>
      <x:c r="AB905" s="74" t="str">
        <x:v>0</x:v>
      </x:c>
      <x:c r="AC905" s="74" t="str">
        <x:v>0</x:v>
      </x:c>
      <x:c r="AD905" s="74" t="str">
        <x:v>0</x:v>
      </x:c>
      <x:c r="AE905" s="74" t="str">
        <x:v>0</x:v>
      </x:c>
      <x:c r="AF905" s="74" t="str"/>
      <x:c r="AG905" s="74" t="str">
        <x:v>0</x:v>
      </x:c>
      <x:c r="AH905" s="74" t="str">
        <x:v>1</x:v>
      </x:c>
      <x:c r="AI905" s="74" t="str">
        <x:v>0</x:v>
      </x:c>
      <x:c r="AJ905" s="74" t="str">
        <x:v>0</x:v>
      </x:c>
      <x:c r="AK905" s="74" t="str">
        <x:v>0</x:v>
      </x:c>
      <x:c r="AL905" s="74" t="str">
        <x:v>0</x:v>
      </x:c>
      <x:c r="AM905" s="74" t="str">
        <x:v>0</x:v>
      </x:c>
      <x:c r="AN905" s="74" t="str">
        <x:v>0</x:v>
      </x:c>
      <x:c r="AO905" s="60" t="str">
        <x:v>0</x:v>
      </x:c>
      <x:c r="AP905" s="76" t="str">
        <x:v>Project/gallery proof found; no embedded homepage video found</x:v>
      </x:c>
      <x:c r="AQ905" s="76" t="str">
        <x:v>project/gallery proof; no embedded homepage video detected</x:v>
      </x:c>
      <x:c r="AR905" s="76" t="str">
        <x:v>I found project/gallery proof on Generation Roofing's site that could be repackaged into short-form ad concepts.</x:v>
      </x:c>
      <x:c r="AS905" s="76" t="str">
        <x:v>storm-to-inspection before/after ad</x:v>
      </x:c>
      <x:c r="AT905" s="76" t="str">
        <x:v>Generation Roofing ad concept</x:v>
      </x:c>
      <x:c r="AU905" s="76" t="str">
        <x:v>Hi Joseph — I found project/gallery proof on Generation Roofing's site that could be repackaged into short-form ad concepts. I mapped a private 15-second storm-to-inspection before/after ad for Generation Roofing using only public brand context—not for publishing, just to show the angle. We build three client-approved video ad concepts in seven days, then turn the winners into fresh variations. No filming day required. Worth sending the private sample?</x:v>
      </x:c>
      <x:c r="AV905" s="76" t="str">
        <x:v>Quick follow-up: the sample angle is a storm-to-inspection before/after ad. If it misses the mark, no problem—I won't keep chasing. Should I send it?</x:v>
      </x:c>
      <x:c r="AW905" s="76" t="str">
        <x:v>Hi Joseph, Ryan here. I was looking at Generation Roofing's public marketing and noticed: project/gallery proof found; no embedded homepage video found. I mapped one private storm-to-inspection before/after ad as an example. Did I catch you with 30 seconds?</x:v>
      </x:c>
      <x:c r="AX905" s="60" t="str">
        <x:v>https://www.facebook.com/ads/library/?active_status=active&amp;ad_type=all&amp;country=US&amp;q=Generation%20Roofing&amp;search_type=keyword_unordered</x:v>
      </x:c>
      <x:c r="AY905" s="60" t="str">
        <x:v>ok:200</x:v>
      </x:c>
      <x:c r="AZ905" s="60" t="n">
        <x:v>46232.722858796296</x:v>
      </x:c>
      <x:c r="BA905" s="60" t="str">
        <x:v>AI Ark SC trades export</x:v>
      </x:c>
      <x:c r="BB905" s="60" t="str">
        <x:v>https://generationroofing.co.uk | https://www.linkedin.com/company/generation-roofing</x:v>
      </x:c>
      <x:c r="BC905" s="60" t="str"/>
    </x:row>
    <x:row r="906" ht="18" customHeight="1">
      <x:c r="A906" s="70" t="str">
        <x:v>905</x:v>
      </x:c>
      <x:c r="B906" s="70" t="str">
        <x:v>C - Verify</x:v>
      </x:c>
      <x:c r="C906" s="72" t="str">
        <x:v>42</x:v>
      </x:c>
      <x:c r="D906" s="60" t="str">
        <x:v>TJS HANDYMAN SERVICE</x:v>
      </x:c>
      <x:c r="E906" s="60" t="str">
        <x:v>https://handymanminneapolis.net</x:v>
      </x:c>
      <x:c r="F906" s="60" t="str">
        <x:v>https://www.handymanminneapolis.net/</x:v>
      </x:c>
      <x:c r="G906" s="60" t="str">
        <x:v>Greater Myrtle Beach Area</x:v>
      </x:c>
      <x:c r="H906" s="60" t="str"/>
      <x:c r="I906" s="60" t="str">
        <x:v>General Contractor</x:v>
      </x:c>
      <x:c r="J906" s="60" t="str">
        <x:v>Thomas</x:v>
      </x:c>
      <x:c r="K906" s="60" t="str">
        <x:v>Jennings</x:v>
      </x:c>
      <x:c r="L906" s="60" t="str">
        <x:v>Business Owner</x:v>
      </x:c>
      <x:c r="M906" s="60" t="str"/>
      <x:c r="N906" s="60" t="str"/>
      <x:c r="O906" s="60" t="str">
        <x:v>+1 612 751 7473</x:v>
      </x:c>
      <x:c r="P906" s="60" t="str">
        <x:v>https://www.linkedin.com/in/thomas-jennings-5a5b39230</x:v>
      </x:c>
      <x:c r="Q906" s="60" t="str">
        <x:v>2-10</x:v>
      </x:c>
      <x:c r="R906" s="60" t="str">
        <x:v>1000000-4999999</x:v>
      </x:c>
      <x:c r="S906" s="60" t="str"/>
      <x:c r="T906" s="74" t="str">
        <x:v>0</x:v>
      </x:c>
      <x:c r="U906" s="60" t="str"/>
      <x:c r="V906" s="74" t="str">
        <x:v>24</x:v>
      </x:c>
      <x:c r="W906" s="74" t="str">
        <x:v>0</x:v>
      </x:c>
      <x:c r="X906" s="74" t="str">
        <x:v>10</x:v>
      </x:c>
      <x:c r="Y906" s="74" t="str">
        <x:v>3</x:v>
      </x:c>
      <x:c r="Z906" s="74" t="str">
        <x:v>5</x:v>
      </x:c>
      <x:c r="AA906" s="74" t="str">
        <x:v>0</x:v>
      </x:c>
      <x:c r="AB906" s="74" t="str">
        <x:v>0</x:v>
      </x:c>
      <x:c r="AC906" s="74" t="str">
        <x:v>0</x:v>
      </x:c>
      <x:c r="AD906" s="74" t="str">
        <x:v>0</x:v>
      </x:c>
      <x:c r="AE906" s="74" t="str">
        <x:v>0</x:v>
      </x:c>
      <x:c r="AF906" s="74" t="str"/>
      <x:c r="AG906" s="74" t="str">
        <x:v>0</x:v>
      </x:c>
      <x:c r="AH906" s="74" t="str">
        <x:v>0</x:v>
      </x:c>
      <x:c r="AI906" s="74" t="str">
        <x:v>0</x:v>
      </x:c>
      <x:c r="AJ906" s="74" t="str">
        <x:v>0</x:v>
      </x:c>
      <x:c r="AK906" s="74" t="str">
        <x:v>1</x:v>
      </x:c>
      <x:c r="AL906" s="74" t="str">
        <x:v>0</x:v>
      </x:c>
      <x:c r="AM906" s="74" t="str">
        <x:v>1</x:v>
      </x:c>
      <x:c r="AN906" s="74" t="str">
        <x:v>0</x:v>
      </x:c>
      <x:c r="AO906" s="60" t="str">
        <x:v>0</x:v>
      </x:c>
      <x:c r="AP906" s="76" t="str">
        <x:v>ICP fit; paid-demand need requires manual verification</x:v>
      </x:c>
      <x:c r="AQ906" s="76" t="str">
        <x:v>visible service offer; no embedded homepage video detected</x:v>
      </x:c>
      <x:c r="AR906" s="76" t="str">
        <x:v>I was reviewing general contractor companies in Greater Myrtle Beach Area and TJS HANDYMAN SERVICE looked like a strong fit for a creative test.</x:v>
      </x:c>
      <x:c r="AS906" s="76" t="str">
        <x:v>project walkthrough with proof milestones</x:v>
      </x:c>
      <x:c r="AT906" s="76" t="str">
        <x:v>TJS HANDYMAN SERVICE ad concept</x:v>
      </x:c>
      <x:c r="AU906" s="76" t="str">
        <x:v>Hi Thomas — I was reviewing general contractor companies in Greater Myrtle Beach Area and TJS HANDYMAN SERVICE looked like a strong fit for a creative test. I mapped a private 15-second project walkthrough with proof milestones for TJS HANDYMAN SERVICE using only public brand context—not for publishing, just to show the angle. We build three client-approved video ad concepts in seven days, then turn the winners into fresh variations. No filming day required. Worth sending the private sample?</x:v>
      </x:c>
      <x:c r="AV906" s="76" t="str">
        <x:v>Quick follow-up: the sample angle is a project walkthrough with proof milestones. If it misses the mark, no problem—I won't keep chasing. Should I send it?</x:v>
      </x:c>
      <x:c r="AW906" s="76" t="str">
        <x:v>Hi Thomas, Ryan here. I was looking at TJS HANDYMAN SERVICE's public marketing and noticed: icp fit; paid-demand need requires manual verification. I mapped one private project walkthrough with proof milestones as an example. Did I catch you with 30 seconds?</x:v>
      </x:c>
      <x:c r="AX906" s="60" t="str">
        <x:v>https://www.facebook.com/ads/library/?active_status=active&amp;ad_type=all&amp;country=US&amp;q=TJS%20HANDYMAN%20SERVICE&amp;search_type=keyword_unordered</x:v>
      </x:c>
      <x:c r="AY906" s="60" t="str">
        <x:v>ok:200</x:v>
      </x:c>
      <x:c r="AZ906" s="60" t="n">
        <x:v>46232.722858796296</x:v>
      </x:c>
      <x:c r="BA906" s="60" t="str">
        <x:v>AI Ark SC trades export</x:v>
      </x:c>
      <x:c r="BB906" s="60" t="str">
        <x:v>https://handymanminneapolis.net | https://www.linkedin.com/company/tjs-handyman-service</x:v>
      </x:c>
      <x:c r="BC906" s="60" t="str"/>
    </x:row>
    <x:row r="907" ht="18" customHeight="1">
      <x:c r="A907" s="70" t="str">
        <x:v>906</x:v>
      </x:c>
      <x:c r="B907" s="70" t="str">
        <x:v>C - Verify</x:v>
      </x:c>
      <x:c r="C907" s="72" t="str">
        <x:v>42</x:v>
      </x:c>
      <x:c r="D907" s="60" t="str">
        <x:v>Mister Sparky of Columbia</x:v>
      </x:c>
      <x:c r="E907" s="60" t="str">
        <x:v>https://mistersparky.com</x:v>
      </x:c>
      <x:c r="F907" s="60" t="str">
        <x:v>https://www.mistersparky.com/</x:v>
      </x:c>
      <x:c r="G907" s="60" t="str">
        <x:v>Columbia</x:v>
      </x:c>
      <x:c r="H907" s="60" t="str">
        <x:v>South Carolina</x:v>
      </x:c>
      <x:c r="I907" s="60" t="str">
        <x:v>Electrical</x:v>
      </x:c>
      <x:c r="J907" s="60" t="str">
        <x:v>Mister Sparky of Columbia</x:v>
      </x:c>
      <x:c r="K907" s="60" t="str"/>
      <x:c r="L907" s="60" t="str">
        <x:v>Owner / decision maker to verify</x:v>
      </x:c>
      <x:c r="M907" s="60" t="str"/>
      <x:c r="N907" s="60" t="str"/>
      <x:c r="O907" s="60" t="str">
        <x:v>(803) 962-7421</x:v>
      </x:c>
      <x:c r="P907" s="60" t="str"/>
      <x:c r="Q907" s="60" t="str"/>
      <x:c r="R907" s="60" t="str"/>
      <x:c r="S907" s="60" t="str">
        <x:v>4.8</x:v>
      </x:c>
      <x:c r="T907" s="74" t="str">
        <x:v>367</x:v>
      </x:c>
      <x:c r="U907" s="60" t="str"/>
      <x:c r="V907" s="74" t="str">
        <x:v>24</x:v>
      </x:c>
      <x:c r="W907" s="74" t="str">
        <x:v>0</x:v>
      </x:c>
      <x:c r="X907" s="74" t="str">
        <x:v>10</x:v>
      </x:c>
      <x:c r="Y907" s="74" t="str">
        <x:v>3</x:v>
      </x:c>
      <x:c r="Z907" s="74" t="str">
        <x:v>5</x:v>
      </x:c>
      <x:c r="AA907" s="74" t="str">
        <x:v>0</x:v>
      </x:c>
      <x:c r="AB907" s="74" t="str">
        <x:v>0</x:v>
      </x:c>
      <x:c r="AC907" s="74" t="str">
        <x:v>0</x:v>
      </x:c>
      <x:c r="AD907" s="74" t="str">
        <x:v>0</x:v>
      </x:c>
      <x:c r="AE907" s="74" t="str">
        <x:v>0</x:v>
      </x:c>
      <x:c r="AF907" s="74" t="str"/>
      <x:c r="AG907" s="74" t="str">
        <x:v>0</x:v>
      </x:c>
      <x:c r="AH907" s="74" t="str">
        <x:v>0</x:v>
      </x:c>
      <x:c r="AI907" s="74" t="str">
        <x:v>0</x:v>
      </x:c>
      <x:c r="AJ907" s="74" t="str">
        <x:v>0</x:v>
      </x:c>
      <x:c r="AK907" s="74" t="str">
        <x:v>0</x:v>
      </x:c>
      <x:c r="AL907" s="74" t="str">
        <x:v>0</x:v>
      </x:c>
      <x:c r="AM907" s="74" t="str">
        <x:v>0</x:v>
      </x:c>
      <x:c r="AN907" s="74" t="str">
        <x:v>0</x:v>
      </x:c>
      <x:c r="AO907" s="60" t="str">
        <x:v>0</x:v>
      </x:c>
      <x:c r="AP907" s="76" t="str">
        <x:v>367 Google reviews; no embedded homepage video found</x:v>
      </x:c>
      <x:c r="AQ907" s="76" t="str">
        <x:v>no embedded homepage video detected</x:v>
      </x:c>
      <x:c r="AR907" s="76" t="str">
        <x:v>Mister Sparky of Columbia has 367 Google reviews—strong proof that could be turned into short-form ad concepts.</x:v>
      </x:c>
      <x:c r="AS907" s="76" t="str">
        <x:v>safety inspection problem/solution ad</x:v>
      </x:c>
      <x:c r="AT907" s="76" t="str">
        <x:v>Mister Sparky of Columbia ad concept</x:v>
      </x:c>
      <x:c r="AU907" s="76" t="str">
        <x:v>Hi Mister Sparky of Columbia — Mister Sparky of Columbia has 367 Google reviews—strong proof that could be turned into short-form ad concepts. I mapped a private 15-second safety inspection problem/solution ad for Mister Sparky of Columbia using only public brand context—not for publishing, just to show the angle. We build three client-approved video ad concepts in seven days, then turn the winners into fresh variations. No filming day required. Worth sending the private sample?</x:v>
      </x:c>
      <x:c r="AV907" s="76" t="str">
        <x:v>Quick follow-up: the sample angle is a safety inspection problem/solution ad. If it misses the mark, no problem—I won't keep chasing. Should I send it?</x:v>
      </x:c>
      <x:c r="AW907" s="76" t="str">
        <x:v>Hi Mister Sparky of Columbia, Ryan here. I was looking at Mister Sparky of Columbia's public marketing and noticed: 367 google reviews; no embedded homepage video found. I mapped one private safety inspection problem/solution ad as an example. Did I catch you with 30 seconds?</x:v>
      </x:c>
      <x:c r="AX907" s="60" t="str">
        <x:v>https://www.facebook.com/ads/library/?active_status=active&amp;ad_type=all&amp;country=US&amp;q=Mister%20Sparky%20of%20Columbia&amp;search_type=keyword_unordered</x:v>
      </x:c>
      <x:c r="AY907" s="60" t="str">
        <x:v>ok:200</x:v>
      </x:c>
      <x:c r="AZ907" s="60" t="n">
        <x:v>46232.722858796296</x:v>
      </x:c>
      <x:c r="BA907" s="60" t="str">
        <x:v>Google Maps home-services export</x:v>
      </x:c>
      <x:c r="BB907" s="60" t="str">
        <x:v>https://maps.google.com/?cid=13736585731725716574&amp;g_mp=Cidnb29nbGUubWFwcy5wbGFjZXMudjEuUGxhY2VzLlNlYXJjaFRleHQQAhgEIAA | https://maps.google.com/?cid=15858094751854839548&amp;g_mp=Cidnb29nbGUubWFwcy5wbGFjZXMudjEuUGxhY2VzLlNlYXJjaFRleHQQAhgEIAA | https://mistersparky.com</x:v>
      </x:c>
      <x:c r="BC907" s="60" t="str"/>
    </x:row>
    <x:row r="908" ht="18" customHeight="1">
      <x:c r="A908" s="70" t="str">
        <x:v>907</x:v>
      </x:c>
      <x:c r="B908" s="70" t="str">
        <x:v>C - Verify</x:v>
      </x:c>
      <x:c r="C908" s="72" t="str">
        <x:v>42</x:v>
      </x:c>
      <x:c r="D908" s="60" t="str">
        <x:v>Coast to Coast Cleaning</x:v>
      </x:c>
      <x:c r="E908" s="60" t="str">
        <x:v>https://onestopbiz.net</x:v>
      </x:c>
      <x:c r="F908" s="60" t="str">
        <x:v>https://onestopbiz.net</x:v>
      </x:c>
      <x:c r="G908" s="60" t="str">
        <x:v>Myrtle Beach</x:v>
      </x:c>
      <x:c r="H908" s="60" t="str">
        <x:v>South Carolina</x:v>
      </x:c>
      <x:c r="I908" s="60" t="str">
        <x:v>General Contractor</x:v>
      </x:c>
      <x:c r="J908" s="60" t="str">
        <x:v>Mark</x:v>
      </x:c>
      <x:c r="K908" s="60" t="str">
        <x:v>Cierzan</x:v>
      </x:c>
      <x:c r="L908" s="60" t="str">
        <x:v>Owner</x:v>
      </x:c>
      <x:c r="M908" s="60" t="str"/>
      <x:c r="N908" s="60" t="str"/>
      <x:c r="O908" s="60" t="str">
        <x:v>+1 843 446 0000</x:v>
      </x:c>
      <x:c r="P908" s="60" t="str">
        <x:v>https://www.linkedin.com/in/mark-cierzan-aaba28111</x:v>
      </x:c>
      <x:c r="Q908" s="60" t="str">
        <x:v>1001-5000</x:v>
      </x:c>
      <x:c r="R908" s="60" t="str">
        <x:v>1000000-4999999</x:v>
      </x:c>
      <x:c r="S908" s="60" t="str"/>
      <x:c r="T908" s="74" t="str">
        <x:v>0</x:v>
      </x:c>
      <x:c r="U908" s="60" t="str"/>
      <x:c r="V908" s="74" t="str">
        <x:v>21</x:v>
      </x:c>
      <x:c r="W908" s="74" t="str">
        <x:v>0</x:v>
      </x:c>
      <x:c r="X908" s="74" t="str">
        <x:v>13</x:v>
      </x:c>
      <x:c r="Y908" s="74" t="str">
        <x:v>3</x:v>
      </x:c>
      <x:c r="Z908" s="74" t="str">
        <x:v>5</x:v>
      </x:c>
      <x:c r="AA908" s="74" t="str">
        <x:v>0</x:v>
      </x:c>
      <x:c r="AB908" s="74" t="str">
        <x:v>0</x:v>
      </x:c>
      <x:c r="AC908" s="74" t="str">
        <x:v>0</x:v>
      </x:c>
      <x:c r="AD908" s="74" t="str">
        <x:v>0</x:v>
      </x:c>
      <x:c r="AE908" s="74" t="str">
        <x:v>0</x:v>
      </x:c>
      <x:c r="AF908" s="74" t="str"/>
      <x:c r="AG908" s="74" t="str">
        <x:v>0</x:v>
      </x:c>
      <x:c r="AH908" s="74" t="str">
        <x:v>0</x:v>
      </x:c>
      <x:c r="AI908" s="74" t="str">
        <x:v>0</x:v>
      </x:c>
      <x:c r="AJ908" s="74" t="str">
        <x:v>0</x:v>
      </x:c>
      <x:c r="AK908" s="74" t="str">
        <x:v>1</x:v>
      </x:c>
      <x:c r="AL908" s="74" t="str">
        <x:v>0</x:v>
      </x:c>
      <x:c r="AM908" s="74" t="str">
        <x:v>1</x:v>
      </x:c>
      <x:c r="AN908" s="74" t="str">
        <x:v>0</x:v>
      </x:c>
      <x:c r="AO908" s="60" t="str">
        <x:v>2024</x:v>
      </x:c>
      <x:c r="AP908" s="76" t="str">
        <x:v>ICP fit; paid-demand need requires manual verification</x:v>
      </x:c>
      <x:c r="AQ908" s="76" t="str">
        <x:v>visible service offer; no embedded homepage video detected</x:v>
      </x:c>
      <x:c r="AR908" s="76" t="str">
        <x:v>I was reviewing general contractor companies in Myrtle Beach, South Carolina and Coast to Coast Cleaning looked like a strong fit for a creative test.</x:v>
      </x:c>
      <x:c r="AS908" s="76" t="str">
        <x:v>project walkthrough with proof milestones</x:v>
      </x:c>
      <x:c r="AT908" s="76" t="str">
        <x:v>Coast to Coast Cleaning ad concept</x:v>
      </x:c>
      <x:c r="AU908" s="76" t="str">
        <x:v>Hi Mark — I was reviewing general contractor companies in Myrtle Beach, South Carolina and Coast to Coast Cleaning looked like a strong fit for a creative test. I mapped a private 15-second project walkthrough with proof milestones for Coast to Coast Cleaning using only public brand context—not for publishing, just to show the angle. We build three client-approved video ad concepts in seven days, then turn the winners into fresh variations. No filming day required. Worth sending the private sample?</x:v>
      </x:c>
      <x:c r="AV908" s="76" t="str">
        <x:v>Quick follow-up: the sample angle is a project walkthrough with proof milestones. If it misses the mark, no problem—I won't keep chasing. Should I send it?</x:v>
      </x:c>
      <x:c r="AW908" s="76" t="str">
        <x:v>Hi Mark, Ryan here. I was looking at Coast to Coast Cleaning's public marketing and noticed: icp fit; paid-demand need requires manual verification. I mapped one private project walkthrough with proof milestones as an example. Did I catch you with 30 seconds?</x:v>
      </x:c>
      <x:c r="AX908" s="60" t="str">
        <x:v>https://www.facebook.com/ads/library/?active_status=active&amp;ad_type=all&amp;country=US&amp;q=Coast%20to%20Coast%20Cleaning&amp;search_type=keyword_unordered</x:v>
      </x:c>
      <x:c r="AY908" s="60" t="str">
        <x:v>ok:200</x:v>
      </x:c>
      <x:c r="AZ908" s="60" t="n">
        <x:v>46232.722858796296</x:v>
      </x:c>
      <x:c r="BA908" s="60" t="str">
        <x:v>AI Ark SC trades export</x:v>
      </x:c>
      <x:c r="BB908" s="60" t="str">
        <x:v>https://onestopbiz.net | https://www.linkedin.com/company/coast-to-coast-cleaning</x:v>
      </x:c>
      <x:c r="BC908" s="60" t="str"/>
    </x:row>
    <x:row r="909" ht="18" customHeight="1">
      <x:c r="A909" s="70" t="str">
        <x:v>908</x:v>
      </x:c>
      <x:c r="B909" s="70" t="str">
        <x:v>C - Verify</x:v>
      </x:c>
      <x:c r="C909" s="72" t="str">
        <x:v>42</x:v>
      </x:c>
      <x:c r="D909" s="60" t="str">
        <x:v>Aiken Augusta Garage Door</x:v>
      </x:c>
      <x:c r="E909" s="60" t="str">
        <x:v>https://aikenaugustagaragedoor.com</x:v>
      </x:c>
      <x:c r="F909" s="60" t="str">
        <x:v>https://aikenaugustagaragedoor.com</x:v>
      </x:c>
      <x:c r="G909" s="60" t="str">
        <x:v>Aiken</x:v>
      </x:c>
      <x:c r="H909" s="60" t="str">
        <x:v>South Carolina</x:v>
      </x:c>
      <x:c r="I909" s="60" t="str">
        <x:v>Garage Doors</x:v>
      </x:c>
      <x:c r="J909" s="60" t="str">
        <x:v>Aiken Augusta Garage Door</x:v>
      </x:c>
      <x:c r="K909" s="60" t="str"/>
      <x:c r="L909" s="60" t="str">
        <x:v>Owner / decision maker to verify</x:v>
      </x:c>
      <x:c r="M909" s="60" t="str"/>
      <x:c r="N909" s="60" t="str"/>
      <x:c r="O909" s="60" t="str">
        <x:v>(706) 814-8866</x:v>
      </x:c>
      <x:c r="P909" s="60" t="str"/>
      <x:c r="Q909" s="60" t="str"/>
      <x:c r="R909" s="60" t="str"/>
      <x:c r="S909" s="60" t="str">
        <x:v>4.9</x:v>
      </x:c>
      <x:c r="T909" s="74" t="str">
        <x:v>225</x:v>
      </x:c>
      <x:c r="U909" s="60" t="str"/>
      <x:c r="V909" s="74" t="str">
        <x:v>24</x:v>
      </x:c>
      <x:c r="W909" s="74" t="str">
        <x:v>0</x:v>
      </x:c>
      <x:c r="X909" s="74" t="str">
        <x:v>10</x:v>
      </x:c>
      <x:c r="Y909" s="74" t="str">
        <x:v>3</x:v>
      </x:c>
      <x:c r="Z909" s="74" t="str">
        <x:v>5</x:v>
      </x:c>
      <x:c r="AA909" s="74" t="str">
        <x:v>0</x:v>
      </x:c>
      <x:c r="AB909" s="74" t="str">
        <x:v>0</x:v>
      </x:c>
      <x:c r="AC909" s="74" t="str">
        <x:v>0</x:v>
      </x:c>
      <x:c r="AD909" s="74" t="str">
        <x:v>0</x:v>
      </x:c>
      <x:c r="AE909" s="74" t="str">
        <x:v>0</x:v>
      </x:c>
      <x:c r="AF909" s="74" t="str"/>
      <x:c r="AG909" s="74" t="str">
        <x:v>0</x:v>
      </x:c>
      <x:c r="AH909" s="74" t="str">
        <x:v>0</x:v>
      </x:c>
      <x:c r="AI909" s="74" t="str">
        <x:v>0</x:v>
      </x:c>
      <x:c r="AJ909" s="74" t="str">
        <x:v>0</x:v>
      </x:c>
      <x:c r="AK909" s="74" t="str">
        <x:v>0</x:v>
      </x:c>
      <x:c r="AL909" s="74" t="str">
        <x:v>0</x:v>
      </x:c>
      <x:c r="AM909" s="74" t="str">
        <x:v>0</x:v>
      </x:c>
      <x:c r="AN909" s="74" t="str">
        <x:v>0</x:v>
      </x:c>
      <x:c r="AO909" s="60" t="str">
        <x:v>0</x:v>
      </x:c>
      <x:c r="AP909" s="76" t="str">
        <x:v>225 Google reviews; no embedded homepage video found</x:v>
      </x:c>
      <x:c r="AQ909" s="76" t="str">
        <x:v>no embedded homepage video detected</x:v>
      </x:c>
      <x:c r="AR909" s="76" t="str">
        <x:v>Aiken Augusta Garage Door has 225 Google reviews—strong proof that could be turned into short-form ad concepts.</x:v>
      </x:c>
      <x:c r="AS909" s="76" t="str">
        <x:v>curb-appeal transformation ad</x:v>
      </x:c>
      <x:c r="AT909" s="76" t="str">
        <x:v>Aiken Augusta Garage Door ad concept</x:v>
      </x:c>
      <x:c r="AU909" s="76" t="str">
        <x:v>Hi Aiken Augusta Garage Door — Aiken Augusta Garage Door has 225 Google reviews—strong proof that could be turned into short-form ad concepts. I mapped a private 15-second curb-appeal transformation ad for Aiken Augusta Garage Door using only public brand context—not for publishing, just to show the angle. We build three client-approved video ad concepts in seven days, then turn the winners into fresh variations. No filming day required. Worth sending the private sample?</x:v>
      </x:c>
      <x:c r="AV909" s="76" t="str">
        <x:v>Quick follow-up: the sample angle is a curb-appeal transformation ad. If it misses the mark, no problem—I won't keep chasing. Should I send it?</x:v>
      </x:c>
      <x:c r="AW909" s="76" t="str">
        <x:v>Hi Aiken Augusta Garage Door, Ryan here. I was looking at Aiken Augusta Garage Door's public marketing and noticed: 225 google reviews; no embedded homepage video found. I mapped one private curb-appeal transformation ad as an example. Did I catch you with 30 seconds?</x:v>
      </x:c>
      <x:c r="AX909" s="60" t="str">
        <x:v>https://www.facebook.com/ads/library/?active_status=active&amp;ad_type=all&amp;country=US&amp;q=Aiken%20Augusta%20Garage%20Door&amp;search_type=keyword_unordered</x:v>
      </x:c>
      <x:c r="AY909" s="60" t="str">
        <x:v>ok:200</x:v>
      </x:c>
      <x:c r="AZ909" s="60" t="n">
        <x:v>46232.722858796296</x:v>
      </x:c>
      <x:c r="BA909" s="60" t="str">
        <x:v>Google Maps home-services export</x:v>
      </x:c>
      <x:c r="BB909" s="60" t="str">
        <x:v>https://aikenaugustagaragedoor.com | https://maps.google.com/?cid=18252561255560711832&amp;g_mp=Cidnb29nbGUubWFwcy5wbGFjZXMudjEuUGxhY2VzLlNlYXJjaFRleHQQAhgEIAA</x:v>
      </x:c>
      <x:c r="BC909" s="60" t="str"/>
    </x:row>
    <x:row r="910" ht="18" customHeight="1">
      <x:c r="A910" s="70" t="str">
        <x:v>909</x:v>
      </x:c>
      <x:c r="B910" s="70" t="str">
        <x:v>C - Verify</x:v>
      </x:c>
      <x:c r="C910" s="72" t="str">
        <x:v>42</x:v>
      </x:c>
      <x:c r="D910" s="60" t="str">
        <x:v>A Greener Air and Geothermal</x:v>
      </x:c>
      <x:c r="E910" s="60" t="str">
        <x:v>https://greenairsc.com</x:v>
      </x:c>
      <x:c r="F910" s="60" t="str">
        <x:v>https://www.greenairsc.com/</x:v>
      </x:c>
      <x:c r="G910" s="60" t="str">
        <x:v>Beaufort</x:v>
      </x:c>
      <x:c r="H910" s="60" t="str">
        <x:v>South Carolina</x:v>
      </x:c>
      <x:c r="I910" s="60" t="str">
        <x:v>HVAC</x:v>
      </x:c>
      <x:c r="J910" s="60" t="str">
        <x:v>A Greener Air and Geothermal</x:v>
      </x:c>
      <x:c r="K910" s="60" t="str"/>
      <x:c r="L910" s="60" t="str">
        <x:v>Owner / decision maker to verify</x:v>
      </x:c>
      <x:c r="M910" s="60" t="str"/>
      <x:c r="N910" s="60" t="str"/>
      <x:c r="O910" s="60" t="str">
        <x:v>(843) 321-1708</x:v>
      </x:c>
      <x:c r="P910" s="60" t="str"/>
      <x:c r="Q910" s="60" t="str"/>
      <x:c r="R910" s="60" t="str"/>
      <x:c r="S910" s="60" t="str">
        <x:v>5</x:v>
      </x:c>
      <x:c r="T910" s="74" t="str">
        <x:v>17</x:v>
      </x:c>
      <x:c r="U910" s="60" t="str"/>
      <x:c r="V910" s="74" t="str">
        <x:v>24</x:v>
      </x:c>
      <x:c r="W910" s="74" t="str">
        <x:v>0</x:v>
      </x:c>
      <x:c r="X910" s="74" t="str">
        <x:v>10</x:v>
      </x:c>
      <x:c r="Y910" s="74" t="str">
        <x:v>3</x:v>
      </x:c>
      <x:c r="Z910" s="74" t="str">
        <x:v>5</x:v>
      </x:c>
      <x:c r="AA910" s="74" t="str">
        <x:v>0</x:v>
      </x:c>
      <x:c r="AB910" s="74" t="str">
        <x:v>0</x:v>
      </x:c>
      <x:c r="AC910" s="74" t="str">
        <x:v>0</x:v>
      </x:c>
      <x:c r="AD910" s="74" t="str">
        <x:v>0</x:v>
      </x:c>
      <x:c r="AE910" s="74" t="str">
        <x:v>0</x:v>
      </x:c>
      <x:c r="AF910" s="74" t="str"/>
      <x:c r="AG910" s="74" t="str">
        <x:v>0</x:v>
      </x:c>
      <x:c r="AH910" s="74" t="str">
        <x:v>0</x:v>
      </x:c>
      <x:c r="AI910" s="74" t="str">
        <x:v>0</x:v>
      </x:c>
      <x:c r="AJ910" s="74" t="str">
        <x:v>0</x:v>
      </x:c>
      <x:c r="AK910" s="74" t="str">
        <x:v>1</x:v>
      </x:c>
      <x:c r="AL910" s="74" t="str">
        <x:v>0</x:v>
      </x:c>
      <x:c r="AM910" s="74" t="str">
        <x:v>1</x:v>
      </x:c>
      <x:c r="AN910" s="74" t="str">
        <x:v>0</x:v>
      </x:c>
      <x:c r="AO910" s="60" t="str">
        <x:v>0</x:v>
      </x:c>
      <x:c r="AP910" s="76" t="str">
        <x:v>ICP fit; paid-demand need requires manual verification</x:v>
      </x:c>
      <x:c r="AQ910" s="76" t="str">
        <x:v>visible service offer; no embedded homepage video detected</x:v>
      </x:c>
      <x:c r="AR910" s="76" t="str">
        <x:v>I was reviewing hvac companies in Beaufort, South Carolina and A Greener Air and Geothermal looked like a strong fit for a creative test.</x:v>
      </x:c>
      <x:c r="AS910" s="76" t="str">
        <x:v>no-cool-call to same-day comfort ad</x:v>
      </x:c>
      <x:c r="AT910" s="76" t="str">
        <x:v>A Greener Air and Geothermal ad concept</x:v>
      </x:c>
      <x:c r="AU910" s="76" t="str">
        <x:v>Hi A Greener Air and Geothermal — I was reviewing hvac companies in Beaufort, South Carolina and A Greener Air and Geothermal looked like a strong fit for a creative test. I mapped a private 15-second no-cool-call to same-day comfort ad for A Greener Air and Geothermal using only public brand context—not for publishing, just to show the angle. We build three client-approved video ad concepts in seven days, then turn the winners into fresh variations. No filming day required. Worth sending the private sample?</x:v>
      </x:c>
      <x:c r="AV910" s="76" t="str">
        <x:v>Quick follow-up: the sample angle is a no-cool-call to same-day comfort ad. If it misses the mark, no problem—I won't keep chasing. Should I send it?</x:v>
      </x:c>
      <x:c r="AW910" s="76" t="str">
        <x:v>Hi A Greener Air and Geothermal, Ryan here. I was looking at A Greener Air and Geothermal's public marketing and noticed: icp fit; paid-demand need requires manual verification. I mapped one private no-cool-call to same-day comfort ad as an example. Did I catch you with 30 seconds?</x:v>
      </x:c>
      <x:c r="AX910" s="60" t="str">
        <x:v>https://www.facebook.com/ads/library/?active_status=active&amp;ad_type=all&amp;country=US&amp;q=A%20Greener%20Air%20and%20Geothermal&amp;search_type=keyword_unordered</x:v>
      </x:c>
      <x:c r="AY910" s="60" t="str">
        <x:v>ok:200</x:v>
      </x:c>
      <x:c r="AZ910" s="60" t="n">
        <x:v>46232.722858796296</x:v>
      </x:c>
      <x:c r="BA910" s="60" t="str">
        <x:v>Google Maps home-services export</x:v>
      </x:c>
      <x:c r="BB910" s="60" t="str">
        <x:v>https://greenairsc.com | https://maps.google.com/?cid=11932170757978571283&amp;g_mp=Cidnb29nbGUubWFwcy5wbGFjZXMudjEuUGxhY2VzLlNlYXJjaFRleHQQAhgEIAA</x:v>
      </x:c>
      <x:c r="BC910" s="60" t="str"/>
    </x:row>
    <x:row r="911" ht="18" customHeight="1">
      <x:c r="A911" s="70" t="str">
        <x:v>910</x:v>
      </x:c>
      <x:c r="B911" s="70" t="str">
        <x:v>C - Verify</x:v>
      </x:c>
      <x:c r="C911" s="72" t="str">
        <x:v>42</x:v>
      </x:c>
      <x:c r="D911" s="60" t="str">
        <x:v>Parker Heating and Air Conditioning</x:v>
      </x:c>
      <x:c r="E911" s="60" t="str">
        <x:v>https://parkerheatingandair.com</x:v>
      </x:c>
      <x:c r="F911" s="60" t="str">
        <x:v>https://parkerheatingandair.com</x:v>
      </x:c>
      <x:c r="G911" s="60" t="str">
        <x:v>Rock Hill</x:v>
      </x:c>
      <x:c r="H911" s="60" t="str">
        <x:v>South Carolina</x:v>
      </x:c>
      <x:c r="I911" s="60" t="str">
        <x:v>HVAC</x:v>
      </x:c>
      <x:c r="J911" s="60" t="str">
        <x:v>Parker Heating and Air Conditioning</x:v>
      </x:c>
      <x:c r="K911" s="60" t="str"/>
      <x:c r="L911" s="60" t="str">
        <x:v>Owner / decision maker to verify</x:v>
      </x:c>
      <x:c r="M911" s="60" t="str"/>
      <x:c r="N911" s="60" t="str"/>
      <x:c r="O911" s="60" t="str">
        <x:v>(803) 366-1097</x:v>
      </x:c>
      <x:c r="P911" s="60" t="str"/>
      <x:c r="Q911" s="60" t="str"/>
      <x:c r="R911" s="60" t="str"/>
      <x:c r="S911" s="60" t="str">
        <x:v>4.9</x:v>
      </x:c>
      <x:c r="T911" s="74" t="str">
        <x:v>93</x:v>
      </x:c>
      <x:c r="U911" s="60" t="str"/>
      <x:c r="V911" s="74" t="str">
        <x:v>26</x:v>
      </x:c>
      <x:c r="W911" s="74" t="str">
        <x:v>0</x:v>
      </x:c>
      <x:c r="X911" s="74" t="str">
        <x:v>9</x:v>
      </x:c>
      <x:c r="Y911" s="74" t="str">
        <x:v>2</x:v>
      </x:c>
      <x:c r="Z911" s="74" t="str">
        <x:v>5</x:v>
      </x:c>
      <x:c r="AA911" s="74" t="str">
        <x:v>0</x:v>
      </x:c>
      <x:c r="AB911" s="74" t="str">
        <x:v>0</x:v>
      </x:c>
      <x:c r="AC911" s="74" t="str">
        <x:v>0</x:v>
      </x:c>
      <x:c r="AD911" s="74" t="str">
        <x:v>0</x:v>
      </x:c>
      <x:c r="AE911" s="74" t="str">
        <x:v>0</x:v>
      </x:c>
      <x:c r="AF911" s="74" t="str"/>
      <x:c r="AG911" s="74" t="str">
        <x:v>0</x:v>
      </x:c>
      <x:c r="AH911" s="74" t="str">
        <x:v>0</x:v>
      </x:c>
      <x:c r="AI911" s="74" t="str">
        <x:v>0</x:v>
      </x:c>
      <x:c r="AJ911" s="74" t="str">
        <x:v>0</x:v>
      </x:c>
      <x:c r="AK911" s="74" t="str">
        <x:v>0</x:v>
      </x:c>
      <x:c r="AL911" s="74" t="str">
        <x:v>1</x:v>
      </x:c>
      <x:c r="AM911" s="74" t="str">
        <x:v>1</x:v>
      </x:c>
      <x:c r="AN911" s="74" t="str">
        <x:v>0</x:v>
      </x:c>
      <x:c r="AO911" s="60" t="str">
        <x:v>2024</x:v>
      </x:c>
      <x:c r="AP911" s="76" t="str">
        <x:v>ICP fit; paid-demand need requires manual verification</x:v>
      </x:c>
      <x:c r="AQ911" s="76" t="str">
        <x:v>no embedded homepage video detected</x:v>
      </x:c>
      <x:c r="AR911" s="76" t="str">
        <x:v>I was reviewing hvac companies in Rock Hill, South Carolina and Parker Heating and Air Conditioning looked like a strong fit for a creative test.</x:v>
      </x:c>
      <x:c r="AS911" s="76" t="str">
        <x:v>no-cool-call to same-day comfort ad</x:v>
      </x:c>
      <x:c r="AT911" s="76" t="str">
        <x:v>Parker Heating and Air Conditioning ad concept</x:v>
      </x:c>
      <x:c r="AU911" s="76" t="str">
        <x:v>Hi Parker Heating and Air Conditioning — I was reviewing hvac companies in Rock Hill, South Carolina and Parker Heating and Air Conditioning looked like a strong fit for a creative test. I mapped a private 15-second no-cool-call to same-day comfort ad for Parker Heating and Air Conditioning using only public brand context—not for publishing, just to show the angle. We build three client-approved video ad concepts in seven days, then turn the winners into fresh variations. No filming day required. Worth sending the private sample?</x:v>
      </x:c>
      <x:c r="AV911" s="76" t="str">
        <x:v>Quick follow-up: the sample angle is a no-cool-call to same-day comfort ad. If it misses the mark, no problem—I won't keep chasing. Should I send it?</x:v>
      </x:c>
      <x:c r="AW911" s="76" t="str">
        <x:v>Hi Parker Heating and Air Conditioning, Ryan here. I was looking at Parker Heating and Air Conditioning's public marketing and noticed: icp fit; paid-demand need requires manual verification. I mapped one private no-cool-call to same-day comfort ad as an example. Did I catch you with 30 seconds?</x:v>
      </x:c>
      <x:c r="AX911" s="60" t="str">
        <x:v>https://www.facebook.com/ads/library/?active_status=active&amp;ad_type=all&amp;country=US&amp;q=Parker%20Heating%20and%20Air%20Conditioning&amp;search_type=keyword_unordered</x:v>
      </x:c>
      <x:c r="AY911" s="60" t="str">
        <x:v>ok:200</x:v>
      </x:c>
      <x:c r="AZ911" s="60" t="n">
        <x:v>46232.722858796296</x:v>
      </x:c>
      <x:c r="BA911" s="60" t="str">
        <x:v>Google Maps home-services export</x:v>
      </x:c>
      <x:c r="BB911" s="60" t="str">
        <x:v>https://maps.google.com/?cid=10116348508436571868&amp;g_mp=Cidnb29nbGUubWFwcy5wbGFjZXMudjEuUGxhY2VzLlNlYXJjaFRleHQQAhgEIAA | https://parkerheatingandair.com</x:v>
      </x:c>
      <x:c r="BC911" s="60" t="str"/>
    </x:row>
    <x:row r="912" ht="18" customHeight="1">
      <x:c r="A912" s="70" t="str">
        <x:v>911</x:v>
      </x:c>
      <x:c r="B912" s="70" t="str">
        <x:v>C - Verify</x:v>
      </x:c>
      <x:c r="C912" s="72" t="str">
        <x:v>42</x:v>
      </x:c>
      <x:c r="D912" s="60" t="str">
        <x:v>MAC ELECTRIC</x:v>
      </x:c>
      <x:c r="E912" s="60" t="str">
        <x:v>https://macelectricservices.com</x:v>
      </x:c>
      <x:c r="F912" s="60" t="str">
        <x:v>http://macelectricservices.com</x:v>
      </x:c>
      <x:c r="G912" s="60" t="str">
        <x:v>Aiken</x:v>
      </x:c>
      <x:c r="H912" s="60" t="str">
        <x:v>South Carolina</x:v>
      </x:c>
      <x:c r="I912" s="60" t="str">
        <x:v>Plumbing</x:v>
      </x:c>
      <x:c r="J912" s="60" t="str">
        <x:v>MAC ELECTRIC</x:v>
      </x:c>
      <x:c r="K912" s="60" t="str"/>
      <x:c r="L912" s="60" t="str">
        <x:v>Owner / decision maker to verify</x:v>
      </x:c>
      <x:c r="M912" s="60" t="str"/>
      <x:c r="N912" s="60" t="str"/>
      <x:c r="O912" s="60" t="str">
        <x:v>(803) 522-2542</x:v>
      </x:c>
      <x:c r="P912" s="60" t="str"/>
      <x:c r="Q912" s="60" t="str"/>
      <x:c r="R912" s="60" t="str"/>
      <x:c r="S912" s="60" t="str">
        <x:v>4.7</x:v>
      </x:c>
      <x:c r="T912" s="74" t="str">
        <x:v>92</x:v>
      </x:c>
      <x:c r="U912" s="60" t="str"/>
      <x:c r="V912" s="74" t="str">
        <x:v>22</x:v>
      </x:c>
      <x:c r="W912" s="74" t="str">
        <x:v>0</x:v>
      </x:c>
      <x:c r="X912" s="74" t="str">
        <x:v>13</x:v>
      </x:c>
      <x:c r="Y912" s="74" t="str">
        <x:v>2</x:v>
      </x:c>
      <x:c r="Z912" s="74" t="str">
        <x:v>5</x:v>
      </x:c>
      <x:c r="AA912" s="74" t="str">
        <x:v>0</x:v>
      </x:c>
      <x:c r="AB912" s="74" t="str">
        <x:v>0</x:v>
      </x:c>
      <x:c r="AC912" s="74" t="str">
        <x:v>0</x:v>
      </x:c>
      <x:c r="AD912" s="74" t="str">
        <x:v>0</x:v>
      </x:c>
      <x:c r="AE912" s="74" t="str">
        <x:v>0</x:v>
      </x:c>
      <x:c r="AF912" s="74" t="str"/>
      <x:c r="AG912" s="74" t="str">
        <x:v>0</x:v>
      </x:c>
      <x:c r="AH912" s="74" t="str">
        <x:v>0</x:v>
      </x:c>
      <x:c r="AI912" s="74" t="str">
        <x:v>0</x:v>
      </x:c>
      <x:c r="AJ912" s="74" t="str">
        <x:v>0</x:v>
      </x:c>
      <x:c r="AK912" s="74" t="str">
        <x:v>0</x:v>
      </x:c>
      <x:c r="AL912" s="74" t="str">
        <x:v>0</x:v>
      </x:c>
      <x:c r="AM912" s="74" t="str">
        <x:v>0</x:v>
      </x:c>
      <x:c r="AN912" s="74" t="str">
        <x:v>0</x:v>
      </x:c>
      <x:c r="AO912" s="60" t="str">
        <x:v>2018</x:v>
      </x:c>
      <x:c r="AP912" s="76" t="str">
        <x:v>ICP fit; paid-demand need requires manual verification</x:v>
      </x:c>
      <x:c r="AQ912" s="76" t="str">
        <x:v>no embedded homepage video detected</x:v>
      </x:c>
      <x:c r="AR912" s="76" t="str">
        <x:v>I was reviewing plumbing companies in Aiken, South Carolina and MAC ELECTRIC looked like a strong fit for a creative test.</x:v>
      </x:c>
      <x:c r="AS912" s="76" t="str">
        <x:v>small symptom to prevented-emergency ad</x:v>
      </x:c>
      <x:c r="AT912" s="76" t="str">
        <x:v>MAC ELECTRIC ad concept</x:v>
      </x:c>
      <x:c r="AU912" s="76" t="str">
        <x:v>Hi MAC ELECTRIC — I was reviewing plumbing companies in Aiken, South Carolina and MAC ELECTRIC looked like a strong fit for a creative test. I mapped a private 15-second small symptom to prevented-emergency ad for MAC ELECTRIC using only public brand context—not for publishing, just to show the angle. We build three client-approved video ad concepts in seven days, then turn the winners into fresh variations. No filming day required. Worth sending the private sample?</x:v>
      </x:c>
      <x:c r="AV912" s="76" t="str">
        <x:v>Quick follow-up: the sample angle is a small symptom to prevented-emergency ad. If it misses the mark, no problem—I won't keep chasing. Should I send it?</x:v>
      </x:c>
      <x:c r="AW912" s="76" t="str">
        <x:v>Hi MAC ELECTRIC, Ryan here. I was looking at MAC ELECTRIC's public marketing and noticed: icp fit; paid-demand need requires manual verification. I mapped one private small symptom to prevented-emergency ad as an example. Did I catch you with 30 seconds?</x:v>
      </x:c>
      <x:c r="AX912" s="60" t="str">
        <x:v>https://www.facebook.com/ads/library/?active_status=active&amp;ad_type=all&amp;country=US&amp;q=MAC%20ELECTRIC&amp;search_type=keyword_unordered</x:v>
      </x:c>
      <x:c r="AY912" s="60" t="str">
        <x:v>ok:200</x:v>
      </x:c>
      <x:c r="AZ912" s="60" t="n">
        <x:v>46232.722858796296</x:v>
      </x:c>
      <x:c r="BA912" s="60" t="str">
        <x:v>Google Maps home-services export</x:v>
      </x:c>
      <x:c r="BB912" s="60" t="str">
        <x:v>https://macelectricservices.com | https://maps.google.com/?cid=10908900907592427303&amp;g_mp=Cidnb29nbGUubWFwcy5wbGFjZXMudjEuUGxhY2VzLlNlYXJjaFRleHQQAhgEIAA</x:v>
      </x:c>
      <x:c r="BC912" s="60" t="str"/>
    </x:row>
    <x:row r="913" ht="18" customHeight="1">
      <x:c r="A913" s="70" t="str">
        <x:v>912</x:v>
      </x:c>
      <x:c r="B913" s="70" t="str">
        <x:v>C - Verify</x:v>
      </x:c>
      <x:c r="C913" s="72" t="str">
        <x:v>42</x:v>
      </x:c>
      <x:c r="D913" s="60" t="str">
        <x:v>Low Tide Plumbing</x:v>
      </x:c>
      <x:c r="E913" s="60" t="str">
        <x:v>https://lowtideplumbing.com</x:v>
      </x:c>
      <x:c r="F913" s="60" t="str">
        <x:v>https://lowtideplumbing.com</x:v>
      </x:c>
      <x:c r="G913" s="60" t="str">
        <x:v>Hilton Head</x:v>
      </x:c>
      <x:c r="H913" s="60" t="str">
        <x:v>South Carolina</x:v>
      </x:c>
      <x:c r="I913" s="60" t="str">
        <x:v>Plumbing</x:v>
      </x:c>
      <x:c r="J913" s="60" t="str">
        <x:v>Low Tide Plumbing</x:v>
      </x:c>
      <x:c r="K913" s="60" t="str"/>
      <x:c r="L913" s="60" t="str">
        <x:v>Owner / decision maker to verify</x:v>
      </x:c>
      <x:c r="M913" s="60" t="str"/>
      <x:c r="N913" s="60" t="str"/>
      <x:c r="O913" s="60" t="str">
        <x:v>(843) 682-8248</x:v>
      </x:c>
      <x:c r="P913" s="60" t="str"/>
      <x:c r="Q913" s="60" t="str"/>
      <x:c r="R913" s="60" t="str"/>
      <x:c r="S913" s="60" t="str">
        <x:v>4.5</x:v>
      </x:c>
      <x:c r="T913" s="74" t="str">
        <x:v>62</x:v>
      </x:c>
      <x:c r="U913" s="60" t="str"/>
      <x:c r="V913" s="74" t="str">
        <x:v>22</x:v>
      </x:c>
      <x:c r="W913" s="74" t="str">
        <x:v>0</x:v>
      </x:c>
      <x:c r="X913" s="74" t="str">
        <x:v>13</x:v>
      </x:c>
      <x:c r="Y913" s="74" t="str">
        <x:v>2</x:v>
      </x:c>
      <x:c r="Z913" s="74" t="str">
        <x:v>5</x:v>
      </x:c>
      <x:c r="AA913" s="74" t="str">
        <x:v>0</x:v>
      </x:c>
      <x:c r="AB913" s="74" t="str">
        <x:v>0</x:v>
      </x:c>
      <x:c r="AC913" s="74" t="str">
        <x:v>0</x:v>
      </x:c>
      <x:c r="AD913" s="74" t="str">
        <x:v>0</x:v>
      </x:c>
      <x:c r="AE913" s="74" t="str">
        <x:v>0</x:v>
      </x:c>
      <x:c r="AF913" s="74" t="str"/>
      <x:c r="AG913" s="74" t="str">
        <x:v>0</x:v>
      </x:c>
      <x:c r="AH913" s="74" t="str">
        <x:v>0</x:v>
      </x:c>
      <x:c r="AI913" s="74" t="str">
        <x:v>0</x:v>
      </x:c>
      <x:c r="AJ913" s="74" t="str">
        <x:v>0</x:v>
      </x:c>
      <x:c r="AK913" s="74" t="str">
        <x:v>0</x:v>
      </x:c>
      <x:c r="AL913" s="74" t="str">
        <x:v>0</x:v>
      </x:c>
      <x:c r="AM913" s="74" t="str">
        <x:v>0</x:v>
      </x:c>
      <x:c r="AN913" s="74" t="str">
        <x:v>0</x:v>
      </x:c>
      <x:c r="AO913" s="60" t="str">
        <x:v>2018</x:v>
      </x:c>
      <x:c r="AP913" s="76" t="str">
        <x:v>ICP fit; paid-demand need requires manual verification</x:v>
      </x:c>
      <x:c r="AQ913" s="76" t="str">
        <x:v>no embedded homepage video detected</x:v>
      </x:c>
      <x:c r="AR913" s="76" t="str">
        <x:v>I was reviewing plumbing companies in Hilton Head, South Carolina and Low Tide Plumbing looked like a strong fit for a creative test.</x:v>
      </x:c>
      <x:c r="AS913" s="76" t="str">
        <x:v>small symptom to prevented-emergency ad</x:v>
      </x:c>
      <x:c r="AT913" s="76" t="str">
        <x:v>Low Tide Plumbing ad concept</x:v>
      </x:c>
      <x:c r="AU913" s="76" t="str">
        <x:v>Hi Low Tide Plumbing — I was reviewing plumbing companies in Hilton Head, South Carolina and Low Tide Plumbing looked like a strong fit for a creative test. I mapped a private 15-second small symptom to prevented-emergency ad for Low Tide Plumbing using only public brand context—not for publishing, just to show the angle. We build three client-approved video ad concepts in seven days, then turn the winners into fresh variations. No filming day required. Worth sending the private sample?</x:v>
      </x:c>
      <x:c r="AV913" s="76" t="str">
        <x:v>Quick follow-up: the sample angle is a small symptom to prevented-emergency ad. If it misses the mark, no problem—I won't keep chasing. Should I send it?</x:v>
      </x:c>
      <x:c r="AW913" s="76" t="str">
        <x:v>Hi Low Tide Plumbing, Ryan here. I was looking at Low Tide Plumbing's public marketing and noticed: icp fit; paid-demand need requires manual verification. I mapped one private small symptom to prevented-emergency ad as an example. Did I catch you with 30 seconds?</x:v>
      </x:c>
      <x:c r="AX913" s="60" t="str">
        <x:v>https://www.facebook.com/ads/library/?active_status=active&amp;ad_type=all&amp;country=US&amp;q=Low%20Tide%20Plumbing&amp;search_type=keyword_unordered</x:v>
      </x:c>
      <x:c r="AY913" s="60" t="str">
        <x:v>ok:200</x:v>
      </x:c>
      <x:c r="AZ913" s="60" t="n">
        <x:v>46232.722858796296</x:v>
      </x:c>
      <x:c r="BA913" s="60" t="str">
        <x:v>Google Maps home-services export</x:v>
      </x:c>
      <x:c r="BB913" s="60" t="str">
        <x:v>https://lowtideplumbing.com | https://maps.google.com/?cid=6303974140036215307&amp;g_mp=Cidnb29nbGUubWFwcy5wbGFjZXMudjEuUGxhY2VzLlNlYXJjaFRleHQQAhgEIAA</x:v>
      </x:c>
      <x:c r="BC913" s="60" t="str"/>
    </x:row>
    <x:row r="914" ht="18" customHeight="1">
      <x:c r="A914" s="70" t="str">
        <x:v>913</x:v>
      </x:c>
      <x:c r="B914" s="70" t="str">
        <x:v>C - Verify</x:v>
      </x:c>
      <x:c r="C914" s="72" t="str">
        <x:v>42</x:v>
      </x:c>
      <x:c r="D914" s="60" t="str">
        <x:v>All About Plumbing SC</x:v>
      </x:c>
      <x:c r="E914" s="60" t="str">
        <x:v>https://allaboutplumbingsc.com</x:v>
      </x:c>
      <x:c r="F914" s="60" t="str">
        <x:v>https://allaboutplumbingsc.com</x:v>
      </x:c>
      <x:c r="G914" s="60" t="str">
        <x:v>Taylors</x:v>
      </x:c>
      <x:c r="H914" s="60" t="str">
        <x:v>South Carolina</x:v>
      </x:c>
      <x:c r="I914" s="60" t="str">
        <x:v>Plumbing</x:v>
      </x:c>
      <x:c r="J914" s="60" t="str">
        <x:v>Steve</x:v>
      </x:c>
      <x:c r="K914" s="60" t="str">
        <x:v>Pillon</x:v>
      </x:c>
      <x:c r="L914" s="60" t="str">
        <x:v>Owner</x:v>
      </x:c>
      <x:c r="M914" s="60" t="str"/>
      <x:c r="N914" s="60" t="str"/>
      <x:c r="O914" s="60" t="str">
        <x:v>+1 864 436 3006</x:v>
      </x:c>
      <x:c r="P914" s="60" t="str">
        <x:v>https://www.linkedin.com/in/allaboutplumbingsc</x:v>
      </x:c>
      <x:c r="Q914" s="60" t="str">
        <x:v>2-10</x:v>
      </x:c>
      <x:c r="R914" s="60" t="str">
        <x:v>100000-499999</x:v>
      </x:c>
      <x:c r="S914" s="60" t="str">
        <x:v>4.6</x:v>
      </x:c>
      <x:c r="T914" s="74" t="str">
        <x:v>31</x:v>
      </x:c>
      <x:c r="U914" s="60" t="str"/>
      <x:c r="V914" s="74" t="str">
        <x:v>25</x:v>
      </x:c>
      <x:c r="W914" s="74" t="str">
        <x:v>0</x:v>
      </x:c>
      <x:c r="X914" s="74" t="str">
        <x:v>10</x:v>
      </x:c>
      <x:c r="Y914" s="74" t="str">
        <x:v>2</x:v>
      </x:c>
      <x:c r="Z914" s="74" t="str">
        <x:v>5</x:v>
      </x:c>
      <x:c r="AA914" s="74" t="str">
        <x:v>0</x:v>
      </x:c>
      <x:c r="AB914" s="74" t="str">
        <x:v>0</x:v>
      </x:c>
      <x:c r="AC914" s="74" t="str">
        <x:v>0</x:v>
      </x:c>
      <x:c r="AD914" s="74" t="str">
        <x:v>0</x:v>
      </x:c>
      <x:c r="AE914" s="74" t="str">
        <x:v>0</x:v>
      </x:c>
      <x:c r="AF914" s="74" t="str"/>
      <x:c r="AG914" s="74" t="str">
        <x:v>0</x:v>
      </x:c>
      <x:c r="AH914" s="74" t="str">
        <x:v>0</x:v>
      </x:c>
      <x:c r="AI914" s="74" t="str">
        <x:v>0</x:v>
      </x:c>
      <x:c r="AJ914" s="74" t="str">
        <x:v>0</x:v>
      </x:c>
      <x:c r="AK914" s="74" t="str">
        <x:v>0</x:v>
      </x:c>
      <x:c r="AL914" s="74" t="str">
        <x:v>0</x:v>
      </x:c>
      <x:c r="AM914" s="74" t="str">
        <x:v>0</x:v>
      </x:c>
      <x:c r="AN914" s="74" t="str">
        <x:v>0</x:v>
      </x:c>
      <x:c r="AO914" s="60" t="str">
        <x:v>0</x:v>
      </x:c>
      <x:c r="AP914" s="76" t="str">
        <x:v>ICP fit; paid-demand need requires manual verification</x:v>
      </x:c>
      <x:c r="AQ914" s="76" t="str">
        <x:v>no embedded homepage video detected</x:v>
      </x:c>
      <x:c r="AR914" s="76" t="str">
        <x:v>I was reviewing plumbing companies in Taylors, South Carolina and All About Plumbing SC looked like a strong fit for a creative test.</x:v>
      </x:c>
      <x:c r="AS914" s="76" t="str">
        <x:v>small symptom to prevented-emergency ad</x:v>
      </x:c>
      <x:c r="AT914" s="76" t="str">
        <x:v>All About Plumbing SC ad concept</x:v>
      </x:c>
      <x:c r="AU914" s="76" t="str">
        <x:v>Hi Steve — I was reviewing plumbing companies in Taylors, South Carolina and All About Plumbing SC looked like a strong fit for a creative test. I mapped a private 15-second small symptom to prevented-emergency ad for All About Plumbing SC using only public brand context—not for publishing, just to show the angle. We build three client-approved video ad concepts in seven days, then turn the winners into fresh variations. No filming day required. Worth sending the private sample?</x:v>
      </x:c>
      <x:c r="AV914" s="76" t="str">
        <x:v>Quick follow-up: the sample angle is a small symptom to prevented-emergency ad. If it misses the mark, no problem—I won't keep chasing. Should I send it?</x:v>
      </x:c>
      <x:c r="AW914" s="76" t="str">
        <x:v>Hi Steve, Ryan here. I was looking at All About Plumbing SC's public marketing and noticed: icp fit; paid-demand need requires manual verification. I mapped one private small symptom to prevented-emergency ad as an example. Did I catch you with 30 seconds?</x:v>
      </x:c>
      <x:c r="AX914" s="60" t="str">
        <x:v>https://www.facebook.com/ads/library/?active_status=active&amp;ad_type=all&amp;country=US&amp;q=All%20About%20Plumbing%20SC&amp;search_type=keyword_unordered</x:v>
      </x:c>
      <x:c r="AY914" s="60" t="str">
        <x:v>ok:200</x:v>
      </x:c>
      <x:c r="AZ914" s="60" t="n">
        <x:v>46232.722858796296</x:v>
      </x:c>
      <x:c r="BA914" s="60" t="str">
        <x:v>AI Ark SC trades export | Google Maps home-services export</x:v>
      </x:c>
      <x:c r="BB914" s="60" t="str">
        <x:v>https://allaboutplumbingsc.com | https://maps.google.com/?cid=13620525640378699581&amp;g_mp=Cidnb29nbGUubWFwcy5wbGFjZXMudjEuUGxhY2VzLlNlYXJjaFRleHQQAhgEIAA | https://www.linkedin.com/company/all-about-plumbing-sc</x:v>
      </x:c>
      <x:c r="BC914" s="60" t="str"/>
    </x:row>
    <x:row r="915" ht="18" customHeight="1">
      <x:c r="A915" s="70" t="str">
        <x:v>914</x:v>
      </x:c>
      <x:c r="B915" s="70" t="str">
        <x:v>C - Verify</x:v>
      </x:c>
      <x:c r="C915" s="72" t="str">
        <x:v>42</x:v>
      </x:c>
      <x:c r="D915" s="60" t="str">
        <x:v>RayWell Solar</x:v>
      </x:c>
      <x:c r="E915" s="60" t="str">
        <x:v>https://raywellsolar.com</x:v>
      </x:c>
      <x:c r="F915" s="60" t="str">
        <x:v>https://raywellsolar.com</x:v>
      </x:c>
      <x:c r="G915" s="60" t="str">
        <x:v>Charleston</x:v>
      </x:c>
      <x:c r="H915" s="60" t="str">
        <x:v>South Carolina</x:v>
      </x:c>
      <x:c r="I915" s="60" t="str">
        <x:v>Solar</x:v>
      </x:c>
      <x:c r="J915" s="60" t="str">
        <x:v>Kasey</x:v>
      </x:c>
      <x:c r="K915" s="60" t="str">
        <x:v>Harwell</x:v>
      </x:c>
      <x:c r="L915" s="60" t="str">
        <x:v>Co-Owner</x:v>
      </x:c>
      <x:c r="M915" s="60" t="str">
        <x:v>kharwell@raywellsolar.com</x:v>
      </x:c>
      <x:c r="N915" s="60" t="str">
        <x:v>Verified with BounceBan on 08 Jun 26 12:06</x:v>
      </x:c>
      <x:c r="O915" s="60" t="str">
        <x:v>+1 520 301 5889</x:v>
      </x:c>
      <x:c r="P915" s="60" t="str">
        <x:v>https://www.linkedin.com/in/kasey-harwell-78b057a1</x:v>
      </x:c>
      <x:c r="Q915" s="60" t="str">
        <x:v>2-10</x:v>
      </x:c>
      <x:c r="R915" s="60" t="str">
        <x:v>100000-499999</x:v>
      </x:c>
      <x:c r="S915" s="60" t="str"/>
      <x:c r="T915" s="74" t="str">
        <x:v>0</x:v>
      </x:c>
      <x:c r="U915" s="60" t="str"/>
      <x:c r="V915" s="74" t="str">
        <x:v>25</x:v>
      </x:c>
      <x:c r="W915" s="74" t="str">
        <x:v>0</x:v>
      </x:c>
      <x:c r="X915" s="74" t="str">
        <x:v>10</x:v>
      </x:c>
      <x:c r="Y915" s="74" t="str">
        <x:v>0</x:v>
      </x:c>
      <x:c r="Z915" s="74" t="str">
        <x:v>10</x:v>
      </x:c>
      <x:c r="AA915" s="74" t="str">
        <x:v>0</x:v>
      </x:c>
      <x:c r="AB915" s="74" t="str">
        <x:v>0</x:v>
      </x:c>
      <x:c r="AC915" s="74" t="str">
        <x:v>0</x:v>
      </x:c>
      <x:c r="AD915" s="74" t="str">
        <x:v>0</x:v>
      </x:c>
      <x:c r="AE915" s="74" t="str">
        <x:v>0</x:v>
      </x:c>
      <x:c r="AF915" s="74" t="str"/>
      <x:c r="AG915" s="74" t="str">
        <x:v>0</x:v>
      </x:c>
      <x:c r="AH915" s="74" t="str">
        <x:v>0</x:v>
      </x:c>
      <x:c r="AI915" s="74" t="str">
        <x:v>0</x:v>
      </x:c>
      <x:c r="AJ915" s="74" t="str">
        <x:v>0</x:v>
      </x:c>
      <x:c r="AK915" s="74" t="str">
        <x:v>0</x:v>
      </x:c>
      <x:c r="AL915" s="74" t="str">
        <x:v>0</x:v>
      </x:c>
      <x:c r="AM915" s="74" t="str">
        <x:v>0</x:v>
      </x:c>
      <x:c r="AN915" s="74" t="str">
        <x:v>0</x:v>
      </x:c>
      <x:c r="AO915" s="60" t="str">
        <x:v>0</x:v>
      </x:c>
      <x:c r="AP915" s="76" t="str">
        <x:v>ICP fit; paid-demand need requires manual verification</x:v>
      </x:c>
      <x:c r="AQ915" s="76" t="str">
        <x:v>no embedded homepage video detected</x:v>
      </x:c>
      <x:c r="AR915" s="76" t="str">
        <x:v>I was reviewing solar companies in Charleston, South Carolina and RayWell Solar looked like a strong fit for a creative test.</x:v>
      </x:c>
      <x:c r="AS915" s="76" t="str">
        <x:v>utility-bill problem to consultation ad</x:v>
      </x:c>
      <x:c r="AT915" s="76" t="str">
        <x:v>RayWell Solar ad concept</x:v>
      </x:c>
      <x:c r="AU915" s="76" t="str">
        <x:v>Hi Kasey — I was reviewing solar companies in Charleston, South Carolina and RayWell Solar looked like a strong fit for a creative test. I mapped a private 15-second utility-bill problem to consultation ad for RayWell Solar using only public brand context—not for publishing, just to show the angle. We build three client-approved video ad concepts in seven days, then turn the winners into fresh variations. No filming day required. Worth sending the private sample?</x:v>
      </x:c>
      <x:c r="AV915" s="76" t="str">
        <x:v>Quick follow-up: the sample angle is a utility-bill problem to consultation ad. If it misses the mark, no problem—I won't keep chasing. Should I send it?</x:v>
      </x:c>
      <x:c r="AW915" s="76" t="str">
        <x:v>Hi Kasey, Ryan here. I was looking at RayWell Solar's public marketing and noticed: icp fit; paid-demand need requires manual verification. I mapped one private utility-bill problem to consultation ad as an example. Did I catch you with 30 seconds?</x:v>
      </x:c>
      <x:c r="AX915" s="60" t="str">
        <x:v>https://www.facebook.com/ads/library/?active_status=active&amp;ad_type=all&amp;country=US&amp;q=RayWell%20Solar&amp;search_type=keyword_unordered</x:v>
      </x:c>
      <x:c r="AY915" s="60" t="str">
        <x:v>http:404</x:v>
      </x:c>
      <x:c r="AZ915" s="60" t="n">
        <x:v>46232.722858796296</x:v>
      </x:c>
      <x:c r="BA915" s="60" t="str">
        <x:v>AI Ark SC trades export</x:v>
      </x:c>
      <x:c r="BB915" s="60" t="str">
        <x:v>https://raywellsolar.com | https://www.linkedin.com/company/raywell-solar</x:v>
      </x:c>
      <x:c r="BC915" s="60" t="str"/>
    </x:row>
    <x:row r="916" ht="18" customHeight="1">
      <x:c r="A916" s="70" t="str">
        <x:v>915</x:v>
      </x:c>
      <x:c r="B916" s="70" t="str">
        <x:v>C - Verify</x:v>
      </x:c>
      <x:c r="C916" s="72" t="str">
        <x:v>42</x:v>
      </x:c>
      <x:c r="D916" s="60" t="str">
        <x:v>Celtic Works Inc.</x:v>
      </x:c>
      <x:c r="E916" s="60" t="str">
        <x:v>https://celticworks.com</x:v>
      </x:c>
      <x:c r="F916" s="60" t="str">
        <x:v>https://celticworks.com</x:v>
      </x:c>
      <x:c r="G916" s="60" t="str">
        <x:v>Lexington County</x:v>
      </x:c>
      <x:c r="H916" s="60" t="str">
        <x:v>South Carolina</x:v>
      </x:c>
      <x:c r="I916" s="60" t="str">
        <x:v>Remodeling</x:v>
      </x:c>
      <x:c r="J916" s="60" t="str">
        <x:v>David</x:v>
      </x:c>
      <x:c r="K916" s="60" t="str">
        <x:v>Barry</x:v>
      </x:c>
      <x:c r="L916" s="60" t="str">
        <x:v>Owner</x:v>
      </x:c>
      <x:c r="M916" s="60" t="str">
        <x:v>david@celticworks.com</x:v>
      </x:c>
      <x:c r="N916" s="60" t="str">
        <x:v>Verified with BounceBan on 08 Jun 26 12:06</x:v>
      </x:c>
      <x:c r="O916" s="60" t="str">
        <x:v>+1 803 600 6060</x:v>
      </x:c>
      <x:c r="P916" s="60" t="str">
        <x:v>https://www.linkedin.com/in/david-barry-b6ba395</x:v>
      </x:c>
      <x:c r="Q916" s="60" t="str">
        <x:v>2-10</x:v>
      </x:c>
      <x:c r="R916" s="60" t="str">
        <x:v>0-99999</x:v>
      </x:c>
      <x:c r="S916" s="60" t="str"/>
      <x:c r="T916" s="74" t="str">
        <x:v>0</x:v>
      </x:c>
      <x:c r="U916" s="60" t="str"/>
      <x:c r="V916" s="74" t="str">
        <x:v>25</x:v>
      </x:c>
      <x:c r="W916" s="74" t="str">
        <x:v>0</x:v>
      </x:c>
      <x:c r="X916" s="74" t="str">
        <x:v>10</x:v>
      </x:c>
      <x:c r="Y916" s="74" t="str">
        <x:v>0</x:v>
      </x:c>
      <x:c r="Z916" s="74" t="str">
        <x:v>10</x:v>
      </x:c>
      <x:c r="AA916" s="74" t="str">
        <x:v>0</x:v>
      </x:c>
      <x:c r="AB916" s="74" t="str">
        <x:v>0</x:v>
      </x:c>
      <x:c r="AC916" s="74" t="str">
        <x:v>0</x:v>
      </x:c>
      <x:c r="AD916" s="74" t="str">
        <x:v>0</x:v>
      </x:c>
      <x:c r="AE916" s="74" t="str">
        <x:v>0</x:v>
      </x:c>
      <x:c r="AF916" s="74" t="str"/>
      <x:c r="AG916" s="74" t="str">
        <x:v>0</x:v>
      </x:c>
      <x:c r="AH916" s="74" t="str">
        <x:v>0</x:v>
      </x:c>
      <x:c r="AI916" s="74" t="str">
        <x:v>0</x:v>
      </x:c>
      <x:c r="AJ916" s="74" t="str">
        <x:v>0</x:v>
      </x:c>
      <x:c r="AK916" s="74" t="str">
        <x:v>0</x:v>
      </x:c>
      <x:c r="AL916" s="74" t="str">
        <x:v>0</x:v>
      </x:c>
      <x:c r="AM916" s="74" t="str">
        <x:v>0</x:v>
      </x:c>
      <x:c r="AN916" s="74" t="str">
        <x:v>0</x:v>
      </x:c>
      <x:c r="AO916" s="60" t="str">
        <x:v>0</x:v>
      </x:c>
      <x:c r="AP916" s="76" t="str">
        <x:v>ICP fit; paid-demand need requires manual verification</x:v>
      </x:c>
      <x:c r="AQ916" s="76" t="str">
        <x:v>no embedded homepage video detected</x:v>
      </x:c>
      <x:c r="AR916" s="76" t="str">
        <x:v>I was reviewing remodeling companies in Lexington County, South Carolina and Celtic Works Inc. looked like a strong fit for a creative test.</x:v>
      </x:c>
      <x:c r="AS916" s="76" t="str">
        <x:v>project reveal with budget-and-timeline proof</x:v>
      </x:c>
      <x:c r="AT916" s="76" t="str">
        <x:v>Celtic Works Inc. ad concept</x:v>
      </x:c>
      <x:c r="AU916" s="76" t="str">
        <x:v>Hi David — I was reviewing remodeling companies in Lexington County, South Carolina and Celtic Works Inc. looked like a strong fit for a creative test. I mapped a private 15-second project reveal with budget-and-timeline proof for Celtic Works Inc. using only public brand context—not for publishing, just to show the angle. We build three client-approved video ad concepts in seven days, then turn the winners into fresh variations. No filming day required. Worth sending the private sample?</x:v>
      </x:c>
      <x:c r="AV916" s="76" t="str">
        <x:v>Quick follow-up: the sample angle is a project reveal with budget-and-timeline proof. If it misses the mark, no problem—I won't keep chasing. Should I send it?</x:v>
      </x:c>
      <x:c r="AW916" s="76" t="str">
        <x:v>Hi David, Ryan here. I was looking at Celtic Works Inc.'s public marketing and noticed: icp fit; paid-demand need requires manual verification. I mapped one private project reveal with budget-and-timeline proof as an example. Did I catch you with 30 seconds?</x:v>
      </x:c>
      <x:c r="AX916" s="60" t="str">
        <x:v>https://www.facebook.com/ads/library/?active_status=active&amp;ad_type=all&amp;country=US&amp;q=Celtic%20Works%20Inc.&amp;search_type=keyword_unordered</x:v>
      </x:c>
      <x:c r="AY916" s="60" t="str">
        <x:v>url_error:gaierror</x:v>
      </x:c>
      <x:c r="AZ916" s="60" t="n">
        <x:v>46232.722858796296</x:v>
      </x:c>
      <x:c r="BA916" s="60" t="str">
        <x:v>AI Ark SC trades export</x:v>
      </x:c>
      <x:c r="BB916" s="60" t="str">
        <x:v>https://celticworks.com | https://www.linkedin.com/company/celtic-works-inc</x:v>
      </x:c>
      <x:c r="BC916" s="60" t="str"/>
    </x:row>
    <x:row r="917" ht="18" customHeight="1">
      <x:c r="A917" s="70" t="str">
        <x:v>916</x:v>
      </x:c>
      <x:c r="B917" s="70" t="str">
        <x:v>C - Verify</x:v>
      </x:c>
      <x:c r="C917" s="72" t="str">
        <x:v>42</x:v>
      </x:c>
      <x:c r="D917" s="60" t="str">
        <x:v>Carpenter</x:v>
      </x:c>
      <x:c r="E917" s="60" t="str">
        <x:v>https://linkedin.com</x:v>
      </x:c>
      <x:c r="F917" s="60" t="str">
        <x:v>https://www.linkedin.com/</x:v>
      </x:c>
      <x:c r="G917" s="60" t="str">
        <x:v>Camden</x:v>
      </x:c>
      <x:c r="H917" s="60" t="str">
        <x:v>South Carolina</x:v>
      </x:c>
      <x:c r="I917" s="60" t="str">
        <x:v>General Contractor</x:v>
      </x:c>
      <x:c r="J917" s="60" t="str">
        <x:v>Jeremy</x:v>
      </x:c>
      <x:c r="K917" s="60" t="str">
        <x:v>Lee</x:v>
      </x:c>
      <x:c r="L917" s="60" t="str">
        <x:v>Small Business Owner</x:v>
      </x:c>
      <x:c r="M917" s="60" t="str">
        <x:v>jl@linkedin.com</x:v>
      </x:c>
      <x:c r="N917" s="60" t="str">
        <x:v>Verified with BounceBan on 08 Jun 26 12:07</x:v>
      </x:c>
      <x:c r="O917" s="60" t="str">
        <x:v>+1 803 549 8334</x:v>
      </x:c>
      <x:c r="P917" s="60" t="str">
        <x:v>https://www.linkedin.com/in/jeremy-lee-41181583</x:v>
      </x:c>
      <x:c r="Q917" s="60" t="str">
        <x:v>1001-5000</x:v>
      </x:c>
      <x:c r="R917" s="60" t="str">
        <x:v>100000000-499999999</x:v>
      </x:c>
      <x:c r="S917" s="60" t="str"/>
      <x:c r="T917" s="74" t="str">
        <x:v>0</x:v>
      </x:c>
      <x:c r="U917" s="60" t="str"/>
      <x:c r="V917" s="74" t="str">
        <x:v>22</x:v>
      </x:c>
      <x:c r="W917" s="74" t="str">
        <x:v>0</x:v>
      </x:c>
      <x:c r="X917" s="74" t="str">
        <x:v>10</x:v>
      </x:c>
      <x:c r="Y917" s="74" t="str">
        <x:v>0</x:v>
      </x:c>
      <x:c r="Z917" s="74" t="str">
        <x:v>10</x:v>
      </x:c>
      <x:c r="AA917" s="74" t="str">
        <x:v>0</x:v>
      </x:c>
      <x:c r="AB917" s="74" t="str">
        <x:v>0</x:v>
      </x:c>
      <x:c r="AC917" s="74" t="str">
        <x:v>0</x:v>
      </x:c>
      <x:c r="AD917" s="74" t="str">
        <x:v>0</x:v>
      </x:c>
      <x:c r="AE917" s="74" t="str">
        <x:v>0</x:v>
      </x:c>
      <x:c r="AF917" s="74" t="str"/>
      <x:c r="AG917" s="74" t="str">
        <x:v>0</x:v>
      </x:c>
      <x:c r="AH917" s="74" t="str">
        <x:v>0</x:v>
      </x:c>
      <x:c r="AI917" s="74" t="str">
        <x:v>0</x:v>
      </x:c>
      <x:c r="AJ917" s="74" t="str">
        <x:v>0</x:v>
      </x:c>
      <x:c r="AK917" s="74" t="str">
        <x:v>0</x:v>
      </x:c>
      <x:c r="AL917" s="74" t="str">
        <x:v>0</x:v>
      </x:c>
      <x:c r="AM917" s="74" t="str">
        <x:v>0</x:v>
      </x:c>
      <x:c r="AN917" s="74" t="str">
        <x:v>0</x:v>
      </x:c>
      <x:c r="AO917" s="60" t="str">
        <x:v>2026</x:v>
      </x:c>
      <x:c r="AP917" s="76" t="str">
        <x:v>ICP fit; paid-demand need requires manual verification</x:v>
      </x:c>
      <x:c r="AQ917" s="76" t="str">
        <x:v>no embedded homepage video detected</x:v>
      </x:c>
      <x:c r="AR917" s="76" t="str">
        <x:v>I was reviewing general contractor companies in Camden, South Carolina and Carpenter looked like a strong fit for a creative test.</x:v>
      </x:c>
      <x:c r="AS917" s="76" t="str">
        <x:v>project walkthrough with proof milestones</x:v>
      </x:c>
      <x:c r="AT917" s="76" t="str">
        <x:v>Carpenter ad concept</x:v>
      </x:c>
      <x:c r="AU917" s="76" t="str">
        <x:v>Hi Jeremy — I was reviewing general contractor companies in Camden, South Carolina and Carpenter looked like a strong fit for a creative test. I mapped a private 15-second project walkthrough with proof milestones for Carpenter using only public brand context—not for publishing, just to show the angle. We build three client-approved video ad concepts in seven days, then turn the winners into fresh variations. No filming day required. Worth sending the private sample?</x:v>
      </x:c>
      <x:c r="AV917" s="76" t="str">
        <x:v>Quick follow-up: the sample angle is a project walkthrough with proof milestones. If it misses the mark, no problem—I won't keep chasing. Should I send it?</x:v>
      </x:c>
      <x:c r="AW917" s="76" t="str">
        <x:v>Hi Jeremy, Ryan here. I was looking at Carpenter's public marketing and noticed: icp fit; paid-demand need requires manual verification. I mapped one private project walkthrough with proof milestones as an example. Did I catch you with 30 seconds?</x:v>
      </x:c>
      <x:c r="AX917" s="60" t="str">
        <x:v>https://www.facebook.com/ads/library/?active_status=active&amp;ad_type=all&amp;country=US&amp;q=Carpenter&amp;search_type=keyword_unordered</x:v>
      </x:c>
      <x:c r="AY917" s="60" t="str">
        <x:v>ok:200</x:v>
      </x:c>
      <x:c r="AZ917" s="60" t="n">
        <x:v>46232.722858796296</x:v>
      </x:c>
      <x:c r="BA917" s="60" t="str">
        <x:v>AI Ark SC trades export</x:v>
      </x:c>
      <x:c r="BB917" s="60" t="str">
        <x:v>https://linkedin.com | https://www.linkedin.com/company/carpenter</x:v>
      </x:c>
      <x:c r="BC917" s="60" t="str"/>
    </x:row>
    <x:row r="918" ht="18" customHeight="1">
      <x:c r="A918" s="70" t="str">
        <x:v>917</x:v>
      </x:c>
      <x:c r="B918" s="70" t="str">
        <x:v>C - Verify</x:v>
      </x:c>
      <x:c r="C918" s="72" t="str">
        <x:v>42</x:v>
      </x:c>
      <x:c r="D918" s="60" t="str">
        <x:v>SBG-EEG</x:v>
      </x:c>
      <x:c r="E918" s="60" t="str">
        <x:v>https://sbg-eeg.com</x:v>
      </x:c>
      <x:c r="F918" s="60" t="str">
        <x:v>https://sbg-eeg.com</x:v>
      </x:c>
      <x:c r="G918" s="60" t="str">
        <x:v>Ravenel</x:v>
      </x:c>
      <x:c r="H918" s="60" t="str">
        <x:v>South Carolina</x:v>
      </x:c>
      <x:c r="I918" s="60" t="str">
        <x:v>General Contractor</x:v>
      </x:c>
      <x:c r="J918" s="60" t="str">
        <x:v>Rick</x:v>
      </x:c>
      <x:c r="K918" s="60" t="str">
        <x:v>Albers</x:v>
      </x:c>
      <x:c r="L918" s="60" t="str">
        <x:v>Part Owner</x:v>
      </x:c>
      <x:c r="M918" s="60" t="str"/>
      <x:c r="N918" s="60" t="str"/>
      <x:c r="O918" s="60" t="str">
        <x:v>+1 843 879 0400</x:v>
      </x:c>
      <x:c r="P918" s="60" t="str">
        <x:v>https://www.linkedin.com/in/rick-albers-09a78a79</x:v>
      </x:c>
      <x:c r="Q918" s="60" t="str">
        <x:v>11-50</x:v>
      </x:c>
      <x:c r="R918" s="60" t="str">
        <x:v>1000000-4999999</x:v>
      </x:c>
      <x:c r="S918" s="60" t="str"/>
      <x:c r="T918" s="74" t="str">
        <x:v>0</x:v>
      </x:c>
      <x:c r="U918" s="60" t="str"/>
      <x:c r="V918" s="74" t="str">
        <x:v>27</x:v>
      </x:c>
      <x:c r="W918" s="74" t="str">
        <x:v>0</x:v>
      </x:c>
      <x:c r="X918" s="74" t="str">
        <x:v>10</x:v>
      </x:c>
      <x:c r="Y918" s="74" t="str">
        <x:v>0</x:v>
      </x:c>
      <x:c r="Z918" s="74" t="str">
        <x:v>5</x:v>
      </x:c>
      <x:c r="AA918" s="74" t="str">
        <x:v>0</x:v>
      </x:c>
      <x:c r="AB918" s="74" t="str">
        <x:v>0</x:v>
      </x:c>
      <x:c r="AC918" s="74" t="str">
        <x:v>0</x:v>
      </x:c>
      <x:c r="AD918" s="74" t="str">
        <x:v>0</x:v>
      </x:c>
      <x:c r="AE918" s="74" t="str">
        <x:v>0</x:v>
      </x:c>
      <x:c r="AF918" s="74" t="str"/>
      <x:c r="AG918" s="74" t="str">
        <x:v>0</x:v>
      </x:c>
      <x:c r="AH918" s="74" t="str">
        <x:v>0</x:v>
      </x:c>
      <x:c r="AI918" s="74" t="str">
        <x:v>0</x:v>
      </x:c>
      <x:c r="AJ918" s="74" t="str">
        <x:v>0</x:v>
      </x:c>
      <x:c r="AK918" s="74" t="str">
        <x:v>0</x:v>
      </x:c>
      <x:c r="AL918" s="74" t="str">
        <x:v>0</x:v>
      </x:c>
      <x:c r="AM918" s="74" t="str">
        <x:v>0</x:v>
      </x:c>
      <x:c r="AN918" s="74" t="str">
        <x:v>0</x:v>
      </x:c>
      <x:c r="AO918" s="60" t="str">
        <x:v>0</x:v>
      </x:c>
      <x:c r="AP918" s="76" t="str">
        <x:v>ICP fit; paid-demand need requires manual verification</x:v>
      </x:c>
      <x:c r="AQ918" s="76" t="str">
        <x:v>no embedded homepage video detected</x:v>
      </x:c>
      <x:c r="AR918" s="76" t="str">
        <x:v>I was reviewing general contractor companies in Ravenel, South Carolina and SBG-EEG looked like a strong fit for a creative test.</x:v>
      </x:c>
      <x:c r="AS918" s="76" t="str">
        <x:v>project walkthrough with proof milestones</x:v>
      </x:c>
      <x:c r="AT918" s="76" t="str">
        <x:v>SBG-EEG ad concept</x:v>
      </x:c>
      <x:c r="AU918" s="76" t="str">
        <x:v>Hi Rick — I was reviewing general contractor companies in Ravenel, South Carolina and SBG-EEG looked like a strong fit for a creative test. I mapped a private 15-second project walkthrough with proof milestones for SBG-EEG using only public brand context—not for publishing, just to show the angle. We build three client-approved video ad concepts in seven days, then turn the winners into fresh variations. No filming day required. Worth sending the private sample?</x:v>
      </x:c>
      <x:c r="AV918" s="76" t="str">
        <x:v>Quick follow-up: the sample angle is a project walkthrough with proof milestones. If it misses the mark, no problem—I won't keep chasing. Should I send it?</x:v>
      </x:c>
      <x:c r="AW918" s="76" t="str">
        <x:v>Hi Rick, Ryan here. I was looking at SBG-EEG's public marketing and noticed: icp fit; paid-demand need requires manual verification. I mapped one private project walkthrough with proof milestones as an example. Did I catch you with 30 seconds?</x:v>
      </x:c>
      <x:c r="AX918" s="60" t="str">
        <x:v>https://www.facebook.com/ads/library/?active_status=active&amp;ad_type=all&amp;country=US&amp;q=SBG-EEG&amp;search_type=keyword_unordered</x:v>
      </x:c>
      <x:c r="AY918" s="60" t="str">
        <x:v>ok:200</x:v>
      </x:c>
      <x:c r="AZ918" s="60" t="n">
        <x:v>46232.722858796296</x:v>
      </x:c>
      <x:c r="BA918" s="60" t="str">
        <x:v>AI Ark SC trades export</x:v>
      </x:c>
      <x:c r="BB918" s="60" t="str">
        <x:v>https://sbg-eeg.com | https://www.linkedin.com/company/sbg-eeg</x:v>
      </x:c>
      <x:c r="BC918" s="60" t="str"/>
    </x:row>
    <x:row r="919" ht="18" customHeight="1">
      <x:c r="A919" s="70" t="str">
        <x:v>918</x:v>
      </x:c>
      <x:c r="B919" s="70" t="str">
        <x:v>C - Verify</x:v>
      </x:c>
      <x:c r="C919" s="72" t="str">
        <x:v>42</x:v>
      </x:c>
      <x:c r="D919" s="60" t="str">
        <x:v>Rock Hill Roofing, LLC</x:v>
      </x:c>
      <x:c r="E919" s="60" t="str">
        <x:v>https://rhscroofing.com</x:v>
      </x:c>
      <x:c r="F919" s="60" t="str">
        <x:v>https://rhscroofing.com</x:v>
      </x:c>
      <x:c r="G919" s="60" t="str">
        <x:v>Rock Hill</x:v>
      </x:c>
      <x:c r="H919" s="60" t="str">
        <x:v>South Carolina</x:v>
      </x:c>
      <x:c r="I919" s="60" t="str">
        <x:v>Roofing</x:v>
      </x:c>
      <x:c r="J919" s="60" t="str">
        <x:v>Rock Hill Roofing, LLC</x:v>
      </x:c>
      <x:c r="K919" s="60" t="str"/>
      <x:c r="L919" s="60" t="str">
        <x:v>Owner / decision maker to verify</x:v>
      </x:c>
      <x:c r="M919" s="60" t="str"/>
      <x:c r="N919" s="60" t="str"/>
      <x:c r="O919" s="60" t="str">
        <x:v>(803) 616-9710</x:v>
      </x:c>
      <x:c r="P919" s="60" t="str"/>
      <x:c r="Q919" s="60" t="str"/>
      <x:c r="R919" s="60" t="str"/>
      <x:c r="S919" s="60" t="str">
        <x:v>4</x:v>
      </x:c>
      <x:c r="T919" s="74" t="str">
        <x:v>12</x:v>
      </x:c>
      <x:c r="U919" s="60" t="str">
        <x:v>missed_calls, slow_response</x:v>
      </x:c>
      <x:c r="V919" s="74" t="str">
        <x:v>25</x:v>
      </x:c>
      <x:c r="W919" s="74" t="str">
        <x:v>0</x:v>
      </x:c>
      <x:c r="X919" s="74" t="str">
        <x:v>12</x:v>
      </x:c>
      <x:c r="Y919" s="74" t="str">
        <x:v>0</x:v>
      </x:c>
      <x:c r="Z919" s="74" t="str">
        <x:v>5</x:v>
      </x:c>
      <x:c r="AA919" s="74" t="str">
        <x:v>0</x:v>
      </x:c>
      <x:c r="AB919" s="74" t="str">
        <x:v>0</x:v>
      </x:c>
      <x:c r="AC919" s="74" t="str">
        <x:v>0</x:v>
      </x:c>
      <x:c r="AD919" s="74" t="str">
        <x:v>0</x:v>
      </x:c>
      <x:c r="AE919" s="74" t="str">
        <x:v>0</x:v>
      </x:c>
      <x:c r="AF919" s="74" t="str"/>
      <x:c r="AG919" s="74" t="str">
        <x:v>0</x:v>
      </x:c>
      <x:c r="AH919" s="74" t="str">
        <x:v>0</x:v>
      </x:c>
      <x:c r="AI919" s="74" t="str">
        <x:v>0</x:v>
      </x:c>
      <x:c r="AJ919" s="74" t="str">
        <x:v>0</x:v>
      </x:c>
      <x:c r="AK919" s="74" t="str">
        <x:v>0</x:v>
      </x:c>
      <x:c r="AL919" s="74" t="str">
        <x:v>0</x:v>
      </x:c>
      <x:c r="AM919" s="74" t="str">
        <x:v>0</x:v>
      </x:c>
      <x:c r="AN919" s="74" t="str">
        <x:v>0</x:v>
      </x:c>
      <x:c r="AO919" s="60" t="str">
        <x:v>0</x:v>
      </x:c>
      <x:c r="AP919" s="76" t="str">
        <x:v>ICP fit; paid-demand need requires manual verification</x:v>
      </x:c>
      <x:c r="AQ919" s="76" t="str">
        <x:v>no embedded homepage video detected</x:v>
      </x:c>
      <x:c r="AR919" s="76" t="str">
        <x:v>I was reviewing roofing companies in Rock Hill, South Carolina and Rock Hill Roofing, LLC looked like a strong fit for a creative test.</x:v>
      </x:c>
      <x:c r="AS919" s="76" t="str">
        <x:v>storm-to-inspection before/after ad</x:v>
      </x:c>
      <x:c r="AT919" s="76" t="str">
        <x:v>Rock Hill Roofing, LLC ad concept</x:v>
      </x:c>
      <x:c r="AU919" s="76" t="str">
        <x:v>Hi Rock Hill Roofing, LLC — I was reviewing roofing companies in Rock Hill, South Carolina and Rock Hill Roofing, LLC looked like a strong fit for a creative test. I mapped a private 15-second storm-to-inspection before/after ad for Rock Hill Roofing, LLC using only public brand context—not for publishing, just to show the angle. We build three client-approved video ad concepts in seven days, then turn the winners into fresh variations. No filming day required. Worth sending the private sample?</x:v>
      </x:c>
      <x:c r="AV919" s="76" t="str">
        <x:v>Quick follow-up: the sample angle is a storm-to-inspection before/after ad. If it misses the mark, no problem—I won't keep chasing. Should I send it?</x:v>
      </x:c>
      <x:c r="AW919" s="76" t="str">
        <x:v>Hi Rock Hill Roofing, LLC, Ryan here. I was looking at Rock Hill Roofing, LLC's public marketing and noticed: icp fit; paid-demand need requires manual verification. I mapped one private storm-to-inspection before/after ad as an example. Did I catch you with 30 seconds?</x:v>
      </x:c>
      <x:c r="AX919" s="60" t="str">
        <x:v>https://www.facebook.com/ads/library/?active_status=active&amp;ad_type=all&amp;country=US&amp;q=Rock%20Hill%20Roofing%2C%20LLC&amp;search_type=keyword_unordered</x:v>
      </x:c>
      <x:c r="AY919" s="60" t="str">
        <x:v>ok:200</x:v>
      </x:c>
      <x:c r="AZ919" s="60" t="n">
        <x:v>46232.722858796296</x:v>
      </x:c>
      <x:c r="BA919" s="60" t="str">
        <x:v>Google Maps home-services export</x:v>
      </x:c>
      <x:c r="BB919" s="60" t="str">
        <x:v>https://maps.google.com/?cid=18063152819993194657&amp;g_mp=Cidnb29nbGUubWFwcy5wbGFjZXMudjEuUGxhY2VzLlNlYXJjaFRleHQQAhgEIAA | https://rhscroofing.com</x:v>
      </x:c>
      <x:c r="BC919" s="60" t="str"/>
    </x:row>
    <x:row r="920" ht="18" customHeight="1">
      <x:c r="A920" s="70" t="str">
        <x:v>919</x:v>
      </x:c>
      <x:c r="B920" s="70" t="str">
        <x:v>C - Verify</x:v>
      </x:c>
      <x:c r="C920" s="72" t="str">
        <x:v>42</x:v>
      </x:c>
      <x:c r="D920" s="60" t="str">
        <x:v>Pool Tech Builders</x:v>
      </x:c>
      <x:c r="E920" s="60" t="str">
        <x:v>https://pooltechbuilder.com</x:v>
      </x:c>
      <x:c r="F920" s="60" t="str">
        <x:v>https://pooltechbuilder.com</x:v>
      </x:c>
      <x:c r="G920" s="60" t="str">
        <x:v>Easley</x:v>
      </x:c>
      <x:c r="H920" s="60" t="str">
        <x:v>South Carolina</x:v>
      </x:c>
      <x:c r="I920" s="60" t="str">
        <x:v>Pools &amp; Spas</x:v>
      </x:c>
      <x:c r="J920" s="60" t="str">
        <x:v>Kyle</x:v>
      </x:c>
      <x:c r="K920" s="60" t="str">
        <x:v>Brown</x:v>
      </x:c>
      <x:c r="L920" s="60" t="str">
        <x:v>Owner</x:v>
      </x:c>
      <x:c r="M920" s="60" t="str"/>
      <x:c r="N920" s="60" t="str"/>
      <x:c r="O920" s="60" t="str">
        <x:v>+1 614 406 0102</x:v>
      </x:c>
      <x:c r="P920" s="60" t="str">
        <x:v>https://www.linkedin.com/in/kyle-brown-62282a155</x:v>
      </x:c>
      <x:c r="Q920" s="60" t="str">
        <x:v>11-50</x:v>
      </x:c>
      <x:c r="R920" s="60" t="str">
        <x:v>100000-499999</x:v>
      </x:c>
      <x:c r="S920" s="60" t="str"/>
      <x:c r="T920" s="74" t="str">
        <x:v>0</x:v>
      </x:c>
      <x:c r="U920" s="60" t="str"/>
      <x:c r="V920" s="74" t="str">
        <x:v>27</x:v>
      </x:c>
      <x:c r="W920" s="74" t="str">
        <x:v>0</x:v>
      </x:c>
      <x:c r="X920" s="74" t="str">
        <x:v>10</x:v>
      </x:c>
      <x:c r="Y920" s="74" t="str">
        <x:v>0</x:v>
      </x:c>
      <x:c r="Z920" s="74" t="str">
        <x:v>5</x:v>
      </x:c>
      <x:c r="AA920" s="74" t="str">
        <x:v>0</x:v>
      </x:c>
      <x:c r="AB920" s="74" t="str">
        <x:v>0</x:v>
      </x:c>
      <x:c r="AC920" s="74" t="str">
        <x:v>0</x:v>
      </x:c>
      <x:c r="AD920" s="74" t="str">
        <x:v>0</x:v>
      </x:c>
      <x:c r="AE920" s="74" t="str">
        <x:v>0</x:v>
      </x:c>
      <x:c r="AF920" s="74" t="str"/>
      <x:c r="AG920" s="74" t="str">
        <x:v>0</x:v>
      </x:c>
      <x:c r="AH920" s="74" t="str">
        <x:v>0</x:v>
      </x:c>
      <x:c r="AI920" s="74" t="str">
        <x:v>0</x:v>
      </x:c>
      <x:c r="AJ920" s="74" t="str">
        <x:v>0</x:v>
      </x:c>
      <x:c r="AK920" s="74" t="str">
        <x:v>0</x:v>
      </x:c>
      <x:c r="AL920" s="74" t="str">
        <x:v>0</x:v>
      </x:c>
      <x:c r="AM920" s="74" t="str">
        <x:v>0</x:v>
      </x:c>
      <x:c r="AN920" s="74" t="str">
        <x:v>0</x:v>
      </x:c>
      <x:c r="AO920" s="60" t="str">
        <x:v>0</x:v>
      </x:c>
      <x:c r="AP920" s="76" t="str">
        <x:v>ICP fit; paid-demand need requires manual verification</x:v>
      </x:c>
      <x:c r="AQ920" s="76" t="str">
        <x:v>no embedded homepage video detected</x:v>
      </x:c>
      <x:c r="AR920" s="76" t="str">
        <x:v>I was reviewing pools &amp; spas companies in Easley, South Carolina and Pool Tech Builders looked like a strong fit for a creative test.</x:v>
      </x:c>
      <x:c r="AS920" s="76" t="str">
        <x:v>backyard-before to finished-project reveal</x:v>
      </x:c>
      <x:c r="AT920" s="76" t="str">
        <x:v>Pool Tech Builders ad concept</x:v>
      </x:c>
      <x:c r="AU920" s="76" t="str">
        <x:v>Hi Kyle — I was reviewing pools &amp; spas companies in Easley, South Carolina and Pool Tech Builders looked like a strong fit for a creative test. I mapped a private 15-second backyard-before to finished-project reveal for Pool Tech Builders using only public brand context—not for publishing, just to show the angle. We build three client-approved video ad concepts in seven days, then turn the winners into fresh variations. No filming day required. Worth sending the private sample?</x:v>
      </x:c>
      <x:c r="AV920" s="76" t="str">
        <x:v>Quick follow-up: the sample angle is a backyard-before to finished-project reveal. If it misses the mark, no problem—I won't keep chasing. Should I send it?</x:v>
      </x:c>
      <x:c r="AW920" s="76" t="str">
        <x:v>Hi Kyle, Ryan here. I was looking at Pool Tech Builders's public marketing and noticed: icp fit; paid-demand need requires manual verification. I mapped one private backyard-before to finished-project reveal as an example. Did I catch you with 30 seconds?</x:v>
      </x:c>
      <x:c r="AX920" s="60" t="str">
        <x:v>https://www.facebook.com/ads/library/?active_status=active&amp;ad_type=all&amp;country=US&amp;q=Pool%20Tech%20Builders&amp;search_type=keyword_unordered</x:v>
      </x:c>
      <x:c r="AY920" s="60" t="str">
        <x:v>ok:200</x:v>
      </x:c>
      <x:c r="AZ920" s="60" t="n">
        <x:v>46232.722858796296</x:v>
      </x:c>
      <x:c r="BA920" s="60" t="str">
        <x:v>AI Ark SC trades export</x:v>
      </x:c>
      <x:c r="BB920" s="60" t="str">
        <x:v>https://pooltechbuilder.com | https://www.linkedin.com/company/pool-tech-builders</x:v>
      </x:c>
      <x:c r="BC920" s="60" t="str"/>
    </x:row>
    <x:row r="921" ht="18" customHeight="1">
      <x:c r="A921" s="70" t="str">
        <x:v>920</x:v>
      </x:c>
      <x:c r="B921" s="70" t="str">
        <x:v>C - Verify</x:v>
      </x:c>
      <x:c r="C921" s="72" t="str">
        <x:v>42</x:v>
      </x:c>
      <x:c r="D921" s="60" t="str">
        <x:v>Owens Construction, Inc.</x:v>
      </x:c>
      <x:c r="E921" s="60" t="str">
        <x:v>https://owensdirt.com</x:v>
      </x:c>
      <x:c r="F921" s="60" t="str">
        <x:v>https://owensdirt.com</x:v>
      </x:c>
      <x:c r="G921" s="60" t="str">
        <x:v>Lexington</x:v>
      </x:c>
      <x:c r="H921" s="60" t="str">
        <x:v>South Carolina</x:v>
      </x:c>
      <x:c r="I921" s="60" t="str">
        <x:v>Plumbing</x:v>
      </x:c>
      <x:c r="J921" s="60" t="str">
        <x:v>Michael</x:v>
      </x:c>
      <x:c r="K921" s="60" t="str">
        <x:v>Owens</x:v>
      </x:c>
      <x:c r="L921" s="60" t="str">
        <x:v>owner</x:v>
      </x:c>
      <x:c r="M921" s="60" t="str"/>
      <x:c r="N921" s="60" t="str"/>
      <x:c r="O921" s="60" t="str">
        <x:v>+1 208 664 3800</x:v>
      </x:c>
      <x:c r="P921" s="60" t="str">
        <x:v>https://www.linkedin.com/in/michael-owens-a061048b</x:v>
      </x:c>
      <x:c r="Q921" s="60" t="str">
        <x:v>11-50</x:v>
      </x:c>
      <x:c r="R921" s="60" t="str">
        <x:v>1000000-4999999</x:v>
      </x:c>
      <x:c r="S921" s="60" t="str"/>
      <x:c r="T921" s="74" t="str">
        <x:v>0</x:v>
      </x:c>
      <x:c r="U921" s="60" t="str"/>
      <x:c r="V921" s="74" t="str">
        <x:v>30</x:v>
      </x:c>
      <x:c r="W921" s="74" t="str">
        <x:v>0</x:v>
      </x:c>
      <x:c r="X921" s="74" t="str">
        <x:v>10</x:v>
      </x:c>
      <x:c r="Y921" s="74" t="str">
        <x:v>0</x:v>
      </x:c>
      <x:c r="Z921" s="74" t="str">
        <x:v>5</x:v>
      </x:c>
      <x:c r="AA921" s="74" t="str">
        <x:v>0</x:v>
      </x:c>
      <x:c r="AB921" s="74" t="str">
        <x:v>0</x:v>
      </x:c>
      <x:c r="AC921" s="74" t="str">
        <x:v>0</x:v>
      </x:c>
      <x:c r="AD921" s="74" t="str">
        <x:v>0</x:v>
      </x:c>
      <x:c r="AE921" s="74" t="str">
        <x:v>0</x:v>
      </x:c>
      <x:c r="AF921" s="74" t="str"/>
      <x:c r="AG921" s="74" t="str">
        <x:v>0</x:v>
      </x:c>
      <x:c r="AH921" s="74" t="str">
        <x:v>0</x:v>
      </x:c>
      <x:c r="AI921" s="74" t="str">
        <x:v>0</x:v>
      </x:c>
      <x:c r="AJ921" s="74" t="str">
        <x:v>0</x:v>
      </x:c>
      <x:c r="AK921" s="74" t="str">
        <x:v>0</x:v>
      </x:c>
      <x:c r="AL921" s="74" t="str">
        <x:v>0</x:v>
      </x:c>
      <x:c r="AM921" s="74" t="str">
        <x:v>0</x:v>
      </x:c>
      <x:c r="AN921" s="74" t="str">
        <x:v>0</x:v>
      </x:c>
      <x:c r="AO921" s="60" t="str">
        <x:v>0</x:v>
      </x:c>
      <x:c r="AP921" s="76" t="str">
        <x:v>ICP fit; paid-demand need requires manual verification</x:v>
      </x:c>
      <x:c r="AQ921" s="76" t="str">
        <x:v>no embedded homepage video detected</x:v>
      </x:c>
      <x:c r="AR921" s="76" t="str">
        <x:v>I was reviewing plumbing companies in Lexington, South Carolina and Owens Construction, Inc. looked like a strong fit for a creative test.</x:v>
      </x:c>
      <x:c r="AS921" s="76" t="str">
        <x:v>small symptom to prevented-emergency ad</x:v>
      </x:c>
      <x:c r="AT921" s="76" t="str">
        <x:v>Owens Construction, Inc. ad concept</x:v>
      </x:c>
      <x:c r="AU921" s="76" t="str">
        <x:v>Hi Michael — I was reviewing plumbing companies in Lexington, South Carolina and Owens Construction, Inc. looked like a strong fit for a creative test. I mapped a private 15-second small symptom to prevented-emergency ad for Owens Construction, Inc. using only public brand context—not for publishing, just to show the angle. We build three client-approved video ad concepts in seven days, then turn the winners into fresh variations. No filming day required. Worth sending the private sample?</x:v>
      </x:c>
      <x:c r="AV921" s="76" t="str">
        <x:v>Quick follow-up: the sample angle is a small symptom to prevented-emergency ad. If it misses the mark, no problem—I won't keep chasing. Should I send it?</x:v>
      </x:c>
      <x:c r="AW921" s="76" t="str">
        <x:v>Hi Michael, Ryan here. I was looking at Owens Construction, Inc.'s public marketing and noticed: icp fit; paid-demand need requires manual verification. I mapped one private small symptom to prevented-emergency ad as an example. Did I catch you with 30 seconds?</x:v>
      </x:c>
      <x:c r="AX921" s="60" t="str">
        <x:v>https://www.facebook.com/ads/library/?active_status=active&amp;ad_type=all&amp;country=US&amp;q=Owens%20Construction%2C%20Inc.&amp;search_type=keyword_unordered</x:v>
      </x:c>
      <x:c r="AY921" s="60" t="str">
        <x:v>url_error:gaierror</x:v>
      </x:c>
      <x:c r="AZ921" s="60" t="n">
        <x:v>46232.722858796296</x:v>
      </x:c>
      <x:c r="BA921" s="60" t="str">
        <x:v>AI Ark SC trades export</x:v>
      </x:c>
      <x:c r="BB921" s="60" t="str">
        <x:v>https://owensdirt.com | https://www.linkedin.com/company/owens-construction-inc.</x:v>
      </x:c>
      <x:c r="BC921" s="60" t="str"/>
    </x:row>
    <x:row r="922" ht="18" customHeight="1">
      <x:c r="A922" s="70" t="str">
        <x:v>921</x:v>
      </x:c>
      <x:c r="B922" s="70" t="str">
        <x:v>C - Verify</x:v>
      </x:c>
      <x:c r="C922" s="72" t="str">
        <x:v>42</x:v>
      </x:c>
      <x:c r="D922" s="60" t="str">
        <x:v>Murray Lampert Design, Build, Remodel</x:v>
      </x:c>
      <x:c r="E922" s="60" t="str">
        <x:v>https://murraylampert.com</x:v>
      </x:c>
      <x:c r="F922" s="60" t="str">
        <x:v>https://murraylampert.com</x:v>
      </x:c>
      <x:c r="G922" s="60" t="str">
        <x:v>Walterboro</x:v>
      </x:c>
      <x:c r="H922" s="60" t="str">
        <x:v>South Carolina</x:v>
      </x:c>
      <x:c r="I922" s="60" t="str">
        <x:v>Remodeling</x:v>
      </x:c>
      <x:c r="J922" s="60" t="str">
        <x:v>Abbie</x:v>
      </x:c>
      <x:c r="K922" s="60" t="str">
        <x:v>Murray</x:v>
      </x:c>
      <x:c r="L922" s="60" t="str">
        <x:v>Owner</x:v>
      </x:c>
      <x:c r="M922" s="60" t="str"/>
      <x:c r="N922" s="60" t="str"/>
      <x:c r="O922" s="60" t="str">
        <x:v>+1 843 893 7519</x:v>
      </x:c>
      <x:c r="P922" s="60" t="str">
        <x:v>https://www.linkedin.com/in/abbie-murray-9325482b</x:v>
      </x:c>
      <x:c r="Q922" s="60" t="str">
        <x:v>11-50</x:v>
      </x:c>
      <x:c r="R922" s="60" t="str">
        <x:v>500000-999999</x:v>
      </x:c>
      <x:c r="S922" s="60" t="str"/>
      <x:c r="T922" s="74" t="str">
        <x:v>0</x:v>
      </x:c>
      <x:c r="U922" s="60" t="str"/>
      <x:c r="V922" s="74" t="str">
        <x:v>30</x:v>
      </x:c>
      <x:c r="W922" s="74" t="str">
        <x:v>0</x:v>
      </x:c>
      <x:c r="X922" s="74" t="str">
        <x:v>10</x:v>
      </x:c>
      <x:c r="Y922" s="74" t="str">
        <x:v>0</x:v>
      </x:c>
      <x:c r="Z922" s="74" t="str">
        <x:v>5</x:v>
      </x:c>
      <x:c r="AA922" s="74" t="str">
        <x:v>0</x:v>
      </x:c>
      <x:c r="AB922" s="74" t="str">
        <x:v>0</x:v>
      </x:c>
      <x:c r="AC922" s="74" t="str">
        <x:v>0</x:v>
      </x:c>
      <x:c r="AD922" s="74" t="str">
        <x:v>0</x:v>
      </x:c>
      <x:c r="AE922" s="74" t="str">
        <x:v>0</x:v>
      </x:c>
      <x:c r="AF922" s="74" t="str"/>
      <x:c r="AG922" s="74" t="str">
        <x:v>0</x:v>
      </x:c>
      <x:c r="AH922" s="74" t="str">
        <x:v>0</x:v>
      </x:c>
      <x:c r="AI922" s="74" t="str">
        <x:v>0</x:v>
      </x:c>
      <x:c r="AJ922" s="74" t="str">
        <x:v>0</x:v>
      </x:c>
      <x:c r="AK922" s="74" t="str">
        <x:v>0</x:v>
      </x:c>
      <x:c r="AL922" s="74" t="str">
        <x:v>0</x:v>
      </x:c>
      <x:c r="AM922" s="74" t="str">
        <x:v>0</x:v>
      </x:c>
      <x:c r="AN922" s="74" t="str">
        <x:v>0</x:v>
      </x:c>
      <x:c r="AO922" s="60" t="str">
        <x:v>0</x:v>
      </x:c>
      <x:c r="AP922" s="76" t="str">
        <x:v>ICP fit; paid-demand need requires manual verification</x:v>
      </x:c>
      <x:c r="AQ922" s="76" t="str">
        <x:v>no embedded homepage video detected</x:v>
      </x:c>
      <x:c r="AR922" s="76" t="str">
        <x:v>I was reviewing remodeling companies in Walterboro, South Carolina and Murray Lampert Design, Build, Remodel looked like a strong fit for a creative test.</x:v>
      </x:c>
      <x:c r="AS922" s="76" t="str">
        <x:v>project reveal with budget-and-timeline proof</x:v>
      </x:c>
      <x:c r="AT922" s="76" t="str">
        <x:v>Murray Lampert Design, Build, Remodel ad concept</x:v>
      </x:c>
      <x:c r="AU922" s="76" t="str">
        <x:v>Hi Abbie — I was reviewing remodeling companies in Walterboro, South Carolina and Murray Lampert Design, Build, Remodel looked like a strong fit for a creative test. I mapped a private 15-second project reveal with budget-and-timeline proof for Murray Lampert Design, Build, Remodel using only public brand context—not for publishing, just to show the angle. We build three client-approved video ad concepts in seven days, then turn the winners into fresh variations. No filming day required. Worth sending the private sample?</x:v>
      </x:c>
      <x:c r="AV922" s="76" t="str">
        <x:v>Quick follow-up: the sample angle is a project reveal with budget-and-timeline proof. If it misses the mark, no problem—I won't keep chasing. Should I send it?</x:v>
      </x:c>
      <x:c r="AW922" s="76" t="str">
        <x:v>Hi Abbie, Ryan here. I was looking at Murray Lampert Design, Build, Remodel's public marketing and noticed: icp fit; paid-demand need requires manual verification. I mapped one private project reveal with budget-and-timeline proof as an example. Did I catch you with 30 seconds?</x:v>
      </x:c>
      <x:c r="AX922" s="60" t="str">
        <x:v>https://www.facebook.com/ads/library/?active_status=active&amp;ad_type=all&amp;country=US&amp;q=Murray%20Lampert%20Design%2C%20Build%2C%20Remodel&amp;search_type=keyword_unordered</x:v>
      </x:c>
      <x:c r="AY922" s="60" t="str">
        <x:v>url_error:SSLCertVerificationError</x:v>
      </x:c>
      <x:c r="AZ922" s="60" t="n">
        <x:v>46232.722858796296</x:v>
      </x:c>
      <x:c r="BA922" s="60" t="str">
        <x:v>AI Ark SC trades export</x:v>
      </x:c>
      <x:c r="BB922" s="60" t="str">
        <x:v>https://murraylampert.com | https://www.linkedin.com/company/murray-lampert-construction</x:v>
      </x:c>
      <x:c r="BC922" s="60" t="str"/>
    </x:row>
    <x:row r="923" ht="18" customHeight="1">
      <x:c r="A923" s="70" t="str">
        <x:v>922</x:v>
      </x:c>
      <x:c r="B923" s="70" t="str">
        <x:v>C - Verify</x:v>
      </x:c>
      <x:c r="C923" s="72" t="str">
        <x:v>42</x:v>
      </x:c>
      <x:c r="D923" s="60" t="str">
        <x:v>McCaw Heating &amp; Cooling</x:v>
      </x:c>
      <x:c r="E923" s="60" t="str">
        <x:v>https://mccawac.com</x:v>
      </x:c>
      <x:c r="F923" s="60" t="str">
        <x:v>https://mccawac.com</x:v>
      </x:c>
      <x:c r="G923" s="60" t="str">
        <x:v>Summerville</x:v>
      </x:c>
      <x:c r="H923" s="60" t="str">
        <x:v>South Carolina</x:v>
      </x:c>
      <x:c r="I923" s="60" t="str">
        <x:v>HVAC</x:v>
      </x:c>
      <x:c r="J923" s="60" t="str">
        <x:v>Erik</x:v>
      </x:c>
      <x:c r="K923" s="60" t="str">
        <x:v>McCaw</x:v>
      </x:c>
      <x:c r="L923" s="60" t="str">
        <x:v>Owner</x:v>
      </x:c>
      <x:c r="M923" s="60" t="str"/>
      <x:c r="N923" s="60" t="str"/>
      <x:c r="O923" s="60" t="str">
        <x:v>+1 803 747 3265</x:v>
      </x:c>
      <x:c r="P923" s="60" t="str">
        <x:v>https://www.linkedin.com/in/erik-mccaw-825a1164</x:v>
      </x:c>
      <x:c r="Q923" s="60" t="str">
        <x:v>2-10</x:v>
      </x:c>
      <x:c r="R923" s="60" t="str">
        <x:v>100000-499999</x:v>
      </x:c>
      <x:c r="S923" s="60" t="str"/>
      <x:c r="T923" s="74" t="str">
        <x:v>0</x:v>
      </x:c>
      <x:c r="U923" s="60" t="str"/>
      <x:c r="V923" s="74" t="str">
        <x:v>27</x:v>
      </x:c>
      <x:c r="W923" s="74" t="str">
        <x:v>0</x:v>
      </x:c>
      <x:c r="X923" s="74" t="str">
        <x:v>10</x:v>
      </x:c>
      <x:c r="Y923" s="74" t="str">
        <x:v>0</x:v>
      </x:c>
      <x:c r="Z923" s="74" t="str">
        <x:v>5</x:v>
      </x:c>
      <x:c r="AA923" s="74" t="str">
        <x:v>0</x:v>
      </x:c>
      <x:c r="AB923" s="74" t="str">
        <x:v>0</x:v>
      </x:c>
      <x:c r="AC923" s="74" t="str">
        <x:v>0</x:v>
      </x:c>
      <x:c r="AD923" s="74" t="str">
        <x:v>0</x:v>
      </x:c>
      <x:c r="AE923" s="74" t="str">
        <x:v>0</x:v>
      </x:c>
      <x:c r="AF923" s="74" t="str"/>
      <x:c r="AG923" s="74" t="str">
        <x:v>0</x:v>
      </x:c>
      <x:c r="AH923" s="74" t="str">
        <x:v>0</x:v>
      </x:c>
      <x:c r="AI923" s="74" t="str">
        <x:v>0</x:v>
      </x:c>
      <x:c r="AJ923" s="74" t="str">
        <x:v>0</x:v>
      </x:c>
      <x:c r="AK923" s="74" t="str">
        <x:v>0</x:v>
      </x:c>
      <x:c r="AL923" s="74" t="str">
        <x:v>0</x:v>
      </x:c>
      <x:c r="AM923" s="74" t="str">
        <x:v>1</x:v>
      </x:c>
      <x:c r="AN923" s="74" t="str">
        <x:v>0</x:v>
      </x:c>
      <x:c r="AO923" s="60" t="str">
        <x:v>2026</x:v>
      </x:c>
      <x:c r="AP923" s="76" t="str">
        <x:v>ICP fit; paid-demand need requires manual verification</x:v>
      </x:c>
      <x:c r="AQ923" s="76" t="str">
        <x:v>no embedded homepage video detected</x:v>
      </x:c>
      <x:c r="AR923" s="76" t="str">
        <x:v>I was reviewing hvac companies in Summerville, South Carolina and McCaw Heating &amp; Cooling looked like a strong fit for a creative test.</x:v>
      </x:c>
      <x:c r="AS923" s="76" t="str">
        <x:v>no-cool-call to same-day comfort ad</x:v>
      </x:c>
      <x:c r="AT923" s="76" t="str">
        <x:v>McCaw Heating &amp; Cooling ad concept</x:v>
      </x:c>
      <x:c r="AU923" s="76" t="str">
        <x:v>Hi Erik — I was reviewing hvac companies in Summerville, South Carolina and McCaw Heating &amp; Cooling looked like a strong fit for a creative test. I mapped a private 15-second no-cool-call to same-day comfort ad for McCaw Heating &amp; Cooling using only public brand context—not for publishing, just to show the angle. We build three client-approved video ad concepts in seven days, then turn the winners into fresh variations. No filming day required. Worth sending the private sample?</x:v>
      </x:c>
      <x:c r="AV923" s="76" t="str">
        <x:v>Quick follow-up: the sample angle is a no-cool-call to same-day comfort ad. If it misses the mark, no problem—I won't keep chasing. Should I send it?</x:v>
      </x:c>
      <x:c r="AW923" s="76" t="str">
        <x:v>Hi Erik, Ryan here. I was looking at McCaw Heating &amp; Cooling's public marketing and noticed: icp fit; paid-demand need requires manual verification. I mapped one private no-cool-call to same-day comfort ad as an example. Did I catch you with 30 seconds?</x:v>
      </x:c>
      <x:c r="AX923" s="60" t="str">
        <x:v>https://www.facebook.com/ads/library/?active_status=active&amp;ad_type=all&amp;country=US&amp;q=McCaw%20Heating%20%26%20Cooling&amp;search_type=keyword_unordered</x:v>
      </x:c>
      <x:c r="AY923" s="60" t="str">
        <x:v>ok:200</x:v>
      </x:c>
      <x:c r="AZ923" s="60" t="n">
        <x:v>46232.722858796296</x:v>
      </x:c>
      <x:c r="BA923" s="60" t="str">
        <x:v>AI Ark SC trades export</x:v>
      </x:c>
      <x:c r="BB923" s="60" t="str">
        <x:v>https://mccawac.com | https://www.linkedin.com/company/mccaw-heating-cooling</x:v>
      </x:c>
      <x:c r="BC923" s="60" t="str"/>
    </x:row>
    <x:row r="924" ht="18" customHeight="1">
      <x:c r="A924" s="70" t="str">
        <x:v>923</x:v>
      </x:c>
      <x:c r="B924" s="70" t="str">
        <x:v>C - Verify</x:v>
      </x:c>
      <x:c r="C924" s="72" t="str">
        <x:v>42</x:v>
      </x:c>
      <x:c r="D924" s="60" t="str">
        <x:v>HVAC</x:v>
      </x:c>
      <x:c r="E924" s="60" t="str">
        <x:v>https://hvacqld.com.au</x:v>
      </x:c>
      <x:c r="F924" s="60" t="str">
        <x:v>https://hvacqld.com.au</x:v>
      </x:c>
      <x:c r="G924" s="60" t="str">
        <x:v>Greenville-spartanburg-anderson</x:v>
      </x:c>
      <x:c r="H924" s="60" t="str">
        <x:v>South Carolina Area</x:v>
      </x:c>
      <x:c r="I924" s="60" t="str">
        <x:v>HVAC</x:v>
      </x:c>
      <x:c r="J924" s="60" t="str">
        <x:v>Eric</x:v>
      </x:c>
      <x:c r="K924" s="60" t="str">
        <x:v>Gibbs</x:v>
      </x:c>
      <x:c r="L924" s="60" t="str">
        <x:v>Business Owner</x:v>
      </x:c>
      <x:c r="M924" s="60" t="str"/>
      <x:c r="N924" s="60" t="str"/>
      <x:c r="O924" s="60" t="str">
        <x:v>+61 8776324876</x:v>
      </x:c>
      <x:c r="P924" s="60" t="str">
        <x:v>https://www.linkedin.com/in/eric-gibbs-129136195</x:v>
      </x:c>
      <x:c r="Q924" s="60" t="str">
        <x:v>51-200</x:v>
      </x:c>
      <x:c r="R924" s="60" t="str">
        <x:v>100000000-499999999</x:v>
      </x:c>
      <x:c r="S924" s="60" t="str"/>
      <x:c r="T924" s="74" t="str">
        <x:v>0</x:v>
      </x:c>
      <x:c r="U924" s="60" t="str"/>
      <x:c r="V924" s="74" t="str">
        <x:v>30</x:v>
      </x:c>
      <x:c r="W924" s="74" t="str">
        <x:v>0</x:v>
      </x:c>
      <x:c r="X924" s="74" t="str">
        <x:v>10</x:v>
      </x:c>
      <x:c r="Y924" s="74" t="str">
        <x:v>0</x:v>
      </x:c>
      <x:c r="Z924" s="74" t="str">
        <x:v>5</x:v>
      </x:c>
      <x:c r="AA924" s="74" t="str">
        <x:v>0</x:v>
      </x:c>
      <x:c r="AB924" s="74" t="str">
        <x:v>0</x:v>
      </x:c>
      <x:c r="AC924" s="74" t="str">
        <x:v>0</x:v>
      </x:c>
      <x:c r="AD924" s="74" t="str">
        <x:v>0</x:v>
      </x:c>
      <x:c r="AE924" s="74" t="str">
        <x:v>0</x:v>
      </x:c>
      <x:c r="AF924" s="74" t="str"/>
      <x:c r="AG924" s="74" t="str">
        <x:v>0</x:v>
      </x:c>
      <x:c r="AH924" s="74" t="str">
        <x:v>0</x:v>
      </x:c>
      <x:c r="AI924" s="74" t="str">
        <x:v>0</x:v>
      </x:c>
      <x:c r="AJ924" s="74" t="str">
        <x:v>0</x:v>
      </x:c>
      <x:c r="AK924" s="74" t="str">
        <x:v>0</x:v>
      </x:c>
      <x:c r="AL924" s="74" t="str">
        <x:v>0</x:v>
      </x:c>
      <x:c r="AM924" s="74" t="str">
        <x:v>0</x:v>
      </x:c>
      <x:c r="AN924" s="74" t="str">
        <x:v>0</x:v>
      </x:c>
      <x:c r="AO924" s="60" t="str">
        <x:v>0</x:v>
      </x:c>
      <x:c r="AP924" s="76" t="str">
        <x:v>ICP fit; paid-demand need requires manual verification</x:v>
      </x:c>
      <x:c r="AQ924" s="76" t="str">
        <x:v>no embedded homepage video detected</x:v>
      </x:c>
      <x:c r="AR924" s="76" t="str">
        <x:v>I was reviewing hvac companies in Greenville-spartanburg-anderson, South Carolina Area and HVAC looked like a strong fit for a creative test.</x:v>
      </x:c>
      <x:c r="AS924" s="76" t="str">
        <x:v>no-cool-call to same-day comfort ad</x:v>
      </x:c>
      <x:c r="AT924" s="76" t="str">
        <x:v>HVAC ad concept</x:v>
      </x:c>
      <x:c r="AU924" s="76" t="str">
        <x:v>Hi Eric — I was reviewing hvac companies in Greenville-spartanburg-anderson, South Carolina Area and HVAC looked like a strong fit for a creative test. I mapped a private 15-second no-cool-call to same-day comfort ad for HVAC using only public brand context—not for publishing, just to show the angle. We build three client-approved video ad concepts in seven days, then turn the winners into fresh variations. No filming day required. Worth sending the private sample?</x:v>
      </x:c>
      <x:c r="AV924" s="76" t="str">
        <x:v>Quick follow-up: the sample angle is a no-cool-call to same-day comfort ad. If it misses the mark, no problem—I won't keep chasing. Should I send it?</x:v>
      </x:c>
      <x:c r="AW924" s="76" t="str">
        <x:v>Hi Eric, Ryan here. I was looking at HVAC's public marketing and noticed: icp fit; paid-demand need requires manual verification. I mapped one private no-cool-call to same-day comfort ad as an example. Did I catch you with 30 seconds?</x:v>
      </x:c>
      <x:c r="AX924" s="60" t="str">
        <x:v>https://www.facebook.com/ads/library/?active_status=active&amp;ad_type=all&amp;country=US&amp;q=HVAC&amp;search_type=keyword_unordered</x:v>
      </x:c>
      <x:c r="AY924" s="60" t="str">
        <x:v>url_error:gaierror</x:v>
      </x:c>
      <x:c r="AZ924" s="60" t="n">
        <x:v>46232.722858796296</x:v>
      </x:c>
      <x:c r="BA924" s="60" t="str">
        <x:v>AI Ark SC trades export</x:v>
      </x:c>
      <x:c r="BB924" s="60" t="str">
        <x:v>https://hvacqld.com.au | https://www.linkedin.com/company/hvac</x:v>
      </x:c>
      <x:c r="BC924" s="60" t="str"/>
    </x:row>
    <x:row r="925" ht="18" customHeight="1">
      <x:c r="A925" s="70" t="str">
        <x:v>924</x:v>
      </x:c>
      <x:c r="B925" s="70" t="str">
        <x:v>C - Verify</x:v>
      </x:c>
      <x:c r="C925" s="72" t="str">
        <x:v>42</x:v>
      </x:c>
      <x:c r="D925" s="60" t="str">
        <x:v>Framing</x:v>
      </x:c>
      <x:c r="E925" s="60" t="str">
        <x:v>https://framing.com.ar</x:v>
      </x:c>
      <x:c r="F925" s="60" t="str">
        <x:v>https://framing.com.ar</x:v>
      </x:c>
      <x:c r="G925" s="60" t="str">
        <x:v>Summerville</x:v>
      </x:c>
      <x:c r="H925" s="60" t="str">
        <x:v>South Carolina</x:v>
      </x:c>
      <x:c r="I925" s="60" t="str">
        <x:v>Remodeling</x:v>
      </x:c>
      <x:c r="J925" s="60" t="str">
        <x:v>Lourdes</x:v>
      </x:c>
      <x:c r="K925" s="60" t="str">
        <x:v>Guzman</x:v>
      </x:c>
      <x:c r="L925" s="60" t="str">
        <x:v>Owner</x:v>
      </x:c>
      <x:c r="M925" s="60" t="str"/>
      <x:c r="N925" s="60" t="str"/>
      <x:c r="O925" s="60" t="str">
        <x:v>+1 803 309 6703</x:v>
      </x:c>
      <x:c r="P925" s="60" t="str">
        <x:v>https://www.linkedin.com/in/lourdes-guzman-64523210a</x:v>
      </x:c>
      <x:c r="Q925" s="60" t="str">
        <x:v>11-50</x:v>
      </x:c>
      <x:c r="R925" s="60" t="str">
        <x:v>5000000-9999999</x:v>
      </x:c>
      <x:c r="S925" s="60" t="str"/>
      <x:c r="T925" s="74" t="str">
        <x:v>0</x:v>
      </x:c>
      <x:c r="U925" s="60" t="str"/>
      <x:c r="V925" s="74" t="str">
        <x:v>30</x:v>
      </x:c>
      <x:c r="W925" s="74" t="str">
        <x:v>0</x:v>
      </x:c>
      <x:c r="X925" s="74" t="str">
        <x:v>10</x:v>
      </x:c>
      <x:c r="Y925" s="74" t="str">
        <x:v>0</x:v>
      </x:c>
      <x:c r="Z925" s="74" t="str">
        <x:v>5</x:v>
      </x:c>
      <x:c r="AA925" s="74" t="str">
        <x:v>0</x:v>
      </x:c>
      <x:c r="AB925" s="74" t="str">
        <x:v>0</x:v>
      </x:c>
      <x:c r="AC925" s="74" t="str">
        <x:v>0</x:v>
      </x:c>
      <x:c r="AD925" s="74" t="str">
        <x:v>0</x:v>
      </x:c>
      <x:c r="AE925" s="74" t="str">
        <x:v>0</x:v>
      </x:c>
      <x:c r="AF925" s="74" t="str"/>
      <x:c r="AG925" s="74" t="str">
        <x:v>0</x:v>
      </x:c>
      <x:c r="AH925" s="74" t="str">
        <x:v>0</x:v>
      </x:c>
      <x:c r="AI925" s="74" t="str">
        <x:v>0</x:v>
      </x:c>
      <x:c r="AJ925" s="74" t="str">
        <x:v>0</x:v>
      </x:c>
      <x:c r="AK925" s="74" t="str">
        <x:v>0</x:v>
      </x:c>
      <x:c r="AL925" s="74" t="str">
        <x:v>0</x:v>
      </x:c>
      <x:c r="AM925" s="74" t="str">
        <x:v>0</x:v>
      </x:c>
      <x:c r="AN925" s="74" t="str">
        <x:v>0</x:v>
      </x:c>
      <x:c r="AO925" s="60" t="str">
        <x:v>0</x:v>
      </x:c>
      <x:c r="AP925" s="76" t="str">
        <x:v>ICP fit; paid-demand need requires manual verification</x:v>
      </x:c>
      <x:c r="AQ925" s="76" t="str">
        <x:v>no embedded homepage video detected</x:v>
      </x:c>
      <x:c r="AR925" s="76" t="str">
        <x:v>I was reviewing remodeling companies in Summerville, South Carolina and Framing looked like a strong fit for a creative test.</x:v>
      </x:c>
      <x:c r="AS925" s="76" t="str">
        <x:v>project reveal with budget-and-timeline proof</x:v>
      </x:c>
      <x:c r="AT925" s="76" t="str">
        <x:v>Framing ad concept</x:v>
      </x:c>
      <x:c r="AU925" s="76" t="str">
        <x:v>Hi Lourdes — I was reviewing remodeling companies in Summerville, South Carolina and Framing looked like a strong fit for a creative test. I mapped a private 15-second project reveal with budget-and-timeline proof for Framing using only public brand context—not for publishing, just to show the angle. We build three client-approved video ad concepts in seven days, then turn the winners into fresh variations. No filming day required. Worth sending the private sample?</x:v>
      </x:c>
      <x:c r="AV925" s="76" t="str">
        <x:v>Quick follow-up: the sample angle is a project reveal with budget-and-timeline proof. If it misses the mark, no problem—I won't keep chasing. Should I send it?</x:v>
      </x:c>
      <x:c r="AW925" s="76" t="str">
        <x:v>Hi Lourdes, Ryan here. I was looking at Framing's public marketing and noticed: icp fit; paid-demand need requires manual verification. I mapped one private project reveal with budget-and-timeline proof as an example. Did I catch you with 30 seconds?</x:v>
      </x:c>
      <x:c r="AX925" s="60" t="str">
        <x:v>https://www.facebook.com/ads/library/?active_status=active&amp;ad_type=all&amp;country=US&amp;q=Framing&amp;search_type=keyword_unordered</x:v>
      </x:c>
      <x:c r="AY925" s="60" t="str">
        <x:v>url_error:gaierror</x:v>
      </x:c>
      <x:c r="AZ925" s="60" t="n">
        <x:v>46232.722858796296</x:v>
      </x:c>
      <x:c r="BA925" s="60" t="str">
        <x:v>AI Ark SC trades export</x:v>
      </x:c>
      <x:c r="BB925" s="60" t="str">
        <x:v>https://framing.com.ar | https://www.linkedin.com/company/framing</x:v>
      </x:c>
      <x:c r="BC925" s="60" t="str"/>
    </x:row>
    <x:row r="926" ht="18" customHeight="1">
      <x:c r="A926" s="70" t="str">
        <x:v>925</x:v>
      </x:c>
      <x:c r="B926" s="70" t="str">
        <x:v>C - Verify</x:v>
      </x:c>
      <x:c r="C926" s="72" t="str">
        <x:v>42</x:v>
      </x:c>
      <x:c r="D926" s="60" t="str">
        <x:v>Equity Builders, Inc.</x:v>
      </x:c>
      <x:c r="E926" s="60" t="str">
        <x:v>https://equitybuildersinc.com</x:v>
      </x:c>
      <x:c r="F926" s="60" t="str">
        <x:v>https://equitybuildersinc.com</x:v>
      </x:c>
      <x:c r="G926" s="60" t="str">
        <x:v>Spartanburg</x:v>
      </x:c>
      <x:c r="H926" s="60" t="str">
        <x:v>South Carolina</x:v>
      </x:c>
      <x:c r="I926" s="60" t="str">
        <x:v>Remodeling</x:v>
      </x:c>
      <x:c r="J926" s="60" t="str">
        <x:v>Jerry</x:v>
      </x:c>
      <x:c r="K926" s="60" t="str">
        <x:v>Rogers</x:v>
      </x:c>
      <x:c r="L926" s="60" t="str">
        <x:v>Business Owner</x:v>
      </x:c>
      <x:c r="M926" s="60" t="str"/>
      <x:c r="N926" s="60" t="str"/>
      <x:c r="O926" s="60" t="str">
        <x:v>+1 858 220 2859</x:v>
      </x:c>
      <x:c r="P926" s="60" t="str">
        <x:v>https://www.linkedin.com/in/jerry-rogers-51721a324</x:v>
      </x:c>
      <x:c r="Q926" s="60" t="str">
        <x:v>51-200</x:v>
      </x:c>
      <x:c r="R926" s="60" t="str">
        <x:v>1000000-4999999</x:v>
      </x:c>
      <x:c r="S926" s="60" t="str"/>
      <x:c r="T926" s="74" t="str">
        <x:v>0</x:v>
      </x:c>
      <x:c r="U926" s="60" t="str"/>
      <x:c r="V926" s="74" t="str">
        <x:v>30</x:v>
      </x:c>
      <x:c r="W926" s="74" t="str">
        <x:v>0</x:v>
      </x:c>
      <x:c r="X926" s="74" t="str">
        <x:v>10</x:v>
      </x:c>
      <x:c r="Y926" s="74" t="str">
        <x:v>0</x:v>
      </x:c>
      <x:c r="Z926" s="74" t="str">
        <x:v>5</x:v>
      </x:c>
      <x:c r="AA926" s="74" t="str">
        <x:v>0</x:v>
      </x:c>
      <x:c r="AB926" s="74" t="str">
        <x:v>0</x:v>
      </x:c>
      <x:c r="AC926" s="74" t="str">
        <x:v>0</x:v>
      </x:c>
      <x:c r="AD926" s="74" t="str">
        <x:v>0</x:v>
      </x:c>
      <x:c r="AE926" s="74" t="str">
        <x:v>0</x:v>
      </x:c>
      <x:c r="AF926" s="74" t="str"/>
      <x:c r="AG926" s="74" t="str">
        <x:v>0</x:v>
      </x:c>
      <x:c r="AH926" s="74" t="str">
        <x:v>0</x:v>
      </x:c>
      <x:c r="AI926" s="74" t="str">
        <x:v>0</x:v>
      </x:c>
      <x:c r="AJ926" s="74" t="str">
        <x:v>0</x:v>
      </x:c>
      <x:c r="AK926" s="74" t="str">
        <x:v>0</x:v>
      </x:c>
      <x:c r="AL926" s="74" t="str">
        <x:v>0</x:v>
      </x:c>
      <x:c r="AM926" s="74" t="str">
        <x:v>0</x:v>
      </x:c>
      <x:c r="AN926" s="74" t="str">
        <x:v>0</x:v>
      </x:c>
      <x:c r="AO926" s="60" t="str">
        <x:v>0</x:v>
      </x:c>
      <x:c r="AP926" s="76" t="str">
        <x:v>ICP fit; paid-demand need requires manual verification</x:v>
      </x:c>
      <x:c r="AQ926" s="76" t="str">
        <x:v>no embedded homepage video detected</x:v>
      </x:c>
      <x:c r="AR926" s="76" t="str">
        <x:v>I was reviewing remodeling companies in Spartanburg, South Carolina and Equity Builders, Inc. looked like a strong fit for a creative test.</x:v>
      </x:c>
      <x:c r="AS926" s="76" t="str">
        <x:v>project reveal with budget-and-timeline proof</x:v>
      </x:c>
      <x:c r="AT926" s="76" t="str">
        <x:v>Equity Builders, Inc. ad concept</x:v>
      </x:c>
      <x:c r="AU926" s="76" t="str">
        <x:v>Hi Jerry — I was reviewing remodeling companies in Spartanburg, South Carolina and Equity Builders, Inc. looked like a strong fit for a creative test. I mapped a private 15-second project reveal with budget-and-timeline proof for Equity Builders, Inc. using only public brand context—not for publishing, just to show the angle. We build three client-approved video ad concepts in seven days, then turn the winners into fresh variations. No filming day required. Worth sending the private sample?</x:v>
      </x:c>
      <x:c r="AV926" s="76" t="str">
        <x:v>Quick follow-up: the sample angle is a project reveal with budget-and-timeline proof. If it misses the mark, no problem—I won't keep chasing. Should I send it?</x:v>
      </x:c>
      <x:c r="AW926" s="76" t="str">
        <x:v>Hi Jerry, Ryan here. I was looking at Equity Builders, Inc.'s public marketing and noticed: icp fit; paid-demand need requires manual verification. I mapped one private project reveal with budget-and-timeline proof as an example. Did I catch you with 30 seconds?</x:v>
      </x:c>
      <x:c r="AX926" s="60" t="str">
        <x:v>https://www.facebook.com/ads/library/?active_status=active&amp;ad_type=all&amp;country=US&amp;q=Equity%20Builders%2C%20Inc.&amp;search_type=keyword_unordered</x:v>
      </x:c>
      <x:c r="AY926" s="60" t="str">
        <x:v>http:404</x:v>
      </x:c>
      <x:c r="AZ926" s="60" t="n">
        <x:v>46232.722858796296</x:v>
      </x:c>
      <x:c r="BA926" s="60" t="str">
        <x:v>AI Ark SC trades export</x:v>
      </x:c>
      <x:c r="BB926" s="60" t="str">
        <x:v>https://equitybuildersinc.com | https://www.linkedin.com/company/equity-builders-inc</x:v>
      </x:c>
      <x:c r="BC926" s="60" t="str"/>
    </x:row>
    <x:row r="927" ht="18" customHeight="1">
      <x:c r="A927" s="70" t="str">
        <x:v>926</x:v>
      </x:c>
      <x:c r="B927" s="70" t="str">
        <x:v>C - Verify</x:v>
      </x:c>
      <x:c r="C927" s="72" t="str">
        <x:v>42</x:v>
      </x:c>
      <x:c r="D927" s="60" t="str">
        <x:v>Enviroshield Roofing Services</x:v>
      </x:c>
      <x:c r="E927" s="60" t="str">
        <x:v>https://enviroshieldroofing.com</x:v>
      </x:c>
      <x:c r="F927" s="60" t="str">
        <x:v>https://enviroshieldroofing.com</x:v>
      </x:c>
      <x:c r="G927" s="60" t="str">
        <x:v>Pelzer</x:v>
      </x:c>
      <x:c r="H927" s="60" t="str">
        <x:v>South Carolina</x:v>
      </x:c>
      <x:c r="I927" s="60" t="str">
        <x:v>Roofing</x:v>
      </x:c>
      <x:c r="J927" s="60" t="str">
        <x:v>Steve</x:v>
      </x:c>
      <x:c r="K927" s="60" t="str">
        <x:v>Worley</x:v>
      </x:c>
      <x:c r="L927" s="60" t="str">
        <x:v>Small Business Owner</x:v>
      </x:c>
      <x:c r="M927" s="60" t="str"/>
      <x:c r="N927" s="60" t="str"/>
      <x:c r="O927" s="60" t="str">
        <x:v>+1 864 908 8217</x:v>
      </x:c>
      <x:c r="P927" s="60" t="str">
        <x:v>https://www.linkedin.com/in/steve-worley-65b799144</x:v>
      </x:c>
      <x:c r="Q927" s="60" t="str">
        <x:v>11-50</x:v>
      </x:c>
      <x:c r="R927" s="60" t="str">
        <x:v>100000-499999</x:v>
      </x:c>
      <x:c r="S927" s="60" t="str"/>
      <x:c r="T927" s="74" t="str">
        <x:v>0</x:v>
      </x:c>
      <x:c r="U927" s="60" t="str"/>
      <x:c r="V927" s="74" t="str">
        <x:v>30</x:v>
      </x:c>
      <x:c r="W927" s="74" t="str">
        <x:v>0</x:v>
      </x:c>
      <x:c r="X927" s="74" t="str">
        <x:v>10</x:v>
      </x:c>
      <x:c r="Y927" s="74" t="str">
        <x:v>0</x:v>
      </x:c>
      <x:c r="Z927" s="74" t="str">
        <x:v>5</x:v>
      </x:c>
      <x:c r="AA927" s="74" t="str">
        <x:v>0</x:v>
      </x:c>
      <x:c r="AB927" s="74" t="str">
        <x:v>0</x:v>
      </x:c>
      <x:c r="AC927" s="74" t="str">
        <x:v>0</x:v>
      </x:c>
      <x:c r="AD927" s="74" t="str">
        <x:v>0</x:v>
      </x:c>
      <x:c r="AE927" s="74" t="str">
        <x:v>0</x:v>
      </x:c>
      <x:c r="AF927" s="74" t="str"/>
      <x:c r="AG927" s="74" t="str">
        <x:v>0</x:v>
      </x:c>
      <x:c r="AH927" s="74" t="str">
        <x:v>0</x:v>
      </x:c>
      <x:c r="AI927" s="74" t="str">
        <x:v>0</x:v>
      </x:c>
      <x:c r="AJ927" s="74" t="str">
        <x:v>0</x:v>
      </x:c>
      <x:c r="AK927" s="74" t="str">
        <x:v>0</x:v>
      </x:c>
      <x:c r="AL927" s="74" t="str">
        <x:v>0</x:v>
      </x:c>
      <x:c r="AM927" s="74" t="str">
        <x:v>0</x:v>
      </x:c>
      <x:c r="AN927" s="74" t="str">
        <x:v>0</x:v>
      </x:c>
      <x:c r="AO927" s="60" t="str">
        <x:v>0</x:v>
      </x:c>
      <x:c r="AP927" s="76" t="str">
        <x:v>ICP fit; paid-demand need requires manual verification</x:v>
      </x:c>
      <x:c r="AQ927" s="76" t="str">
        <x:v>no embedded homepage video detected</x:v>
      </x:c>
      <x:c r="AR927" s="76" t="str">
        <x:v>I was reviewing roofing companies in Pelzer, South Carolina and Enviroshield Roofing Services looked like a strong fit for a creative test.</x:v>
      </x:c>
      <x:c r="AS927" s="76" t="str">
        <x:v>storm-to-inspection before/after ad</x:v>
      </x:c>
      <x:c r="AT927" s="76" t="str">
        <x:v>Enviroshield Roofing Services ad concept</x:v>
      </x:c>
      <x:c r="AU927" s="76" t="str">
        <x:v>Hi Steve — I was reviewing roofing companies in Pelzer, South Carolina and Enviroshield Roofing Services looked like a strong fit for a creative test. I mapped a private 15-second storm-to-inspection before/after ad for Enviroshield Roofing Services using only public brand context—not for publishing, just to show the angle. We build three client-approved video ad concepts in seven days, then turn the winners into fresh variations. No filming day required. Worth sending the private sample?</x:v>
      </x:c>
      <x:c r="AV927" s="76" t="str">
        <x:v>Quick follow-up: the sample angle is a storm-to-inspection before/after ad. If it misses the mark, no problem—I won't keep chasing. Should I send it?</x:v>
      </x:c>
      <x:c r="AW927" s="76" t="str">
        <x:v>Hi Steve, Ryan here. I was looking at Enviroshield Roofing Services's public marketing and noticed: icp fit; paid-demand need requires manual verification. I mapped one private storm-to-inspection before/after ad as an example. Did I catch you with 30 seconds?</x:v>
      </x:c>
      <x:c r="AX927" s="60" t="str">
        <x:v>https://www.facebook.com/ads/library/?active_status=active&amp;ad_type=all&amp;country=US&amp;q=Enviroshield%20Roofing%20Services&amp;search_type=keyword_unordered</x:v>
      </x:c>
      <x:c r="AY927" s="60" t="str">
        <x:v>url_error:gaierror</x:v>
      </x:c>
      <x:c r="AZ927" s="60" t="n">
        <x:v>46232.722858796296</x:v>
      </x:c>
      <x:c r="BA927" s="60" t="str">
        <x:v>AI Ark SC trades export</x:v>
      </x:c>
      <x:c r="BB927" s="60" t="str">
        <x:v>https://enviroshieldroofing.com | https://www.linkedin.com/company/enviroshield-roofing-services</x:v>
      </x:c>
      <x:c r="BC927" s="60" t="str"/>
    </x:row>
    <x:row r="928" ht="18" customHeight="1">
      <x:c r="A928" s="70" t="str">
        <x:v>927</x:v>
      </x:c>
      <x:c r="B928" s="70" t="str">
        <x:v>C - Verify</x:v>
      </x:c>
      <x:c r="C928" s="72" t="str">
        <x:v>42</x:v>
      </x:c>
      <x:c r="D928" s="60" t="str">
        <x:v>Ductz Indoor Air Professionals</x:v>
      </x:c>
      <x:c r="E928" s="60" t="str">
        <x:v>https://ductz-chicago.com</x:v>
      </x:c>
      <x:c r="F928" s="60" t="str">
        <x:v>https://ductz-chicago.com</x:v>
      </x:c>
      <x:c r="G928" s="60" t="str">
        <x:v>Spartanburg</x:v>
      </x:c>
      <x:c r="H928" s="60" t="str">
        <x:v>South Carolina</x:v>
      </x:c>
      <x:c r="I928" s="60" t="str">
        <x:v>Restoration</x:v>
      </x:c>
      <x:c r="J928" s="60" t="str">
        <x:v>Karl</x:v>
      </x:c>
      <x:c r="K928" s="60" t="str">
        <x:v>Nilsen</x:v>
      </x:c>
      <x:c r="L928" s="60" t="str">
        <x:v>owner</x:v>
      </x:c>
      <x:c r="M928" s="60" t="str"/>
      <x:c r="N928" s="60" t="str"/>
      <x:c r="O928" s="60" t="str">
        <x:v>+1 864 266 4800</x:v>
      </x:c>
      <x:c r="P928" s="60" t="str">
        <x:v>https://www.linkedin.com/in/karl-nilsen-b1a42711</x:v>
      </x:c>
      <x:c r="Q928" s="60" t="str">
        <x:v>2-10</x:v>
      </x:c>
      <x:c r="R928" s="60" t="str">
        <x:v>5000000-9999999</x:v>
      </x:c>
      <x:c r="S928" s="60" t="str"/>
      <x:c r="T928" s="74" t="str">
        <x:v>0</x:v>
      </x:c>
      <x:c r="U928" s="60" t="str"/>
      <x:c r="V928" s="74" t="str">
        <x:v>30</x:v>
      </x:c>
      <x:c r="W928" s="74" t="str">
        <x:v>0</x:v>
      </x:c>
      <x:c r="X928" s="74" t="str">
        <x:v>10</x:v>
      </x:c>
      <x:c r="Y928" s="74" t="str">
        <x:v>0</x:v>
      </x:c>
      <x:c r="Z928" s="74" t="str">
        <x:v>5</x:v>
      </x:c>
      <x:c r="AA928" s="74" t="str">
        <x:v>0</x:v>
      </x:c>
      <x:c r="AB928" s="74" t="str">
        <x:v>0</x:v>
      </x:c>
      <x:c r="AC928" s="74" t="str">
        <x:v>0</x:v>
      </x:c>
      <x:c r="AD928" s="74" t="str">
        <x:v>0</x:v>
      </x:c>
      <x:c r="AE928" s="74" t="str">
        <x:v>0</x:v>
      </x:c>
      <x:c r="AF928" s="74" t="str"/>
      <x:c r="AG928" s="74" t="str">
        <x:v>0</x:v>
      </x:c>
      <x:c r="AH928" s="74" t="str">
        <x:v>0</x:v>
      </x:c>
      <x:c r="AI928" s="74" t="str">
        <x:v>0</x:v>
      </x:c>
      <x:c r="AJ928" s="74" t="str">
        <x:v>0</x:v>
      </x:c>
      <x:c r="AK928" s="74" t="str">
        <x:v>0</x:v>
      </x:c>
      <x:c r="AL928" s="74" t="str">
        <x:v>0</x:v>
      </x:c>
      <x:c r="AM928" s="74" t="str">
        <x:v>0</x:v>
      </x:c>
      <x:c r="AN928" s="74" t="str">
        <x:v>0</x:v>
      </x:c>
      <x:c r="AO928" s="60" t="str">
        <x:v>0</x:v>
      </x:c>
      <x:c r="AP928" s="76" t="str">
        <x:v>ICP fit; paid-demand need requires manual verification</x:v>
      </x:c>
      <x:c r="AQ928" s="76" t="str">
        <x:v>no embedded homepage video detected</x:v>
      </x:c>
      <x:c r="AR928" s="76" t="str">
        <x:v>I was reviewing restoration companies in Spartanburg, South Carolina and Ductz Indoor Air Professionals looked like a strong fit for a creative test.</x:v>
      </x:c>
      <x:c r="AS928" s="76" t="str">
        <x:v>first-24-hours emergency-response ad</x:v>
      </x:c>
      <x:c r="AT928" s="76" t="str">
        <x:v>Ductz Indoor Air Professionals ad concept</x:v>
      </x:c>
      <x:c r="AU928" s="76" t="str">
        <x:v>Hi Karl — I was reviewing restoration companies in Spartanburg, South Carolina and Ductz Indoor Air Professionals looked like a strong fit for a creative test. I mapped a private 15-second first-24-hours emergency-response ad for Ductz Indoor Air Professionals using only public brand context—not for publishing, just to show the angle. We build three client-approved video ad concepts in seven days, then turn the winners into fresh variations. No filming day required. Worth sending the private sample?</x:v>
      </x:c>
      <x:c r="AV928" s="76" t="str">
        <x:v>Quick follow-up: the sample angle is a first-24-hours emergency-response ad. If it misses the mark, no problem—I won't keep chasing. Should I send it?</x:v>
      </x:c>
      <x:c r="AW928" s="76" t="str">
        <x:v>Hi Karl, Ryan here. I was looking at Ductz Indoor Air Professionals's public marketing and noticed: icp fit; paid-demand need requires manual verification. I mapped one private first-24-hours emergency-response ad as an example. Did I catch you with 30 seconds?</x:v>
      </x:c>
      <x:c r="AX928" s="60" t="str">
        <x:v>https://www.facebook.com/ads/library/?active_status=active&amp;ad_type=all&amp;country=US&amp;q=Ductz%20Indoor%20Air%20Professionals&amp;search_type=keyword_unordered</x:v>
      </x:c>
      <x:c r="AY928" s="60" t="str">
        <x:v>url_error:gaierror</x:v>
      </x:c>
      <x:c r="AZ928" s="60" t="n">
        <x:v>46232.722858796296</x:v>
      </x:c>
      <x:c r="BA928" s="60" t="str">
        <x:v>AI Ark SC trades export</x:v>
      </x:c>
      <x:c r="BB928" s="60" t="str">
        <x:v>https://ductz-chicago.com | https://www.linkedin.com/company/ductz-indoor-air-professionals</x:v>
      </x:c>
      <x:c r="BC928" s="60" t="str"/>
    </x:row>
    <x:row r="929" ht="18" customHeight="1">
      <x:c r="A929" s="70" t="str">
        <x:v>928</x:v>
      </x:c>
      <x:c r="B929" s="70" t="str">
        <x:v>C - Verify</x:v>
      </x:c>
      <x:c r="C929" s="72" t="str">
        <x:v>42</x:v>
      </x:c>
      <x:c r="D929" s="60" t="str">
        <x:v>Designs Unlimited</x:v>
      </x:c>
      <x:c r="E929" s="60" t="str">
        <x:v>https://du-construction.com</x:v>
      </x:c>
      <x:c r="F929" s="60" t="str">
        <x:v>https://du-construction.com</x:v>
      </x:c>
      <x:c r="G929" s="60" t="str">
        <x:v>Lexington County</x:v>
      </x:c>
      <x:c r="H929" s="60" t="str">
        <x:v>South Carolina</x:v>
      </x:c>
      <x:c r="I929" s="60" t="str">
        <x:v>General Contractor</x:v>
      </x:c>
      <x:c r="J929" s="60" t="str">
        <x:v>Cathy</x:v>
      </x:c>
      <x:c r="K929" s="60" t="str">
        <x:v>Harper</x:v>
      </x:c>
      <x:c r="L929" s="60" t="str">
        <x:v>owner</x:v>
      </x:c>
      <x:c r="M929" s="60" t="str"/>
      <x:c r="N929" s="60" t="str"/>
      <x:c r="O929" s="60" t="str">
        <x:v>+1 803 315 4906</x:v>
      </x:c>
      <x:c r="P929" s="60" t="str">
        <x:v>https://www.linkedin.com/in/cathy-harper-8b52405b</x:v>
      </x:c>
      <x:c r="Q929" s="60" t="str">
        <x:v>11-50</x:v>
      </x:c>
      <x:c r="R929" s="60" t="str">
        <x:v>1000000-4999999</x:v>
      </x:c>
      <x:c r="S929" s="60" t="str"/>
      <x:c r="T929" s="74" t="str">
        <x:v>0</x:v>
      </x:c>
      <x:c r="U929" s="60" t="str"/>
      <x:c r="V929" s="74" t="str">
        <x:v>27</x:v>
      </x:c>
      <x:c r="W929" s="74" t="str">
        <x:v>0</x:v>
      </x:c>
      <x:c r="X929" s="74" t="str">
        <x:v>10</x:v>
      </x:c>
      <x:c r="Y929" s="74" t="str">
        <x:v>0</x:v>
      </x:c>
      <x:c r="Z929" s="74" t="str">
        <x:v>5</x:v>
      </x:c>
      <x:c r="AA929" s="74" t="str">
        <x:v>0</x:v>
      </x:c>
      <x:c r="AB929" s="74" t="str">
        <x:v>0</x:v>
      </x:c>
      <x:c r="AC929" s="74" t="str">
        <x:v>0</x:v>
      </x:c>
      <x:c r="AD929" s="74" t="str">
        <x:v>0</x:v>
      </x:c>
      <x:c r="AE929" s="74" t="str">
        <x:v>0</x:v>
      </x:c>
      <x:c r="AF929" s="74" t="str"/>
      <x:c r="AG929" s="74" t="str">
        <x:v>0</x:v>
      </x:c>
      <x:c r="AH929" s="74" t="str">
        <x:v>0</x:v>
      </x:c>
      <x:c r="AI929" s="74" t="str">
        <x:v>0</x:v>
      </x:c>
      <x:c r="AJ929" s="74" t="str">
        <x:v>0</x:v>
      </x:c>
      <x:c r="AK929" s="74" t="str">
        <x:v>0</x:v>
      </x:c>
      <x:c r="AL929" s="74" t="str">
        <x:v>0</x:v>
      </x:c>
      <x:c r="AM929" s="74" t="str">
        <x:v>0</x:v>
      </x:c>
      <x:c r="AN929" s="74" t="str">
        <x:v>0</x:v>
      </x:c>
      <x:c r="AO929" s="60" t="str">
        <x:v>2025</x:v>
      </x:c>
      <x:c r="AP929" s="76" t="str">
        <x:v>ICP fit; paid-demand need requires manual verification</x:v>
      </x:c>
      <x:c r="AQ929" s="76" t="str">
        <x:v>no embedded homepage video detected</x:v>
      </x:c>
      <x:c r="AR929" s="76" t="str">
        <x:v>I was reviewing general contractor companies in Lexington County, South Carolina and Designs Unlimited looked like a strong fit for a creative test.</x:v>
      </x:c>
      <x:c r="AS929" s="76" t="str">
        <x:v>project walkthrough with proof milestones</x:v>
      </x:c>
      <x:c r="AT929" s="76" t="str">
        <x:v>Designs Unlimited ad concept</x:v>
      </x:c>
      <x:c r="AU929" s="76" t="str">
        <x:v>Hi Cathy — I was reviewing general contractor companies in Lexington County, South Carolina and Designs Unlimited looked like a strong fit for a creative test. I mapped a private 15-second project walkthrough with proof milestones for Designs Unlimited using only public brand context—not for publishing, just to show the angle. We build three client-approved video ad concepts in seven days, then turn the winners into fresh variations. No filming day required. Worth sending the private sample?</x:v>
      </x:c>
      <x:c r="AV929" s="76" t="str">
        <x:v>Quick follow-up: the sample angle is a project walkthrough with proof milestones. If it misses the mark, no problem—I won't keep chasing. Should I send it?</x:v>
      </x:c>
      <x:c r="AW929" s="76" t="str">
        <x:v>Hi Cathy, Ryan here. I was looking at Designs Unlimited's public marketing and noticed: icp fit; paid-demand need requires manual verification. I mapped one private project walkthrough with proof milestones as an example. Did I catch you with 30 seconds?</x:v>
      </x:c>
      <x:c r="AX929" s="60" t="str">
        <x:v>https://www.facebook.com/ads/library/?active_status=active&amp;ad_type=all&amp;country=US&amp;q=Designs%20Unlimited&amp;search_type=keyword_unordered</x:v>
      </x:c>
      <x:c r="AY929" s="60" t="str">
        <x:v>ok:200</x:v>
      </x:c>
      <x:c r="AZ929" s="60" t="n">
        <x:v>46232.722858796296</x:v>
      </x:c>
      <x:c r="BA929" s="60" t="str">
        <x:v>AI Ark SC trades export</x:v>
      </x:c>
      <x:c r="BB929" s="60" t="str">
        <x:v>https://du-construction.com | https://www.linkedin.com/company/designs-unlimited</x:v>
      </x:c>
      <x:c r="BC929" s="60" t="str"/>
    </x:row>
    <x:row r="930" ht="18" customHeight="1">
      <x:c r="A930" s="70" t="str">
        <x:v>929</x:v>
      </x:c>
      <x:c r="B930" s="70" t="str">
        <x:v>C - Verify</x:v>
      </x:c>
      <x:c r="C930" s="72" t="str">
        <x:v>42</x:v>
      </x:c>
      <x:c r="D930" s="60" t="str">
        <x:v>CUNNINGHAM CONSTRUCTION</x:v>
      </x:c>
      <x:c r="E930" s="60" t="str">
        <x:v>https://rccgroup.nz</x:v>
      </x:c>
      <x:c r="F930" s="60" t="str">
        <x:v>https://rccgroup.nz</x:v>
      </x:c>
      <x:c r="G930" s="60" t="str">
        <x:v>Greenville</x:v>
      </x:c>
      <x:c r="H930" s="60" t="str">
        <x:v>South Carolina</x:v>
      </x:c>
      <x:c r="I930" s="60" t="str">
        <x:v>General Contractor</x:v>
      </x:c>
      <x:c r="J930" s="60" t="str">
        <x:v>Todd</x:v>
      </x:c>
      <x:c r="K930" s="60" t="str">
        <x:v>Cunningham</x:v>
      </x:c>
      <x:c r="L930" s="60" t="str">
        <x:v>Company Owner</x:v>
      </x:c>
      <x:c r="M930" s="60" t="str"/>
      <x:c r="N930" s="60" t="str"/>
      <x:c r="O930" s="60" t="str">
        <x:v>+1 864 505 5618</x:v>
      </x:c>
      <x:c r="P930" s="60" t="str">
        <x:v>https://www.linkedin.com/in/todd-cunningham-08021a66</x:v>
      </x:c>
      <x:c r="Q930" s="60" t="str">
        <x:v>51-200</x:v>
      </x:c>
      <x:c r="R930" s="60" t="str">
        <x:v>1000000-4999999</x:v>
      </x:c>
      <x:c r="S930" s="60" t="str"/>
      <x:c r="T930" s="74" t="str">
        <x:v>0</x:v>
      </x:c>
      <x:c r="U930" s="60" t="str"/>
      <x:c r="V930" s="74" t="str">
        <x:v>27</x:v>
      </x:c>
      <x:c r="W930" s="74" t="str">
        <x:v>0</x:v>
      </x:c>
      <x:c r="X930" s="74" t="str">
        <x:v>10</x:v>
      </x:c>
      <x:c r="Y930" s="74" t="str">
        <x:v>0</x:v>
      </x:c>
      <x:c r="Z930" s="74" t="str">
        <x:v>5</x:v>
      </x:c>
      <x:c r="AA930" s="74" t="str">
        <x:v>0</x:v>
      </x:c>
      <x:c r="AB930" s="74" t="str">
        <x:v>0</x:v>
      </x:c>
      <x:c r="AC930" s="74" t="str">
        <x:v>0</x:v>
      </x:c>
      <x:c r="AD930" s="74" t="str">
        <x:v>0</x:v>
      </x:c>
      <x:c r="AE930" s="74" t="str">
        <x:v>0</x:v>
      </x:c>
      <x:c r="AF930" s="74" t="str"/>
      <x:c r="AG930" s="74" t="str">
        <x:v>0</x:v>
      </x:c>
      <x:c r="AH930" s="74" t="str">
        <x:v>0</x:v>
      </x:c>
      <x:c r="AI930" s="74" t="str">
        <x:v>0</x:v>
      </x:c>
      <x:c r="AJ930" s="74" t="str">
        <x:v>0</x:v>
      </x:c>
      <x:c r="AK930" s="74" t="str">
        <x:v>0</x:v>
      </x:c>
      <x:c r="AL930" s="74" t="str">
        <x:v>0</x:v>
      </x:c>
      <x:c r="AM930" s="74" t="str">
        <x:v>0</x:v>
      </x:c>
      <x:c r="AN930" s="74" t="str">
        <x:v>0</x:v>
      </x:c>
      <x:c r="AO930" s="60" t="str">
        <x:v>0</x:v>
      </x:c>
      <x:c r="AP930" s="76" t="str">
        <x:v>ICP fit; paid-demand need requires manual verification</x:v>
      </x:c>
      <x:c r="AQ930" s="76" t="str">
        <x:v>no embedded homepage video detected</x:v>
      </x:c>
      <x:c r="AR930" s="76" t="str">
        <x:v>I was reviewing general contractor companies in Greenville, South Carolina and CUNNINGHAM CONSTRUCTION looked like a strong fit for a creative test.</x:v>
      </x:c>
      <x:c r="AS930" s="76" t="str">
        <x:v>project walkthrough with proof milestones</x:v>
      </x:c>
      <x:c r="AT930" s="76" t="str">
        <x:v>CUNNINGHAM CONSTRUCTION ad concept</x:v>
      </x:c>
      <x:c r="AU930" s="76" t="str">
        <x:v>Hi Todd — I was reviewing general contractor companies in Greenville, South Carolina and CUNNINGHAM CONSTRUCTION looked like a strong fit for a creative test. I mapped a private 15-second project walkthrough with proof milestones for CUNNINGHAM CONSTRUCTION using only public brand context—not for publishing, just to show the angle. We build three client-approved video ad concepts in seven days, then turn the winners into fresh variations. No filming day required. Worth sending the private sample?</x:v>
      </x:c>
      <x:c r="AV930" s="76" t="str">
        <x:v>Quick follow-up: the sample angle is a project walkthrough with proof milestones. If it misses the mark, no problem—I won't keep chasing. Should I send it?</x:v>
      </x:c>
      <x:c r="AW930" s="76" t="str">
        <x:v>Hi Todd, Ryan here. I was looking at CUNNINGHAM CONSTRUCTION's public marketing and noticed: icp fit; paid-demand need requires manual verification. I mapped one private project walkthrough with proof milestones as an example. Did I catch you with 30 seconds?</x:v>
      </x:c>
      <x:c r="AX930" s="60" t="str">
        <x:v>https://www.facebook.com/ads/library/?active_status=active&amp;ad_type=all&amp;country=US&amp;q=CUNNINGHAM%20CONSTRUCTION&amp;search_type=keyword_unordered</x:v>
      </x:c>
      <x:c r="AY930" s="60" t="str">
        <x:v>ok:200</x:v>
      </x:c>
      <x:c r="AZ930" s="60" t="n">
        <x:v>46232.722858796296</x:v>
      </x:c>
      <x:c r="BA930" s="60" t="str">
        <x:v>AI Ark SC trades export</x:v>
      </x:c>
      <x:c r="BB930" s="60" t="str">
        <x:v>https://rccgroup.nz | https://www.linkedin.com/company/cunningham-construction</x:v>
      </x:c>
      <x:c r="BC930" s="60" t="str"/>
    </x:row>
    <x:row r="931" ht="18" customHeight="1">
      <x:c r="A931" s="70" t="str">
        <x:v>930</x:v>
      </x:c>
      <x:c r="B931" s="70" t="str">
        <x:v>C - Verify</x:v>
      </x:c>
      <x:c r="C931" s="72" t="str">
        <x:v>42</x:v>
      </x:c>
      <x:c r="D931" s="60" t="str">
        <x:v>CARTEE-BERRY &amp; ASSOCIATES, LLC</x:v>
      </x:c>
      <x:c r="E931" s="60" t="str">
        <x:v>https://carteeberry.com</x:v>
      </x:c>
      <x:c r="F931" s="60" t="str">
        <x:v>https://carteeberry.com</x:v>
      </x:c>
      <x:c r="G931" s="60" t="str">
        <x:v>Florence</x:v>
      </x:c>
      <x:c r="H931" s="60" t="str">
        <x:v>South Carolina</x:v>
      </x:c>
      <x:c r="I931" s="60" t="str">
        <x:v>General Contractor</x:v>
      </x:c>
      <x:c r="J931" s="60" t="str">
        <x:v>Rudy</x:v>
      </x:c>
      <x:c r="K931" s="60" t="str">
        <x:v>Berry</x:v>
      </x:c>
      <x:c r="L931" s="60" t="str">
        <x:v>Co-owner</x:v>
      </x:c>
      <x:c r="M931" s="60" t="str"/>
      <x:c r="N931" s="60" t="str"/>
      <x:c r="O931" s="60" t="str">
        <x:v>+1 843 307 2522</x:v>
      </x:c>
      <x:c r="P931" s="60" t="str">
        <x:v>https://www.linkedin.com/in/rudy-berry-74243170</x:v>
      </x:c>
      <x:c r="Q931" s="60" t="str">
        <x:v>11-50</x:v>
      </x:c>
      <x:c r="R931" s="60" t="str">
        <x:v>1000000-4999999</x:v>
      </x:c>
      <x:c r="S931" s="60" t="str"/>
      <x:c r="T931" s="74" t="str">
        <x:v>0</x:v>
      </x:c>
      <x:c r="U931" s="60" t="str"/>
      <x:c r="V931" s="74" t="str">
        <x:v>27</x:v>
      </x:c>
      <x:c r="W931" s="74" t="str">
        <x:v>0</x:v>
      </x:c>
      <x:c r="X931" s="74" t="str">
        <x:v>10</x:v>
      </x:c>
      <x:c r="Y931" s="74" t="str">
        <x:v>0</x:v>
      </x:c>
      <x:c r="Z931" s="74" t="str">
        <x:v>5</x:v>
      </x:c>
      <x:c r="AA931" s="74" t="str">
        <x:v>0</x:v>
      </x:c>
      <x:c r="AB931" s="74" t="str">
        <x:v>0</x:v>
      </x:c>
      <x:c r="AC931" s="74" t="str">
        <x:v>0</x:v>
      </x:c>
      <x:c r="AD931" s="74" t="str">
        <x:v>0</x:v>
      </x:c>
      <x:c r="AE931" s="74" t="str">
        <x:v>0</x:v>
      </x:c>
      <x:c r="AF931" s="74" t="str"/>
      <x:c r="AG931" s="74" t="str">
        <x:v>0</x:v>
      </x:c>
      <x:c r="AH931" s="74" t="str">
        <x:v>0</x:v>
      </x:c>
      <x:c r="AI931" s="74" t="str">
        <x:v>0</x:v>
      </x:c>
      <x:c r="AJ931" s="74" t="str">
        <x:v>0</x:v>
      </x:c>
      <x:c r="AK931" s="74" t="str">
        <x:v>0</x:v>
      </x:c>
      <x:c r="AL931" s="74" t="str">
        <x:v>0</x:v>
      </x:c>
      <x:c r="AM931" s="74" t="str">
        <x:v>0</x:v>
      </x:c>
      <x:c r="AN931" s="74" t="str">
        <x:v>0</x:v>
      </x:c>
      <x:c r="AO931" s="60" t="str">
        <x:v>2026</x:v>
      </x:c>
      <x:c r="AP931" s="76" t="str">
        <x:v>ICP fit; paid-demand need requires manual verification</x:v>
      </x:c>
      <x:c r="AQ931" s="76" t="str">
        <x:v>no embedded homepage video detected</x:v>
      </x:c>
      <x:c r="AR931" s="76" t="str">
        <x:v>I was reviewing general contractor companies in Florence, South Carolina and CARTEE-BERRY &amp; ASSOCIATES, LLC looked like a strong fit for a creative test.</x:v>
      </x:c>
      <x:c r="AS931" s="76" t="str">
        <x:v>project walkthrough with proof milestones</x:v>
      </x:c>
      <x:c r="AT931" s="76" t="str">
        <x:v>CARTEE-BERRY &amp; ASSOCIATES, LLC ad concept</x:v>
      </x:c>
      <x:c r="AU931" s="76" t="str">
        <x:v>Hi Rudy — I was reviewing general contractor companies in Florence, South Carolina and CARTEE-BERRY &amp; ASSOCIATES, LLC looked like a strong fit for a creative test. I mapped a private 15-second project walkthrough with proof milestones for CARTEE-BERRY &amp; ASSOCIATES, LLC using only public brand context—not for publishing, just to show the angle. We build three client-approved video ad concepts in seven days, then turn the winners into fresh variations. No filming day required. Worth sending the private sample?</x:v>
      </x:c>
      <x:c r="AV931" s="76" t="str">
        <x:v>Quick follow-up: the sample angle is a project walkthrough with proof milestones. If it misses the mark, no problem—I won't keep chasing. Should I send it?</x:v>
      </x:c>
      <x:c r="AW931" s="76" t="str">
        <x:v>Hi Rudy, Ryan here. I was looking at CARTEE-BERRY &amp; ASSOCIATES, LLC's public marketing and noticed: icp fit; paid-demand need requires manual verification. I mapped one private project walkthrough with proof milestones as an example. Did I catch you with 30 seconds?</x:v>
      </x:c>
      <x:c r="AX931" s="60" t="str">
        <x:v>https://www.facebook.com/ads/library/?active_status=active&amp;ad_type=all&amp;country=US&amp;q=CARTEE-BERRY%20%26%20ASSOCIATES%2C%20LLC&amp;search_type=keyword_unordered</x:v>
      </x:c>
      <x:c r="AY931" s="60" t="str">
        <x:v>ok:200</x:v>
      </x:c>
      <x:c r="AZ931" s="60" t="n">
        <x:v>46232.722858796296</x:v>
      </x:c>
      <x:c r="BA931" s="60" t="str">
        <x:v>AI Ark SC trades export</x:v>
      </x:c>
      <x:c r="BB931" s="60" t="str">
        <x:v>https://carteeberry.com | https://www.linkedin.com/company/cartee-berry-&amp;-associates-llc</x:v>
      </x:c>
      <x:c r="BC931" s="60" t="str"/>
    </x:row>
    <x:row r="932" ht="18" customHeight="1">
      <x:c r="A932" s="70" t="str">
        <x:v>931</x:v>
      </x:c>
      <x:c r="B932" s="70" t="str">
        <x:v>C - Verify</x:v>
      </x:c>
      <x:c r="C932" s="72" t="str">
        <x:v>42</x:v>
      </x:c>
      <x:c r="D932" s="60" t="str">
        <x:v>Blue Ridge Roofing, LLC</x:v>
      </x:c>
      <x:c r="E932" s="60" t="str">
        <x:v>https://brroofsc.com</x:v>
      </x:c>
      <x:c r="F932" s="60" t="str">
        <x:v>https://brroofsc.com</x:v>
      </x:c>
      <x:c r="G932" s="60" t="str">
        <x:v>Greenville-spartanburg-anderson</x:v>
      </x:c>
      <x:c r="H932" s="60" t="str">
        <x:v>South Carolina Area</x:v>
      </x:c>
      <x:c r="I932" s="60" t="str">
        <x:v>Roofing</x:v>
      </x:c>
      <x:c r="J932" s="60" t="str">
        <x:v>Sam</x:v>
      </x:c>
      <x:c r="K932" s="60" t="str">
        <x:v>Montgomery</x:v>
      </x:c>
      <x:c r="L932" s="60" t="str">
        <x:v>Owner &amp; Chief Executive Officer</x:v>
      </x:c>
      <x:c r="M932" s="60" t="str"/>
      <x:c r="N932" s="60" t="str"/>
      <x:c r="O932" s="60" t="str">
        <x:v>+1 864 593 0207</x:v>
      </x:c>
      <x:c r="P932" s="60" t="str">
        <x:v>https://www.linkedin.com/in/sam-montgomeryroofing</x:v>
      </x:c>
      <x:c r="Q932" s="60" t="str">
        <x:v>11-50</x:v>
      </x:c>
      <x:c r="R932" s="60" t="str">
        <x:v>100000-499999</x:v>
      </x:c>
      <x:c r="S932" s="60" t="str"/>
      <x:c r="T932" s="74" t="str">
        <x:v>0</x:v>
      </x:c>
      <x:c r="U932" s="60" t="str"/>
      <x:c r="V932" s="74" t="str">
        <x:v>30</x:v>
      </x:c>
      <x:c r="W932" s="74" t="str">
        <x:v>0</x:v>
      </x:c>
      <x:c r="X932" s="74" t="str">
        <x:v>10</x:v>
      </x:c>
      <x:c r="Y932" s="74" t="str">
        <x:v>0</x:v>
      </x:c>
      <x:c r="Z932" s="74" t="str">
        <x:v>5</x:v>
      </x:c>
      <x:c r="AA932" s="74" t="str">
        <x:v>0</x:v>
      </x:c>
      <x:c r="AB932" s="74" t="str">
        <x:v>0</x:v>
      </x:c>
      <x:c r="AC932" s="74" t="str">
        <x:v>0</x:v>
      </x:c>
      <x:c r="AD932" s="74" t="str">
        <x:v>0</x:v>
      </x:c>
      <x:c r="AE932" s="74" t="str">
        <x:v>0</x:v>
      </x:c>
      <x:c r="AF932" s="74" t="str"/>
      <x:c r="AG932" s="74" t="str">
        <x:v>0</x:v>
      </x:c>
      <x:c r="AH932" s="74" t="str">
        <x:v>0</x:v>
      </x:c>
      <x:c r="AI932" s="74" t="str">
        <x:v>0</x:v>
      </x:c>
      <x:c r="AJ932" s="74" t="str">
        <x:v>0</x:v>
      </x:c>
      <x:c r="AK932" s="74" t="str">
        <x:v>0</x:v>
      </x:c>
      <x:c r="AL932" s="74" t="str">
        <x:v>0</x:v>
      </x:c>
      <x:c r="AM932" s="74" t="str">
        <x:v>0</x:v>
      </x:c>
      <x:c r="AN932" s="74" t="str">
        <x:v>0</x:v>
      </x:c>
      <x:c r="AO932" s="60" t="str">
        <x:v>0</x:v>
      </x:c>
      <x:c r="AP932" s="76" t="str">
        <x:v>ICP fit; paid-demand need requires manual verification</x:v>
      </x:c>
      <x:c r="AQ932" s="76" t="str">
        <x:v>no embedded homepage video detected</x:v>
      </x:c>
      <x:c r="AR932" s="76" t="str">
        <x:v>I was reviewing roofing companies in Greenville-spartanburg-anderson, South Carolina Area and Blue Ridge Roofing, LLC looked like a strong fit for a creative test.</x:v>
      </x:c>
      <x:c r="AS932" s="76" t="str">
        <x:v>storm-to-inspection before/after ad</x:v>
      </x:c>
      <x:c r="AT932" s="76" t="str">
        <x:v>Blue Ridge Roofing, LLC ad concept</x:v>
      </x:c>
      <x:c r="AU932" s="76" t="str">
        <x:v>Hi Sam — I was reviewing roofing companies in Greenville-spartanburg-anderson, South Carolina Area and Blue Ridge Roofing, LLC looked like a strong fit for a creative test. I mapped a private 15-second storm-to-inspection before/after ad for Blue Ridge Roofing, LLC using only public brand context—not for publishing, just to show the angle. We build three client-approved video ad concepts in seven days, then turn the winners into fresh variations. No filming day required. Worth sending the private sample?</x:v>
      </x:c>
      <x:c r="AV932" s="76" t="str">
        <x:v>Quick follow-up: the sample angle is a storm-to-inspection before/after ad. If it misses the mark, no problem—I won't keep chasing. Should I send it?</x:v>
      </x:c>
      <x:c r="AW932" s="76" t="str">
        <x:v>Hi Sam, Ryan here. I was looking at Blue Ridge Roofing, LLC's public marketing and noticed: icp fit; paid-demand need requires manual verification. I mapped one private storm-to-inspection before/after ad as an example. Did I catch you with 30 seconds?</x:v>
      </x:c>
      <x:c r="AX932" s="60" t="str">
        <x:v>https://www.facebook.com/ads/library/?active_status=active&amp;ad_type=all&amp;country=US&amp;q=Blue%20Ridge%20Roofing%2C%20LLC&amp;search_type=keyword_unordered</x:v>
      </x:c>
      <x:c r="AY932" s="60" t="str">
        <x:v>url_error:gaierror</x:v>
      </x:c>
      <x:c r="AZ932" s="60" t="n">
        <x:v>46232.722858796296</x:v>
      </x:c>
      <x:c r="BA932" s="60" t="str">
        <x:v>AI Ark SC trades export</x:v>
      </x:c>
      <x:c r="BB932" s="60" t="str">
        <x:v>https://brroofsc.com | https://www.linkedin.com/company/blue-ridge-roofing-llc</x:v>
      </x:c>
      <x:c r="BC932" s="60" t="str"/>
    </x:row>
    <x:row r="933" ht="18" customHeight="1">
      <x:c r="A933" s="70" t="str">
        <x:v>932</x:v>
      </x:c>
      <x:c r="B933" s="70" t="str">
        <x:v>C - Verify</x:v>
      </x:c>
      <x:c r="C933" s="72" t="str">
        <x:v>42</x:v>
      </x:c>
      <x:c r="D933" s="60" t="str">
        <x:v>Big Guy Pressure Washing and Big Guy Coatings</x:v>
      </x:c>
      <x:c r="E933" s="60" t="str">
        <x:v>https://bigguypressurewashing.com</x:v>
      </x:c>
      <x:c r="F933" s="60" t="str">
        <x:v>http://www.bigguypressurewashing.com/</x:v>
      </x:c>
      <x:c r="G933" s="60" t="str">
        <x:v>Mount Pleasant</x:v>
      </x:c>
      <x:c r="H933" s="60" t="str">
        <x:v>South Carolina</x:v>
      </x:c>
      <x:c r="I933" s="60" t="str">
        <x:v>Pools &amp; Spas</x:v>
      </x:c>
      <x:c r="J933" s="60" t="str">
        <x:v>Jim</x:v>
      </x:c>
      <x:c r="K933" s="60" t="str">
        <x:v>Gaffney</x:v>
      </x:c>
      <x:c r="L933" s="60" t="str">
        <x:v>Owner</x:v>
      </x:c>
      <x:c r="M933" s="60" t="str"/>
      <x:c r="N933" s="60" t="str"/>
      <x:c r="O933" s="60" t="str">
        <x:v>+1 843 822 4233</x:v>
      </x:c>
      <x:c r="P933" s="60" t="str">
        <x:v>https://www.linkedin.com/in/jim-gaffney-a8842a65</x:v>
      </x:c>
      <x:c r="Q933" s="60" t="str">
        <x:v>11-50</x:v>
      </x:c>
      <x:c r="R933" s="60" t="str">
        <x:v>0-99999</x:v>
      </x:c>
      <x:c r="S933" s="60" t="str"/>
      <x:c r="T933" s="74" t="str">
        <x:v>0</x:v>
      </x:c>
      <x:c r="U933" s="60" t="str"/>
      <x:c r="V933" s="74" t="str">
        <x:v>27</x:v>
      </x:c>
      <x:c r="W933" s="74" t="str">
        <x:v>0</x:v>
      </x:c>
      <x:c r="X933" s="74" t="str">
        <x:v>10</x:v>
      </x:c>
      <x:c r="Y933" s="74" t="str">
        <x:v>0</x:v>
      </x:c>
      <x:c r="Z933" s="74" t="str">
        <x:v>5</x:v>
      </x:c>
      <x:c r="AA933" s="74" t="str">
        <x:v>0</x:v>
      </x:c>
      <x:c r="AB933" s="74" t="str">
        <x:v>0</x:v>
      </x:c>
      <x:c r="AC933" s="74" t="str">
        <x:v>0</x:v>
      </x:c>
      <x:c r="AD933" s="74" t="str">
        <x:v>0</x:v>
      </x:c>
      <x:c r="AE933" s="74" t="str">
        <x:v>0</x:v>
      </x:c>
      <x:c r="AF933" s="74" t="str"/>
      <x:c r="AG933" s="74" t="str">
        <x:v>0</x:v>
      </x:c>
      <x:c r="AH933" s="74" t="str">
        <x:v>0</x:v>
      </x:c>
      <x:c r="AI933" s="74" t="str">
        <x:v>0</x:v>
      </x:c>
      <x:c r="AJ933" s="74" t="str">
        <x:v>0</x:v>
      </x:c>
      <x:c r="AK933" s="74" t="str">
        <x:v>0</x:v>
      </x:c>
      <x:c r="AL933" s="74" t="str">
        <x:v>0</x:v>
      </x:c>
      <x:c r="AM933" s="74" t="str">
        <x:v>0</x:v>
      </x:c>
      <x:c r="AN933" s="74" t="str">
        <x:v>0</x:v>
      </x:c>
      <x:c r="AO933" s="60" t="str">
        <x:v>0</x:v>
      </x:c>
      <x:c r="AP933" s="76" t="str">
        <x:v>ICP fit; paid-demand need requires manual verification</x:v>
      </x:c>
      <x:c r="AQ933" s="76" t="str">
        <x:v>no embedded homepage video detected</x:v>
      </x:c>
      <x:c r="AR933" s="76" t="str">
        <x:v>I was reviewing pools &amp; spas companies in Mount Pleasant, South Carolina and Big Guy Pressure Washing and Big Guy Coatings looked like a strong fit for a creative test.</x:v>
      </x:c>
      <x:c r="AS933" s="76" t="str">
        <x:v>backyard-before to finished-project reveal</x:v>
      </x:c>
      <x:c r="AT933" s="76" t="str">
        <x:v>Big Guy Pressure Washing and Big Guy Coatings ad concept</x:v>
      </x:c>
      <x:c r="AU933" s="76" t="str">
        <x:v>Hi Jim — I was reviewing pools &amp; spas companies in Mount Pleasant, South Carolina and Big Guy Pressure Washing and Big Guy Coatings looked like a strong fit for a creative test. I mapped a private 15-second backyard-before to finished-project reveal for Big Guy Pressure Washing and Big Guy Coatings using only public brand context—not for publishing, just to show the angle. We build three client-approved video ad concepts in seven days, then turn the winners into fresh variations. No filming day required. Worth sending the private sample?</x:v>
      </x:c>
      <x:c r="AV933" s="76" t="str">
        <x:v>Quick follow-up: the sample angle is a backyard-before to finished-project reveal. If it misses the mark, no problem—I won't keep chasing. Should I send it?</x:v>
      </x:c>
      <x:c r="AW933" s="76" t="str">
        <x:v>Hi Jim, Ryan here. I was looking at Big Guy Pressure Washing and Big Guy Coatings's public marketing and noticed: icp fit; paid-demand need requires manual verification. I mapped one private backyard-before to finished-project reveal as an example. Did I catch you with 30 seconds?</x:v>
      </x:c>
      <x:c r="AX933" s="60" t="str">
        <x:v>https://www.facebook.com/ads/library/?active_status=active&amp;ad_type=all&amp;country=US&amp;q=Big%20Guy%20Pressure%20Washing%20and%20Big%20Guy%20Coatings&amp;search_type=keyword_unordered</x:v>
      </x:c>
      <x:c r="AY933" s="60" t="str">
        <x:v>ok:200</x:v>
      </x:c>
      <x:c r="AZ933" s="60" t="n">
        <x:v>46232.722858796296</x:v>
      </x:c>
      <x:c r="BA933" s="60" t="str">
        <x:v>AI Ark SC trades export</x:v>
      </x:c>
      <x:c r="BB933" s="60" t="str">
        <x:v>https://bigguypressurewashing.com | https://www.linkedin.com/company/big-guy-pressure-washing-llc</x:v>
      </x:c>
      <x:c r="BC933" s="60" t="str"/>
    </x:row>
    <x:row r="934" ht="18" customHeight="1">
      <x:c r="A934" s="70" t="str">
        <x:v>933</x:v>
      </x:c>
      <x:c r="B934" s="70" t="str">
        <x:v>C - Verify</x:v>
      </x:c>
      <x:c r="C934" s="72" t="str">
        <x:v>42</x:v>
      </x:c>
      <x:c r="D934" s="60" t="str">
        <x:v>Berkeley Mining &amp; Construction Corp.</x:v>
      </x:c>
      <x:c r="E934" s="60" t="str">
        <x:v>https://berkeleymc.com</x:v>
      </x:c>
      <x:c r="F934" s="60" t="str">
        <x:v>https://berkeleymc.com</x:v>
      </x:c>
      <x:c r="G934" s="60" t="str">
        <x:v>Summerville</x:v>
      </x:c>
      <x:c r="H934" s="60" t="str">
        <x:v>South Carolina</x:v>
      </x:c>
      <x:c r="I934" s="60" t="str">
        <x:v>Roofing</x:v>
      </x:c>
      <x:c r="J934" s="60" t="str">
        <x:v>Wayland</x:v>
      </x:c>
      <x:c r="K934" s="60" t="str">
        <x:v>Moody Sr.</x:v>
      </x:c>
      <x:c r="L934" s="60" t="str">
        <x:v>Owner</x:v>
      </x:c>
      <x:c r="M934" s="60" t="str"/>
      <x:c r="N934" s="60" t="str"/>
      <x:c r="O934" s="60" t="str">
        <x:v>+1 803 899 2003, +1 843 200 1979</x:v>
      </x:c>
      <x:c r="P934" s="60" t="str">
        <x:v>https://www.linkedin.com/in/wayland-moody-sr-72945ba</x:v>
      </x:c>
      <x:c r="Q934" s="60" t="str">
        <x:v>11-50</x:v>
      </x:c>
      <x:c r="R934" s="60" t="str">
        <x:v>0-99999</x:v>
      </x:c>
      <x:c r="S934" s="60" t="str"/>
      <x:c r="T934" s="74" t="str">
        <x:v>0</x:v>
      </x:c>
      <x:c r="U934" s="60" t="str"/>
      <x:c r="V934" s="74" t="str">
        <x:v>30</x:v>
      </x:c>
      <x:c r="W934" s="74" t="str">
        <x:v>0</x:v>
      </x:c>
      <x:c r="X934" s="74" t="str">
        <x:v>10</x:v>
      </x:c>
      <x:c r="Y934" s="74" t="str">
        <x:v>0</x:v>
      </x:c>
      <x:c r="Z934" s="74" t="str">
        <x:v>5</x:v>
      </x:c>
      <x:c r="AA934" s="74" t="str">
        <x:v>0</x:v>
      </x:c>
      <x:c r="AB934" s="74" t="str">
        <x:v>0</x:v>
      </x:c>
      <x:c r="AC934" s="74" t="str">
        <x:v>0</x:v>
      </x:c>
      <x:c r="AD934" s="74" t="str">
        <x:v>0</x:v>
      </x:c>
      <x:c r="AE934" s="74" t="str">
        <x:v>0</x:v>
      </x:c>
      <x:c r="AF934" s="74" t="str"/>
      <x:c r="AG934" s="74" t="str">
        <x:v>0</x:v>
      </x:c>
      <x:c r="AH934" s="74" t="str">
        <x:v>0</x:v>
      </x:c>
      <x:c r="AI934" s="74" t="str">
        <x:v>0</x:v>
      </x:c>
      <x:c r="AJ934" s="74" t="str">
        <x:v>0</x:v>
      </x:c>
      <x:c r="AK934" s="74" t="str">
        <x:v>0</x:v>
      </x:c>
      <x:c r="AL934" s="74" t="str">
        <x:v>0</x:v>
      </x:c>
      <x:c r="AM934" s="74" t="str">
        <x:v>0</x:v>
      </x:c>
      <x:c r="AN934" s="74" t="str">
        <x:v>0</x:v>
      </x:c>
      <x:c r="AO934" s="60" t="str">
        <x:v>0</x:v>
      </x:c>
      <x:c r="AP934" s="76" t="str">
        <x:v>ICP fit; paid-demand need requires manual verification</x:v>
      </x:c>
      <x:c r="AQ934" s="76" t="str">
        <x:v>no embedded homepage video detected</x:v>
      </x:c>
      <x:c r="AR934" s="76" t="str">
        <x:v>I was reviewing roofing companies in Summerville, South Carolina and Berkeley Mining &amp; Construction Corp. looked like a strong fit for a creative test.</x:v>
      </x:c>
      <x:c r="AS934" s="76" t="str">
        <x:v>storm-to-inspection before/after ad</x:v>
      </x:c>
      <x:c r="AT934" s="76" t="str">
        <x:v>Berkeley Mining &amp; Construction Corp. ad concept</x:v>
      </x:c>
      <x:c r="AU934" s="76" t="str">
        <x:v>Hi Wayland — I was reviewing roofing companies in Summerville, South Carolina and Berkeley Mining &amp; Construction Corp. looked like a strong fit for a creative test. I mapped a private 15-second storm-to-inspection before/after ad for Berkeley Mining &amp; Construction Corp. using only public brand context—not for publishing, just to show the angle. We build three client-approved video ad concepts in seven days, then turn the winners into fresh variations. No filming day required. Worth sending the private sample?</x:v>
      </x:c>
      <x:c r="AV934" s="76" t="str">
        <x:v>Quick follow-up: the sample angle is a storm-to-inspection before/after ad. If it misses the mark, no problem—I won't keep chasing. Should I send it?</x:v>
      </x:c>
      <x:c r="AW934" s="76" t="str">
        <x:v>Hi Wayland, Ryan here. I was looking at Berkeley Mining &amp; Construction Corp.'s public marketing and noticed: icp fit; paid-demand need requires manual verification. I mapped one private storm-to-inspection before/after ad as an example. Did I catch you with 30 seconds?</x:v>
      </x:c>
      <x:c r="AX934" s="60" t="str">
        <x:v>https://www.facebook.com/ads/library/?active_status=active&amp;ad_type=all&amp;country=US&amp;q=Berkeley%20Mining%20%26%20Construction%20Corp.&amp;search_type=keyword_unordered</x:v>
      </x:c>
      <x:c r="AY934" s="60" t="str">
        <x:v>url_error:gaierror</x:v>
      </x:c>
      <x:c r="AZ934" s="60" t="n">
        <x:v>46232.722858796296</x:v>
      </x:c>
      <x:c r="BA934" s="60" t="str">
        <x:v>AI Ark SC trades export</x:v>
      </x:c>
      <x:c r="BB934" s="60" t="str">
        <x:v>https://berkeleymc.com | https://www.linkedin.com/company/berkeley-mining-&amp;-construction-corp</x:v>
      </x:c>
      <x:c r="BC934" s="60" t="str"/>
    </x:row>
    <x:row r="935" ht="18" customHeight="1">
      <x:c r="A935" s="70" t="str">
        <x:v>934</x:v>
      </x:c>
      <x:c r="B935" s="70" t="str">
        <x:v>C - Verify</x:v>
      </x:c>
      <x:c r="C935" s="72" t="str">
        <x:v>42</x:v>
      </x:c>
      <x:c r="D935" s="60" t="str">
        <x:v>B&amp;L Pools Inc.</x:v>
      </x:c>
      <x:c r="E935" s="60" t="str">
        <x:v>https://blpools.com</x:v>
      </x:c>
      <x:c r="F935" s="60" t="str">
        <x:v>https://www.blpools.com/</x:v>
      </x:c>
      <x:c r="G935" s="60" t="str">
        <x:v>Greenville-spartanburg-anderson</x:v>
      </x:c>
      <x:c r="H935" s="60" t="str">
        <x:v>South Carolina Area</x:v>
      </x:c>
      <x:c r="I935" s="60" t="str">
        <x:v>Pools &amp; Spas</x:v>
      </x:c>
      <x:c r="J935" s="60" t="str">
        <x:v>Jerry</x:v>
      </x:c>
      <x:c r="K935" s="60" t="str">
        <x:v>Bowers</x:v>
      </x:c>
      <x:c r="L935" s="60" t="str">
        <x:v>Owner</x:v>
      </x:c>
      <x:c r="M935" s="60" t="str"/>
      <x:c r="N935" s="60" t="str"/>
      <x:c r="O935" s="60" t="str">
        <x:v>+1 508 278 3766</x:v>
      </x:c>
      <x:c r="P935" s="60" t="str">
        <x:v>https://www.linkedin.com/in/jerry-bowers-b5a153bb</x:v>
      </x:c>
      <x:c r="Q935" s="60" t="str">
        <x:v>11-50</x:v>
      </x:c>
      <x:c r="R935" s="60" t="str">
        <x:v>1000000-4999999</x:v>
      </x:c>
      <x:c r="S935" s="60" t="str"/>
      <x:c r="T935" s="74" t="str">
        <x:v>0</x:v>
      </x:c>
      <x:c r="U935" s="60" t="str"/>
      <x:c r="V935" s="74" t="str">
        <x:v>30</x:v>
      </x:c>
      <x:c r="W935" s="74" t="str">
        <x:v>0</x:v>
      </x:c>
      <x:c r="X935" s="74" t="str">
        <x:v>7</x:v>
      </x:c>
      <x:c r="Y935" s="74" t="str">
        <x:v>0</x:v>
      </x:c>
      <x:c r="Z935" s="74" t="str">
        <x:v>5</x:v>
      </x:c>
      <x:c r="AA935" s="74" t="str">
        <x:v>0</x:v>
      </x:c>
      <x:c r="AB935" s="74" t="str">
        <x:v>0</x:v>
      </x:c>
      <x:c r="AC935" s="74" t="str">
        <x:v>0</x:v>
      </x:c>
      <x:c r="AD935" s="74" t="str">
        <x:v>0</x:v>
      </x:c>
      <x:c r="AE935" s="74" t="str">
        <x:v>0</x:v>
      </x:c>
      <x:c r="AF935" s="74" t="str"/>
      <x:c r="AG935" s="74" t="str">
        <x:v>1</x:v>
      </x:c>
      <x:c r="AH935" s="74" t="str">
        <x:v>0</x:v>
      </x:c>
      <x:c r="AI935" s="74" t="str">
        <x:v>0</x:v>
      </x:c>
      <x:c r="AJ935" s="74" t="str">
        <x:v>0</x:v>
      </x:c>
      <x:c r="AK935" s="74" t="str">
        <x:v>0</x:v>
      </x:c>
      <x:c r="AL935" s="74" t="str">
        <x:v>0</x:v>
      </x:c>
      <x:c r="AM935" s="74" t="str">
        <x:v>1</x:v>
      </x:c>
      <x:c r="AN935" s="74" t="str">
        <x:v>0</x:v>
      </x:c>
      <x:c r="AO935" s="60" t="str">
        <x:v>2017</x:v>
      </x:c>
      <x:c r="AP935" s="76" t="str">
        <x:v>ICP fit; paid-demand need requires manual verification</x:v>
      </x:c>
      <x:c r="AQ935" s="76" t="str">
        <x:v>No strong homepage signal detected</x:v>
      </x:c>
      <x:c r="AR935" s="76" t="str">
        <x:v>I was reviewing pools &amp; spas companies in Greenville-spartanburg-anderson, South Carolina Area and B&amp;L Pools Inc. looked like a strong fit for a creative test.</x:v>
      </x:c>
      <x:c r="AS935" s="76" t="str">
        <x:v>backyard-before to finished-project reveal</x:v>
      </x:c>
      <x:c r="AT935" s="76" t="str">
        <x:v>B&amp;L Pools Inc. ad concept</x:v>
      </x:c>
      <x:c r="AU935" s="76" t="str">
        <x:v>Hi Jerry — I was reviewing pools &amp; spas companies in Greenville-spartanburg-anderson, South Carolina Area and B&amp;L Pools Inc. looked like a strong fit for a creative test. I mapped a private 15-second backyard-before to finished-project reveal for B&amp;L Pools Inc. using only public brand context—not for publishing, just to show the angle. We build three client-approved video ad concepts in seven days, then turn the winners into fresh variations. No filming day required. Worth sending the private sample?</x:v>
      </x:c>
      <x:c r="AV935" s="76" t="str">
        <x:v>Quick follow-up: the sample angle is a backyard-before to finished-project reveal. If it misses the mark, no problem—I won't keep chasing. Should I send it?</x:v>
      </x:c>
      <x:c r="AW935" s="76" t="str">
        <x:v>Hi Jerry, Ryan here. I was looking at B&amp;L Pools Inc.'s public marketing and noticed: icp fit; paid-demand need requires manual verification. I mapped one private backyard-before to finished-project reveal as an example. Did I catch you with 30 seconds?</x:v>
      </x:c>
      <x:c r="AX935" s="60" t="str">
        <x:v>https://www.facebook.com/ads/library/?active_status=active&amp;ad_type=all&amp;country=US&amp;q=B%26L%20Pools%20Inc.&amp;search_type=keyword_unordered</x:v>
      </x:c>
      <x:c r="AY935" s="60" t="str">
        <x:v>ok:200</x:v>
      </x:c>
      <x:c r="AZ935" s="60" t="n">
        <x:v>46232.722858796296</x:v>
      </x:c>
      <x:c r="BA935" s="60" t="str">
        <x:v>AI Ark SC trades export</x:v>
      </x:c>
      <x:c r="BB935" s="60" t="str">
        <x:v>https://blpools.com | https://www.linkedin.com/company/b&amp;l-pools-inc.</x:v>
      </x:c>
      <x:c r="BC935" s="60" t="str"/>
    </x:row>
    <x:row r="936" ht="18" customHeight="1">
      <x:c r="A936" s="70" t="str">
        <x:v>935</x:v>
      </x:c>
      <x:c r="B936" s="70" t="str">
        <x:v>C - Verify</x:v>
      </x:c>
      <x:c r="C936" s="72" t="str">
        <x:v>42</x:v>
      </x:c>
      <x:c r="D936" s="60" t="str">
        <x:v>B &amp; B Mechanical Services, LLC</x:v>
      </x:c>
      <x:c r="E936" s="60" t="str">
        <x:v>https://myhvacguys.com</x:v>
      </x:c>
      <x:c r="F936" s="60" t="str">
        <x:v>https://myhvacguys.com</x:v>
      </x:c>
      <x:c r="G936" s="60" t="str">
        <x:v>Beaufort</x:v>
      </x:c>
      <x:c r="H936" s="60" t="str">
        <x:v>South Carolina</x:v>
      </x:c>
      <x:c r="I936" s="60" t="str">
        <x:v>HVAC</x:v>
      </x:c>
      <x:c r="J936" s="60" t="str">
        <x:v>Rodney</x:v>
      </x:c>
      <x:c r="K936" s="60" t="str">
        <x:v>benjamin</x:v>
      </x:c>
      <x:c r="L936" s="60" t="str">
        <x:v>owner</x:v>
      </x:c>
      <x:c r="M936" s="60" t="str"/>
      <x:c r="N936" s="60" t="str"/>
      <x:c r="O936" s="60" t="str">
        <x:v>+1 843 812 3456</x:v>
      </x:c>
      <x:c r="P936" s="60" t="str">
        <x:v>https://www.linkedin.com/in/rodney-benjamin-b62b37a4</x:v>
      </x:c>
      <x:c r="Q936" s="60" t="str">
        <x:v>11-50</x:v>
      </x:c>
      <x:c r="R936" s="60" t="str">
        <x:v>1000000-4999999</x:v>
      </x:c>
      <x:c r="S936" s="60" t="str"/>
      <x:c r="T936" s="74" t="str">
        <x:v>0</x:v>
      </x:c>
      <x:c r="U936" s="60" t="str"/>
      <x:c r="V936" s="74" t="str">
        <x:v>30</x:v>
      </x:c>
      <x:c r="W936" s="74" t="str">
        <x:v>0</x:v>
      </x:c>
      <x:c r="X936" s="74" t="str">
        <x:v>10</x:v>
      </x:c>
      <x:c r="Y936" s="74" t="str">
        <x:v>0</x:v>
      </x:c>
      <x:c r="Z936" s="74" t="str">
        <x:v>5</x:v>
      </x:c>
      <x:c r="AA936" s="74" t="str">
        <x:v>0</x:v>
      </x:c>
      <x:c r="AB936" s="74" t="str">
        <x:v>0</x:v>
      </x:c>
      <x:c r="AC936" s="74" t="str">
        <x:v>0</x:v>
      </x:c>
      <x:c r="AD936" s="74" t="str">
        <x:v>0</x:v>
      </x:c>
      <x:c r="AE936" s="74" t="str">
        <x:v>0</x:v>
      </x:c>
      <x:c r="AF936" s="74" t="str"/>
      <x:c r="AG936" s="74" t="str">
        <x:v>0</x:v>
      </x:c>
      <x:c r="AH936" s="74" t="str">
        <x:v>0</x:v>
      </x:c>
      <x:c r="AI936" s="74" t="str">
        <x:v>0</x:v>
      </x:c>
      <x:c r="AJ936" s="74" t="str">
        <x:v>0</x:v>
      </x:c>
      <x:c r="AK936" s="74" t="str">
        <x:v>0</x:v>
      </x:c>
      <x:c r="AL936" s="74" t="str">
        <x:v>0</x:v>
      </x:c>
      <x:c r="AM936" s="74" t="str">
        <x:v>0</x:v>
      </x:c>
      <x:c r="AN936" s="74" t="str">
        <x:v>0</x:v>
      </x:c>
      <x:c r="AO936" s="60" t="str">
        <x:v>0</x:v>
      </x:c>
      <x:c r="AP936" s="76" t="str">
        <x:v>ICP fit; paid-demand need requires manual verification</x:v>
      </x:c>
      <x:c r="AQ936" s="76" t="str">
        <x:v>no embedded homepage video detected</x:v>
      </x:c>
      <x:c r="AR936" s="76" t="str">
        <x:v>I was reviewing hvac companies in Beaufort, South Carolina and B &amp; B Mechanical Services, LLC looked like a strong fit for a creative test.</x:v>
      </x:c>
      <x:c r="AS936" s="76" t="str">
        <x:v>no-cool-call to same-day comfort ad</x:v>
      </x:c>
      <x:c r="AT936" s="76" t="str">
        <x:v>B &amp; B Mechanical Services, LLC ad concept</x:v>
      </x:c>
      <x:c r="AU936" s="76" t="str">
        <x:v>Hi Rodney — I was reviewing hvac companies in Beaufort, South Carolina and B &amp; B Mechanical Services, LLC looked like a strong fit for a creative test. I mapped a private 15-second no-cool-call to same-day comfort ad for B &amp; B Mechanical Services, LLC using only public brand context—not for publishing, just to show the angle. We build three client-approved video ad concepts in seven days, then turn the winners into fresh variations. No filming day required. Worth sending the private sample?</x:v>
      </x:c>
      <x:c r="AV936" s="76" t="str">
        <x:v>Quick follow-up: the sample angle is a no-cool-call to same-day comfort ad. If it misses the mark, no problem—I won't keep chasing. Should I send it?</x:v>
      </x:c>
      <x:c r="AW936" s="76" t="str">
        <x:v>Hi Rodney, Ryan here. I was looking at B &amp; B Mechanical Services, LLC's public marketing and noticed: icp fit; paid-demand need requires manual verification. I mapped one private no-cool-call to same-day comfort ad as an example. Did I catch you with 30 seconds?</x:v>
      </x:c>
      <x:c r="AX936" s="60" t="str">
        <x:v>https://www.facebook.com/ads/library/?active_status=active&amp;ad_type=all&amp;country=US&amp;q=B%20%26%20B%20Mechanical%20Services%2C%20LLC&amp;search_type=keyword_unordered</x:v>
      </x:c>
      <x:c r="AY936" s="60" t="str">
        <x:v>url_error:TimeoutError</x:v>
      </x:c>
      <x:c r="AZ936" s="60" t="n">
        <x:v>46232.722858796296</x:v>
      </x:c>
      <x:c r="BA936" s="60" t="str">
        <x:v>AI Ark SC trades export</x:v>
      </x:c>
      <x:c r="BB936" s="60" t="str">
        <x:v>https://myhvacguys.com | https://www.linkedin.com/company/b-&amp;-b-mechanical-services-llc</x:v>
      </x:c>
      <x:c r="BC936" s="60" t="str"/>
    </x:row>
    <x:row r="937" ht="18" customHeight="1">
      <x:c r="A937" s="70" t="str">
        <x:v>936</x:v>
      </x:c>
      <x:c r="B937" s="70" t="str">
        <x:v>C - Verify</x:v>
      </x:c>
      <x:c r="C937" s="72" t="str">
        <x:v>42</x:v>
      </x:c>
      <x:c r="D937" s="60" t="str">
        <x:v>All About Plumbing LLC</x:v>
      </x:c>
      <x:c r="E937" s="60" t="str">
        <x:v>https://all-about-plumbing.com</x:v>
      </x:c>
      <x:c r="F937" s="60" t="str">
        <x:v>http://all-about-plumbing.com</x:v>
      </x:c>
      <x:c r="G937" s="60" t="str">
        <x:v>Greater Florence</x:v>
      </x:c>
      <x:c r="H937" s="60" t="str">
        <x:v>South Carolina Area</x:v>
      </x:c>
      <x:c r="I937" s="60" t="str">
        <x:v>Plumbing</x:v>
      </x:c>
      <x:c r="J937" s="60" t="str">
        <x:v>Ret</x:v>
      </x:c>
      <x:c r="K937" s="60" t="str">
        <x:v>Brink</x:v>
      </x:c>
      <x:c r="L937" s="60" t="str">
        <x:v>Business Owner</x:v>
      </x:c>
      <x:c r="M937" s="60" t="str"/>
      <x:c r="N937" s="60" t="str"/>
      <x:c r="O937" s="60" t="str">
        <x:v>+1 304 821 1115</x:v>
      </x:c>
      <x:c r="P937" s="60" t="str">
        <x:v>https://www.linkedin.com/in/ret-brink-251600172</x:v>
      </x:c>
      <x:c r="Q937" s="60" t="str">
        <x:v>2-10</x:v>
      </x:c>
      <x:c r="R937" s="60" t="str">
        <x:v>1000000-4999999</x:v>
      </x:c>
      <x:c r="S937" s="60" t="str"/>
      <x:c r="T937" s="74" t="str">
        <x:v>0</x:v>
      </x:c>
      <x:c r="U937" s="60" t="str"/>
      <x:c r="V937" s="74" t="str">
        <x:v>27</x:v>
      </x:c>
      <x:c r="W937" s="74" t="str">
        <x:v>0</x:v>
      </x:c>
      <x:c r="X937" s="74" t="str">
        <x:v>10</x:v>
      </x:c>
      <x:c r="Y937" s="74" t="str">
        <x:v>0</x:v>
      </x:c>
      <x:c r="Z937" s="74" t="str">
        <x:v>5</x:v>
      </x:c>
      <x:c r="AA937" s="74" t="str">
        <x:v>0</x:v>
      </x:c>
      <x:c r="AB937" s="74" t="str">
        <x:v>0</x:v>
      </x:c>
      <x:c r="AC937" s="74" t="str">
        <x:v>0</x:v>
      </x:c>
      <x:c r="AD937" s="74" t="str">
        <x:v>0</x:v>
      </x:c>
      <x:c r="AE937" s="74" t="str">
        <x:v>0</x:v>
      </x:c>
      <x:c r="AF937" s="74" t="str"/>
      <x:c r="AG937" s="74" t="str">
        <x:v>0</x:v>
      </x:c>
      <x:c r="AH937" s="74" t="str">
        <x:v>0</x:v>
      </x:c>
      <x:c r="AI937" s="74" t="str">
        <x:v>0</x:v>
      </x:c>
      <x:c r="AJ937" s="74" t="str">
        <x:v>0</x:v>
      </x:c>
      <x:c r="AK937" s="74" t="str">
        <x:v>0</x:v>
      </x:c>
      <x:c r="AL937" s="74" t="str">
        <x:v>0</x:v>
      </x:c>
      <x:c r="AM937" s="74" t="str">
        <x:v>0</x:v>
      </x:c>
      <x:c r="AN937" s="74" t="str">
        <x:v>0</x:v>
      </x:c>
      <x:c r="AO937" s="60" t="str">
        <x:v>0</x:v>
      </x:c>
      <x:c r="AP937" s="76" t="str">
        <x:v>ICP fit; paid-demand need requires manual verification</x:v>
      </x:c>
      <x:c r="AQ937" s="76" t="str">
        <x:v>no embedded homepage video detected</x:v>
      </x:c>
      <x:c r="AR937" s="76" t="str">
        <x:v>I was reviewing plumbing companies in Greater Florence, South Carolina Area and All About Plumbing LLC looked like a strong fit for a creative test.</x:v>
      </x:c>
      <x:c r="AS937" s="76" t="str">
        <x:v>small symptom to prevented-emergency ad</x:v>
      </x:c>
      <x:c r="AT937" s="76" t="str">
        <x:v>All About Plumbing LLC ad concept</x:v>
      </x:c>
      <x:c r="AU937" s="76" t="str">
        <x:v>Hi Ret — I was reviewing plumbing companies in Greater Florence, South Carolina Area and All About Plumbing LLC looked like a strong fit for a creative test. I mapped a private 15-second small symptom to prevented-emergency ad for All About Plumbing LLC using only public brand context—not for publishing, just to show the angle. We build three client-approved video ad concepts in seven days, then turn the winners into fresh variations. No filming day required. Worth sending the private sample?</x:v>
      </x:c>
      <x:c r="AV937" s="76" t="str">
        <x:v>Quick follow-up: the sample angle is a small symptom to prevented-emergency ad. If it misses the mark, no problem—I won't keep chasing. Should I send it?</x:v>
      </x:c>
      <x:c r="AW937" s="76" t="str">
        <x:v>Hi Ret, Ryan here. I was looking at All About Plumbing LLC's public marketing and noticed: icp fit; paid-demand need requires manual verification. I mapped one private small symptom to prevented-emergency ad as an example. Did I catch you with 30 seconds?</x:v>
      </x:c>
      <x:c r="AX937" s="60" t="str">
        <x:v>https://www.facebook.com/ads/library/?active_status=active&amp;ad_type=all&amp;country=US&amp;q=All%20About%20Plumbing%20LLC&amp;search_type=keyword_unordered</x:v>
      </x:c>
      <x:c r="AY937" s="60" t="str">
        <x:v>ok:200</x:v>
      </x:c>
      <x:c r="AZ937" s="60" t="n">
        <x:v>46232.722858796296</x:v>
      </x:c>
      <x:c r="BA937" s="60" t="str">
        <x:v>AI Ark SC trades export</x:v>
      </x:c>
      <x:c r="BB937" s="60" t="str">
        <x:v>https://all-about-plumbing.com | https://www.linkedin.com/company/all-about-plumbing-llc</x:v>
      </x:c>
      <x:c r="BC937" s="60" t="str"/>
    </x:row>
    <x:row r="938" ht="18" customHeight="1">
      <x:c r="A938" s="70" t="str">
        <x:v>937</x:v>
      </x:c>
      <x:c r="B938" s="70" t="str">
        <x:v>C - Verify</x:v>
      </x:c>
      <x:c r="C938" s="72" t="str">
        <x:v>42</x:v>
      </x:c>
      <x:c r="D938" s="60" t="str">
        <x:v>Advanced Builders Inc.</x:v>
      </x:c>
      <x:c r="E938" s="60" t="str">
        <x:v>https://advanced-builders.com</x:v>
      </x:c>
      <x:c r="F938" s="60" t="str">
        <x:v>https://advanced-builders.com</x:v>
      </x:c>
      <x:c r="G938" s="60" t="str">
        <x:v>Myrtle Beach</x:v>
      </x:c>
      <x:c r="H938" s="60" t="str">
        <x:v>South Carolina</x:v>
      </x:c>
      <x:c r="I938" s="60" t="str">
        <x:v>Restoration</x:v>
      </x:c>
      <x:c r="J938" s="60" t="str">
        <x:v>Frank</x:v>
      </x:c>
      <x:c r="K938" s="60" t="str">
        <x:v>Bartolomeo</x:v>
      </x:c>
      <x:c r="L938" s="60" t="str">
        <x:v>Owner</x:v>
      </x:c>
      <x:c r="M938" s="60" t="str"/>
      <x:c r="N938" s="60" t="str"/>
      <x:c r="O938" s="60" t="str">
        <x:v>+1 843 236 8683, +1 843 446 6818</x:v>
      </x:c>
      <x:c r="P938" s="60" t="str">
        <x:v>https://www.linkedin.com/in/frank-bartolomeo-43aa293b</x:v>
      </x:c>
      <x:c r="Q938" s="60" t="str">
        <x:v>2-10</x:v>
      </x:c>
      <x:c r="R938" s="60" t="str">
        <x:v>1000000-4999999</x:v>
      </x:c>
      <x:c r="S938" s="60" t="str"/>
      <x:c r="T938" s="74" t="str">
        <x:v>0</x:v>
      </x:c>
      <x:c r="U938" s="60" t="str"/>
      <x:c r="V938" s="74" t="str">
        <x:v>30</x:v>
      </x:c>
      <x:c r="W938" s="74" t="str">
        <x:v>0</x:v>
      </x:c>
      <x:c r="X938" s="74" t="str">
        <x:v>10</x:v>
      </x:c>
      <x:c r="Y938" s="74" t="str">
        <x:v>0</x:v>
      </x:c>
      <x:c r="Z938" s="74" t="str">
        <x:v>5</x:v>
      </x:c>
      <x:c r="AA938" s="74" t="str">
        <x:v>0</x:v>
      </x:c>
      <x:c r="AB938" s="74" t="str">
        <x:v>0</x:v>
      </x:c>
      <x:c r="AC938" s="74" t="str">
        <x:v>0</x:v>
      </x:c>
      <x:c r="AD938" s="74" t="str">
        <x:v>0</x:v>
      </x:c>
      <x:c r="AE938" s="74" t="str">
        <x:v>0</x:v>
      </x:c>
      <x:c r="AF938" s="74" t="str"/>
      <x:c r="AG938" s="74" t="str">
        <x:v>0</x:v>
      </x:c>
      <x:c r="AH938" s="74" t="str">
        <x:v>0</x:v>
      </x:c>
      <x:c r="AI938" s="74" t="str">
        <x:v>0</x:v>
      </x:c>
      <x:c r="AJ938" s="74" t="str">
        <x:v>0</x:v>
      </x:c>
      <x:c r="AK938" s="74" t="str">
        <x:v>0</x:v>
      </x:c>
      <x:c r="AL938" s="74" t="str">
        <x:v>0</x:v>
      </x:c>
      <x:c r="AM938" s="74" t="str">
        <x:v>0</x:v>
      </x:c>
      <x:c r="AN938" s="74" t="str">
        <x:v>0</x:v>
      </x:c>
      <x:c r="AO938" s="60" t="str">
        <x:v>0</x:v>
      </x:c>
      <x:c r="AP938" s="76" t="str">
        <x:v>ICP fit; paid-demand need requires manual verification</x:v>
      </x:c>
      <x:c r="AQ938" s="76" t="str">
        <x:v>no embedded homepage video detected</x:v>
      </x:c>
      <x:c r="AR938" s="76" t="str">
        <x:v>I was reviewing restoration companies in Myrtle Beach, South Carolina and Advanced Builders Inc. looked like a strong fit for a creative test.</x:v>
      </x:c>
      <x:c r="AS938" s="76" t="str">
        <x:v>first-24-hours emergency-response ad</x:v>
      </x:c>
      <x:c r="AT938" s="76" t="str">
        <x:v>Advanced Builders Inc. ad concept</x:v>
      </x:c>
      <x:c r="AU938" s="76" t="str">
        <x:v>Hi Frank — I was reviewing restoration companies in Myrtle Beach, South Carolina and Advanced Builders Inc. looked like a strong fit for a creative test. I mapped a private 15-second first-24-hours emergency-response ad for Advanced Builders Inc. using only public brand context—not for publishing, just to show the angle. We build three client-approved video ad concepts in seven days, then turn the winners into fresh variations. No filming day required. Worth sending the private sample?</x:v>
      </x:c>
      <x:c r="AV938" s="76" t="str">
        <x:v>Quick follow-up: the sample angle is a first-24-hours emergency-response ad. If it misses the mark, no problem—I won't keep chasing. Should I send it?</x:v>
      </x:c>
      <x:c r="AW938" s="76" t="str">
        <x:v>Hi Frank, Ryan here. I was looking at Advanced Builders Inc.'s public marketing and noticed: icp fit; paid-demand need requires manual verification. I mapped one private first-24-hours emergency-response ad as an example. Did I catch you with 30 seconds?</x:v>
      </x:c>
      <x:c r="AX938" s="60" t="str">
        <x:v>https://www.facebook.com/ads/library/?active_status=active&amp;ad_type=all&amp;country=US&amp;q=Advanced%20Builders%20Inc.&amp;search_type=keyword_unordered</x:v>
      </x:c>
      <x:c r="AY938" s="60" t="str">
        <x:v>url_error:TimeoutError</x:v>
      </x:c>
      <x:c r="AZ938" s="60" t="n">
        <x:v>46232.722858796296</x:v>
      </x:c>
      <x:c r="BA938" s="60" t="str">
        <x:v>AI Ark SC trades export</x:v>
      </x:c>
      <x:c r="BB938" s="60" t="str">
        <x:v>https://advanced-builders.com | https://www.linkedin.com/company/advanced-builders-inc-</x:v>
      </x:c>
      <x:c r="BC938" s="60" t="str"/>
    </x:row>
    <x:row r="939" ht="18" customHeight="1">
      <x:c r="A939" s="70" t="str">
        <x:v>938</x:v>
      </x:c>
      <x:c r="B939" s="70" t="str">
        <x:v>C - Verify</x:v>
      </x:c>
      <x:c r="C939" s="72" t="str">
        <x:v>42</x:v>
      </x:c>
      <x:c r="D939" s="60" t="str">
        <x:v>ABC Contracting</x:v>
      </x:c>
      <x:c r="E939" s="60" t="str">
        <x:v>https://abccdfw.com</x:v>
      </x:c>
      <x:c r="F939" s="60" t="str">
        <x:v>https://abccdfw.com</x:v>
      </x:c>
      <x:c r="G939" s="60" t="str">
        <x:v>Lexington</x:v>
      </x:c>
      <x:c r="H939" s="60" t="str">
        <x:v>South Carolina</x:v>
      </x:c>
      <x:c r="I939" s="60" t="str">
        <x:v>Roofing</x:v>
      </x:c>
      <x:c r="J939" s="60" t="str">
        <x:v>Guy</x:v>
      </x:c>
      <x:c r="K939" s="60" t="str">
        <x:v>Spitzmesser</x:v>
      </x:c>
      <x:c r="L939" s="60" t="str">
        <x:v>owner</x:v>
      </x:c>
      <x:c r="M939" s="60" t="str"/>
      <x:c r="N939" s="60" t="str"/>
      <x:c r="O939" s="60" t="str">
        <x:v>+1 803 446 1039</x:v>
      </x:c>
      <x:c r="P939" s="60" t="str">
        <x:v>https://www.linkedin.com/in/guy-spitzmesser-46135498</x:v>
      </x:c>
      <x:c r="Q939" s="60" t="str">
        <x:v>11-50</x:v>
      </x:c>
      <x:c r="R939" s="60" t="str">
        <x:v>1000000-4999999</x:v>
      </x:c>
      <x:c r="S939" s="60" t="str"/>
      <x:c r="T939" s="74" t="str">
        <x:v>0</x:v>
      </x:c>
      <x:c r="U939" s="60" t="str"/>
      <x:c r="V939" s="74" t="str">
        <x:v>30</x:v>
      </x:c>
      <x:c r="W939" s="74" t="str">
        <x:v>0</x:v>
      </x:c>
      <x:c r="X939" s="74" t="str">
        <x:v>10</x:v>
      </x:c>
      <x:c r="Y939" s="74" t="str">
        <x:v>0</x:v>
      </x:c>
      <x:c r="Z939" s="74" t="str">
        <x:v>5</x:v>
      </x:c>
      <x:c r="AA939" s="74" t="str">
        <x:v>0</x:v>
      </x:c>
      <x:c r="AB939" s="74" t="str">
        <x:v>0</x:v>
      </x:c>
      <x:c r="AC939" s="74" t="str">
        <x:v>0</x:v>
      </x:c>
      <x:c r="AD939" s="74" t="str">
        <x:v>0</x:v>
      </x:c>
      <x:c r="AE939" s="74" t="str">
        <x:v>0</x:v>
      </x:c>
      <x:c r="AF939" s="74" t="str"/>
      <x:c r="AG939" s="74" t="str">
        <x:v>0</x:v>
      </x:c>
      <x:c r="AH939" s="74" t="str">
        <x:v>0</x:v>
      </x:c>
      <x:c r="AI939" s="74" t="str">
        <x:v>0</x:v>
      </x:c>
      <x:c r="AJ939" s="74" t="str">
        <x:v>0</x:v>
      </x:c>
      <x:c r="AK939" s="74" t="str">
        <x:v>0</x:v>
      </x:c>
      <x:c r="AL939" s="74" t="str">
        <x:v>0</x:v>
      </x:c>
      <x:c r="AM939" s="74" t="str">
        <x:v>0</x:v>
      </x:c>
      <x:c r="AN939" s="74" t="str">
        <x:v>0</x:v>
      </x:c>
      <x:c r="AO939" s="60" t="str">
        <x:v>0</x:v>
      </x:c>
      <x:c r="AP939" s="76" t="str">
        <x:v>ICP fit; paid-demand need requires manual verification</x:v>
      </x:c>
      <x:c r="AQ939" s="76" t="str">
        <x:v>no embedded homepage video detected</x:v>
      </x:c>
      <x:c r="AR939" s="76" t="str">
        <x:v>I was reviewing roofing companies in Lexington, South Carolina and ABC Contracting looked like a strong fit for a creative test.</x:v>
      </x:c>
      <x:c r="AS939" s="76" t="str">
        <x:v>storm-to-inspection before/after ad</x:v>
      </x:c>
      <x:c r="AT939" s="76" t="str">
        <x:v>ABC Contracting ad concept</x:v>
      </x:c>
      <x:c r="AU939" s="76" t="str">
        <x:v>Hi Guy — I was reviewing roofing companies in Lexington, South Carolina and ABC Contracting looked like a strong fit for a creative test. I mapped a private 15-second storm-to-inspection before/after ad for ABC Contracting using only public brand context—not for publishing, just to show the angle. We build three client-approved video ad concepts in seven days, then turn the winners into fresh variations. No filming day required. Worth sending the private sample?</x:v>
      </x:c>
      <x:c r="AV939" s="76" t="str">
        <x:v>Quick follow-up: the sample angle is a storm-to-inspection before/after ad. If it misses the mark, no problem—I won't keep chasing. Should I send it?</x:v>
      </x:c>
      <x:c r="AW939" s="76" t="str">
        <x:v>Hi Guy, Ryan here. I was looking at ABC Contracting's public marketing and noticed: icp fit; paid-demand need requires manual verification. I mapped one private storm-to-inspection before/after ad as an example. Did I catch you with 30 seconds?</x:v>
      </x:c>
      <x:c r="AX939" s="60" t="str">
        <x:v>https://www.facebook.com/ads/library/?active_status=active&amp;ad_type=all&amp;country=US&amp;q=ABC%20Contracting&amp;search_type=keyword_unordered</x:v>
      </x:c>
      <x:c r="AY939" s="60" t="str">
        <x:v>url_error:gaierror</x:v>
      </x:c>
      <x:c r="AZ939" s="60" t="n">
        <x:v>46232.722858796296</x:v>
      </x:c>
      <x:c r="BA939" s="60" t="str">
        <x:v>AI Ark SC trades export</x:v>
      </x:c>
      <x:c r="BB939" s="60" t="str">
        <x:v>https://abccdfw.com | https://www.linkedin.com/company/abc-contracting</x:v>
      </x:c>
      <x:c r="BC939" s="60" t="str"/>
    </x:row>
    <x:row r="940" ht="18" customHeight="1">
      <x:c r="A940" s="70" t="str">
        <x:v>939</x:v>
      </x:c>
      <x:c r="B940" s="70" t="str">
        <x:v>C - Verify</x:v>
      </x:c>
      <x:c r="C940" s="72" t="str">
        <x:v>42</x:v>
      </x:c>
      <x:c r="D940" s="60" t="str">
        <x:v>Premier Construction</x:v>
      </x:c>
      <x:c r="E940" s="60" t="str">
        <x:v>https://premier-inc.net</x:v>
      </x:c>
      <x:c r="F940" s="60" t="str">
        <x:v>https://premier-inc.net</x:v>
      </x:c>
      <x:c r="G940" s="60" t="str">
        <x:v>Greenville</x:v>
      </x:c>
      <x:c r="H940" s="60" t="str">
        <x:v>South Carolina</x:v>
      </x:c>
      <x:c r="I940" s="60" t="str">
        <x:v>Roofing</x:v>
      </x:c>
      <x:c r="J940" s="60" t="str">
        <x:v>Chris</x:v>
      </x:c>
      <x:c r="K940" s="60" t="str">
        <x:v>Kinsella</x:v>
      </x:c>
      <x:c r="L940" s="60" t="str">
        <x:v>Business Owner</x:v>
      </x:c>
      <x:c r="M940" s="60" t="str"/>
      <x:c r="N940" s="60" t="str"/>
      <x:c r="O940" s="60" t="str"/>
      <x:c r="P940" s="60" t="str">
        <x:v>https://www.linkedin.com/in/chris-kinsella-9a1456248</x:v>
      </x:c>
      <x:c r="Q940" s="60" t="str">
        <x:v>11-50</x:v>
      </x:c>
      <x:c r="R940" s="60" t="str">
        <x:v>5000000-9999999</x:v>
      </x:c>
      <x:c r="S940" s="60" t="str"/>
      <x:c r="T940" s="74" t="str">
        <x:v>0</x:v>
      </x:c>
      <x:c r="U940" s="60" t="str"/>
      <x:c r="V940" s="74" t="str">
        <x:v>30</x:v>
      </x:c>
      <x:c r="W940" s="74" t="str">
        <x:v>0</x:v>
      </x:c>
      <x:c r="X940" s="74" t="str">
        <x:v>10</x:v>
      </x:c>
      <x:c r="Y940" s="74" t="str">
        <x:v>0</x:v>
      </x:c>
      <x:c r="Z940" s="74" t="str">
        <x:v>2</x:v>
      </x:c>
      <x:c r="AA940" s="74" t="str">
        <x:v>0</x:v>
      </x:c>
      <x:c r="AB940" s="74" t="str">
        <x:v>0</x:v>
      </x:c>
      <x:c r="AC940" s="74" t="str">
        <x:v>0</x:v>
      </x:c>
      <x:c r="AD940" s="74" t="str">
        <x:v>0</x:v>
      </x:c>
      <x:c r="AE940" s="74" t="str">
        <x:v>0</x:v>
      </x:c>
      <x:c r="AF940" s="74" t="str"/>
      <x:c r="AG940" s="74" t="str">
        <x:v>0</x:v>
      </x:c>
      <x:c r="AH940" s="74" t="str">
        <x:v>0</x:v>
      </x:c>
      <x:c r="AI940" s="74" t="str">
        <x:v>0</x:v>
      </x:c>
      <x:c r="AJ940" s="74" t="str">
        <x:v>0</x:v>
      </x:c>
      <x:c r="AK940" s="74" t="str">
        <x:v>0</x:v>
      </x:c>
      <x:c r="AL940" s="74" t="str">
        <x:v>0</x:v>
      </x:c>
      <x:c r="AM940" s="74" t="str">
        <x:v>0</x:v>
      </x:c>
      <x:c r="AN940" s="74" t="str">
        <x:v>0</x:v>
      </x:c>
      <x:c r="AO940" s="60" t="str">
        <x:v>2025</x:v>
      </x:c>
      <x:c r="AP940" s="76" t="str">
        <x:v>ICP fit; paid-demand need requires manual verification</x:v>
      </x:c>
      <x:c r="AQ940" s="76" t="str">
        <x:v>no embedded homepage video detected</x:v>
      </x:c>
      <x:c r="AR940" s="76" t="str">
        <x:v>I was reviewing roofing companies in Greenville, South Carolina and Premier Construction looked like a strong fit for a creative test.</x:v>
      </x:c>
      <x:c r="AS940" s="76" t="str">
        <x:v>storm-to-inspection before/after ad</x:v>
      </x:c>
      <x:c r="AT940" s="76" t="str">
        <x:v>Premier Construction ad concept</x:v>
      </x:c>
      <x:c r="AU940" s="76" t="str">
        <x:v>Hi Chris — I was reviewing roofing companies in Greenville, South Carolina and Premier Construction looked like a strong fit for a creative test. I mapped a private 15-second storm-to-inspection before/after ad for Premier Construction using only public brand context—not for publishing, just to show the angle. We build three client-approved video ad concepts in seven days, then turn the winners into fresh variations. No filming day required. Worth sending the private sample?</x:v>
      </x:c>
      <x:c r="AV940" s="76" t="str">
        <x:v>Quick follow-up: the sample angle is a storm-to-inspection before/after ad. If it misses the mark, no problem—I won't keep chasing. Should I send it?</x:v>
      </x:c>
      <x:c r="AW940" s="76" t="str">
        <x:v>Hi Chris, Ryan here. I was looking at Premier Construction's public marketing and noticed: icp fit; paid-demand need requires manual verification. I mapped one private storm-to-inspection before/after ad as an example. Did I catch you with 30 seconds?</x:v>
      </x:c>
      <x:c r="AX940" s="60" t="str">
        <x:v>https://www.facebook.com/ads/library/?active_status=active&amp;ad_type=all&amp;country=US&amp;q=Premier%20Construction&amp;search_type=keyword_unordered</x:v>
      </x:c>
      <x:c r="AY940" s="60" t="str">
        <x:v>ok:200</x:v>
      </x:c>
      <x:c r="AZ940" s="60" t="n">
        <x:v>46232.722858796296</x:v>
      </x:c>
      <x:c r="BA940" s="60" t="str">
        <x:v>AI Ark SC trades export</x:v>
      </x:c>
      <x:c r="BB940" s="60" t="str">
        <x:v>https://premier-inc.net | https://www.linkedin.com/company/premier-construction-llc</x:v>
      </x:c>
      <x:c r="BC940" s="60" t="str"/>
    </x:row>
    <x:row r="941" ht="18" customHeight="1">
      <x:c r="A941" s="70" t="str">
        <x:v>940</x:v>
      </x:c>
      <x:c r="B941" s="70" t="str">
        <x:v>D - Nurture</x:v>
      </x:c>
      <x:c r="C941" s="72" t="str">
        <x:v>41</x:v>
      </x:c>
      <x:c r="D941" s="60" t="str">
        <x:v>Owen Fabrication</x:v>
      </x:c>
      <x:c r="E941" s="60" t="str">
        <x:v>https://owenfab.com</x:v>
      </x:c>
      <x:c r="F941" s="60" t="str">
        <x:v>https://www.owenfab.com/</x:v>
      </x:c>
      <x:c r="G941" s="60" t="str">
        <x:v>Columbia</x:v>
      </x:c>
      <x:c r="H941" s="60" t="str">
        <x:v>South Carolina</x:v>
      </x:c>
      <x:c r="I941" s="60" t="str">
        <x:v>Fence &amp; Deck</x:v>
      </x:c>
      <x:c r="J941" s="60" t="str">
        <x:v>Matt</x:v>
      </x:c>
      <x:c r="K941" s="60" t="str">
        <x:v>Owen</x:v>
      </x:c>
      <x:c r="L941" s="60" t="str">
        <x:v>Owner</x:v>
      </x:c>
      <x:c r="M941" s="60" t="str">
        <x:v>m.owen@owenfab.com</x:v>
      </x:c>
      <x:c r="N941" s="60" t="str">
        <x:v>Verified with BounceBan on 08 Jun 26 12:06</x:v>
      </x:c>
      <x:c r="O941" s="60" t="str"/>
      <x:c r="P941" s="60" t="str">
        <x:v>https://www.linkedin.com/in/matt-owen-abb228219</x:v>
      </x:c>
      <x:c r="Q941" s="60" t="str">
        <x:v>0-1</x:v>
      </x:c>
      <x:c r="R941" s="60" t="str">
        <x:v>0-99999</x:v>
      </x:c>
      <x:c r="S941" s="60" t="str"/>
      <x:c r="T941" s="74" t="str">
        <x:v>0</x:v>
      </x:c>
      <x:c r="U941" s="60" t="str"/>
      <x:c r="V941" s="74" t="str">
        <x:v>18</x:v>
      </x:c>
      <x:c r="W941" s="74" t="str">
        <x:v>13</x:v>
      </x:c>
      <x:c r="X941" s="74" t="str">
        <x:v>0</x:v>
      </x:c>
      <x:c r="Y941" s="74" t="str">
        <x:v>3</x:v>
      </x:c>
      <x:c r="Z941" s="74" t="str">
        <x:v>7</x:v>
      </x:c>
      <x:c r="AA941" s="74" t="str">
        <x:v>0</x:v>
      </x:c>
      <x:c r="AB941" s="74" t="str">
        <x:v>1</x:v>
      </x:c>
      <x:c r="AC941" s="74" t="str">
        <x:v>1</x:v>
      </x:c>
      <x:c r="AD941" s="74" t="str">
        <x:v>0</x:v>
      </x:c>
      <x:c r="AE941" s="74" t="str">
        <x:v>0</x:v>
      </x:c>
      <x:c r="AF941" s="74" t="str"/>
      <x:c r="AG941" s="74" t="str">
        <x:v>1</x:v>
      </x:c>
      <x:c r="AH941" s="74" t="str">
        <x:v>0</x:v>
      </x:c>
      <x:c r="AI941" s="74" t="str">
        <x:v>0</x:v>
      </x:c>
      <x:c r="AJ941" s="74" t="str">
        <x:v>0</x:v>
      </x:c>
      <x:c r="AK941" s="74" t="str">
        <x:v>1</x:v>
      </x:c>
      <x:c r="AL941" s="74" t="str">
        <x:v>1</x:v>
      </x:c>
      <x:c r="AM941" s="74" t="str">
        <x:v>1</x:v>
      </x:c>
      <x:c r="AN941" s="74" t="str">
        <x:v>0</x:v>
      </x:c>
      <x:c r="AO941" s="60" t="str">
        <x:v>0</x:v>
      </x:c>
      <x:c r="AP941" s="76" t="str">
        <x:v>Paid-demand technology detected; creative refresh hypothesis</x:v>
      </x:c>
      <x:c r="AQ941" s="76" t="str">
        <x:v>Google Ads tag; visible service offer</x:v>
      </x:c>
      <x:c r="AR941" s="76" t="str">
        <x:v>I was reviewing fence &amp; deck companies in Columbia, South Carolina and Owen Fabrication looked like a strong fit for a creative test.</x:v>
      </x:c>
      <x:c r="AS941" s="76" t="str">
        <x:v>yard privacy transformation ad</x:v>
      </x:c>
      <x:c r="AT941" s="76" t="str">
        <x:v>Owen Fabrication ad concept</x:v>
      </x:c>
      <x:c r="AU941" s="76" t="str">
        <x:v>Hi Matt — I was reviewing fence &amp; deck companies in Columbia, South Carolina and Owen Fabrication looked like a strong fit for a creative test. I mapped a private 15-second yard privacy transformation ad for Owen Fabrication using only public brand context—not for publishing, just to show the angle. We build three client-approved video ad concepts in seven days, then turn the winners into fresh variations. No filming day required. Worth sending the private sample?</x:v>
      </x:c>
      <x:c r="AV941" s="76" t="str">
        <x:v>Quick follow-up: the sample angle is a yard privacy transformation ad. If it misses the mark, no problem—I won't keep chasing. Should I send it?</x:v>
      </x:c>
      <x:c r="AW941" s="76" t="str">
        <x:v>Hi Matt, Ryan here. I was looking at Owen Fabrication's public marketing and noticed: paid-demand technology detected; creative refresh hypothesis. I mapped one private yard privacy transformation ad as an example. Did I catch you with 30 seconds?</x:v>
      </x:c>
      <x:c r="AX941" s="60" t="str">
        <x:v>https://www.facebook.com/ads/library/?active_status=active&amp;ad_type=all&amp;country=US&amp;q=Owen%20Fabrication&amp;search_type=keyword_unordered</x:v>
      </x:c>
      <x:c r="AY941" s="60" t="str">
        <x:v>ok:200</x:v>
      </x:c>
      <x:c r="AZ941" s="60" t="n">
        <x:v>46232.722858796296</x:v>
      </x:c>
      <x:c r="BA941" s="60" t="str">
        <x:v>AI Ark SC trades export</x:v>
      </x:c>
      <x:c r="BB941" s="60" t="str">
        <x:v>https://owenfab.com | https://www.linkedin.com/company/owen-fabrication</x:v>
      </x:c>
      <x:c r="BC941" s="60" t="str"/>
    </x:row>
    <x:row r="942" ht="18" customHeight="1">
      <x:c r="A942" s="70" t="str">
        <x:v>941</x:v>
      </x:c>
      <x:c r="B942" s="70" t="str">
        <x:v>D - Nurture</x:v>
      </x:c>
      <x:c r="C942" s="72" t="str">
        <x:v>41</x:v>
      </x:c>
      <x:c r="D942" s="60" t="str">
        <x:v>Three J Property Maintenance LLC</x:v>
      </x:c>
      <x:c r="E942" s="60" t="str">
        <x:v>https://koalendar.com</x:v>
      </x:c>
      <x:c r="F942" s="60" t="str">
        <x:v>https://koalendar.com</x:v>
      </x:c>
      <x:c r="G942" s="60" t="str">
        <x:v>Florence</x:v>
      </x:c>
      <x:c r="H942" s="60" t="str">
        <x:v>South Carolina</x:v>
      </x:c>
      <x:c r="I942" s="60" t="str">
        <x:v>Plumbing</x:v>
      </x:c>
      <x:c r="J942" s="60" t="str">
        <x:v>Three J Property Maintenance LLC</x:v>
      </x:c>
      <x:c r="K942" s="60" t="str"/>
      <x:c r="L942" s="60" t="str">
        <x:v>Owner / decision maker to verify</x:v>
      </x:c>
      <x:c r="M942" s="60" t="str"/>
      <x:c r="N942" s="60" t="str"/>
      <x:c r="O942" s="60" t="str">
        <x:v>(843) 615-2131</x:v>
      </x:c>
      <x:c r="P942" s="60" t="str"/>
      <x:c r="Q942" s="60" t="str"/>
      <x:c r="R942" s="60" t="str"/>
      <x:c r="S942" s="60" t="str">
        <x:v>4.3</x:v>
      </x:c>
      <x:c r="T942" s="74" t="str">
        <x:v>43</x:v>
      </x:c>
      <x:c r="U942" s="60" t="str"/>
      <x:c r="V942" s="74" t="str">
        <x:v>22</x:v>
      </x:c>
      <x:c r="W942" s="74" t="str">
        <x:v>3</x:v>
      </x:c>
      <x:c r="X942" s="74" t="str">
        <x:v>0</x:v>
      </x:c>
      <x:c r="Y942" s="74" t="str">
        <x:v>11</x:v>
      </x:c>
      <x:c r="Z942" s="74" t="str">
        <x:v>5</x:v>
      </x:c>
      <x:c r="AA942" s="74" t="str">
        <x:v>0</x:v>
      </x:c>
      <x:c r="AB942" s="74" t="str">
        <x:v>0</x:v>
      </x:c>
      <x:c r="AC942" s="74" t="str">
        <x:v>1</x:v>
      </x:c>
      <x:c r="AD942" s="74" t="str">
        <x:v>0</x:v>
      </x:c>
      <x:c r="AE942" s="74" t="str">
        <x:v>0</x:v>
      </x:c>
      <x:c r="AF942" s="74" t="str"/>
      <x:c r="AG942" s="74" t="str">
        <x:v>1</x:v>
      </x:c>
      <x:c r="AH942" s="74" t="str">
        <x:v>1</x:v>
      </x:c>
      <x:c r="AI942" s="74" t="str">
        <x:v>1</x:v>
      </x:c>
      <x:c r="AJ942" s="74" t="str">
        <x:v>0</x:v>
      </x:c>
      <x:c r="AK942" s="74" t="str">
        <x:v>0</x:v>
      </x:c>
      <x:c r="AL942" s="74" t="str">
        <x:v>0</x:v>
      </x:c>
      <x:c r="AM942" s="74" t="str">
        <x:v>1</x:v>
      </x:c>
      <x:c r="AN942" s="74" t="str">
        <x:v>1</x:v>
      </x:c>
      <x:c r="AO942" s="60" t="str">
        <x:v>2026</x:v>
      </x:c>
      <x:c r="AP942" s="76" t="str">
        <x:v>ICP fit; paid-demand need requires manual verification</x:v>
      </x:c>
      <x:c r="AQ942" s="76" t="str">
        <x:v>project/gallery proof; testimonials</x:v>
      </x:c>
      <x:c r="AR942" s="76" t="str">
        <x:v>I was reviewing plumbing companies in Florence, South Carolina and Three J Property Maintenance LLC looked like a strong fit for a creative test.</x:v>
      </x:c>
      <x:c r="AS942" s="76" t="str">
        <x:v>small symptom to prevented-emergency ad</x:v>
      </x:c>
      <x:c r="AT942" s="76" t="str">
        <x:v>Three J Property Maintenance LLC ad concept</x:v>
      </x:c>
      <x:c r="AU942" s="76" t="str">
        <x:v>Hi Three J Property Maintenance LLC — I was reviewing plumbing companies in Florence, South Carolina and Three J Property Maintenance LLC looked like a strong fit for a creative test. I mapped a private 15-second small symptom to prevented-emergency ad for Three J Property Maintenance LLC using only public brand context—not for publishing, just to show the angle. We build three client-approved video ad concepts in seven days, then turn the winners into fresh variations. No filming day required. Worth sending the private sample?</x:v>
      </x:c>
      <x:c r="AV942" s="76" t="str">
        <x:v>Quick follow-up: the sample angle is a small symptom to prevented-emergency ad. If it misses the mark, no problem—I won't keep chasing. Should I send it?</x:v>
      </x:c>
      <x:c r="AW942" s="76" t="str">
        <x:v>Hi Three J Property Maintenance LLC, Ryan here. I was looking at Three J Property Maintenance LLC's public marketing and noticed: icp fit; paid-demand need requires manual verification. I mapped one private small symptom to prevented-emergency ad as an example. Did I catch you with 30 seconds?</x:v>
      </x:c>
      <x:c r="AX942" s="60" t="str">
        <x:v>https://www.facebook.com/ads/library/?active_status=active&amp;ad_type=all&amp;country=US&amp;q=Three%20J%20Property%20Maintenance%20LLC&amp;search_type=keyword_unordered</x:v>
      </x:c>
      <x:c r="AY942" s="60" t="str">
        <x:v>ok:200</x:v>
      </x:c>
      <x:c r="AZ942" s="60" t="n">
        <x:v>46232.722858796296</x:v>
      </x:c>
      <x:c r="BA942" s="60" t="str">
        <x:v>Google Maps home-services export</x:v>
      </x:c>
      <x:c r="BB942" s="60" t="str">
        <x:v>https://koalendar.com | https://maps.google.com/?cid=3183167523952494195&amp;g_mp=Cidnb29nbGUubWFwcy5wbGFjZXMudjEuUGxhY2VzLlNlYXJjaFRleHQQAhgEIAA</x:v>
      </x:c>
      <x:c r="BC942" s="60" t="str"/>
    </x:row>
    <x:row r="943" ht="18" customHeight="1">
      <x:c r="A943" s="70" t="str">
        <x:v>942</x:v>
      </x:c>
      <x:c r="B943" s="70" t="str">
        <x:v>D - Nurture</x:v>
      </x:c>
      <x:c r="C943" s="72" t="str">
        <x:v>41</x:v>
      </x:c>
      <x:c r="D943" s="60" t="str">
        <x:v>Cornerstone Home Inspections</x:v>
      </x:c>
      <x:c r="E943" s="60" t="str">
        <x:v>https://cshomeinspections.ca</x:v>
      </x:c>
      <x:c r="F943" s="60" t="str">
        <x:v>https://www.cshomeinspections.ca/</x:v>
      </x:c>
      <x:c r="G943" s="60" t="str">
        <x:v>Greater Myrtle Beach Area</x:v>
      </x:c>
      <x:c r="H943" s="60" t="str"/>
      <x:c r="I943" s="60" t="str">
        <x:v>General Contractor</x:v>
      </x:c>
      <x:c r="J943" s="60" t="str">
        <x:v>Richard</x:v>
      </x:c>
      <x:c r="K943" s="60" t="str">
        <x:v>Jansen</x:v>
      </x:c>
      <x:c r="L943" s="60" t="str">
        <x:v>Business Owner</x:v>
      </x:c>
      <x:c r="M943" s="60" t="str"/>
      <x:c r="N943" s="60" t="str"/>
      <x:c r="O943" s="60" t="str"/>
      <x:c r="P943" s="60" t="str">
        <x:v>https://www.linkedin.com/in/richard-jansen-032626179</x:v>
      </x:c>
      <x:c r="Q943" s="60" t="str">
        <x:v>2-10</x:v>
      </x:c>
      <x:c r="R943" s="60" t="str">
        <x:v>100000-499999</x:v>
      </x:c>
      <x:c r="S943" s="60" t="str"/>
      <x:c r="T943" s="74" t="str">
        <x:v>0</x:v>
      </x:c>
      <x:c r="U943" s="60" t="str"/>
      <x:c r="V943" s="74" t="str">
        <x:v>20</x:v>
      </x:c>
      <x:c r="W943" s="74" t="str">
        <x:v>3</x:v>
      </x:c>
      <x:c r="X943" s="74" t="str">
        <x:v>9</x:v>
      </x:c>
      <x:c r="Y943" s="74" t="str">
        <x:v>7</x:v>
      </x:c>
      <x:c r="Z943" s="74" t="str">
        <x:v>2</x:v>
      </x:c>
      <x:c r="AA943" s="74" t="str">
        <x:v>0</x:v>
      </x:c>
      <x:c r="AB943" s="74" t="str">
        <x:v>0</x:v>
      </x:c>
      <x:c r="AC943" s="74" t="str">
        <x:v>1</x:v>
      </x:c>
      <x:c r="AD943" s="74" t="str">
        <x:v>0</x:v>
      </x:c>
      <x:c r="AE943" s="74" t="str">
        <x:v>0</x:v>
      </x:c>
      <x:c r="AF943" s="74" t="str"/>
      <x:c r="AG943" s="74" t="str">
        <x:v>0</x:v>
      </x:c>
      <x:c r="AH943" s="74" t="str">
        <x:v>0</x:v>
      </x:c>
      <x:c r="AI943" s="74" t="str">
        <x:v>1</x:v>
      </x:c>
      <x:c r="AJ943" s="74" t="str">
        <x:v>0</x:v>
      </x:c>
      <x:c r="AK943" s="74" t="str">
        <x:v>1</x:v>
      </x:c>
      <x:c r="AL943" s="74" t="str">
        <x:v>1</x:v>
      </x:c>
      <x:c r="AM943" s="74" t="str">
        <x:v>1</x:v>
      </x:c>
      <x:c r="AN943" s="74" t="str">
        <x:v>0</x:v>
      </x:c>
      <x:c r="AO943" s="60" t="str">
        <x:v>2023</x:v>
      </x:c>
      <x:c r="AP943" s="76" t="str">
        <x:v>ICP fit; paid-demand need requires manual verification</x:v>
      </x:c>
      <x:c r="AQ943" s="76" t="str">
        <x:v>testimonials; visible service offer; no embedded homepage video detected</x:v>
      </x:c>
      <x:c r="AR943" s="76" t="str">
        <x:v>I was reviewing general contractor companies in Greater Myrtle Beach Area and Cornerstone Home Inspections looked like a strong fit for a creative test.</x:v>
      </x:c>
      <x:c r="AS943" s="76" t="str">
        <x:v>project walkthrough with proof milestones</x:v>
      </x:c>
      <x:c r="AT943" s="76" t="str">
        <x:v>Cornerstone Home Inspections ad concept</x:v>
      </x:c>
      <x:c r="AU943" s="76" t="str">
        <x:v>Hi Richard — I was reviewing general contractor companies in Greater Myrtle Beach Area and Cornerstone Home Inspections looked like a strong fit for a creative test. I mapped a private 15-second project walkthrough with proof milestones for Cornerstone Home Inspections using only public brand context—not for publishing, just to show the angle. We build three client-approved video ad concepts in seven days, then turn the winners into fresh variations. No filming day required. Worth sending the private sample?</x:v>
      </x:c>
      <x:c r="AV943" s="76" t="str">
        <x:v>Quick follow-up: the sample angle is a project walkthrough with proof milestones. If it misses the mark, no problem—I won't keep chasing. Should I send it?</x:v>
      </x:c>
      <x:c r="AW943" s="76" t="str">
        <x:v>Hi Richard, Ryan here. I was looking at Cornerstone Home Inspections's public marketing and noticed: icp fit; paid-demand need requires manual verification. I mapped one private project walkthrough with proof milestones as an example. Did I catch you with 30 seconds?</x:v>
      </x:c>
      <x:c r="AX943" s="60" t="str">
        <x:v>https://www.facebook.com/ads/library/?active_status=active&amp;ad_type=all&amp;country=US&amp;q=Cornerstone%20Home%20Inspections&amp;search_type=keyword_unordered</x:v>
      </x:c>
      <x:c r="AY943" s="60" t="str">
        <x:v>ok:200</x:v>
      </x:c>
      <x:c r="AZ943" s="60" t="n">
        <x:v>46232.722858796296</x:v>
      </x:c>
      <x:c r="BA943" s="60" t="str">
        <x:v>AI Ark SC trades export</x:v>
      </x:c>
      <x:c r="BB943" s="60" t="str">
        <x:v>https://cshomeinspections.ca | https://www.linkedin.com/company/cornerstone-home-inspections</x:v>
      </x:c>
      <x:c r="BC943" s="60" t="str"/>
    </x:row>
    <x:row r="944" ht="18" customHeight="1">
      <x:c r="A944" s="70" t="str">
        <x:v>943</x:v>
      </x:c>
      <x:c r="B944" s="70" t="str">
        <x:v>D - Nurture</x:v>
      </x:c>
      <x:c r="C944" s="72" t="str">
        <x:v>41</x:v>
      </x:c>
      <x:c r="D944" s="60" t="str">
        <x:v>Crawlspace Medic</x:v>
      </x:c>
      <x:c r="E944" s="60" t="str">
        <x:v>https://crawlspacemedic.com</x:v>
      </x:c>
      <x:c r="F944" s="60" t="str">
        <x:v>https://crawlspacemedic.com</x:v>
      </x:c>
      <x:c r="G944" s="60" t="str">
        <x:v>Spartanburg</x:v>
      </x:c>
      <x:c r="H944" s="60" t="str">
        <x:v>South Carolina</x:v>
      </x:c>
      <x:c r="I944" s="60" t="str">
        <x:v>Roofing</x:v>
      </x:c>
      <x:c r="J944" s="60" t="str">
        <x:v>Jeff</x:v>
      </x:c>
      <x:c r="K944" s="60" t="str">
        <x:v>W.</x:v>
      </x:c>
      <x:c r="L944" s="60" t="str">
        <x:v>Franchise Owner</x:v>
      </x:c>
      <x:c r="M944" s="60" t="str"/>
      <x:c r="N944" s="60" t="str"/>
      <x:c r="O944" s="60" t="str"/>
      <x:c r="P944" s="60" t="str">
        <x:v>https://www.linkedin.com/in/jeff-w-87798113</x:v>
      </x:c>
      <x:c r="Q944" s="60" t="str">
        <x:v>11-50</x:v>
      </x:c>
      <x:c r="R944" s="60" t="str">
        <x:v>1000000-4999999</x:v>
      </x:c>
      <x:c r="S944" s="60" t="str"/>
      <x:c r="T944" s="74" t="str">
        <x:v>0</x:v>
      </x:c>
      <x:c r="U944" s="60" t="str"/>
      <x:c r="V944" s="74" t="str">
        <x:v>30</x:v>
      </x:c>
      <x:c r="W944" s="74" t="str">
        <x:v>3</x:v>
      </x:c>
      <x:c r="X944" s="74" t="str">
        <x:v>0</x:v>
      </x:c>
      <x:c r="Y944" s="74" t="str">
        <x:v>6</x:v>
      </x:c>
      <x:c r="Z944" s="74" t="str">
        <x:v>2</x:v>
      </x:c>
      <x:c r="AA944" s="74" t="str">
        <x:v>0</x:v>
      </x:c>
      <x:c r="AB944" s="74" t="str">
        <x:v>0</x:v>
      </x:c>
      <x:c r="AC944" s="74" t="str">
        <x:v>1</x:v>
      </x:c>
      <x:c r="AD944" s="74" t="str">
        <x:v>0</x:v>
      </x:c>
      <x:c r="AE944" s="74" t="str">
        <x:v>0</x:v>
      </x:c>
      <x:c r="AF944" s="74" t="str"/>
      <x:c r="AG944" s="74" t="str">
        <x:v>1</x:v>
      </x:c>
      <x:c r="AH944" s="74" t="str">
        <x:v>0</x:v>
      </x:c>
      <x:c r="AI944" s="74" t="str">
        <x:v>0</x:v>
      </x:c>
      <x:c r="AJ944" s="74" t="str">
        <x:v>1</x:v>
      </x:c>
      <x:c r="AK944" s="74" t="str">
        <x:v>1</x:v>
      </x:c>
      <x:c r="AL944" s="74" t="str">
        <x:v>1</x:v>
      </x:c>
      <x:c r="AM944" s="74" t="str">
        <x:v>1</x:v>
      </x:c>
      <x:c r="AN944" s="74" t="str">
        <x:v>1</x:v>
      </x:c>
      <x:c r="AO944" s="60" t="str">
        <x:v>2026</x:v>
      </x:c>
      <x:c r="AP944" s="76" t="str">
        <x:v>ICP fit; paid-demand need requires manual verification</x:v>
      </x:c>
      <x:c r="AQ944" s="76" t="str">
        <x:v>financing; visible service offer</x:v>
      </x:c>
      <x:c r="AR944" s="76" t="str">
        <x:v>I was reviewing roofing companies in Spartanburg, South Carolina and Crawlspace Medic looked like a strong fit for a creative test.</x:v>
      </x:c>
      <x:c r="AS944" s="76" t="str">
        <x:v>storm-to-inspection before/after ad</x:v>
      </x:c>
      <x:c r="AT944" s="76" t="str">
        <x:v>Crawlspace Medic ad concept</x:v>
      </x:c>
      <x:c r="AU944" s="76" t="str">
        <x:v>Hi Jeff — I was reviewing roofing companies in Spartanburg, South Carolina and Crawlspace Medic looked like a strong fit for a creative test. I mapped a private 15-second storm-to-inspection before/after ad for Crawlspace Medic using only public brand context—not for publishing, just to show the angle. We build three client-approved video ad concepts in seven days, then turn the winners into fresh variations. No filming day required. Worth sending the private sample?</x:v>
      </x:c>
      <x:c r="AV944" s="76" t="str">
        <x:v>Quick follow-up: the sample angle is a storm-to-inspection before/after ad. If it misses the mark, no problem—I won't keep chasing. Should I send it?</x:v>
      </x:c>
      <x:c r="AW944" s="76" t="str">
        <x:v>Hi Jeff, Ryan here. I was looking at Crawlspace Medic's public marketing and noticed: icp fit; paid-demand need requires manual verification. I mapped one private storm-to-inspection before/after ad as an example. Did I catch you with 30 seconds?</x:v>
      </x:c>
      <x:c r="AX944" s="60" t="str">
        <x:v>https://www.facebook.com/ads/library/?active_status=active&amp;ad_type=all&amp;country=US&amp;q=Crawlspace%20Medic&amp;search_type=keyword_unordered</x:v>
      </x:c>
      <x:c r="AY944" s="60" t="str">
        <x:v>ok:200</x:v>
      </x:c>
      <x:c r="AZ944" s="60" t="n">
        <x:v>46232.722858796296</x:v>
      </x:c>
      <x:c r="BA944" s="60" t="str">
        <x:v>AI Ark SC trades export</x:v>
      </x:c>
      <x:c r="BB944" s="60" t="str">
        <x:v>https://crawlspacemedic.com | https://www.linkedin.com/company/crawlspace-medic</x:v>
      </x:c>
      <x:c r="BC944" s="60" t="str"/>
    </x:row>
    <x:row r="945" ht="18" customHeight="1">
      <x:c r="A945" s="70" t="str">
        <x:v>944</x:v>
      </x:c>
      <x:c r="B945" s="70" t="str">
        <x:v>D - Nurture</x:v>
      </x:c>
      <x:c r="C945" s="72" t="str">
        <x:v>41</x:v>
      </x:c>
      <x:c r="D945" s="60" t="str">
        <x:v>J.M. Porter Construction, LLC.</x:v>
      </x:c>
      <x:c r="E945" s="60" t="str">
        <x:v>https://jmporterconstruction.com</x:v>
      </x:c>
      <x:c r="F945" s="60" t="str">
        <x:v>https://jmporterconstruction.com</x:v>
      </x:c>
      <x:c r="G945" s="60" t="str">
        <x:v>Charleston</x:v>
      </x:c>
      <x:c r="H945" s="60" t="str">
        <x:v>South Carolina</x:v>
      </x:c>
      <x:c r="I945" s="60" t="str">
        <x:v>General Contractor</x:v>
      </x:c>
      <x:c r="J945" s="60" t="str">
        <x:v>Morris</x:v>
      </x:c>
      <x:c r="K945" s="60" t="str">
        <x:v>Porter</x:v>
      </x:c>
      <x:c r="L945" s="60" t="str">
        <x:v>Owner</x:v>
      </x:c>
      <x:c r="M945" s="60" t="str">
        <x:v>morris@jmporterconstruction.com</x:v>
      </x:c>
      <x:c r="N945" s="60" t="str">
        <x:v>Verified with BounceBan on 08 Jun 26 12:06</x:v>
      </x:c>
      <x:c r="O945" s="60" t="str">
        <x:v>+1 828 713 7477</x:v>
      </x:c>
      <x:c r="P945" s="60" t="str">
        <x:v>https://www.linkedin.com/in/morris-porter-a3229989</x:v>
      </x:c>
      <x:c r="Q945" s="60" t="str">
        <x:v>0-1</x:v>
      </x:c>
      <x:c r="R945" s="60" t="str">
        <x:v>0-99999</x:v>
      </x:c>
      <x:c r="S945" s="60" t="str"/>
      <x:c r="T945" s="74" t="str">
        <x:v>0</x:v>
      </x:c>
      <x:c r="U945" s="60" t="str"/>
      <x:c r="V945" s="74" t="str">
        <x:v>17</x:v>
      </x:c>
      <x:c r="W945" s="74" t="str">
        <x:v>3</x:v>
      </x:c>
      <x:c r="X945" s="74" t="str">
        <x:v>6</x:v>
      </x:c>
      <x:c r="Y945" s="74" t="str">
        <x:v>5</x:v>
      </x:c>
      <x:c r="Z945" s="74" t="str">
        <x:v>10</x:v>
      </x:c>
      <x:c r="AA945" s="74" t="str">
        <x:v>0</x:v>
      </x:c>
      <x:c r="AB945" s="74" t="str">
        <x:v>0</x:v>
      </x:c>
      <x:c r="AC945" s="74" t="str">
        <x:v>1</x:v>
      </x:c>
      <x:c r="AD945" s="74" t="str">
        <x:v>0</x:v>
      </x:c>
      <x:c r="AE945" s="74" t="str">
        <x:v>0</x:v>
      </x:c>
      <x:c r="AF945" s="74" t="str"/>
      <x:c r="AG945" s="74" t="str">
        <x:v>0</x:v>
      </x:c>
      <x:c r="AH945" s="74" t="str">
        <x:v>1</x:v>
      </x:c>
      <x:c r="AI945" s="74" t="str">
        <x:v>0</x:v>
      </x:c>
      <x:c r="AJ945" s="74" t="str">
        <x:v>0</x:v>
      </x:c>
      <x:c r="AK945" s="74" t="str">
        <x:v>0</x:v>
      </x:c>
      <x:c r="AL945" s="74" t="str">
        <x:v>1</x:v>
      </x:c>
      <x:c r="AM945" s="74" t="str">
        <x:v>1</x:v>
      </x:c>
      <x:c r="AN945" s="74" t="str">
        <x:v>0</x:v>
      </x:c>
      <x:c r="AO945" s="60" t="str">
        <x:v>2025</x:v>
      </x:c>
      <x:c r="AP945" s="76" t="str">
        <x:v>Project/gallery proof found; no embedded homepage video found</x:v>
      </x:c>
      <x:c r="AQ945" s="76" t="str">
        <x:v>project/gallery proof; no embedded homepage video detected</x:v>
      </x:c>
      <x:c r="AR945" s="76" t="str">
        <x:v>I found project/gallery proof on J.M. Porter Construction, LLC.'s site that could be repackaged into short-form ad concepts.</x:v>
      </x:c>
      <x:c r="AS945" s="76" t="str">
        <x:v>project walkthrough with proof milestones</x:v>
      </x:c>
      <x:c r="AT945" s="76" t="str">
        <x:v>J.M. Porter Construction, LLC. ad concept</x:v>
      </x:c>
      <x:c r="AU945" s="76" t="str">
        <x:v>Hi Morris — I found project/gallery proof on J.M. Porter Construction, LLC.'s site that could be repackaged into short-form ad concepts. I mapped a private 15-second project walkthrough with proof milestones for J.M. Porter Construction, LLC. using only public brand context—not for publishing, just to show the angle. We build three client-approved video ad concepts in seven days, then turn the winners into fresh variations. No filming day required. Worth sending the private sample?</x:v>
      </x:c>
      <x:c r="AV945" s="76" t="str">
        <x:v>Quick follow-up: the sample angle is a project walkthrough with proof milestones. If it misses the mark, no problem—I won't keep chasing. Should I send it?</x:v>
      </x:c>
      <x:c r="AW945" s="76" t="str">
        <x:v>Hi Morris, Ryan here. I was looking at J.M. Porter Construction, LLC.'s public marketing and noticed: project/gallery proof found; no embedded homepage video found. I mapped one private project walkthrough with proof milestones as an example. Did I catch you with 30 seconds?</x:v>
      </x:c>
      <x:c r="AX945" s="60" t="str">
        <x:v>https://www.facebook.com/ads/library/?active_status=active&amp;ad_type=all&amp;country=US&amp;q=J.M.%20Porter%20Construction%2C%20LLC.&amp;search_type=keyword_unordered</x:v>
      </x:c>
      <x:c r="AY945" s="60" t="str">
        <x:v>ok:200</x:v>
      </x:c>
      <x:c r="AZ945" s="60" t="n">
        <x:v>46232.722858796296</x:v>
      </x:c>
      <x:c r="BA945" s="60" t="str">
        <x:v>AI Ark SC trades export</x:v>
      </x:c>
      <x:c r="BB945" s="60" t="str">
        <x:v>https://jmporterconstruction.com | https://www.linkedin.com/company/jmporterconstruction</x:v>
      </x:c>
      <x:c r="BC945" s="60" t="str"/>
    </x:row>
    <x:row r="946" ht="18" customHeight="1">
      <x:c r="A946" s="70" t="str">
        <x:v>945</x:v>
      </x:c>
      <x:c r="B946" s="70" t="str">
        <x:v>D - Nurture</x:v>
      </x:c>
      <x:c r="C946" s="72" t="str">
        <x:v>41</x:v>
      </x:c>
      <x:c r="D946" s="60" t="str">
        <x:v>PayDirt Earthworks Support Services</x:v>
      </x:c>
      <x:c r="E946" s="60" t="str">
        <x:v>https://paydirtsupport.com</x:v>
      </x:c>
      <x:c r="F946" s="60" t="str">
        <x:v>https://paydirtsupport.com</x:v>
      </x:c>
      <x:c r="G946" s="60" t="str">
        <x:v>Charleston</x:v>
      </x:c>
      <x:c r="H946" s="60" t="str">
        <x:v>South Carolina</x:v>
      </x:c>
      <x:c r="I946" s="60" t="str">
        <x:v>Plumbing</x:v>
      </x:c>
      <x:c r="J946" s="60" t="str">
        <x:v>Ben</x:v>
      </x:c>
      <x:c r="K946" s="60" t="str">
        <x:v>Brunni</x:v>
      </x:c>
      <x:c r="L946" s="60" t="str">
        <x:v>Business Owner</x:v>
      </x:c>
      <x:c r="M946" s="60" t="str">
        <x:v>ben@paydirtsupport.com</x:v>
      </x:c>
      <x:c r="N946" s="60" t="str">
        <x:v>Verified with BounceBan on 08 Jun 26 12:06</x:v>
      </x:c>
      <x:c r="O946" s="60" t="str"/>
      <x:c r="P946" s="60" t="str">
        <x:v>https://www.linkedin.com/in/ben-brunni-3a5459247</x:v>
      </x:c>
      <x:c r="Q946" s="60" t="str">
        <x:v>1001-5000</x:v>
      </x:c>
      <x:c r="R946" s="60" t="str">
        <x:v>100000-499999</x:v>
      </x:c>
      <x:c r="S946" s="60" t="str"/>
      <x:c r="T946" s="74" t="str">
        <x:v>0</x:v>
      </x:c>
      <x:c r="U946" s="60" t="str"/>
      <x:c r="V946" s="74" t="str">
        <x:v>20</x:v>
      </x:c>
      <x:c r="W946" s="74" t="str">
        <x:v>3</x:v>
      </x:c>
      <x:c r="X946" s="74" t="str">
        <x:v>6</x:v>
      </x:c>
      <x:c r="Y946" s="74" t="str">
        <x:v>5</x:v>
      </x:c>
      <x:c r="Z946" s="74" t="str">
        <x:v>7</x:v>
      </x:c>
      <x:c r="AA946" s="74" t="str">
        <x:v>0</x:v>
      </x:c>
      <x:c r="AB946" s="74" t="str">
        <x:v>0</x:v>
      </x:c>
      <x:c r="AC946" s="74" t="str">
        <x:v>1</x:v>
      </x:c>
      <x:c r="AD946" s="74" t="str">
        <x:v>0</x:v>
      </x:c>
      <x:c r="AE946" s="74" t="str">
        <x:v>0</x:v>
      </x:c>
      <x:c r="AF946" s="74" t="str"/>
      <x:c r="AG946" s="74" t="str">
        <x:v>0</x:v>
      </x:c>
      <x:c r="AH946" s="74" t="str">
        <x:v>1</x:v>
      </x:c>
      <x:c r="AI946" s="74" t="str">
        <x:v>0</x:v>
      </x:c>
      <x:c r="AJ946" s="74" t="str">
        <x:v>0</x:v>
      </x:c>
      <x:c r="AK946" s="74" t="str">
        <x:v>0</x:v>
      </x:c>
      <x:c r="AL946" s="74" t="str">
        <x:v>1</x:v>
      </x:c>
      <x:c r="AM946" s="74" t="str">
        <x:v>1</x:v>
      </x:c>
      <x:c r="AN946" s="74" t="str">
        <x:v>0</x:v>
      </x:c>
      <x:c r="AO946" s="60" t="str">
        <x:v>2026</x:v>
      </x:c>
      <x:c r="AP946" s="76" t="str">
        <x:v>Project/gallery proof found; no embedded homepage video found</x:v>
      </x:c>
      <x:c r="AQ946" s="76" t="str">
        <x:v>project/gallery proof; no embedded homepage video detected</x:v>
      </x:c>
      <x:c r="AR946" s="76" t="str">
        <x:v>I found project/gallery proof on PayDirt Earthworks Support Services's site that could be repackaged into short-form ad concepts.</x:v>
      </x:c>
      <x:c r="AS946" s="76" t="str">
        <x:v>small symptom to prevented-emergency ad</x:v>
      </x:c>
      <x:c r="AT946" s="76" t="str">
        <x:v>PayDirt Earthworks Support Services ad concept</x:v>
      </x:c>
      <x:c r="AU946" s="76" t="str">
        <x:v>Hi Ben — I found project/gallery proof on PayDirt Earthworks Support Services's site that could be repackaged into short-form ad concepts. I mapped a private 15-second small symptom to prevented-emergency ad for PayDirt Earthworks Support Services using only public brand context—not for publishing, just to show the angle. We build three client-approved video ad concepts in seven days, then turn the winners into fresh variations. No filming day required. Worth sending the private sample?</x:v>
      </x:c>
      <x:c r="AV946" s="76" t="str">
        <x:v>Quick follow-up: the sample angle is a small symptom to prevented-emergency ad. If it misses the mark, no problem—I won't keep chasing. Should I send it?</x:v>
      </x:c>
      <x:c r="AW946" s="76" t="str">
        <x:v>Hi Ben, Ryan here. I was looking at PayDirt Earthworks Support Services's public marketing and noticed: project/gallery proof found; no embedded homepage video found. I mapped one private small symptom to prevented-emergency ad as an example. Did I catch you with 30 seconds?</x:v>
      </x:c>
      <x:c r="AX946" s="60" t="str">
        <x:v>https://www.facebook.com/ads/library/?active_status=active&amp;ad_type=all&amp;country=US&amp;q=PayDirt%20Earthworks%20Support%20Services&amp;search_type=keyword_unordered</x:v>
      </x:c>
      <x:c r="AY946" s="60" t="str">
        <x:v>ok:200</x:v>
      </x:c>
      <x:c r="AZ946" s="60" t="n">
        <x:v>46232.722858796296</x:v>
      </x:c>
      <x:c r="BA946" s="60" t="str">
        <x:v>AI Ark SC trades export</x:v>
      </x:c>
      <x:c r="BB946" s="60" t="str">
        <x:v>https://paydirtsupport.com | https://www.linkedin.com/company/paydirtearthworkssupportservices</x:v>
      </x:c>
      <x:c r="BC946" s="60" t="str"/>
    </x:row>
    <x:row r="947" ht="18" customHeight="1">
      <x:c r="A947" s="70" t="str">
        <x:v>946</x:v>
      </x:c>
      <x:c r="B947" s="70" t="str">
        <x:v>D - Nurture</x:v>
      </x:c>
      <x:c r="C947" s="72" t="str">
        <x:v>41</x:v>
      </x:c>
      <x:c r="D947" s="60" t="str">
        <x:v>PlumbX Plumbing Solutions</x:v>
      </x:c>
      <x:c r="E947" s="60" t="str">
        <x:v>https://plumbx.com</x:v>
      </x:c>
      <x:c r="F947" s="60" t="str">
        <x:v>https://plumbx.com</x:v>
      </x:c>
      <x:c r="G947" s="60" t="str">
        <x:v>North Charleston</x:v>
      </x:c>
      <x:c r="H947" s="60" t="str">
        <x:v>South Carolina</x:v>
      </x:c>
      <x:c r="I947" s="60" t="str">
        <x:v>Plumbing</x:v>
      </x:c>
      <x:c r="J947" s="60" t="str">
        <x:v>PlumbX Plumbing Solutions</x:v>
      </x:c>
      <x:c r="K947" s="60" t="str"/>
      <x:c r="L947" s="60" t="str">
        <x:v>Owner / decision maker to verify</x:v>
      </x:c>
      <x:c r="M947" s="60" t="str"/>
      <x:c r="N947" s="60" t="str"/>
      <x:c r="O947" s="60" t="str">
        <x:v>(843) 405-8800</x:v>
      </x:c>
      <x:c r="P947" s="60" t="str"/>
      <x:c r="Q947" s="60" t="str"/>
      <x:c r="R947" s="60" t="str"/>
      <x:c r="S947" s="60" t="str">
        <x:v>5</x:v>
      </x:c>
      <x:c r="T947" s="74" t="str">
        <x:v>49</x:v>
      </x:c>
      <x:c r="U947" s="60" t="str"/>
      <x:c r="V947" s="74" t="str">
        <x:v>22</x:v>
      </x:c>
      <x:c r="W947" s="74" t="str">
        <x:v>3</x:v>
      </x:c>
      <x:c r="X947" s="74" t="str">
        <x:v>6</x:v>
      </x:c>
      <x:c r="Y947" s="74" t="str">
        <x:v>5</x:v>
      </x:c>
      <x:c r="Z947" s="74" t="str">
        <x:v>5</x:v>
      </x:c>
      <x:c r="AA947" s="74" t="str">
        <x:v>0</x:v>
      </x:c>
      <x:c r="AB947" s="74" t="str">
        <x:v>0</x:v>
      </x:c>
      <x:c r="AC947" s="74" t="str">
        <x:v>1</x:v>
      </x:c>
      <x:c r="AD947" s="74" t="str">
        <x:v>0</x:v>
      </x:c>
      <x:c r="AE947" s="74" t="str">
        <x:v>0</x:v>
      </x:c>
      <x:c r="AF947" s="74" t="str"/>
      <x:c r="AG947" s="74" t="str">
        <x:v>0</x:v>
      </x:c>
      <x:c r="AH947" s="74" t="str">
        <x:v>0</x:v>
      </x:c>
      <x:c r="AI947" s="74" t="str">
        <x:v>0</x:v>
      </x:c>
      <x:c r="AJ947" s="74" t="str">
        <x:v>0</x:v>
      </x:c>
      <x:c r="AK947" s="74" t="str">
        <x:v>1</x:v>
      </x:c>
      <x:c r="AL947" s="74" t="str">
        <x:v>1</x:v>
      </x:c>
      <x:c r="AM947" s="74" t="str">
        <x:v>1</x:v>
      </x:c>
      <x:c r="AN947" s="74" t="str">
        <x:v>0</x:v>
      </x:c>
      <x:c r="AO947" s="60" t="str">
        <x:v>2026</x:v>
      </x:c>
      <x:c r="AP947" s="76" t="str">
        <x:v>ICP fit; paid-demand need requires manual verification</x:v>
      </x:c>
      <x:c r="AQ947" s="76" t="str">
        <x:v>visible service offer; no embedded homepage video detected</x:v>
      </x:c>
      <x:c r="AR947" s="76" t="str">
        <x:v>I was reviewing plumbing companies in North Charleston, South Carolina and PlumbX Plumbing Solutions looked like a strong fit for a creative test.</x:v>
      </x:c>
      <x:c r="AS947" s="76" t="str">
        <x:v>small symptom to prevented-emergency ad</x:v>
      </x:c>
      <x:c r="AT947" s="76" t="str">
        <x:v>PlumbX Plumbing Solutions ad concept</x:v>
      </x:c>
      <x:c r="AU947" s="76" t="str">
        <x:v>Hi PlumbX Plumbing Solutions — I was reviewing plumbing companies in North Charleston, South Carolina and PlumbX Plumbing Solutions looked like a strong fit for a creative test. I mapped a private 15-second small symptom to prevented-emergency ad for PlumbX Plumbing Solutions using only public brand context—not for publishing, just to show the angle. We build three client-approved video ad concepts in seven days, then turn the winners into fresh variations. No filming day required. Worth sending the private sample?</x:v>
      </x:c>
      <x:c r="AV947" s="76" t="str">
        <x:v>Quick follow-up: the sample angle is a small symptom to prevented-emergency ad. If it misses the mark, no problem—I won't keep chasing. Should I send it?</x:v>
      </x:c>
      <x:c r="AW947" s="76" t="str">
        <x:v>Hi PlumbX Plumbing Solutions, Ryan here. I was looking at PlumbX Plumbing Solutions's public marketing and noticed: icp fit; paid-demand need requires manual verification. I mapped one private small symptom to prevented-emergency ad as an example. Did I catch you with 30 seconds?</x:v>
      </x:c>
      <x:c r="AX947" s="60" t="str">
        <x:v>https://www.facebook.com/ads/library/?active_status=active&amp;ad_type=all&amp;country=US&amp;q=PlumbX%20Plumbing%20Solutions&amp;search_type=keyword_unordered</x:v>
      </x:c>
      <x:c r="AY947" s="60" t="str">
        <x:v>ok:200</x:v>
      </x:c>
      <x:c r="AZ947" s="60" t="n">
        <x:v>46232.722858796296</x:v>
      </x:c>
      <x:c r="BA947" s="60" t="str">
        <x:v>Google Maps home-services export</x:v>
      </x:c>
      <x:c r="BB947" s="60" t="str">
        <x:v>https://maps.google.com/?cid=18012402420684835761&amp;g_mp=Cidnb29nbGUubWFwcy5wbGFjZXMudjEuUGxhY2VzLlNlYXJjaFRleHQQAhgEIAA | https://plumbx.com</x:v>
      </x:c>
      <x:c r="BC947" s="60" t="str"/>
    </x:row>
    <x:row r="948" ht="18" customHeight="1">
      <x:c r="A948" s="70" t="str">
        <x:v>947</x:v>
      </x:c>
      <x:c r="B948" s="70" t="str">
        <x:v>D - Nurture</x:v>
      </x:c>
      <x:c r="C948" s="72" t="str">
        <x:v>41</x:v>
      </x:c>
      <x:c r="D948" s="60" t="str">
        <x:v>Gulfstream Marine Construction</x:v>
      </x:c>
      <x:c r="E948" s="60" t="str">
        <x:v>https://mynewdock.com</x:v>
      </x:c>
      <x:c r="F948" s="60" t="str">
        <x:v>https://mynewdock.com</x:v>
      </x:c>
      <x:c r="G948" s="60" t="str">
        <x:v>Murrells Inlet</x:v>
      </x:c>
      <x:c r="H948" s="60" t="str">
        <x:v>South Carolina</x:v>
      </x:c>
      <x:c r="I948" s="60" t="str">
        <x:v>General Contractor</x:v>
      </x:c>
      <x:c r="J948" s="60" t="str">
        <x:v>Michael</x:v>
      </x:c>
      <x:c r="K948" s="60" t="str">
        <x:v>Broach</x:v>
      </x:c>
      <x:c r="L948" s="60" t="str">
        <x:v>Owner</x:v>
      </x:c>
      <x:c r="M948" s="60" t="str">
        <x:v>michael@mynewdock.com</x:v>
      </x:c>
      <x:c r="N948" s="60" t="str">
        <x:v>Verified with BounceBan on 08 Jun 26 12:06</x:v>
      </x:c>
      <x:c r="O948" s="60" t="str"/>
      <x:c r="P948" s="60" t="str">
        <x:v>https://www.linkedin.com/in/michael-broach-44b24726b</x:v>
      </x:c>
      <x:c r="Q948" s="60" t="str">
        <x:v>2-10</x:v>
      </x:c>
      <x:c r="R948" s="60" t="str">
        <x:v>500000-999999</x:v>
      </x:c>
      <x:c r="S948" s="60" t="str"/>
      <x:c r="T948" s="74" t="str">
        <x:v>0</x:v>
      </x:c>
      <x:c r="U948" s="60" t="str"/>
      <x:c r="V948" s="74" t="str">
        <x:v>22</x:v>
      </x:c>
      <x:c r="W948" s="74" t="str">
        <x:v>3</x:v>
      </x:c>
      <x:c r="X948" s="74" t="str">
        <x:v>6</x:v>
      </x:c>
      <x:c r="Y948" s="74" t="str">
        <x:v>3</x:v>
      </x:c>
      <x:c r="Z948" s="74" t="str">
        <x:v>7</x:v>
      </x:c>
      <x:c r="AA948" s="74" t="str">
        <x:v>0</x:v>
      </x:c>
      <x:c r="AB948" s="74" t="str">
        <x:v>0</x:v>
      </x:c>
      <x:c r="AC948" s="74" t="str">
        <x:v>1</x:v>
      </x:c>
      <x:c r="AD948" s="74" t="str">
        <x:v>0</x:v>
      </x:c>
      <x:c r="AE948" s="74" t="str">
        <x:v>0</x:v>
      </x:c>
      <x:c r="AF948" s="74" t="str"/>
      <x:c r="AG948" s="74" t="str">
        <x:v>0</x:v>
      </x:c>
      <x:c r="AH948" s="74" t="str">
        <x:v>0</x:v>
      </x:c>
      <x:c r="AI948" s="74" t="str">
        <x:v>0</x:v>
      </x:c>
      <x:c r="AJ948" s="74" t="str">
        <x:v>0</x:v>
      </x:c>
      <x:c r="AK948" s="74" t="str">
        <x:v>1</x:v>
      </x:c>
      <x:c r="AL948" s="74" t="str">
        <x:v>1</x:v>
      </x:c>
      <x:c r="AM948" s="74" t="str">
        <x:v>1</x:v>
      </x:c>
      <x:c r="AN948" s="74" t="str">
        <x:v>0</x:v>
      </x:c>
      <x:c r="AO948" s="60" t="str">
        <x:v>2026</x:v>
      </x:c>
      <x:c r="AP948" s="76" t="str">
        <x:v>ICP fit; paid-demand need requires manual verification</x:v>
      </x:c>
      <x:c r="AQ948" s="76" t="str">
        <x:v>visible service offer; no embedded homepage video detected</x:v>
      </x:c>
      <x:c r="AR948" s="76" t="str">
        <x:v>I was reviewing general contractor companies in Murrells Inlet, South Carolina and Gulfstream Marine Construction looked like a strong fit for a creative test.</x:v>
      </x:c>
      <x:c r="AS948" s="76" t="str">
        <x:v>project walkthrough with proof milestones</x:v>
      </x:c>
      <x:c r="AT948" s="76" t="str">
        <x:v>Gulfstream Marine Construction ad concept</x:v>
      </x:c>
      <x:c r="AU948" s="76" t="str">
        <x:v>Hi Michael — I was reviewing general contractor companies in Murrells Inlet, South Carolina and Gulfstream Marine Construction looked like a strong fit for a creative test. I mapped a private 15-second project walkthrough with proof milestones for Gulfstream Marine Construction using only public brand context—not for publishing, just to show the angle. We build three client-approved video ad concepts in seven days, then turn the winners into fresh variations. No filming day required. Worth sending the private sample?</x:v>
      </x:c>
      <x:c r="AV948" s="76" t="str">
        <x:v>Quick follow-up: the sample angle is a project walkthrough with proof milestones. If it misses the mark, no problem—I won't keep chasing. Should I send it?</x:v>
      </x:c>
      <x:c r="AW948" s="76" t="str">
        <x:v>Hi Michael, Ryan here. I was looking at Gulfstream Marine Construction's public marketing and noticed: icp fit; paid-demand need requires manual verification. I mapped one private project walkthrough with proof milestones as an example. Did I catch you with 30 seconds?</x:v>
      </x:c>
      <x:c r="AX948" s="60" t="str">
        <x:v>https://www.facebook.com/ads/library/?active_status=active&amp;ad_type=all&amp;country=US&amp;q=Gulfstream%20Marine%20Construction&amp;search_type=keyword_unordered</x:v>
      </x:c>
      <x:c r="AY948" s="60" t="str">
        <x:v>ok:200</x:v>
      </x:c>
      <x:c r="AZ948" s="60" t="n">
        <x:v>46232.722858796296</x:v>
      </x:c>
      <x:c r="BA948" s="60" t="str">
        <x:v>AI Ark SC trades export</x:v>
      </x:c>
      <x:c r="BB948" s="60" t="str">
        <x:v>https://mynewdock.com | https://www.linkedin.com/company/gulfstream-marine-construction</x:v>
      </x:c>
      <x:c r="BC948" s="60" t="str"/>
    </x:row>
    <x:row r="949" ht="18" customHeight="1">
      <x:c r="A949" s="70" t="str">
        <x:v>948</x:v>
      </x:c>
      <x:c r="B949" s="70" t="str">
        <x:v>D - Nurture</x:v>
      </x:c>
      <x:c r="C949" s="72" t="str">
        <x:v>41</x:v>
      </x:c>
      <x:c r="D949" s="60" t="str">
        <x:v>CRDN Full-Service Contents Restoration</x:v>
      </x:c>
      <x:c r="E949" s="60" t="str">
        <x:v>https://crdn.com</x:v>
      </x:c>
      <x:c r="F949" s="60" t="str">
        <x:v>https://www.crdn.com/</x:v>
      </x:c>
      <x:c r="G949" s="60" t="str">
        <x:v>Greenville-spartanburg-anderson</x:v>
      </x:c>
      <x:c r="H949" s="60" t="str">
        <x:v>South Carolina Area</x:v>
      </x:c>
      <x:c r="I949" s="60" t="str">
        <x:v>Restoration</x:v>
      </x:c>
      <x:c r="J949" s="60" t="str">
        <x:v>Tanner</x:v>
      </x:c>
      <x:c r="K949" s="60" t="str">
        <x:v>Bauknight</x:v>
      </x:c>
      <x:c r="L949" s="60" t="str">
        <x:v>Co-Owner</x:v>
      </x:c>
      <x:c r="M949" s="60" t="str"/>
      <x:c r="N949" s="60" t="str"/>
      <x:c r="O949" s="60" t="str">
        <x:v>+1 248 246 7878</x:v>
      </x:c>
      <x:c r="P949" s="60" t="str">
        <x:v>https://www.linkedin.com/in/tanner-bauknight-7b5a0a1b5</x:v>
      </x:c>
      <x:c r="Q949" s="60" t="str">
        <x:v>11-50</x:v>
      </x:c>
      <x:c r="R949" s="60" t="str">
        <x:v>25000000-49999999</x:v>
      </x:c>
      <x:c r="S949" s="60" t="str"/>
      <x:c r="T949" s="74" t="str">
        <x:v>0</x:v>
      </x:c>
      <x:c r="U949" s="60" t="str"/>
      <x:c r="V949" s="74" t="str">
        <x:v>30</x:v>
      </x:c>
      <x:c r="W949" s="74" t="str">
        <x:v>3</x:v>
      </x:c>
      <x:c r="X949" s="74" t="str">
        <x:v>0</x:v>
      </x:c>
      <x:c r="Y949" s="74" t="str">
        <x:v>3</x:v>
      </x:c>
      <x:c r="Z949" s="74" t="str">
        <x:v>5</x:v>
      </x:c>
      <x:c r="AA949" s="74" t="str">
        <x:v>0</x:v>
      </x:c>
      <x:c r="AB949" s="74" t="str">
        <x:v>0</x:v>
      </x:c>
      <x:c r="AC949" s="74" t="str">
        <x:v>1</x:v>
      </x:c>
      <x:c r="AD949" s="74" t="str">
        <x:v>0</x:v>
      </x:c>
      <x:c r="AE949" s="74" t="str">
        <x:v>0</x:v>
      </x:c>
      <x:c r="AF949" s="74" t="str"/>
      <x:c r="AG949" s="74" t="str">
        <x:v>1</x:v>
      </x:c>
      <x:c r="AH949" s="74" t="str">
        <x:v>0</x:v>
      </x:c>
      <x:c r="AI949" s="74" t="str">
        <x:v>0</x:v>
      </x:c>
      <x:c r="AJ949" s="74" t="str">
        <x:v>0</x:v>
      </x:c>
      <x:c r="AK949" s="74" t="str">
        <x:v>1</x:v>
      </x:c>
      <x:c r="AL949" s="74" t="str">
        <x:v>0</x:v>
      </x:c>
      <x:c r="AM949" s="74" t="str">
        <x:v>1</x:v>
      </x:c>
      <x:c r="AN949" s="74" t="str">
        <x:v>1</x:v>
      </x:c>
      <x:c r="AO949" s="60" t="str">
        <x:v>2026</x:v>
      </x:c>
      <x:c r="AP949" s="76" t="str">
        <x:v>ICP fit; paid-demand need requires manual verification</x:v>
      </x:c>
      <x:c r="AQ949" s="76" t="str">
        <x:v>visible service offer</x:v>
      </x:c>
      <x:c r="AR949" s="76" t="str">
        <x:v>I was reviewing restoration companies in Greenville-spartanburg-anderson, South Carolina Area and CRDN Full-Service Contents Restoration looked like a strong fit for a creative test.</x:v>
      </x:c>
      <x:c r="AS949" s="76" t="str">
        <x:v>first-24-hours emergency-response ad</x:v>
      </x:c>
      <x:c r="AT949" s="76" t="str">
        <x:v>CRDN Full-Service Contents Restoration ad concept</x:v>
      </x:c>
      <x:c r="AU949" s="76" t="str">
        <x:v>Hi Tanner — I was reviewing restoration companies in Greenville-spartanburg-anderson, South Carolina Area and CRDN Full-Service Contents Restoration looked like a strong fit for a creative test. I mapped a private 15-second first-24-hours emergency-response ad for CRDN Full-Service Contents Restoration using only public brand context—not for publishing, just to show the angle. We build three client-approved video ad concepts in seven days, then turn the winners into fresh variations. No filming day required. Worth sending the private sample?</x:v>
      </x:c>
      <x:c r="AV949" s="76" t="str">
        <x:v>Quick follow-up: the sample angle is a first-24-hours emergency-response ad. If it misses the mark, no problem—I won't keep chasing. Should I send it?</x:v>
      </x:c>
      <x:c r="AW949" s="76" t="str">
        <x:v>Hi Tanner, Ryan here. I was looking at CRDN Full-Service Contents Restoration's public marketing and noticed: icp fit; paid-demand need requires manual verification. I mapped one private first-24-hours emergency-response ad as an example. Did I catch you with 30 seconds?</x:v>
      </x:c>
      <x:c r="AX949" s="60" t="str">
        <x:v>https://www.facebook.com/ads/library/?active_status=active&amp;ad_type=all&amp;country=US&amp;q=CRDN%20Full-Service%20Contents%20Restoration&amp;search_type=keyword_unordered</x:v>
      </x:c>
      <x:c r="AY949" s="60" t="str">
        <x:v>ok:200</x:v>
      </x:c>
      <x:c r="AZ949" s="60" t="n">
        <x:v>46232.722858796296</x:v>
      </x:c>
      <x:c r="BA949" s="60" t="str">
        <x:v>AI Ark SC trades export</x:v>
      </x:c>
      <x:c r="BB949" s="60" t="str">
        <x:v>https://crdn.com | https://www.linkedin.com/company/crdn</x:v>
      </x:c>
      <x:c r="BC949" s="60" t="str"/>
    </x:row>
    <x:row r="950" ht="18" customHeight="1">
      <x:c r="A950" s="70" t="str">
        <x:v>949</x:v>
      </x:c>
      <x:c r="B950" s="70" t="str">
        <x:v>D - Nurture</x:v>
      </x:c>
      <x:c r="C950" s="72" t="str">
        <x:v>41</x:v>
      </x:c>
      <x:c r="D950" s="60" t="str">
        <x:v>Beaufort Carolina Comfort, Inc.</x:v>
      </x:c>
      <x:c r="E950" s="60" t="str">
        <x:v>https://beaufortcarolinacomfort.com</x:v>
      </x:c>
      <x:c r="F950" s="60" t="str">
        <x:v>https://www.beaufortcarolinacomfort.com/</x:v>
      </x:c>
      <x:c r="G950" s="60" t="str">
        <x:v>Beaufort</x:v>
      </x:c>
      <x:c r="H950" s="60" t="str">
        <x:v>South Carolina</x:v>
      </x:c>
      <x:c r="I950" s="60" t="str">
        <x:v>HVAC</x:v>
      </x:c>
      <x:c r="J950" s="60" t="str">
        <x:v>Beaufort Carolina Comfort, Inc.</x:v>
      </x:c>
      <x:c r="K950" s="60" t="str"/>
      <x:c r="L950" s="60" t="str">
        <x:v>Owner / decision maker to verify</x:v>
      </x:c>
      <x:c r="M950" s="60" t="str"/>
      <x:c r="N950" s="60" t="str"/>
      <x:c r="O950" s="60" t="str">
        <x:v>(252) 728-6943</x:v>
      </x:c>
      <x:c r="P950" s="60" t="str"/>
      <x:c r="Q950" s="60" t="str"/>
      <x:c r="R950" s="60" t="str"/>
      <x:c r="S950" s="60" t="str">
        <x:v>4.6</x:v>
      </x:c>
      <x:c r="T950" s="74" t="str">
        <x:v>29</x:v>
      </x:c>
      <x:c r="U950" s="60" t="str">
        <x:v>scheduling, no_show, communication</x:v>
      </x:c>
      <x:c r="V950" s="74" t="str">
        <x:v>24</x:v>
      </x:c>
      <x:c r="W950" s="74" t="str">
        <x:v>3</x:v>
      </x:c>
      <x:c r="X950" s="74" t="str">
        <x:v>6</x:v>
      </x:c>
      <x:c r="Y950" s="74" t="str">
        <x:v>3</x:v>
      </x:c>
      <x:c r="Z950" s="74" t="str">
        <x:v>5</x:v>
      </x:c>
      <x:c r="AA950" s="74" t="str">
        <x:v>0</x:v>
      </x:c>
      <x:c r="AB950" s="74" t="str">
        <x:v>0</x:v>
      </x:c>
      <x:c r="AC950" s="74" t="str">
        <x:v>1</x:v>
      </x:c>
      <x:c r="AD950" s="74" t="str">
        <x:v>0</x:v>
      </x:c>
      <x:c r="AE950" s="74" t="str">
        <x:v>0</x:v>
      </x:c>
      <x:c r="AF950" s="74" t="str"/>
      <x:c r="AG950" s="74" t="str">
        <x:v>1</x:v>
      </x:c>
      <x:c r="AH950" s="74" t="str">
        <x:v>0</x:v>
      </x:c>
      <x:c r="AI950" s="74" t="str">
        <x:v>0</x:v>
      </x:c>
      <x:c r="AJ950" s="74" t="str">
        <x:v>0</x:v>
      </x:c>
      <x:c r="AK950" s="74" t="str">
        <x:v>1</x:v>
      </x:c>
      <x:c r="AL950" s="74" t="str">
        <x:v>0</x:v>
      </x:c>
      <x:c r="AM950" s="74" t="str">
        <x:v>1</x:v>
      </x:c>
      <x:c r="AN950" s="74" t="str">
        <x:v>0</x:v>
      </x:c>
      <x:c r="AO950" s="60" t="str">
        <x:v>2026</x:v>
      </x:c>
      <x:c r="AP950" s="76" t="str">
        <x:v>ICP fit; paid-demand need requires manual verification</x:v>
      </x:c>
      <x:c r="AQ950" s="76" t="str">
        <x:v>visible service offer</x:v>
      </x:c>
      <x:c r="AR950" s="76" t="str">
        <x:v>I was reviewing hvac companies in Beaufort, South Carolina and Beaufort Carolina Comfort, Inc. looked like a strong fit for a creative test.</x:v>
      </x:c>
      <x:c r="AS950" s="76" t="str">
        <x:v>no-cool-call to same-day comfort ad</x:v>
      </x:c>
      <x:c r="AT950" s="76" t="str">
        <x:v>Beaufort Carolina Comfort, Inc. ad concept</x:v>
      </x:c>
      <x:c r="AU950" s="76" t="str">
        <x:v>Hi Beaufort Carolina Comfort, Inc. — I was reviewing hvac companies in Beaufort, South Carolina and Beaufort Carolina Comfort, Inc. looked like a strong fit for a creative test. I mapped a private 15-second no-cool-call to same-day comfort ad for Beaufort Carolina Comfort, Inc. using only public brand context—not for publishing, just to show the angle. We build three client-approved video ad concepts in seven days, then turn the winners into fresh variations. No filming day required. Worth sending the private sample?</x:v>
      </x:c>
      <x:c r="AV950" s="76" t="str">
        <x:v>Quick follow-up: the sample angle is a no-cool-call to same-day comfort ad. If it misses the mark, no problem—I won't keep chasing. Should I send it?</x:v>
      </x:c>
      <x:c r="AW950" s="76" t="str">
        <x:v>Hi Beaufort Carolina Comfort, Inc., Ryan here. I was looking at Beaufort Carolina Comfort, Inc.'s public marketing and noticed: icp fit; paid-demand need requires manual verification. I mapped one private no-cool-call to same-day comfort ad as an example. Did I catch you with 30 seconds?</x:v>
      </x:c>
      <x:c r="AX950" s="60" t="str">
        <x:v>https://www.facebook.com/ads/library/?active_status=active&amp;ad_type=all&amp;country=US&amp;q=Beaufort%20Carolina%20Comfort%2C%20Inc.&amp;search_type=keyword_unordered</x:v>
      </x:c>
      <x:c r="AY950" s="60" t="str">
        <x:v>ok:200</x:v>
      </x:c>
      <x:c r="AZ950" s="60" t="n">
        <x:v>46232.722858796296</x:v>
      </x:c>
      <x:c r="BA950" s="60" t="str">
        <x:v>Google Maps home-services export</x:v>
      </x:c>
      <x:c r="BB950" s="60" t="str">
        <x:v>https://beaufortcarolinacomfort.com | https://maps.google.com/?cid=12918613858424980083&amp;g_mp=Cidnb29nbGUubWFwcy5wbGFjZXMudjEuUGxhY2VzLlNlYXJjaFRleHQQAhgEIAA</x:v>
      </x:c>
      <x:c r="BC950" s="60" t="str"/>
    </x:row>
    <x:row r="951" ht="18" customHeight="1">
      <x:c r="A951" s="70" t="str">
        <x:v>950</x:v>
      </x:c>
      <x:c r="B951" s="70" t="str">
        <x:v>D - Nurture</x:v>
      </x:c>
      <x:c r="C951" s="72" t="str">
        <x:v>41</x:v>
      </x:c>
      <x:c r="D951" s="60" t="str">
        <x:v>South Star Electrical</x:v>
      </x:c>
      <x:c r="E951" s="60" t="str">
        <x:v>https://southstarelectrical.com</x:v>
      </x:c>
      <x:c r="F951" s="60" t="str">
        <x:v>https://southstarelectrical.com</x:v>
      </x:c>
      <x:c r="G951" s="60" t="str">
        <x:v>Mount Pleasant</x:v>
      </x:c>
      <x:c r="H951" s="60" t="str">
        <x:v>South Carolina</x:v>
      </x:c>
      <x:c r="I951" s="60" t="str">
        <x:v>Electrical</x:v>
      </x:c>
      <x:c r="J951" s="60" t="str">
        <x:v>South Star Electrical</x:v>
      </x:c>
      <x:c r="K951" s="60" t="str"/>
      <x:c r="L951" s="60" t="str">
        <x:v>Owner / decision maker to verify</x:v>
      </x:c>
      <x:c r="M951" s="60" t="str"/>
      <x:c r="N951" s="60" t="str"/>
      <x:c r="O951" s="60" t="str">
        <x:v>(843) 830-4899</x:v>
      </x:c>
      <x:c r="P951" s="60" t="str"/>
      <x:c r="Q951" s="60" t="str"/>
      <x:c r="R951" s="60" t="str"/>
      <x:c r="S951" s="60" t="str">
        <x:v>4.9</x:v>
      </x:c>
      <x:c r="T951" s="74" t="str">
        <x:v>64</x:v>
      </x:c>
      <x:c r="U951" s="60" t="str"/>
      <x:c r="V951" s="74" t="str">
        <x:v>21</x:v>
      </x:c>
      <x:c r="W951" s="74" t="str">
        <x:v>3</x:v>
      </x:c>
      <x:c r="X951" s="74" t="str">
        <x:v>10</x:v>
      </x:c>
      <x:c r="Y951" s="74" t="str">
        <x:v>2</x:v>
      </x:c>
      <x:c r="Z951" s="74" t="str">
        <x:v>5</x:v>
      </x:c>
      <x:c r="AA951" s="74" t="str">
        <x:v>0</x:v>
      </x:c>
      <x:c r="AB951" s="74" t="str">
        <x:v>0</x:v>
      </x:c>
      <x:c r="AC951" s="74" t="str">
        <x:v>1</x:v>
      </x:c>
      <x:c r="AD951" s="74" t="str">
        <x:v>0</x:v>
      </x:c>
      <x:c r="AE951" s="74" t="str">
        <x:v>0</x:v>
      </x:c>
      <x:c r="AF951" s="74" t="str"/>
      <x:c r="AG951" s="74" t="str">
        <x:v>0</x:v>
      </x:c>
      <x:c r="AH951" s="74" t="str">
        <x:v>0</x:v>
      </x:c>
      <x:c r="AI951" s="74" t="str">
        <x:v>0</x:v>
      </x:c>
      <x:c r="AJ951" s="74" t="str">
        <x:v>0</x:v>
      </x:c>
      <x:c r="AK951" s="74" t="str">
        <x:v>0</x:v>
      </x:c>
      <x:c r="AL951" s="74" t="str">
        <x:v>0</x:v>
      </x:c>
      <x:c r="AM951" s="74" t="str">
        <x:v>0</x:v>
      </x:c>
      <x:c r="AN951" s="74" t="str">
        <x:v>0</x:v>
      </x:c>
      <x:c r="AO951" s="60" t="str">
        <x:v>2025</x:v>
      </x:c>
      <x:c r="AP951" s="76" t="str">
        <x:v>ICP fit; paid-demand need requires manual verification</x:v>
      </x:c>
      <x:c r="AQ951" s="76" t="str">
        <x:v>no embedded homepage video detected</x:v>
      </x:c>
      <x:c r="AR951" s="76" t="str">
        <x:v>I was reviewing electrical companies in Mount Pleasant, South Carolina and South Star Electrical looked like a strong fit for a creative test.</x:v>
      </x:c>
      <x:c r="AS951" s="76" t="str">
        <x:v>safety inspection problem/solution ad</x:v>
      </x:c>
      <x:c r="AT951" s="76" t="str">
        <x:v>South Star Electrical ad concept</x:v>
      </x:c>
      <x:c r="AU951" s="76" t="str">
        <x:v>Hi South Star Electrical — I was reviewing electrical companies in Mount Pleasant, South Carolina and South Star Electrical looked like a strong fit for a creative test. I mapped a private 15-second safety inspection problem/solution ad for South Star Electrical using only public brand context—not for publishing, just to show the angle. We build three client-approved video ad concepts in seven days, then turn the winners into fresh variations. No filming day required. Worth sending the private sample?</x:v>
      </x:c>
      <x:c r="AV951" s="76" t="str">
        <x:v>Quick follow-up: the sample angle is a safety inspection problem/solution ad. If it misses the mark, no problem—I won't keep chasing. Should I send it?</x:v>
      </x:c>
      <x:c r="AW951" s="76" t="str">
        <x:v>Hi South Star Electrical, Ryan here. I was looking at South Star Electrical's public marketing and noticed: icp fit; paid-demand need requires manual verification. I mapped one private safety inspection problem/solution ad as an example. Did I catch you with 30 seconds?</x:v>
      </x:c>
      <x:c r="AX951" s="60" t="str">
        <x:v>https://www.facebook.com/ads/library/?active_status=active&amp;ad_type=all&amp;country=US&amp;q=South%20Star%20Electrical&amp;search_type=keyword_unordered</x:v>
      </x:c>
      <x:c r="AY951" s="60" t="str">
        <x:v>ok:200</x:v>
      </x:c>
      <x:c r="AZ951" s="60" t="n">
        <x:v>46232.722858796296</x:v>
      </x:c>
      <x:c r="BA951" s="60" t="str">
        <x:v>Google Maps home-services export</x:v>
      </x:c>
      <x:c r="BB951" s="60" t="str">
        <x:v>https://maps.google.com/?cid=14115048470772658909&amp;g_mp=Cidnb29nbGUubWFwcy5wbGFjZXMudjEuUGxhY2VzLlNlYXJjaFRleHQQAhgEIAA | https://southstarelectrical.com</x:v>
      </x:c>
      <x:c r="BC951" s="60" t="str"/>
    </x:row>
    <x:row r="952" ht="18" customHeight="1">
      <x:c r="A952" s="70" t="str">
        <x:v>951</x:v>
      </x:c>
      <x:c r="B952" s="70" t="str">
        <x:v>D - Nurture</x:v>
      </x:c>
      <x:c r="C952" s="72" t="str">
        <x:v>41</x:v>
      </x:c>
      <x:c r="D952" s="60" t="str">
        <x:v>Carolina Roofing Siding and Window LLC</x:v>
      </x:c>
      <x:c r="E952" s="60" t="str">
        <x:v>https://carolinaroofingsidingandwindow.com</x:v>
      </x:c>
      <x:c r="F952" s="60" t="str">
        <x:v>https://www.carolinaroofingsidingandwindow.com/</x:v>
      </x:c>
      <x:c r="G952" s="60" t="str">
        <x:v>Spartanburg</x:v>
      </x:c>
      <x:c r="H952" s="60" t="str">
        <x:v>South Carolina</x:v>
      </x:c>
      <x:c r="I952" s="60" t="str">
        <x:v>Roofing</x:v>
      </x:c>
      <x:c r="J952" s="60" t="str">
        <x:v>Carolina Roofing Siding and Window LLC</x:v>
      </x:c>
      <x:c r="K952" s="60" t="str"/>
      <x:c r="L952" s="60" t="str">
        <x:v>Owner / decision maker to verify</x:v>
      </x:c>
      <x:c r="M952" s="60" t="str"/>
      <x:c r="N952" s="60" t="str"/>
      <x:c r="O952" s="60" t="str">
        <x:v>(864) 809-4900</x:v>
      </x:c>
      <x:c r="P952" s="60" t="str"/>
      <x:c r="Q952" s="60" t="str"/>
      <x:c r="R952" s="60" t="str"/>
      <x:c r="S952" s="60" t="str">
        <x:v>4.8</x:v>
      </x:c>
      <x:c r="T952" s="74" t="str">
        <x:v>68</x:v>
      </x:c>
      <x:c r="U952" s="60" t="str"/>
      <x:c r="V952" s="74" t="str">
        <x:v>27</x:v>
      </x:c>
      <x:c r="W952" s="74" t="str">
        <x:v>3</x:v>
      </x:c>
      <x:c r="X952" s="74" t="str">
        <x:v>4</x:v>
      </x:c>
      <x:c r="Y952" s="74" t="str">
        <x:v>2</x:v>
      </x:c>
      <x:c r="Z952" s="74" t="str">
        <x:v>5</x:v>
      </x:c>
      <x:c r="AA952" s="74" t="str">
        <x:v>0</x:v>
      </x:c>
      <x:c r="AB952" s="74" t="str">
        <x:v>0</x:v>
      </x:c>
      <x:c r="AC952" s="74" t="str">
        <x:v>1</x:v>
      </x:c>
      <x:c r="AD952" s="74" t="str">
        <x:v>0</x:v>
      </x:c>
      <x:c r="AE952" s="74" t="str">
        <x:v>0</x:v>
      </x:c>
      <x:c r="AF952" s="74" t="str"/>
      <x:c r="AG952" s="74" t="str">
        <x:v>1</x:v>
      </x:c>
      <x:c r="AH952" s="74" t="str">
        <x:v>0</x:v>
      </x:c>
      <x:c r="AI952" s="74" t="str">
        <x:v>0</x:v>
      </x:c>
      <x:c r="AJ952" s="74" t="str">
        <x:v>0</x:v>
      </x:c>
      <x:c r="AK952" s="74" t="str">
        <x:v>0</x:v>
      </x:c>
      <x:c r="AL952" s="74" t="str">
        <x:v>0</x:v>
      </x:c>
      <x:c r="AM952" s="74" t="str">
        <x:v>0</x:v>
      </x:c>
      <x:c r="AN952" s="74" t="str">
        <x:v>0</x:v>
      </x:c>
      <x:c r="AO952" s="60" t="str">
        <x:v>0</x:v>
      </x:c>
      <x:c r="AP952" s="76" t="str">
        <x:v>ICP fit; paid-demand need requires manual verification</x:v>
      </x:c>
      <x:c r="AQ952" s="76" t="str">
        <x:v>No strong homepage signal detected</x:v>
      </x:c>
      <x:c r="AR952" s="76" t="str">
        <x:v>I was reviewing roofing companies in Spartanburg, South Carolina and Carolina Roofing Siding and Window LLC looked like a strong fit for a creative test.</x:v>
      </x:c>
      <x:c r="AS952" s="76" t="str">
        <x:v>storm-to-inspection before/after ad</x:v>
      </x:c>
      <x:c r="AT952" s="76" t="str">
        <x:v>Carolina Roofing Siding and Window LLC ad concept</x:v>
      </x:c>
      <x:c r="AU952" s="76" t="str">
        <x:v>Hi Carolina Roofing Siding and Window LLC — I was reviewing roofing companies in Spartanburg, South Carolina and Carolina Roofing Siding and Window LLC looked like a strong fit for a creative test. I mapped a private 15-second storm-to-inspection before/after ad for Carolina Roofing Siding and Window LLC using only public brand context—not for publishing, just to show the angle. We build three client-approved video ad concepts in seven days, then turn the winners into fresh variations. No filming day required. Worth sending the private sample?</x:v>
      </x:c>
      <x:c r="AV952" s="76" t="str">
        <x:v>Quick follow-up: the sample angle is a storm-to-inspection before/after ad. If it misses the mark, no problem—I won't keep chasing. Should I send it?</x:v>
      </x:c>
      <x:c r="AW952" s="76" t="str">
        <x:v>Hi Carolina Roofing Siding and Window LLC, Ryan here. I was looking at Carolina Roofing Siding and Window LLC's public marketing and noticed: icp fit; paid-demand need requires manual verification. I mapped one private storm-to-inspection before/after ad as an example. Did I catch you with 30 seconds?</x:v>
      </x:c>
      <x:c r="AX952" s="60" t="str">
        <x:v>https://www.facebook.com/ads/library/?active_status=active&amp;ad_type=all&amp;country=US&amp;q=Carolina%20Roofing%20Siding%20and%20Window%20LLC&amp;search_type=keyword_unordered</x:v>
      </x:c>
      <x:c r="AY952" s="60" t="str">
        <x:v>ok:200</x:v>
      </x:c>
      <x:c r="AZ952" s="60" t="n">
        <x:v>46232.722858796296</x:v>
      </x:c>
      <x:c r="BA952" s="60" t="str">
        <x:v>Google Maps home-services export</x:v>
      </x:c>
      <x:c r="BB952" s="60" t="str">
        <x:v>https://carolinaroofingsidingandwindow.com | https://maps.google.com/?cid=9951414476886935432&amp;g_mp=Cidnb29nbGUubWFwcy5wbGFjZXMudjEuUGxhY2VzLlNlYXJjaFRleHQQAhgEIAA</x:v>
      </x:c>
      <x:c r="BC952" s="60" t="str"/>
    </x:row>
    <x:row r="953" ht="18" customHeight="1">
      <x:c r="A953" s="70" t="str">
        <x:v>952</x:v>
      </x:c>
      <x:c r="B953" s="70" t="str">
        <x:v>D - Nurture</x:v>
      </x:c>
      <x:c r="C953" s="72" t="str">
        <x:v>41</x:v>
      </x:c>
      <x:c r="D953" s="60" t="str">
        <x:v>Amped Electric, LLC</x:v>
      </x:c>
      <x:c r="E953" s="60" t="str">
        <x:v>https://ampedelectricllp.com</x:v>
      </x:c>
      <x:c r="F953" s="60" t="str">
        <x:v>https://ampedelectricllp.com</x:v>
      </x:c>
      <x:c r="G953" s="60" t="str">
        <x:v>Charleston</x:v>
      </x:c>
      <x:c r="H953" s="60" t="str">
        <x:v>South Carolina</x:v>
      </x:c>
      <x:c r="I953" s="60" t="str">
        <x:v>Electrical</x:v>
      </x:c>
      <x:c r="J953" s="60" t="str">
        <x:v>Amped Electric, LLC</x:v>
      </x:c>
      <x:c r="K953" s="60" t="str"/>
      <x:c r="L953" s="60" t="str">
        <x:v>Owner / decision maker to verify</x:v>
      </x:c>
      <x:c r="M953" s="60" t="str"/>
      <x:c r="N953" s="60" t="str"/>
      <x:c r="O953" s="60" t="str">
        <x:v>(843) 633-1565</x:v>
      </x:c>
      <x:c r="P953" s="60" t="str"/>
      <x:c r="Q953" s="60" t="str"/>
      <x:c r="R953" s="60" t="str"/>
      <x:c r="S953" s="60" t="str">
        <x:v>4.7</x:v>
      </x:c>
      <x:c r="T953" s="74" t="str">
        <x:v>80</x:v>
      </x:c>
      <x:c r="U953" s="60" t="str"/>
      <x:c r="V953" s="74" t="str">
        <x:v>21</x:v>
      </x:c>
      <x:c r="W953" s="74" t="str">
        <x:v>3</x:v>
      </x:c>
      <x:c r="X953" s="74" t="str">
        <x:v>10</x:v>
      </x:c>
      <x:c r="Y953" s="74" t="str">
        <x:v>2</x:v>
      </x:c>
      <x:c r="Z953" s="74" t="str">
        <x:v>5</x:v>
      </x:c>
      <x:c r="AA953" s="74" t="str">
        <x:v>0</x:v>
      </x:c>
      <x:c r="AB953" s="74" t="str">
        <x:v>0</x:v>
      </x:c>
      <x:c r="AC953" s="74" t="str">
        <x:v>1</x:v>
      </x:c>
      <x:c r="AD953" s="74" t="str">
        <x:v>0</x:v>
      </x:c>
      <x:c r="AE953" s="74" t="str">
        <x:v>0</x:v>
      </x:c>
      <x:c r="AF953" s="74" t="str"/>
      <x:c r="AG953" s="74" t="str">
        <x:v>0</x:v>
      </x:c>
      <x:c r="AH953" s="74" t="str">
        <x:v>0</x:v>
      </x:c>
      <x:c r="AI953" s="74" t="str">
        <x:v>0</x:v>
      </x:c>
      <x:c r="AJ953" s="74" t="str">
        <x:v>0</x:v>
      </x:c>
      <x:c r="AK953" s="74" t="str">
        <x:v>0</x:v>
      </x:c>
      <x:c r="AL953" s="74" t="str">
        <x:v>0</x:v>
      </x:c>
      <x:c r="AM953" s="74" t="str">
        <x:v>0</x:v>
      </x:c>
      <x:c r="AN953" s="74" t="str">
        <x:v>0</x:v>
      </x:c>
      <x:c r="AO953" s="60" t="str">
        <x:v>2026</x:v>
      </x:c>
      <x:c r="AP953" s="76" t="str">
        <x:v>ICP fit; paid-demand need requires manual verification</x:v>
      </x:c>
      <x:c r="AQ953" s="76" t="str">
        <x:v>no embedded homepage video detected</x:v>
      </x:c>
      <x:c r="AR953" s="76" t="str">
        <x:v>I was reviewing electrical companies in Charleston, South Carolina and Amped Electric, LLC looked like a strong fit for a creative test.</x:v>
      </x:c>
      <x:c r="AS953" s="76" t="str">
        <x:v>safety inspection problem/solution ad</x:v>
      </x:c>
      <x:c r="AT953" s="76" t="str">
        <x:v>Amped Electric, LLC ad concept</x:v>
      </x:c>
      <x:c r="AU953" s="76" t="str">
        <x:v>Hi Amped Electric, LLC — I was reviewing electrical companies in Charleston, South Carolina and Amped Electric, LLC looked like a strong fit for a creative test. I mapped a private 15-second safety inspection problem/solution ad for Amped Electric, LLC using only public brand context—not for publishing, just to show the angle. We build three client-approved video ad concepts in seven days, then turn the winners into fresh variations. No filming day required. Worth sending the private sample?</x:v>
      </x:c>
      <x:c r="AV953" s="76" t="str">
        <x:v>Quick follow-up: the sample angle is a safety inspection problem/solution ad. If it misses the mark, no problem—I won't keep chasing. Should I send it?</x:v>
      </x:c>
      <x:c r="AW953" s="76" t="str">
        <x:v>Hi Amped Electric, LLC, Ryan here. I was looking at Amped Electric, LLC's public marketing and noticed: icp fit; paid-demand need requires manual verification. I mapped one private safety inspection problem/solution ad as an example. Did I catch you with 30 seconds?</x:v>
      </x:c>
      <x:c r="AX953" s="60" t="str">
        <x:v>https://www.facebook.com/ads/library/?active_status=active&amp;ad_type=all&amp;country=US&amp;q=Amped%20Electric%2C%20LLC&amp;search_type=keyword_unordered</x:v>
      </x:c>
      <x:c r="AY953" s="60" t="str">
        <x:v>ok:200</x:v>
      </x:c>
      <x:c r="AZ953" s="60" t="n">
        <x:v>46232.722858796296</x:v>
      </x:c>
      <x:c r="BA953" s="60" t="str">
        <x:v>Google Maps home-services export</x:v>
      </x:c>
      <x:c r="BB953" s="60" t="str">
        <x:v>https://ampedelectricllp.com | https://maps.google.com/?cid=13215164550371017799&amp;g_mp=Cidnb29nbGUubWFwcy5wbGFjZXMudjEuUGxhY2VzLlNlYXJjaFRleHQQAhgEIAA</x:v>
      </x:c>
      <x:c r="BC953" s="60" t="str"/>
    </x:row>
    <x:row r="954" ht="18" customHeight="1">
      <x:c r="A954" s="70" t="str">
        <x:v>953</x:v>
      </x:c>
      <x:c r="B954" s="70" t="str">
        <x:v>D - Nurture</x:v>
      </x:c>
      <x:c r="C954" s="72" t="str">
        <x:v>41</x:v>
      </x:c>
      <x:c r="D954" s="60" t="str">
        <x:v>Terracore Sitework</x:v>
      </x:c>
      <x:c r="E954" s="60" t="str">
        <x:v>https://terracoresitework.com</x:v>
      </x:c>
      <x:c r="F954" s="60" t="str">
        <x:v>https://terracoresitework.com</x:v>
      </x:c>
      <x:c r="G954" s="60" t="str">
        <x:v>Greenville</x:v>
      </x:c>
      <x:c r="H954" s="60" t="str">
        <x:v>South Carolina</x:v>
      </x:c>
      <x:c r="I954" s="60" t="str">
        <x:v>Roofing</x:v>
      </x:c>
      <x:c r="J954" s="60" t="str">
        <x:v>Beck</x:v>
      </x:c>
      <x:c r="K954" s="60" t="str">
        <x:v>Coggeshall</x:v>
      </x:c>
      <x:c r="L954" s="60" t="str">
        <x:v>Co-Owner</x:v>
      </x:c>
      <x:c r="M954" s="60" t="str">
        <x:v>beck@terracoresitework.com</x:v>
      </x:c>
      <x:c r="N954" s="60" t="str">
        <x:v>Verified with BounceBan on 08 Jun 26 12:06</x:v>
      </x:c>
      <x:c r="O954" s="60" t="str">
        <x:v>+1 843 455 2404</x:v>
      </x:c>
      <x:c r="P954" s="60" t="str">
        <x:v>https://www.linkedin.com/in/beck-coggeshall-43b55a24</x:v>
      </x:c>
      <x:c r="Q954" s="60" t="str">
        <x:v>2-10</x:v>
      </x:c>
      <x:c r="R954" s="60" t="str">
        <x:v>0-99999</x:v>
      </x:c>
      <x:c r="S954" s="60" t="str"/>
      <x:c r="T954" s="74" t="str">
        <x:v>0</x:v>
      </x:c>
      <x:c r="U954" s="60" t="str"/>
      <x:c r="V954" s="74" t="str">
        <x:v>28</x:v>
      </x:c>
      <x:c r="W954" s="74" t="str">
        <x:v>3</x:v>
      </x:c>
      <x:c r="X954" s="74" t="str">
        <x:v>0</x:v>
      </x:c>
      <x:c r="Y954" s="74" t="str">
        <x:v>0</x:v>
      </x:c>
      <x:c r="Z954" s="74" t="str">
        <x:v>10</x:v>
      </x:c>
      <x:c r="AA954" s="74" t="str">
        <x:v>0</x:v>
      </x:c>
      <x:c r="AB954" s="74" t="str">
        <x:v>0</x:v>
      </x:c>
      <x:c r="AC954" s="74" t="str">
        <x:v>1</x:v>
      </x:c>
      <x:c r="AD954" s="74" t="str">
        <x:v>0</x:v>
      </x:c>
      <x:c r="AE954" s="74" t="str">
        <x:v>0</x:v>
      </x:c>
      <x:c r="AF954" s="74" t="str"/>
      <x:c r="AG954" s="74" t="str">
        <x:v>1</x:v>
      </x:c>
      <x:c r="AH954" s="74" t="str">
        <x:v>0</x:v>
      </x:c>
      <x:c r="AI954" s="74" t="str">
        <x:v>0</x:v>
      </x:c>
      <x:c r="AJ954" s="74" t="str">
        <x:v>0</x:v>
      </x:c>
      <x:c r="AK954" s="74" t="str">
        <x:v>0</x:v>
      </x:c>
      <x:c r="AL954" s="74" t="str">
        <x:v>1</x:v>
      </x:c>
      <x:c r="AM954" s="74" t="str">
        <x:v>1</x:v>
      </x:c>
      <x:c r="AN954" s="74" t="str">
        <x:v>0</x:v>
      </x:c>
      <x:c r="AO954" s="60" t="str">
        <x:v>2026</x:v>
      </x:c>
      <x:c r="AP954" s="76" t="str">
        <x:v>ICP fit; paid-demand need requires manual verification</x:v>
      </x:c>
      <x:c r="AQ954" s="76" t="str">
        <x:v>No strong homepage signal detected</x:v>
      </x:c>
      <x:c r="AR954" s="76" t="str">
        <x:v>I was reviewing roofing companies in Greenville, South Carolina and Terracore Sitework looked like a strong fit for a creative test.</x:v>
      </x:c>
      <x:c r="AS954" s="76" t="str">
        <x:v>storm-to-inspection before/after ad</x:v>
      </x:c>
      <x:c r="AT954" s="76" t="str">
        <x:v>Terracore Sitework ad concept</x:v>
      </x:c>
      <x:c r="AU954" s="76" t="str">
        <x:v>Hi Beck — I was reviewing roofing companies in Greenville, South Carolina and Terracore Sitework looked like a strong fit for a creative test. I mapped a private 15-second storm-to-inspection before/after ad for Terracore Sitework using only public brand context—not for publishing, just to show the angle. We build three client-approved video ad concepts in seven days, then turn the winners into fresh variations. No filming day required. Worth sending the private sample?</x:v>
      </x:c>
      <x:c r="AV954" s="76" t="str">
        <x:v>Quick follow-up: the sample angle is a storm-to-inspection before/after ad. If it misses the mark, no problem—I won't keep chasing. Should I send it?</x:v>
      </x:c>
      <x:c r="AW954" s="76" t="str">
        <x:v>Hi Beck, Ryan here. I was looking at Terracore Sitework's public marketing and noticed: icp fit; paid-demand need requires manual verification. I mapped one private storm-to-inspection before/after ad as an example. Did I catch you with 30 seconds?</x:v>
      </x:c>
      <x:c r="AX954" s="60" t="str">
        <x:v>https://www.facebook.com/ads/library/?active_status=active&amp;ad_type=all&amp;country=US&amp;q=Terracore%20Sitework&amp;search_type=keyword_unordered</x:v>
      </x:c>
      <x:c r="AY954" s="60" t="str">
        <x:v>ok:200</x:v>
      </x:c>
      <x:c r="AZ954" s="60" t="n">
        <x:v>46232.722858796296</x:v>
      </x:c>
      <x:c r="BA954" s="60" t="str">
        <x:v>AI Ark SC trades export</x:v>
      </x:c>
      <x:c r="BB954" s="60" t="str">
        <x:v>https://terracoresitework.com | https://www.linkedin.com/company/terracore-sitework</x:v>
      </x:c>
      <x:c r="BC954" s="60" t="str"/>
    </x:row>
    <x:row r="955" ht="18" customHeight="1">
      <x:c r="A955" s="70" t="str">
        <x:v>954</x:v>
      </x:c>
      <x:c r="B955" s="70" t="str">
        <x:v>D - Nurture</x:v>
      </x:c>
      <x:c r="C955" s="72" t="str">
        <x:v>41</x:v>
      </x:c>
      <x:c r="D955" s="60" t="str">
        <x:v>Savannah Hardscapes and Savannah Surfaces</x:v>
      </x:c>
      <x:c r="E955" s="60" t="str">
        <x:v>https://savannahhardscapes.com</x:v>
      </x:c>
      <x:c r="F955" s="60" t="str">
        <x:v>https://savannahhardscapes.com</x:v>
      </x:c>
      <x:c r="G955" s="60" t="str">
        <x:v>Bluffton</x:v>
      </x:c>
      <x:c r="H955" s="60" t="str">
        <x:v>South Carolina</x:v>
      </x:c>
      <x:c r="I955" s="60" t="str">
        <x:v>Landscaping &amp; Tree</x:v>
      </x:c>
      <x:c r="J955" s="60" t="str">
        <x:v>William</x:v>
      </x:c>
      <x:c r="K955" s="60" t="str">
        <x:v>Rhangos</x:v>
      </x:c>
      <x:c r="L955" s="60" t="str">
        <x:v>Co-Owner</x:v>
      </x:c>
      <x:c r="M955" s="60" t="str">
        <x:v>william@savannahhardscapes.com</x:v>
      </x:c>
      <x:c r="N955" s="60" t="str">
        <x:v>Verified with BounceBan on 08 Jun 26 12:06</x:v>
      </x:c>
      <x:c r="O955" s="60" t="str">
        <x:v>+1 912 233 3280, +1 843 290 9364</x:v>
      </x:c>
      <x:c r="P955" s="60" t="str">
        <x:v>https://www.linkedin.com/in/william-rhangos-1402981ab</x:v>
      </x:c>
      <x:c r="Q955" s="60" t="str">
        <x:v>11-50</x:v>
      </x:c>
      <x:c r="R955" s="60" t="str">
        <x:v>100000-499999</x:v>
      </x:c>
      <x:c r="S955" s="60" t="str"/>
      <x:c r="T955" s="74" t="str">
        <x:v>0</x:v>
      </x:c>
      <x:c r="U955" s="60" t="str"/>
      <x:c r="V955" s="74" t="str">
        <x:v>25</x:v>
      </x:c>
      <x:c r="W955" s="74" t="str">
        <x:v>3</x:v>
      </x:c>
      <x:c r="X955" s="74" t="str">
        <x:v>3</x:v>
      </x:c>
      <x:c r="Y955" s="74" t="str">
        <x:v>0</x:v>
      </x:c>
      <x:c r="Z955" s="74" t="str">
        <x:v>10</x:v>
      </x:c>
      <x:c r="AA955" s="74" t="str">
        <x:v>0</x:v>
      </x:c>
      <x:c r="AB955" s="74" t="str">
        <x:v>0</x:v>
      </x:c>
      <x:c r="AC955" s="74" t="str">
        <x:v>1</x:v>
      </x:c>
      <x:c r="AD955" s="74" t="str">
        <x:v>0</x:v>
      </x:c>
      <x:c r="AE955" s="74" t="str">
        <x:v>0</x:v>
      </x:c>
      <x:c r="AF955" s="74" t="str"/>
      <x:c r="AG955" s="74" t="str">
        <x:v>1</x:v>
      </x:c>
      <x:c r="AH955" s="74" t="str">
        <x:v>0</x:v>
      </x:c>
      <x:c r="AI955" s="74" t="str">
        <x:v>0</x:v>
      </x:c>
      <x:c r="AJ955" s="74" t="str">
        <x:v>0</x:v>
      </x:c>
      <x:c r="AK955" s="74" t="str">
        <x:v>0</x:v>
      </x:c>
      <x:c r="AL955" s="74" t="str">
        <x:v>1</x:v>
      </x:c>
      <x:c r="AM955" s="74" t="str">
        <x:v>1</x:v>
      </x:c>
      <x:c r="AN955" s="74" t="str">
        <x:v>0</x:v>
      </x:c>
      <x:c r="AO955" s="60" t="str">
        <x:v>2024</x:v>
      </x:c>
      <x:c r="AP955" s="76" t="str">
        <x:v>ICP fit; paid-demand need requires manual verification</x:v>
      </x:c>
      <x:c r="AQ955" s="76" t="str">
        <x:v>No strong homepage signal detected</x:v>
      </x:c>
      <x:c r="AR955" s="76" t="str">
        <x:v>I was reviewing landscaping &amp; tree companies in Bluffton, South Carolina and Savannah Hardscapes and Savannah Surfaces looked like a strong fit for a creative test.</x:v>
      </x:c>
      <x:c r="AS955" s="76" t="str">
        <x:v>property transformation ad</x:v>
      </x:c>
      <x:c r="AT955" s="76" t="str">
        <x:v>Savannah Hardscapes and Savannah Surfaces ad concept</x:v>
      </x:c>
      <x:c r="AU955" s="76" t="str">
        <x:v>Hi William — I was reviewing landscaping &amp; tree companies in Bluffton, South Carolina and Savannah Hardscapes and Savannah Surfaces looked like a strong fit for a creative test. I mapped a private 15-second property transformation ad for Savannah Hardscapes and Savannah Surfaces using only public brand context—not for publishing, just to show the angle. We build three client-approved video ad concepts in seven days, then turn the winners into fresh variations. No filming day required. Worth sending the private sample?</x:v>
      </x:c>
      <x:c r="AV955" s="76" t="str">
        <x:v>Quick follow-up: the sample angle is a property transformation ad. If it misses the mark, no problem—I won't keep chasing. Should I send it?</x:v>
      </x:c>
      <x:c r="AW955" s="76" t="str">
        <x:v>Hi William, Ryan here. I was looking at Savannah Hardscapes and Savannah Surfaces's public marketing and noticed: icp fit; paid-demand need requires manual verification. I mapped one private property transformation ad as an example. Did I catch you with 30 seconds?</x:v>
      </x:c>
      <x:c r="AX955" s="60" t="str">
        <x:v>https://www.facebook.com/ads/library/?active_status=active&amp;ad_type=all&amp;country=US&amp;q=Savannah%20Hardscapes%20and%20Savannah%20Surfaces&amp;search_type=keyword_unordered</x:v>
      </x:c>
      <x:c r="AY955" s="60" t="str">
        <x:v>ok:200</x:v>
      </x:c>
      <x:c r="AZ955" s="60" t="n">
        <x:v>46232.722858796296</x:v>
      </x:c>
      <x:c r="BA955" s="60" t="str">
        <x:v>AI Ark SC trades export</x:v>
      </x:c>
      <x:c r="BB955" s="60" t="str">
        <x:v>https://savannahhardscapes.com | https://www.linkedin.com/company/reve-surfaces</x:v>
      </x:c>
      <x:c r="BC955" s="60" t="str"/>
    </x:row>
    <x:row r="956" ht="18" customHeight="1">
      <x:c r="A956" s="70" t="str">
        <x:v>955</x:v>
      </x:c>
      <x:c r="B956" s="70" t="str">
        <x:v>D - Nurture</x:v>
      </x:c>
      <x:c r="C956" s="72" t="str">
        <x:v>41</x:v>
      </x:c>
      <x:c r="D956" s="60" t="str">
        <x:v>Metal Works</x:v>
      </x:c>
      <x:c r="E956" s="60" t="str">
        <x:v>https://mtlwks.com</x:v>
      </x:c>
      <x:c r="F956" s="60" t="str">
        <x:v>https://mtlwks.com</x:v>
      </x:c>
      <x:c r="G956" s="60" t="str">
        <x:v>Blackstock</x:v>
      </x:c>
      <x:c r="H956" s="60" t="str">
        <x:v>South Carolina</x:v>
      </x:c>
      <x:c r="I956" s="60" t="str">
        <x:v>General Contractor</x:v>
      </x:c>
      <x:c r="J956" s="60" t="str">
        <x:v>Mike Mott</x:v>
      </x:c>
      <x:c r="K956" s="60" t="str">
        <x:v>Mott</x:v>
      </x:c>
      <x:c r="L956" s="60" t="str">
        <x:v>Owner</x:v>
      </x:c>
      <x:c r="M956" s="60" t="str"/>
      <x:c r="N956" s="60" t="str"/>
      <x:c r="O956" s="60" t="str">
        <x:v>+1 619 755 8396</x:v>
      </x:c>
      <x:c r="P956" s="60" t="str">
        <x:v>https://www.linkedin.com/in/mike-mott-mott-a55043113</x:v>
      </x:c>
      <x:c r="Q956" s="60" t="str">
        <x:v>51-200</x:v>
      </x:c>
      <x:c r="R956" s="60" t="str">
        <x:v>10000000-24999999</x:v>
      </x:c>
      <x:c r="S956" s="60" t="str"/>
      <x:c r="T956" s="74" t="str">
        <x:v>0</x:v>
      </x:c>
      <x:c r="U956" s="60" t="str"/>
      <x:c r="V956" s="74" t="str">
        <x:v>27</x:v>
      </x:c>
      <x:c r="W956" s="74" t="str">
        <x:v>3</x:v>
      </x:c>
      <x:c r="X956" s="74" t="str">
        <x:v>6</x:v>
      </x:c>
      <x:c r="Y956" s="74" t="str">
        <x:v>0</x:v>
      </x:c>
      <x:c r="Z956" s="74" t="str">
        <x:v>5</x:v>
      </x:c>
      <x:c r="AA956" s="74" t="str">
        <x:v>0</x:v>
      </x:c>
      <x:c r="AB956" s="74" t="str">
        <x:v>0</x:v>
      </x:c>
      <x:c r="AC956" s="74" t="str">
        <x:v>1</x:v>
      </x:c>
      <x:c r="AD956" s="74" t="str">
        <x:v>0</x:v>
      </x:c>
      <x:c r="AE956" s="74" t="str">
        <x:v>0</x:v>
      </x:c>
      <x:c r="AF956" s="74" t="str"/>
      <x:c r="AG956" s="74" t="str">
        <x:v>0</x:v>
      </x:c>
      <x:c r="AH956" s="74" t="str">
        <x:v>0</x:v>
      </x:c>
      <x:c r="AI956" s="74" t="str">
        <x:v>0</x:v>
      </x:c>
      <x:c r="AJ956" s="74" t="str">
        <x:v>0</x:v>
      </x:c>
      <x:c r="AK956" s="74" t="str">
        <x:v>0</x:v>
      </x:c>
      <x:c r="AL956" s="74" t="str">
        <x:v>1</x:v>
      </x:c>
      <x:c r="AM956" s="74" t="str">
        <x:v>1</x:v>
      </x:c>
      <x:c r="AN956" s="74" t="str">
        <x:v>1</x:v>
      </x:c>
      <x:c r="AO956" s="60" t="str">
        <x:v>2026</x:v>
      </x:c>
      <x:c r="AP956" s="76" t="str">
        <x:v>ICP fit; paid-demand need requires manual verification</x:v>
      </x:c>
      <x:c r="AQ956" s="76" t="str">
        <x:v>no embedded homepage video detected</x:v>
      </x:c>
      <x:c r="AR956" s="76" t="str">
        <x:v>I was reviewing general contractor companies in Blackstock, South Carolina and Metal Works looked like a strong fit for a creative test.</x:v>
      </x:c>
      <x:c r="AS956" s="76" t="str">
        <x:v>project walkthrough with proof milestones</x:v>
      </x:c>
      <x:c r="AT956" s="76" t="str">
        <x:v>Metal Works ad concept</x:v>
      </x:c>
      <x:c r="AU956" s="76" t="str">
        <x:v>Hi Mike Mott — I was reviewing general contractor companies in Blackstock, South Carolina and Metal Works looked like a strong fit for a creative test. I mapped a private 15-second project walkthrough with proof milestones for Metal Works using only public brand context—not for publishing, just to show the angle. We build three client-approved video ad concepts in seven days, then turn the winners into fresh variations. No filming day required. Worth sending the private sample?</x:v>
      </x:c>
      <x:c r="AV956" s="76" t="str">
        <x:v>Quick follow-up: the sample angle is a project walkthrough with proof milestones. If it misses the mark, no problem—I won't keep chasing. Should I send it?</x:v>
      </x:c>
      <x:c r="AW956" s="76" t="str">
        <x:v>Hi Mike Mott, Ryan here. I was looking at Metal Works's public marketing and noticed: icp fit; paid-demand need requires manual verification. I mapped one private project walkthrough with proof milestones as an example. Did I catch you with 30 seconds?</x:v>
      </x:c>
      <x:c r="AX956" s="60" t="str">
        <x:v>https://www.facebook.com/ads/library/?active_status=active&amp;ad_type=all&amp;country=US&amp;q=Metal%20Works&amp;search_type=keyword_unordered</x:v>
      </x:c>
      <x:c r="AY956" s="60" t="str">
        <x:v>ok:200</x:v>
      </x:c>
      <x:c r="AZ956" s="60" t="n">
        <x:v>46232.722858796296</x:v>
      </x:c>
      <x:c r="BA956" s="60" t="str">
        <x:v>AI Ark SC trades export</x:v>
      </x:c>
      <x:c r="BB956" s="60" t="str">
        <x:v>https://mtlwks.com | https://www.linkedin.com/company/metal-works</x:v>
      </x:c>
      <x:c r="BC956" s="60" t="str"/>
    </x:row>
    <x:row r="957" ht="18" customHeight="1">
      <x:c r="A957" s="70" t="str">
        <x:v>956</x:v>
      </x:c>
      <x:c r="B957" s="70" t="str">
        <x:v>D - Nurture</x:v>
      </x:c>
      <x:c r="C957" s="72" t="str">
        <x:v>41</x:v>
      </x:c>
      <x:c r="D957" s="60" t="str">
        <x:v>Airwise Heating &amp; Air Cond</x:v>
      </x:c>
      <x:c r="E957" s="60" t="str">
        <x:v>https://airwiseair.com</x:v>
      </x:c>
      <x:c r="F957" s="60" t="str">
        <x:v>https://airwiseair.com</x:v>
      </x:c>
      <x:c r="G957" s="60" t="str">
        <x:v>Rock Hill</x:v>
      </x:c>
      <x:c r="H957" s="60" t="str">
        <x:v>South Carolina</x:v>
      </x:c>
      <x:c r="I957" s="60" t="str">
        <x:v>HVAC</x:v>
      </x:c>
      <x:c r="J957" s="60" t="str">
        <x:v>Gary</x:v>
      </x:c>
      <x:c r="K957" s="60" t="str">
        <x:v>Brink</x:v>
      </x:c>
      <x:c r="L957" s="60" t="str">
        <x:v>Business Owner</x:v>
      </x:c>
      <x:c r="M957" s="60" t="str"/>
      <x:c r="N957" s="60" t="str"/>
      <x:c r="O957" s="60" t="str">
        <x:v>+1 224 355 9913</x:v>
      </x:c>
      <x:c r="P957" s="60" t="str">
        <x:v>https://www.linkedin.com/in/gary-brink-955b35173</x:v>
      </x:c>
      <x:c r="Q957" s="60" t="str">
        <x:v>2-10</x:v>
      </x:c>
      <x:c r="R957" s="60" t="str">
        <x:v>100000-499999</x:v>
      </x:c>
      <x:c r="S957" s="60" t="str"/>
      <x:c r="T957" s="74" t="str">
        <x:v>0</x:v>
      </x:c>
      <x:c r="U957" s="60" t="str"/>
      <x:c r="V957" s="74" t="str">
        <x:v>27</x:v>
      </x:c>
      <x:c r="W957" s="74" t="str">
        <x:v>3</x:v>
      </x:c>
      <x:c r="X957" s="74" t="str">
        <x:v>6</x:v>
      </x:c>
      <x:c r="Y957" s="74" t="str">
        <x:v>0</x:v>
      </x:c>
      <x:c r="Z957" s="74" t="str">
        <x:v>5</x:v>
      </x:c>
      <x:c r="AA957" s="74" t="str">
        <x:v>0</x:v>
      </x:c>
      <x:c r="AB957" s="74" t="str">
        <x:v>0</x:v>
      </x:c>
      <x:c r="AC957" s="74" t="str">
        <x:v>1</x:v>
      </x:c>
      <x:c r="AD957" s="74" t="str">
        <x:v>0</x:v>
      </x:c>
      <x:c r="AE957" s="74" t="str">
        <x:v>0</x:v>
      </x:c>
      <x:c r="AF957" s="74" t="str"/>
      <x:c r="AG957" s="74" t="str">
        <x:v>0</x:v>
      </x:c>
      <x:c r="AH957" s="74" t="str">
        <x:v>0</x:v>
      </x:c>
      <x:c r="AI957" s="74" t="str">
        <x:v>0</x:v>
      </x:c>
      <x:c r="AJ957" s="74" t="str">
        <x:v>0</x:v>
      </x:c>
      <x:c r="AK957" s="74" t="str">
        <x:v>0</x:v>
      </x:c>
      <x:c r="AL957" s="74" t="str">
        <x:v>1</x:v>
      </x:c>
      <x:c r="AM957" s="74" t="str">
        <x:v>1</x:v>
      </x:c>
      <x:c r="AN957" s="74" t="str">
        <x:v>0</x:v>
      </x:c>
      <x:c r="AO957" s="60" t="str">
        <x:v>0</x:v>
      </x:c>
      <x:c r="AP957" s="76" t="str">
        <x:v>ICP fit; paid-demand need requires manual verification</x:v>
      </x:c>
      <x:c r="AQ957" s="76" t="str">
        <x:v>no embedded homepage video detected</x:v>
      </x:c>
      <x:c r="AR957" s="76" t="str">
        <x:v>I was reviewing hvac companies in Rock Hill, South Carolina and Airwise Heating &amp; Air Cond looked like a strong fit for a creative test.</x:v>
      </x:c>
      <x:c r="AS957" s="76" t="str">
        <x:v>no-cool-call to same-day comfort ad</x:v>
      </x:c>
      <x:c r="AT957" s="76" t="str">
        <x:v>Airwise Heating &amp; Air Cond ad concept</x:v>
      </x:c>
      <x:c r="AU957" s="76" t="str">
        <x:v>Hi Gary — I was reviewing hvac companies in Rock Hill, South Carolina and Airwise Heating &amp; Air Cond looked like a strong fit for a creative test. I mapped a private 15-second no-cool-call to same-day comfort ad for Airwise Heating &amp; Air Cond using only public brand context—not for publishing, just to show the angle. We build three client-approved video ad concepts in seven days, then turn the winners into fresh variations. No filming day required. Worth sending the private sample?</x:v>
      </x:c>
      <x:c r="AV957" s="76" t="str">
        <x:v>Quick follow-up: the sample angle is a no-cool-call to same-day comfort ad. If it misses the mark, no problem—I won't keep chasing. Should I send it?</x:v>
      </x:c>
      <x:c r="AW957" s="76" t="str">
        <x:v>Hi Gary, Ryan here. I was looking at Airwise Heating &amp; Air Cond's public marketing and noticed: icp fit; paid-demand need requires manual verification. I mapped one private no-cool-call to same-day comfort ad as an example. Did I catch you with 30 seconds?</x:v>
      </x:c>
      <x:c r="AX957" s="60" t="str">
        <x:v>https://www.facebook.com/ads/library/?active_status=active&amp;ad_type=all&amp;country=US&amp;q=Airwise%20Heating%20%26%20Air%20Cond&amp;search_type=keyword_unordered</x:v>
      </x:c>
      <x:c r="AY957" s="60" t="str">
        <x:v>ok:200</x:v>
      </x:c>
      <x:c r="AZ957" s="60" t="n">
        <x:v>46232.722858796296</x:v>
      </x:c>
      <x:c r="BA957" s="60" t="str">
        <x:v>AI Ark SC trades export</x:v>
      </x:c>
      <x:c r="BB957" s="60" t="str">
        <x:v>https://airwiseair.com | https://www.linkedin.com/company/airwise-heating-&amp;-air-cond</x:v>
      </x:c>
      <x:c r="BC957" s="60" t="str"/>
    </x:row>
    <x:row r="958" ht="18" customHeight="1">
      <x:c r="A958" s="70" t="str">
        <x:v>957</x:v>
      </x:c>
      <x:c r="B958" s="70" t="str">
        <x:v>D - Nurture</x:v>
      </x:c>
      <x:c r="C958" s="72" t="str">
        <x:v>41</x:v>
      </x:c>
      <x:c r="D958" s="60" t="str">
        <x:v>Breen Construction Services</x:v>
      </x:c>
      <x:c r="E958" s="60" t="str">
        <x:v>https://breenconstructionservices.com</x:v>
      </x:c>
      <x:c r="F958" s="60" t="str">
        <x:v>https://www.breenconstructionservices.com/</x:v>
      </x:c>
      <x:c r="G958" s="60" t="str">
        <x:v>Ridgeland</x:v>
      </x:c>
      <x:c r="H958" s="60" t="str">
        <x:v>South Carolina</x:v>
      </x:c>
      <x:c r="I958" s="60" t="str">
        <x:v>General Contractor</x:v>
      </x:c>
      <x:c r="J958" s="60" t="str">
        <x:v>roderick</x:v>
      </x:c>
      <x:c r="K958" s="60" t="str">
        <x:v>breen</x:v>
      </x:c>
      <x:c r="L958" s="60" t="str">
        <x:v>Owner</x:v>
      </x:c>
      <x:c r="M958" s="60" t="str"/>
      <x:c r="N958" s="60" t="str"/>
      <x:c r="O958" s="60" t="str"/>
      <x:c r="P958" s="60" t="str">
        <x:v>https://www.linkedin.com/in/roderick-breen-6521671b8</x:v>
      </x:c>
      <x:c r="Q958" s="60" t="str">
        <x:v>11-50</x:v>
      </x:c>
      <x:c r="R958" s="60" t="str">
        <x:v>100000-499999</x:v>
      </x:c>
      <x:c r="S958" s="60" t="str"/>
      <x:c r="T958" s="74" t="str">
        <x:v>0</x:v>
      </x:c>
      <x:c r="U958" s="60" t="str"/>
      <x:c r="V958" s="74" t="str">
        <x:v>23</x:v>
      </x:c>
      <x:c r="W958" s="74" t="str">
        <x:v>3</x:v>
      </x:c>
      <x:c r="X958" s="74" t="str">
        <x:v>13</x:v>
      </x:c>
      <x:c r="Y958" s="74" t="str">
        <x:v>0</x:v>
      </x:c>
      <x:c r="Z958" s="74" t="str">
        <x:v>2</x:v>
      </x:c>
      <x:c r="AA958" s="74" t="str">
        <x:v>0</x:v>
      </x:c>
      <x:c r="AB958" s="74" t="str">
        <x:v>0</x:v>
      </x:c>
      <x:c r="AC958" s="74" t="str">
        <x:v>1</x:v>
      </x:c>
      <x:c r="AD958" s="74" t="str">
        <x:v>0</x:v>
      </x:c>
      <x:c r="AE958" s="74" t="str">
        <x:v>0</x:v>
      </x:c>
      <x:c r="AF958" s="74" t="str"/>
      <x:c r="AG958" s="74" t="str">
        <x:v>0</x:v>
      </x:c>
      <x:c r="AH958" s="74" t="str">
        <x:v>0</x:v>
      </x:c>
      <x:c r="AI958" s="74" t="str">
        <x:v>0</x:v>
      </x:c>
      <x:c r="AJ958" s="74" t="str">
        <x:v>0</x:v>
      </x:c>
      <x:c r="AK958" s="74" t="str">
        <x:v>0</x:v>
      </x:c>
      <x:c r="AL958" s="74" t="str">
        <x:v>0</x:v>
      </x:c>
      <x:c r="AM958" s="74" t="str">
        <x:v>1</x:v>
      </x:c>
      <x:c r="AN958" s="74" t="str">
        <x:v>0</x:v>
      </x:c>
      <x:c r="AO958" s="60" t="str">
        <x:v>2022</x:v>
      </x:c>
      <x:c r="AP958" s="76" t="str">
        <x:v>ICP fit; paid-demand need requires manual verification</x:v>
      </x:c>
      <x:c r="AQ958" s="76" t="str">
        <x:v>no embedded homepage video detected</x:v>
      </x:c>
      <x:c r="AR958" s="76" t="str">
        <x:v>I was reviewing general contractor companies in Ridgeland, South Carolina and Breen Construction Services looked like a strong fit for a creative test.</x:v>
      </x:c>
      <x:c r="AS958" s="76" t="str">
        <x:v>project walkthrough with proof milestones</x:v>
      </x:c>
      <x:c r="AT958" s="76" t="str">
        <x:v>Breen Construction Services ad concept</x:v>
      </x:c>
      <x:c r="AU958" s="76" t="str">
        <x:v>Hi roderick — I was reviewing general contractor companies in Ridgeland, South Carolina and Breen Construction Services looked like a strong fit for a creative test. I mapped a private 15-second project walkthrough with proof milestones for Breen Construction Services using only public brand context—not for publishing, just to show the angle. We build three client-approved video ad concepts in seven days, then turn the winners into fresh variations. No filming day required. Worth sending the private sample?</x:v>
      </x:c>
      <x:c r="AV958" s="76" t="str">
        <x:v>Quick follow-up: the sample angle is a project walkthrough with proof milestones. If it misses the mark, no problem—I won't keep chasing. Should I send it?</x:v>
      </x:c>
      <x:c r="AW958" s="76" t="str">
        <x:v>Hi roderick, Ryan here. I was looking at Breen Construction Services's public marketing and noticed: icp fit; paid-demand need requires manual verification. I mapped one private project walkthrough with proof milestones as an example. Did I catch you with 30 seconds?</x:v>
      </x:c>
      <x:c r="AX958" s="60" t="str">
        <x:v>https://www.facebook.com/ads/library/?active_status=active&amp;ad_type=all&amp;country=US&amp;q=Breen%20Construction%20Services&amp;search_type=keyword_unordered</x:v>
      </x:c>
      <x:c r="AY958" s="60" t="str">
        <x:v>ok:200</x:v>
      </x:c>
      <x:c r="AZ958" s="60" t="n">
        <x:v>46232.722858796296</x:v>
      </x:c>
      <x:c r="BA958" s="60" t="str">
        <x:v>AI Ark SC trades export</x:v>
      </x:c>
      <x:c r="BB958" s="60" t="str">
        <x:v>https://breenconstructionservices.com | https://www.linkedin.com/company/breen-construction-services</x:v>
      </x:c>
      <x:c r="BC958" s="60" t="str"/>
    </x:row>
    <x:row r="959" ht="18" customHeight="1">
      <x:c r="A959" s="70" t="str">
        <x:v>958</x:v>
      </x:c>
      <x:c r="B959" s="70" t="str">
        <x:v>D - Nurture</x:v>
      </x:c>
      <x:c r="C959" s="72" t="str">
        <x:v>41</x:v>
      </x:c>
      <x:c r="D959" s="60" t="str">
        <x:v>Ace Handyman Services</x:v>
      </x:c>
      <x:c r="E959" s="60" t="str">
        <x:v>https://acehandymanfranchising.com</x:v>
      </x:c>
      <x:c r="F959" s="60" t="str">
        <x:v>https://acehandymanfranchising.com</x:v>
      </x:c>
      <x:c r="G959" s="60" t="str">
        <x:v>Greenville</x:v>
      </x:c>
      <x:c r="H959" s="60" t="str">
        <x:v>South Carolina</x:v>
      </x:c>
      <x:c r="I959" s="60" t="str">
        <x:v>Remodeling</x:v>
      </x:c>
      <x:c r="J959" s="60" t="str">
        <x:v>Douglas</x:v>
      </x:c>
      <x:c r="K959" s="60" t="str">
        <x:v>Ellington</x:v>
      </x:c>
      <x:c r="L959" s="60" t="str">
        <x:v>Business Owner</x:v>
      </x:c>
      <x:c r="M959" s="60" t="str"/>
      <x:c r="N959" s="60" t="str"/>
      <x:c r="O959" s="60" t="str"/>
      <x:c r="P959" s="60" t="str">
        <x:v>https://www.linkedin.com/in/douglas-ellington</x:v>
      </x:c>
      <x:c r="Q959" s="60" t="str">
        <x:v>51-200</x:v>
      </x:c>
      <x:c r="R959" s="60" t="str">
        <x:v>10000000-24999999</x:v>
      </x:c>
      <x:c r="S959" s="60" t="str"/>
      <x:c r="T959" s="74" t="str">
        <x:v>0</x:v>
      </x:c>
      <x:c r="U959" s="60" t="str"/>
      <x:c r="V959" s="74" t="str">
        <x:v>30</x:v>
      </x:c>
      <x:c r="W959" s="74" t="str">
        <x:v>3</x:v>
      </x:c>
      <x:c r="X959" s="74" t="str">
        <x:v>6</x:v>
      </x:c>
      <x:c r="Y959" s="74" t="str">
        <x:v>0</x:v>
      </x:c>
      <x:c r="Z959" s="74" t="str">
        <x:v>2</x:v>
      </x:c>
      <x:c r="AA959" s="74" t="str">
        <x:v>0</x:v>
      </x:c>
      <x:c r="AB959" s="74" t="str">
        <x:v>0</x:v>
      </x:c>
      <x:c r="AC959" s="74" t="str">
        <x:v>1</x:v>
      </x:c>
      <x:c r="AD959" s="74" t="str">
        <x:v>0</x:v>
      </x:c>
      <x:c r="AE959" s="74" t="str">
        <x:v>0</x:v>
      </x:c>
      <x:c r="AF959" s="74" t="str"/>
      <x:c r="AG959" s="74" t="str">
        <x:v>0</x:v>
      </x:c>
      <x:c r="AH959" s="74" t="str">
        <x:v>0</x:v>
      </x:c>
      <x:c r="AI959" s="74" t="str">
        <x:v>0</x:v>
      </x:c>
      <x:c r="AJ959" s="74" t="str">
        <x:v>0</x:v>
      </x:c>
      <x:c r="AK959" s="74" t="str">
        <x:v>0</x:v>
      </x:c>
      <x:c r="AL959" s="74" t="str">
        <x:v>1</x:v>
      </x:c>
      <x:c r="AM959" s="74" t="str">
        <x:v>1</x:v>
      </x:c>
      <x:c r="AN959" s="74" t="str">
        <x:v>1</x:v>
      </x:c>
      <x:c r="AO959" s="60" t="str">
        <x:v>2026</x:v>
      </x:c>
      <x:c r="AP959" s="76" t="str">
        <x:v>ICP fit; paid-demand need requires manual verification</x:v>
      </x:c>
      <x:c r="AQ959" s="76" t="str">
        <x:v>no embedded homepage video detected</x:v>
      </x:c>
      <x:c r="AR959" s="76" t="str">
        <x:v>I was reviewing remodeling companies in Greenville, South Carolina and Ace Handyman Services looked like a strong fit for a creative test.</x:v>
      </x:c>
      <x:c r="AS959" s="76" t="str">
        <x:v>project reveal with budget-and-timeline proof</x:v>
      </x:c>
      <x:c r="AT959" s="76" t="str">
        <x:v>Ace Handyman Services ad concept</x:v>
      </x:c>
      <x:c r="AU959" s="76" t="str">
        <x:v>Hi Douglas — I was reviewing remodeling companies in Greenville, South Carolina and Ace Handyman Services looked like a strong fit for a creative test. I mapped a private 15-second project reveal with budget-and-timeline proof for Ace Handyman Services using only public brand context—not for publishing, just to show the angle. We build three client-approved video ad concepts in seven days, then turn the winners into fresh variations. No filming day required. Worth sending the private sample?</x:v>
      </x:c>
      <x:c r="AV959" s="76" t="str">
        <x:v>Quick follow-up: the sample angle is a project reveal with budget-and-timeline proof. If it misses the mark, no problem—I won't keep chasing. Should I send it?</x:v>
      </x:c>
      <x:c r="AW959" s="76" t="str">
        <x:v>Hi Douglas, Ryan here. I was looking at Ace Handyman Services's public marketing and noticed: icp fit; paid-demand need requires manual verification. I mapped one private project reveal with budget-and-timeline proof as an example. Did I catch you with 30 seconds?</x:v>
      </x:c>
      <x:c r="AX959" s="60" t="str">
        <x:v>https://www.facebook.com/ads/library/?active_status=active&amp;ad_type=all&amp;country=US&amp;q=Ace%20Handyman%20Services&amp;search_type=keyword_unordered</x:v>
      </x:c>
      <x:c r="AY959" s="60" t="str">
        <x:v>ok:200</x:v>
      </x:c>
      <x:c r="AZ959" s="60" t="n">
        <x:v>46232.722858796296</x:v>
      </x:c>
      <x:c r="BA959" s="60" t="str">
        <x:v>AI Ark SC trades export</x:v>
      </x:c>
      <x:c r="BB959" s="60" t="str">
        <x:v>https://acehandymanfranchising.com | https://www.linkedin.com/company/ace-handyman-services-inc</x:v>
      </x:c>
      <x:c r="BC959" s="60" t="str"/>
    </x:row>
    <x:row r="960" ht="18" customHeight="1">
      <x:c r="A960" s="70" t="str">
        <x:v>959</x:v>
      </x:c>
      <x:c r="B960" s="70" t="str">
        <x:v>D - Nurture</x:v>
      </x:c>
      <x:c r="C960" s="72" t="str">
        <x:v>41</x:v>
      </x:c>
      <x:c r="D960" s="60" t="str">
        <x:v>Quality Air Heating &amp; Air Conditioning</x:v>
      </x:c>
      <x:c r="E960" s="60" t="str">
        <x:v>https://qualityaircsra.com</x:v>
      </x:c>
      <x:c r="F960" s="60" t="str">
        <x:v>https://www.qualityaircsra.com/</x:v>
      </x:c>
      <x:c r="G960" s="60" t="str">
        <x:v>Aiken</x:v>
      </x:c>
      <x:c r="H960" s="60" t="str">
        <x:v>South Carolina</x:v>
      </x:c>
      <x:c r="I960" s="60" t="str">
        <x:v>HVAC</x:v>
      </x:c>
      <x:c r="J960" s="60" t="str">
        <x:v>Quality Air Heating &amp; Air Conditioning</x:v>
      </x:c>
      <x:c r="K960" s="60" t="str"/>
      <x:c r="L960" s="60" t="str">
        <x:v>Owner / decision maker to verify</x:v>
      </x:c>
      <x:c r="M960" s="60" t="str"/>
      <x:c r="N960" s="60" t="str"/>
      <x:c r="O960" s="60" t="str">
        <x:v>(803) 380-9324</x:v>
      </x:c>
      <x:c r="P960" s="60" t="str"/>
      <x:c r="Q960" s="60" t="str"/>
      <x:c r="R960" s="60" t="str"/>
      <x:c r="S960" s="60" t="str">
        <x:v>4.7</x:v>
      </x:c>
      <x:c r="T960" s="74" t="str">
        <x:v>49</x:v>
      </x:c>
      <x:c r="U960" s="60" t="str"/>
      <x:c r="V960" s="74" t="str">
        <x:v>26</x:v>
      </x:c>
      <x:c r="W960" s="74" t="str">
        <x:v>0</x:v>
      </x:c>
      <x:c r="X960" s="74" t="str">
        <x:v>0</x:v>
      </x:c>
      <x:c r="Y960" s="74" t="str">
        <x:v>10</x:v>
      </x:c>
      <x:c r="Z960" s="74" t="str">
        <x:v>5</x:v>
      </x:c>
      <x:c r="AA960" s="74" t="str">
        <x:v>0</x:v>
      </x:c>
      <x:c r="AB960" s="74" t="str">
        <x:v>0</x:v>
      </x:c>
      <x:c r="AC960" s="74" t="str">
        <x:v>0</x:v>
      </x:c>
      <x:c r="AD960" s="74" t="str">
        <x:v>0</x:v>
      </x:c>
      <x:c r="AE960" s="74" t="str">
        <x:v>0</x:v>
      </x:c>
      <x:c r="AF960" s="74" t="str"/>
      <x:c r="AG960" s="74" t="str">
        <x:v>1</x:v>
      </x:c>
      <x:c r="AH960" s="74" t="str">
        <x:v>1</x:v>
      </x:c>
      <x:c r="AI960" s="74" t="str">
        <x:v>0</x:v>
      </x:c>
      <x:c r="AJ960" s="74" t="str">
        <x:v>0</x:v>
      </x:c>
      <x:c r="AK960" s="74" t="str">
        <x:v>1</x:v>
      </x:c>
      <x:c r="AL960" s="74" t="str">
        <x:v>0</x:v>
      </x:c>
      <x:c r="AM960" s="74" t="str">
        <x:v>1</x:v>
      </x:c>
      <x:c r="AN960" s="74" t="str">
        <x:v>1</x:v>
      </x:c>
      <x:c r="AO960" s="60" t="str">
        <x:v>0</x:v>
      </x:c>
      <x:c r="AP960" s="76" t="str">
        <x:v>ICP fit; paid-demand need requires manual verification</x:v>
      </x:c>
      <x:c r="AQ960" s="76" t="str">
        <x:v>project/gallery proof; visible service offer</x:v>
      </x:c>
      <x:c r="AR960" s="76" t="str">
        <x:v>I was reviewing hvac companies in Aiken, South Carolina and Quality Air Heating &amp; Air Conditioning looked like a strong fit for a creative test.</x:v>
      </x:c>
      <x:c r="AS960" s="76" t="str">
        <x:v>no-cool-call to same-day comfort ad</x:v>
      </x:c>
      <x:c r="AT960" s="76" t="str">
        <x:v>Quality Air Heating &amp; Air Conditioning ad concept</x:v>
      </x:c>
      <x:c r="AU960" s="76" t="str">
        <x:v>Hi Quality Air Heating &amp; Air Conditioning — I was reviewing hvac companies in Aiken, South Carolina and Quality Air Heating &amp; Air Conditioning looked like a strong fit for a creative test. I mapped a private 15-second no-cool-call to same-day comfort ad for Quality Air Heating &amp; Air Conditioning using only public brand context—not for publishing, just to show the angle. We build three client-approved video ad concepts in seven days, then turn the winners into fresh variations. No filming day required. Worth sending the private sample?</x:v>
      </x:c>
      <x:c r="AV960" s="76" t="str">
        <x:v>Quick follow-up: the sample angle is a no-cool-call to same-day comfort ad. If it misses the mark, no problem—I won't keep chasing. Should I send it?</x:v>
      </x:c>
      <x:c r="AW960" s="76" t="str">
        <x:v>Hi Quality Air Heating &amp; Air Conditioning, Ryan here. I was looking at Quality Air Heating &amp; Air Conditioning's public marketing and noticed: icp fit; paid-demand need requires manual verification. I mapped one private no-cool-call to same-day comfort ad as an example. Did I catch you with 30 seconds?</x:v>
      </x:c>
      <x:c r="AX960" s="60" t="str">
        <x:v>https://www.facebook.com/ads/library/?active_status=active&amp;ad_type=all&amp;country=US&amp;q=Quality%20Air%20Heating%20%26%20Air%20Conditioning&amp;search_type=keyword_unordered</x:v>
      </x:c>
      <x:c r="AY960" s="60" t="str">
        <x:v>ok:200</x:v>
      </x:c>
      <x:c r="AZ960" s="60" t="n">
        <x:v>46232.722858796296</x:v>
      </x:c>
      <x:c r="BA960" s="60" t="str">
        <x:v>Google Maps home-services export</x:v>
      </x:c>
      <x:c r="BB960" s="60" t="str">
        <x:v>https://maps.google.com/?cid=9179257980457536635&amp;g_mp=Cidnb29nbGUubWFwcy5wbGFjZXMudjEuUGxhY2VzLlNlYXJjaFRleHQQAhgEIAA | https://qualityaircsra.com</x:v>
      </x:c>
      <x:c r="BC960" s="60" t="str"/>
    </x:row>
    <x:row r="961" ht="18" customHeight="1">
      <x:c r="A961" s="70" t="str">
        <x:v>960</x:v>
      </x:c>
      <x:c r="B961" s="70" t="str">
        <x:v>D - Nurture</x:v>
      </x:c>
      <x:c r="C961" s="72" t="str">
        <x:v>41</x:v>
      </x:c>
      <x:c r="D961" s="60" t="str">
        <x:v>Lohr Plumbing</x:v>
      </x:c>
      <x:c r="E961" s="60" t="str">
        <x:v>https://lohrplumbing.com</x:v>
      </x:c>
      <x:c r="F961" s="60" t="str">
        <x:v>https://www.lohrplumbing.com/</x:v>
      </x:c>
      <x:c r="G961" s="60" t="str">
        <x:v>Beaufort</x:v>
      </x:c>
      <x:c r="H961" s="60" t="str">
        <x:v>South Carolina</x:v>
      </x:c>
      <x:c r="I961" s="60" t="str">
        <x:v>Plumbing</x:v>
      </x:c>
      <x:c r="J961" s="60" t="str">
        <x:v>Lohr Plumbing</x:v>
      </x:c>
      <x:c r="K961" s="60" t="str"/>
      <x:c r="L961" s="60" t="str">
        <x:v>Owner / decision maker to verify</x:v>
      </x:c>
      <x:c r="M961" s="60" t="str"/>
      <x:c r="N961" s="60" t="str"/>
      <x:c r="O961" s="60" t="str">
        <x:v>(843) 522-8600</x:v>
      </x:c>
      <x:c r="P961" s="60" t="str"/>
      <x:c r="Q961" s="60" t="str"/>
      <x:c r="R961" s="60" t="str"/>
      <x:c r="S961" s="60" t="str">
        <x:v>4.7</x:v>
      </x:c>
      <x:c r="T961" s="74" t="str">
        <x:v>52</x:v>
      </x:c>
      <x:c r="U961" s="60" t="str"/>
      <x:c r="V961" s="74" t="str">
        <x:v>22</x:v>
      </x:c>
      <x:c r="W961" s="74" t="str">
        <x:v>0</x:v>
      </x:c>
      <x:c r="X961" s="74" t="str">
        <x:v>4</x:v>
      </x:c>
      <x:c r="Y961" s="74" t="str">
        <x:v>10</x:v>
      </x:c>
      <x:c r="Z961" s="74" t="str">
        <x:v>5</x:v>
      </x:c>
      <x:c r="AA961" s="74" t="str">
        <x:v>0</x:v>
      </x:c>
      <x:c r="AB961" s="74" t="str">
        <x:v>0</x:v>
      </x:c>
      <x:c r="AC961" s="74" t="str">
        <x:v>0</x:v>
      </x:c>
      <x:c r="AD961" s="74" t="str">
        <x:v>0</x:v>
      </x:c>
      <x:c r="AE961" s="74" t="str">
        <x:v>0</x:v>
      </x:c>
      <x:c r="AF961" s="74" t="str"/>
      <x:c r="AG961" s="74" t="str">
        <x:v>1</x:v>
      </x:c>
      <x:c r="AH961" s="74" t="str">
        <x:v>1</x:v>
      </x:c>
      <x:c r="AI961" s="74" t="str">
        <x:v>0</x:v>
      </x:c>
      <x:c r="AJ961" s="74" t="str">
        <x:v>0</x:v>
      </x:c>
      <x:c r="AK961" s="74" t="str">
        <x:v>1</x:v>
      </x:c>
      <x:c r="AL961" s="74" t="str">
        <x:v>0</x:v>
      </x:c>
      <x:c r="AM961" s="74" t="str">
        <x:v>0</x:v>
      </x:c>
      <x:c r="AN961" s="74" t="str">
        <x:v>0</x:v>
      </x:c>
      <x:c r="AO961" s="60" t="str">
        <x:v>2025</x:v>
      </x:c>
      <x:c r="AP961" s="76" t="str">
        <x:v>ICP fit; paid-demand need requires manual verification</x:v>
      </x:c>
      <x:c r="AQ961" s="76" t="str">
        <x:v>project/gallery proof; visible service offer</x:v>
      </x:c>
      <x:c r="AR961" s="76" t="str">
        <x:v>I was reviewing plumbing companies in Beaufort, South Carolina and Lohr Plumbing looked like a strong fit for a creative test.</x:v>
      </x:c>
      <x:c r="AS961" s="76" t="str">
        <x:v>small symptom to prevented-emergency ad</x:v>
      </x:c>
      <x:c r="AT961" s="76" t="str">
        <x:v>Lohr Plumbing ad concept</x:v>
      </x:c>
      <x:c r="AU961" s="76" t="str">
        <x:v>Hi Lohr Plumbing — I was reviewing plumbing companies in Beaufort, South Carolina and Lohr Plumbing looked like a strong fit for a creative test. I mapped a private 15-second small symptom to prevented-emergency ad for Lohr Plumbing using only public brand context—not for publishing, just to show the angle. We build three client-approved video ad concepts in seven days, then turn the winners into fresh variations. No filming day required. Worth sending the private sample?</x:v>
      </x:c>
      <x:c r="AV961" s="76" t="str">
        <x:v>Quick follow-up: the sample angle is a small symptom to prevented-emergency ad. If it misses the mark, no problem—I won't keep chasing. Should I send it?</x:v>
      </x:c>
      <x:c r="AW961" s="76" t="str">
        <x:v>Hi Lohr Plumbing, Ryan here. I was looking at Lohr Plumbing's public marketing and noticed: icp fit; paid-demand need requires manual verification. I mapped one private small symptom to prevented-emergency ad as an example. Did I catch you with 30 seconds?</x:v>
      </x:c>
      <x:c r="AX961" s="60" t="str">
        <x:v>https://www.facebook.com/ads/library/?active_status=active&amp;ad_type=all&amp;country=US&amp;q=Lohr%20Plumbing&amp;search_type=keyword_unordered</x:v>
      </x:c>
      <x:c r="AY961" s="60" t="str">
        <x:v>ok:200</x:v>
      </x:c>
      <x:c r="AZ961" s="60" t="n">
        <x:v>46232.722858796296</x:v>
      </x:c>
      <x:c r="BA961" s="60" t="str">
        <x:v>Google Maps home-services export</x:v>
      </x:c>
      <x:c r="BB961" s="60" t="str">
        <x:v>https://lohrplumbing.com | https://maps.google.com/?cid=5892963154056865111&amp;g_mp=Cidnb29nbGUubWFwcy5wbGFjZXMudjEuUGxhY2VzLlNlYXJjaFRleHQQAhgEIAA</x:v>
      </x:c>
      <x:c r="BC961" s="60" t="str"/>
    </x:row>
    <x:row r="962" ht="18" customHeight="1">
      <x:c r="A962" s="70" t="str">
        <x:v>961</x:v>
      </x:c>
      <x:c r="B962" s="70" t="str">
        <x:v>D - Nurture</x:v>
      </x:c>
      <x:c r="C962" s="72" t="str">
        <x:v>41</x:v>
      </x:c>
      <x:c r="D962" s="60" t="str">
        <x:v>GCC Contracting</x:v>
      </x:c>
      <x:c r="E962" s="60" t="str">
        <x:v>https://gccent.com</x:v>
      </x:c>
      <x:c r="F962" s="60" t="str">
        <x:v>https://gccent.com</x:v>
      </x:c>
      <x:c r="G962" s="60" t="str">
        <x:v>Bluffton</x:v>
      </x:c>
      <x:c r="H962" s="60" t="str">
        <x:v>South Carolina</x:v>
      </x:c>
      <x:c r="I962" s="60" t="str">
        <x:v>General Contractor</x:v>
      </x:c>
      <x:c r="J962" s="60" t="str">
        <x:v>George</x:v>
      </x:c>
      <x:c r="K962" s="60" t="str">
        <x:v>Cyrilla</x:v>
      </x:c>
      <x:c r="L962" s="60" t="str">
        <x:v>Owner</x:v>
      </x:c>
      <x:c r="M962" s="60" t="str"/>
      <x:c r="N962" s="60" t="str"/>
      <x:c r="O962" s="60" t="str">
        <x:v>+1 843 247 1480</x:v>
      </x:c>
      <x:c r="P962" s="60" t="str">
        <x:v>https://www.linkedin.com/in/george-cyrilla-941b309a</x:v>
      </x:c>
      <x:c r="Q962" s="60" t="str">
        <x:v>null+</x:v>
      </x:c>
      <x:c r="R962" s="60" t="str">
        <x:v>100000-499999</x:v>
      </x:c>
      <x:c r="S962" s="60" t="str"/>
      <x:c r="T962" s="74" t="str">
        <x:v>0</x:v>
      </x:c>
      <x:c r="U962" s="60" t="str"/>
      <x:c r="V962" s="74" t="str">
        <x:v>17</x:v>
      </x:c>
      <x:c r="W962" s="74" t="str">
        <x:v>0</x:v>
      </x:c>
      <x:c r="X962" s="74" t="str">
        <x:v>10</x:v>
      </x:c>
      <x:c r="Y962" s="74" t="str">
        <x:v>9</x:v>
      </x:c>
      <x:c r="Z962" s="74" t="str">
        <x:v>5</x:v>
      </x:c>
      <x:c r="AA962" s="74" t="str">
        <x:v>0</x:v>
      </x:c>
      <x:c r="AB962" s="74" t="str">
        <x:v>0</x:v>
      </x:c>
      <x:c r="AC962" s="74" t="str">
        <x:v>0</x:v>
      </x:c>
      <x:c r="AD962" s="74" t="str">
        <x:v>0</x:v>
      </x:c>
      <x:c r="AE962" s="74" t="str">
        <x:v>0</x:v>
      </x:c>
      <x:c r="AF962" s="74" t="str"/>
      <x:c r="AG962" s="74" t="str">
        <x:v>0</x:v>
      </x:c>
      <x:c r="AH962" s="74" t="str">
        <x:v>1</x:v>
      </x:c>
      <x:c r="AI962" s="74" t="str">
        <x:v>1</x:v>
      </x:c>
      <x:c r="AJ962" s="74" t="str">
        <x:v>0</x:v>
      </x:c>
      <x:c r="AK962" s="74" t="str">
        <x:v>0</x:v>
      </x:c>
      <x:c r="AL962" s="74" t="str">
        <x:v>0</x:v>
      </x:c>
      <x:c r="AM962" s="74" t="str">
        <x:v>0</x:v>
      </x:c>
      <x:c r="AN962" s="74" t="str">
        <x:v>0</x:v>
      </x:c>
      <x:c r="AO962" s="60" t="str">
        <x:v>0</x:v>
      </x:c>
      <x:c r="AP962" s="76" t="str">
        <x:v>Project/gallery proof found; no embedded homepage video found</x:v>
      </x:c>
      <x:c r="AQ962" s="76" t="str">
        <x:v>project/gallery proof; testimonials; no embedded homepage video detected</x:v>
      </x:c>
      <x:c r="AR962" s="76" t="str">
        <x:v>I found project/gallery proof on GCC Contracting's site that could be repackaged into short-form ad concepts.</x:v>
      </x:c>
      <x:c r="AS962" s="76" t="str">
        <x:v>project walkthrough with proof milestones</x:v>
      </x:c>
      <x:c r="AT962" s="76" t="str">
        <x:v>GCC Contracting ad concept</x:v>
      </x:c>
      <x:c r="AU962" s="76" t="str">
        <x:v>Hi George — I found project/gallery proof on GCC Contracting's site that could be repackaged into short-form ad concepts. I mapped a private 15-second project walkthrough with proof milestones for GCC Contracting using only public brand context—not for publishing, just to show the angle. We build three client-approved video ad concepts in seven days, then turn the winners into fresh variations. No filming day required. Worth sending the private sample?</x:v>
      </x:c>
      <x:c r="AV962" s="76" t="str">
        <x:v>Quick follow-up: the sample angle is a project walkthrough with proof milestones. If it misses the mark, no problem—I won't keep chasing. Should I send it?</x:v>
      </x:c>
      <x:c r="AW962" s="76" t="str">
        <x:v>Hi George, Ryan here. I was looking at GCC Contracting's public marketing and noticed: project/gallery proof found; no embedded homepage video found. I mapped one private project walkthrough with proof milestones as an example. Did I catch you with 30 seconds?</x:v>
      </x:c>
      <x:c r="AX962" s="60" t="str">
        <x:v>https://www.facebook.com/ads/library/?active_status=active&amp;ad_type=all&amp;country=US&amp;q=GCC%20Contracting&amp;search_type=keyword_unordered</x:v>
      </x:c>
      <x:c r="AY962" s="60" t="str">
        <x:v>ok:200</x:v>
      </x:c>
      <x:c r="AZ962" s="60" t="n">
        <x:v>46232.722858796296</x:v>
      </x:c>
      <x:c r="BA962" s="60" t="str">
        <x:v>AI Ark SC trades export</x:v>
      </x:c>
      <x:c r="BB962" s="60" t="str">
        <x:v>https://gccent.com | https://www.linkedin.com/company/gcc-contracting</x:v>
      </x:c>
      <x:c r="BC962" s="60" t="str"/>
    </x:row>
    <x:row r="963" ht="18" customHeight="1">
      <x:c r="A963" s="70" t="str">
        <x:v>962</x:v>
      </x:c>
      <x:c r="B963" s="70" t="str">
        <x:v>D - Nurture</x:v>
      </x:c>
      <x:c r="C963" s="72" t="str">
        <x:v>41</x:v>
      </x:c>
      <x:c r="D963" s="60" t="str">
        <x:v>Contract Flooring Services</x:v>
      </x:c>
      <x:c r="E963" s="60" t="str">
        <x:v>https://contractflooringservices.co.uk</x:v>
      </x:c>
      <x:c r="F963" s="60" t="str">
        <x:v>https://www.commercialflooringsolutions.co.uk/</x:v>
      </x:c>
      <x:c r="G963" s="60" t="str">
        <x:v>West Columbia</x:v>
      </x:c>
      <x:c r="H963" s="60" t="str">
        <x:v>South Carolina</x:v>
      </x:c>
      <x:c r="I963" s="60" t="str">
        <x:v>Flooring</x:v>
      </x:c>
      <x:c r="J963" s="60" t="str">
        <x:v>Stephen</x:v>
      </x:c>
      <x:c r="K963" s="60" t="str">
        <x:v>Norris Jr</x:v>
      </x:c>
      <x:c r="L963" s="60" t="str">
        <x:v>Owner</x:v>
      </x:c>
      <x:c r="M963" s="60" t="str"/>
      <x:c r="N963" s="60" t="str"/>
      <x:c r="O963" s="60" t="str"/>
      <x:c r="P963" s="60" t="str">
        <x:v>https://www.linkedin.com/in/stephen-norris-jr-a930846a</x:v>
      </x:c>
      <x:c r="Q963" s="60" t="str">
        <x:v>null+</x:v>
      </x:c>
      <x:c r="R963" s="60" t="str">
        <x:v>100000-499999</x:v>
      </x:c>
      <x:c r="S963" s="60" t="str"/>
      <x:c r="T963" s="74" t="str">
        <x:v>0</x:v>
      </x:c>
      <x:c r="U963" s="60" t="str"/>
      <x:c r="V963" s="74" t="str">
        <x:v>20</x:v>
      </x:c>
      <x:c r="W963" s="74" t="str">
        <x:v>0</x:v>
      </x:c>
      <x:c r="X963" s="74" t="str">
        <x:v>10</x:v>
      </x:c>
      <x:c r="Y963" s="74" t="str">
        <x:v>9</x:v>
      </x:c>
      <x:c r="Z963" s="74" t="str">
        <x:v>2</x:v>
      </x:c>
      <x:c r="AA963" s="74" t="str">
        <x:v>0</x:v>
      </x:c>
      <x:c r="AB963" s="74" t="str">
        <x:v>0</x:v>
      </x:c>
      <x:c r="AC963" s="74" t="str">
        <x:v>0</x:v>
      </x:c>
      <x:c r="AD963" s="74" t="str">
        <x:v>0</x:v>
      </x:c>
      <x:c r="AE963" s="74" t="str">
        <x:v>0</x:v>
      </x:c>
      <x:c r="AF963" s="74" t="str"/>
      <x:c r="AG963" s="74" t="str">
        <x:v>0</x:v>
      </x:c>
      <x:c r="AH963" s="74" t="str">
        <x:v>1</x:v>
      </x:c>
      <x:c r="AI963" s="74" t="str">
        <x:v>1</x:v>
      </x:c>
      <x:c r="AJ963" s="74" t="str">
        <x:v>0</x:v>
      </x:c>
      <x:c r="AK963" s="74" t="str">
        <x:v>0</x:v>
      </x:c>
      <x:c r="AL963" s="74" t="str">
        <x:v>0</x:v>
      </x:c>
      <x:c r="AM963" s="74" t="str">
        <x:v>1</x:v>
      </x:c>
      <x:c r="AN963" s="74" t="str">
        <x:v>0</x:v>
      </x:c>
      <x:c r="AO963" s="60" t="str">
        <x:v>2026</x:v>
      </x:c>
      <x:c r="AP963" s="76" t="str">
        <x:v>Project/gallery proof found; no embedded homepage video found</x:v>
      </x:c>
      <x:c r="AQ963" s="76" t="str">
        <x:v>project/gallery proof; testimonials; no embedded homepage video detected</x:v>
      </x:c>
      <x:c r="AR963" s="76" t="str">
        <x:v>I found project/gallery proof on Contract Flooring Services's site that could be repackaged into short-form ad concepts.</x:v>
      </x:c>
      <x:c r="AS963" s="76" t="str">
        <x:v>room transformation before/after ad</x:v>
      </x:c>
      <x:c r="AT963" s="76" t="str">
        <x:v>Contract Flooring Services ad concept</x:v>
      </x:c>
      <x:c r="AU963" s="76" t="str">
        <x:v>Hi Stephen — I found project/gallery proof on Contract Flooring Services's site that could be repackaged into short-form ad concepts. I mapped a private 15-second room transformation before/after ad for Contract Flooring Services using only public brand context—not for publishing, just to show the angle. We build three client-approved video ad concepts in seven days, then turn the winners into fresh variations. No filming day required. Worth sending the private sample?</x:v>
      </x:c>
      <x:c r="AV963" s="76" t="str">
        <x:v>Quick follow-up: the sample angle is a room transformation before/after ad. If it misses the mark, no problem—I won't keep chasing. Should I send it?</x:v>
      </x:c>
      <x:c r="AW963" s="76" t="str">
        <x:v>Hi Stephen, Ryan here. I was looking at Contract Flooring Services's public marketing and noticed: project/gallery proof found; no embedded homepage video found. I mapped one private room transformation before/after ad as an example. Did I catch you with 30 seconds?</x:v>
      </x:c>
      <x:c r="AX963" s="60" t="str">
        <x:v>https://www.facebook.com/ads/library/?active_status=active&amp;ad_type=all&amp;country=US&amp;q=Contract%20Flooring%20Services&amp;search_type=keyword_unordered</x:v>
      </x:c>
      <x:c r="AY963" s="60" t="str">
        <x:v>ok:200</x:v>
      </x:c>
      <x:c r="AZ963" s="60" t="n">
        <x:v>46232.722858796296</x:v>
      </x:c>
      <x:c r="BA963" s="60" t="str">
        <x:v>AI Ark SC trades export</x:v>
      </x:c>
      <x:c r="BB963" s="60" t="str">
        <x:v>https://contractflooringservices.co.uk | https://www.linkedin.com/company/contract-flooring-services</x:v>
      </x:c>
      <x:c r="BC963" s="60" t="str"/>
    </x:row>
    <x:row r="964" ht="18" customHeight="1">
      <x:c r="A964" s="70" t="str">
        <x:v>963</x:v>
      </x:c>
      <x:c r="B964" s="70" t="str">
        <x:v>D - Nurture</x:v>
      </x:c>
      <x:c r="C964" s="72" t="str">
        <x:v>41</x:v>
      </x:c>
      <x:c r="D964" s="60" t="str">
        <x:v>Gloudeman Electric</x:v>
      </x:c>
      <x:c r="E964" s="60" t="str">
        <x:v>https://thegloudemanelectric.com</x:v>
      </x:c>
      <x:c r="F964" s="60" t="str">
        <x:v>https://www.thegloudemanelectric.com/</x:v>
      </x:c>
      <x:c r="G964" s="60" t="str">
        <x:v>Mount Pleasant</x:v>
      </x:c>
      <x:c r="H964" s="60" t="str">
        <x:v>South Carolina</x:v>
      </x:c>
      <x:c r="I964" s="60" t="str">
        <x:v>Electrical</x:v>
      </x:c>
      <x:c r="J964" s="60" t="str">
        <x:v>Gloudeman Electric</x:v>
      </x:c>
      <x:c r="K964" s="60" t="str"/>
      <x:c r="L964" s="60" t="str">
        <x:v>Owner / decision maker to verify</x:v>
      </x:c>
      <x:c r="M964" s="60" t="str"/>
      <x:c r="N964" s="60" t="str"/>
      <x:c r="O964" s="60" t="str">
        <x:v>(843) 920-2773</x:v>
      </x:c>
      <x:c r="P964" s="60" t="str"/>
      <x:c r="Q964" s="60" t="str"/>
      <x:c r="R964" s="60" t="str"/>
      <x:c r="S964" s="60" t="str">
        <x:v>5</x:v>
      </x:c>
      <x:c r="T964" s="74" t="str">
        <x:v>267</x:v>
      </x:c>
      <x:c r="U964" s="60" t="str"/>
      <x:c r="V964" s="74" t="str">
        <x:v>24</x:v>
      </x:c>
      <x:c r="W964" s="74" t="str">
        <x:v>0</x:v>
      </x:c>
      <x:c r="X964" s="74" t="str">
        <x:v>6</x:v>
      </x:c>
      <x:c r="Y964" s="74" t="str">
        <x:v>6</x:v>
      </x:c>
      <x:c r="Z964" s="74" t="str">
        <x:v>5</x:v>
      </x:c>
      <x:c r="AA964" s="74" t="str">
        <x:v>0</x:v>
      </x:c>
      <x:c r="AB964" s="74" t="str">
        <x:v>0</x:v>
      </x:c>
      <x:c r="AC964" s="74" t="str">
        <x:v>0</x:v>
      </x:c>
      <x:c r="AD964" s="74" t="str">
        <x:v>0</x:v>
      </x:c>
      <x:c r="AE964" s="74" t="str">
        <x:v>0</x:v>
      </x:c>
      <x:c r="AF964" s="74" t="str"/>
      <x:c r="AG964" s="74" t="str">
        <x:v>0</x:v>
      </x:c>
      <x:c r="AH964" s="74" t="str">
        <x:v>0</x:v>
      </x:c>
      <x:c r="AI964" s="74" t="str">
        <x:v>0</x:v>
      </x:c>
      <x:c r="AJ964" s="74" t="str">
        <x:v>0</x:v>
      </x:c>
      <x:c r="AK964" s="74" t="str">
        <x:v>1</x:v>
      </x:c>
      <x:c r="AL964" s="74" t="str">
        <x:v>1</x:v>
      </x:c>
      <x:c r="AM964" s="74" t="str">
        <x:v>1</x:v>
      </x:c>
      <x:c r="AN964" s="74" t="str">
        <x:v>0</x:v>
      </x:c>
      <x:c r="AO964" s="60" t="str">
        <x:v>2026</x:v>
      </x:c>
      <x:c r="AP964" s="76" t="str">
        <x:v>267 Google reviews; no embedded homepage video found</x:v>
      </x:c>
      <x:c r="AQ964" s="76" t="str">
        <x:v>visible service offer; no embedded homepage video detected</x:v>
      </x:c>
      <x:c r="AR964" s="76" t="str">
        <x:v>Gloudeman Electric has 267 Google reviews—strong proof that could be turned into short-form ad concepts.</x:v>
      </x:c>
      <x:c r="AS964" s="76" t="str">
        <x:v>safety inspection problem/solution ad</x:v>
      </x:c>
      <x:c r="AT964" s="76" t="str">
        <x:v>Gloudeman Electric ad concept</x:v>
      </x:c>
      <x:c r="AU964" s="76" t="str">
        <x:v>Hi Gloudeman Electric — Gloudeman Electric has 267 Google reviews—strong proof that could be turned into short-form ad concepts. I mapped a private 15-second safety inspection problem/solution ad for Gloudeman Electric using only public brand context—not for publishing, just to show the angle. We build three client-approved video ad concepts in seven days, then turn the winners into fresh variations. No filming day required. Worth sending the private sample?</x:v>
      </x:c>
      <x:c r="AV964" s="76" t="str">
        <x:v>Quick follow-up: the sample angle is a safety inspection problem/solution ad. If it misses the mark, no problem—I won't keep chasing. Should I send it?</x:v>
      </x:c>
      <x:c r="AW964" s="76" t="str">
        <x:v>Hi Gloudeman Electric, Ryan here. I was looking at Gloudeman Electric's public marketing and noticed: 267 google reviews; no embedded homepage video found. I mapped one private safety inspection problem/solution ad as an example. Did I catch you with 30 seconds?</x:v>
      </x:c>
      <x:c r="AX964" s="60" t="str">
        <x:v>https://www.facebook.com/ads/library/?active_status=active&amp;ad_type=all&amp;country=US&amp;q=Gloudeman%20Electric&amp;search_type=keyword_unordered</x:v>
      </x:c>
      <x:c r="AY964" s="60" t="str">
        <x:v>ok:200</x:v>
      </x:c>
      <x:c r="AZ964" s="60" t="n">
        <x:v>46232.722858796296</x:v>
      </x:c>
      <x:c r="BA964" s="60" t="str">
        <x:v>Google Maps home-services export</x:v>
      </x:c>
      <x:c r="BB964" s="60" t="str">
        <x:v>https://maps.google.com/?cid=8431413003413825577&amp;g_mp=Cidnb29nbGUubWFwcy5wbGFjZXMudjEuUGxhY2VzLlNlYXJjaFRleHQQAhgEIAA | https://thegloudemanelectric.com</x:v>
      </x:c>
      <x:c r="BC964" s="60" t="str"/>
    </x:row>
    <x:row r="965" ht="18" customHeight="1">
      <x:c r="A965" s="70" t="str">
        <x:v>964</x:v>
      </x:c>
      <x:c r="B965" s="70" t="str">
        <x:v>D - Nurture</x:v>
      </x:c>
      <x:c r="C965" s="72" t="str">
        <x:v>41</x:v>
      </x:c>
      <x:c r="D965" s="60" t="str">
        <x:v>Bunting Construction Company, Inc</x:v>
      </x:c>
      <x:c r="E965" s="60" t="str">
        <x:v>https://buntingcompany.com</x:v>
      </x:c>
      <x:c r="F965" s="60" t="str">
        <x:v>https://www.buntingcompany.com/</x:v>
      </x:c>
      <x:c r="G965" s="60" t="str">
        <x:v>Hilton Head Island</x:v>
      </x:c>
      <x:c r="H965" s="60" t="str">
        <x:v>South Carolina</x:v>
      </x:c>
      <x:c r="I965" s="60" t="str">
        <x:v>General Contractor</x:v>
      </x:c>
      <x:c r="J965" s="60" t="str">
        <x:v>Scott</x:v>
      </x:c>
      <x:c r="K965" s="60" t="str">
        <x:v>Bunting</x:v>
      </x:c>
      <x:c r="L965" s="60" t="str">
        <x:v>Owner</x:v>
      </x:c>
      <x:c r="M965" s="60" t="str">
        <x:v>scott@buntingcompany.com</x:v>
      </x:c>
      <x:c r="N965" s="60" t="str">
        <x:v>Verified with BounceBan on 08 Jun 26 12:06</x:v>
      </x:c>
      <x:c r="O965" s="60" t="str">
        <x:v>+1 843 384 7468</x:v>
      </x:c>
      <x:c r="P965" s="60" t="str">
        <x:v>https://www.linkedin.com/in/scott-bunting-3aa77929</x:v>
      </x:c>
      <x:c r="Q965" s="60" t="str">
        <x:v>2-10</x:v>
      </x:c>
      <x:c r="R965" s="60" t="str">
        <x:v>100000-499999</x:v>
      </x:c>
      <x:c r="S965" s="60" t="str"/>
      <x:c r="T965" s="74" t="str">
        <x:v>0</x:v>
      </x:c>
      <x:c r="U965" s="60" t="str"/>
      <x:c r="V965" s="74" t="str">
        <x:v>20</x:v>
      </x:c>
      <x:c r="W965" s="74" t="str">
        <x:v>0</x:v>
      </x:c>
      <x:c r="X965" s="74" t="str">
        <x:v>6</x:v>
      </x:c>
      <x:c r="Y965" s="74" t="str">
        <x:v>5</x:v>
      </x:c>
      <x:c r="Z965" s="74" t="str">
        <x:v>10</x:v>
      </x:c>
      <x:c r="AA965" s="74" t="str">
        <x:v>0</x:v>
      </x:c>
      <x:c r="AB965" s="74" t="str">
        <x:v>0</x:v>
      </x:c>
      <x:c r="AC965" s="74" t="str">
        <x:v>0</x:v>
      </x:c>
      <x:c r="AD965" s="74" t="str">
        <x:v>0</x:v>
      </x:c>
      <x:c r="AE965" s="74" t="str">
        <x:v>0</x:v>
      </x:c>
      <x:c r="AF965" s="74" t="str"/>
      <x:c r="AG965" s="74" t="str">
        <x:v>0</x:v>
      </x:c>
      <x:c r="AH965" s="74" t="str">
        <x:v>1</x:v>
      </x:c>
      <x:c r="AI965" s="74" t="str">
        <x:v>0</x:v>
      </x:c>
      <x:c r="AJ965" s="74" t="str">
        <x:v>0</x:v>
      </x:c>
      <x:c r="AK965" s="74" t="str">
        <x:v>0</x:v>
      </x:c>
      <x:c r="AL965" s="74" t="str">
        <x:v>1</x:v>
      </x:c>
      <x:c r="AM965" s="74" t="str">
        <x:v>1</x:v>
      </x:c>
      <x:c r="AN965" s="74" t="str">
        <x:v>0</x:v>
      </x:c>
      <x:c r="AO965" s="60" t="str">
        <x:v>2025</x:v>
      </x:c>
      <x:c r="AP965" s="76" t="str">
        <x:v>Project/gallery proof found; no embedded homepage video found</x:v>
      </x:c>
      <x:c r="AQ965" s="76" t="str">
        <x:v>project/gallery proof; no embedded homepage video detected</x:v>
      </x:c>
      <x:c r="AR965" s="76" t="str">
        <x:v>I found project/gallery proof on Bunting Construction Company, Inc's site that could be repackaged into short-form ad concepts.</x:v>
      </x:c>
      <x:c r="AS965" s="76" t="str">
        <x:v>project walkthrough with proof milestones</x:v>
      </x:c>
      <x:c r="AT965" s="76" t="str">
        <x:v>Bunting Construction Company, Inc ad concept</x:v>
      </x:c>
      <x:c r="AU965" s="76" t="str">
        <x:v>Hi Scott — I found project/gallery proof on Bunting Construction Company, Inc's site that could be repackaged into short-form ad concepts. I mapped a private 15-second project walkthrough with proof milestones for Bunting Construction Company, Inc using only public brand context—not for publishing, just to show the angle. We build three client-approved video ad concepts in seven days, then turn the winners into fresh variations. No filming day required. Worth sending the private sample?</x:v>
      </x:c>
      <x:c r="AV965" s="76" t="str">
        <x:v>Quick follow-up: the sample angle is a project walkthrough with proof milestones. If it misses the mark, no problem—I won't keep chasing. Should I send it?</x:v>
      </x:c>
      <x:c r="AW965" s="76" t="str">
        <x:v>Hi Scott, Ryan here. I was looking at Bunting Construction Company, Inc's public marketing and noticed: project/gallery proof found; no embedded homepage video found. I mapped one private project walkthrough with proof milestones as an example. Did I catch you with 30 seconds?</x:v>
      </x:c>
      <x:c r="AX965" s="60" t="str">
        <x:v>https://www.facebook.com/ads/library/?active_status=active&amp;ad_type=all&amp;country=US&amp;q=Bunting%20Construction%20Company%2C%20Inc&amp;search_type=keyword_unordered</x:v>
      </x:c>
      <x:c r="AY965" s="60" t="str">
        <x:v>ok:200</x:v>
      </x:c>
      <x:c r="AZ965" s="60" t="n">
        <x:v>46232.722858796296</x:v>
      </x:c>
      <x:c r="BA965" s="60" t="str">
        <x:v>AI Ark SC trades export</x:v>
      </x:c>
      <x:c r="BB965" s="60" t="str">
        <x:v>https://buntingcompany.com | https://www.linkedin.com/company/bunting-construction-company-inc</x:v>
      </x:c>
      <x:c r="BC965" s="60" t="str"/>
    </x:row>
    <x:row r="966" ht="18" customHeight="1">
      <x:c r="A966" s="70" t="str">
        <x:v>965</x:v>
      </x:c>
      <x:c r="B966" s="70" t="str">
        <x:v>D - Nurture</x:v>
      </x:c>
      <x:c r="C966" s="72" t="str">
        <x:v>41</x:v>
      </x:c>
      <x:c r="D966" s="60" t="str">
        <x:v>Plumbers of Greenville</x:v>
      </x:c>
      <x:c r="E966" s="60" t="str">
        <x:v>https://plumbersofgreenville.com</x:v>
      </x:c>
      <x:c r="F966" s="60" t="str">
        <x:v>https://plumbersofgreenville.com</x:v>
      </x:c>
      <x:c r="G966" s="60" t="str">
        <x:v>Greenville</x:v>
      </x:c>
      <x:c r="H966" s="60" t="str">
        <x:v>South Carolina</x:v>
      </x:c>
      <x:c r="I966" s="60" t="str">
        <x:v>Plumbing</x:v>
      </x:c>
      <x:c r="J966" s="60" t="str">
        <x:v>Plumbers of Greenville</x:v>
      </x:c>
      <x:c r="K966" s="60" t="str"/>
      <x:c r="L966" s="60" t="str">
        <x:v>Owner / decision maker to verify</x:v>
      </x:c>
      <x:c r="M966" s="60" t="str"/>
      <x:c r="N966" s="60" t="str"/>
      <x:c r="O966" s="60" t="str">
        <x:v>(864) 631-7241</x:v>
      </x:c>
      <x:c r="P966" s="60" t="str"/>
      <x:c r="Q966" s="60" t="str"/>
      <x:c r="R966" s="60" t="str"/>
      <x:c r="S966" s="60" t="str">
        <x:v>4.9</x:v>
      </x:c>
      <x:c r="T966" s="74" t="str">
        <x:v>43</x:v>
      </x:c>
      <x:c r="U966" s="60" t="str"/>
      <x:c r="V966" s="74" t="str">
        <x:v>22</x:v>
      </x:c>
      <x:c r="W966" s="74" t="str">
        <x:v>0</x:v>
      </x:c>
      <x:c r="X966" s="74" t="str">
        <x:v>9</x:v>
      </x:c>
      <x:c r="Y966" s="74" t="str">
        <x:v>5</x:v>
      </x:c>
      <x:c r="Z966" s="74" t="str">
        <x:v>5</x:v>
      </x:c>
      <x:c r="AA966" s="74" t="str">
        <x:v>0</x:v>
      </x:c>
      <x:c r="AB966" s="74" t="str">
        <x:v>0</x:v>
      </x:c>
      <x:c r="AC966" s="74" t="str">
        <x:v>0</x:v>
      </x:c>
      <x:c r="AD966" s="74" t="str">
        <x:v>0</x:v>
      </x:c>
      <x:c r="AE966" s="74" t="str">
        <x:v>0</x:v>
      </x:c>
      <x:c r="AF966" s="74" t="str"/>
      <x:c r="AG966" s="74" t="str">
        <x:v>0</x:v>
      </x:c>
      <x:c r="AH966" s="74" t="str">
        <x:v>0</x:v>
      </x:c>
      <x:c r="AI966" s="74" t="str">
        <x:v>0</x:v>
      </x:c>
      <x:c r="AJ966" s="74" t="str">
        <x:v>0</x:v>
      </x:c>
      <x:c r="AK966" s="74" t="str">
        <x:v>1</x:v>
      </x:c>
      <x:c r="AL966" s="74" t="str">
        <x:v>1</x:v>
      </x:c>
      <x:c r="AM966" s="74" t="str">
        <x:v>1</x:v>
      </x:c>
      <x:c r="AN966" s="74" t="str">
        <x:v>0</x:v>
      </x:c>
      <x:c r="AO966" s="60" t="str">
        <x:v>2018</x:v>
      </x:c>
      <x:c r="AP966" s="76" t="str">
        <x:v>ICP fit; paid-demand need requires manual verification</x:v>
      </x:c>
      <x:c r="AQ966" s="76" t="str">
        <x:v>visible service offer; no embedded homepage video detected</x:v>
      </x:c>
      <x:c r="AR966" s="76" t="str">
        <x:v>I was reviewing plumbing companies in Greenville, South Carolina and Plumbers of Greenville looked like a strong fit for a creative test.</x:v>
      </x:c>
      <x:c r="AS966" s="76" t="str">
        <x:v>small symptom to prevented-emergency ad</x:v>
      </x:c>
      <x:c r="AT966" s="76" t="str">
        <x:v>Plumbers of Greenville ad concept</x:v>
      </x:c>
      <x:c r="AU966" s="76" t="str">
        <x:v>Hi Plumbers of Greenville — I was reviewing plumbing companies in Greenville, South Carolina and Plumbers of Greenville looked like a strong fit for a creative test. I mapped a private 15-second small symptom to prevented-emergency ad for Plumbers of Greenville using only public brand context—not for publishing, just to show the angle. We build three client-approved video ad concepts in seven days, then turn the winners into fresh variations. No filming day required. Worth sending the private sample?</x:v>
      </x:c>
      <x:c r="AV966" s="76" t="str">
        <x:v>Quick follow-up: the sample angle is a small symptom to prevented-emergency ad. If it misses the mark, no problem—I won't keep chasing. Should I send it?</x:v>
      </x:c>
      <x:c r="AW966" s="76" t="str">
        <x:v>Hi Plumbers of Greenville, Ryan here. I was looking at Plumbers of Greenville's public marketing and noticed: icp fit; paid-demand need requires manual verification. I mapped one private small symptom to prevented-emergency ad as an example. Did I catch you with 30 seconds?</x:v>
      </x:c>
      <x:c r="AX966" s="60" t="str">
        <x:v>https://www.facebook.com/ads/library/?active_status=active&amp;ad_type=all&amp;country=US&amp;q=Plumbers%20of%20Greenville&amp;search_type=keyword_unordered</x:v>
      </x:c>
      <x:c r="AY966" s="60" t="str">
        <x:v>ok:200</x:v>
      </x:c>
      <x:c r="AZ966" s="60" t="n">
        <x:v>46232.722858796296</x:v>
      </x:c>
      <x:c r="BA966" s="60" t="str">
        <x:v>Google Maps home-services export</x:v>
      </x:c>
      <x:c r="BB966" s="60" t="str">
        <x:v>https://maps.google.com/?cid=15117151586403804098&amp;g_mp=Cidnb29nbGUubWFwcy5wbGFjZXMudjEuUGxhY2VzLlNlYXJjaFRleHQQAhgEIAA | https://plumbersofgreenville.com</x:v>
      </x:c>
      <x:c r="BC966" s="60" t="str"/>
    </x:row>
    <x:row r="967" ht="18" customHeight="1">
      <x:c r="A967" s="70" t="str">
        <x:v>966</x:v>
      </x:c>
      <x:c r="B967" s="70" t="str">
        <x:v>D - Nurture</x:v>
      </x:c>
      <x:c r="C967" s="72" t="str">
        <x:v>41</x:v>
      </x:c>
      <x:c r="D967" s="60" t="str">
        <x:v>Outen Fencing Co</x:v>
      </x:c>
      <x:c r="E967" s="60" t="str">
        <x:v>https://fencecontractorcolumbiasouthcarolina.com</x:v>
      </x:c>
      <x:c r="F967" s="60" t="str">
        <x:v>https://www.outenfencing.com/</x:v>
      </x:c>
      <x:c r="G967" s="60" t="str">
        <x:v>Lexington County</x:v>
      </x:c>
      <x:c r="H967" s="60" t="str">
        <x:v>South Carolina</x:v>
      </x:c>
      <x:c r="I967" s="60" t="str">
        <x:v>Fence &amp; Deck</x:v>
      </x:c>
      <x:c r="J967" s="60" t="str">
        <x:v>Melvin</x:v>
      </x:c>
      <x:c r="K967" s="60" t="str">
        <x:v>Outen</x:v>
      </x:c>
      <x:c r="L967" s="60" t="str">
        <x:v>Business Owner</x:v>
      </x:c>
      <x:c r="M967" s="60" t="str"/>
      <x:c r="N967" s="60" t="str"/>
      <x:c r="O967" s="60" t="str">
        <x:v>+1 803 413 2582</x:v>
      </x:c>
      <x:c r="P967" s="60" t="str">
        <x:v>https://www.linkedin.com/in/melvin-outen-8a0636153</x:v>
      </x:c>
      <x:c r="Q967" s="60" t="str">
        <x:v>2-10</x:v>
      </x:c>
      <x:c r="R967" s="60" t="str">
        <x:v>100000-499999</x:v>
      </x:c>
      <x:c r="S967" s="60" t="str"/>
      <x:c r="T967" s="74" t="str">
        <x:v>0</x:v>
      </x:c>
      <x:c r="U967" s="60" t="str"/>
      <x:c r="V967" s="74" t="str">
        <x:v>21</x:v>
      </x:c>
      <x:c r="W967" s="74" t="str">
        <x:v>0</x:v>
      </x:c>
      <x:c r="X967" s="74" t="str">
        <x:v>10</x:v>
      </x:c>
      <x:c r="Y967" s="74" t="str">
        <x:v>5</x:v>
      </x:c>
      <x:c r="Z967" s="74" t="str">
        <x:v>5</x:v>
      </x:c>
      <x:c r="AA967" s="74" t="str">
        <x:v>0</x:v>
      </x:c>
      <x:c r="AB967" s="74" t="str">
        <x:v>0</x:v>
      </x:c>
      <x:c r="AC967" s="74" t="str">
        <x:v>0</x:v>
      </x:c>
      <x:c r="AD967" s="74" t="str">
        <x:v>0</x:v>
      </x:c>
      <x:c r="AE967" s="74" t="str">
        <x:v>0</x:v>
      </x:c>
      <x:c r="AF967" s="74" t="str"/>
      <x:c r="AG967" s="74" t="str">
        <x:v>0</x:v>
      </x:c>
      <x:c r="AH967" s="74" t="str">
        <x:v>1</x:v>
      </x:c>
      <x:c r="AI967" s="74" t="str">
        <x:v>0</x:v>
      </x:c>
      <x:c r="AJ967" s="74" t="str">
        <x:v>0</x:v>
      </x:c>
      <x:c r="AK967" s="74" t="str">
        <x:v>0</x:v>
      </x:c>
      <x:c r="AL967" s="74" t="str">
        <x:v>0</x:v>
      </x:c>
      <x:c r="AM967" s="74" t="str">
        <x:v>0</x:v>
      </x:c>
      <x:c r="AN967" s="74" t="str">
        <x:v>0</x:v>
      </x:c>
      <x:c r="AO967" s="60" t="str">
        <x:v>0</x:v>
      </x:c>
      <x:c r="AP967" s="76" t="str">
        <x:v>Project/gallery proof found; no embedded homepage video found</x:v>
      </x:c>
      <x:c r="AQ967" s="76" t="str">
        <x:v>project/gallery proof; no embedded homepage video detected</x:v>
      </x:c>
      <x:c r="AR967" s="76" t="str">
        <x:v>I found project/gallery proof on Outen Fencing Co's site that could be repackaged into short-form ad concepts.</x:v>
      </x:c>
      <x:c r="AS967" s="76" t="str">
        <x:v>yard privacy transformation ad</x:v>
      </x:c>
      <x:c r="AT967" s="76" t="str">
        <x:v>Outen Fencing Co ad concept</x:v>
      </x:c>
      <x:c r="AU967" s="76" t="str">
        <x:v>Hi Melvin — I found project/gallery proof on Outen Fencing Co's site that could be repackaged into short-form ad concepts. I mapped a private 15-second yard privacy transformation ad for Outen Fencing Co using only public brand context—not for publishing, just to show the angle. We build three client-approved video ad concepts in seven days, then turn the winners into fresh variations. No filming day required. Worth sending the private sample?</x:v>
      </x:c>
      <x:c r="AV967" s="76" t="str">
        <x:v>Quick follow-up: the sample angle is a yard privacy transformation ad. If it misses the mark, no problem—I won't keep chasing. Should I send it?</x:v>
      </x:c>
      <x:c r="AW967" s="76" t="str">
        <x:v>Hi Melvin, Ryan here. I was looking at Outen Fencing Co's public marketing and noticed: project/gallery proof found; no embedded homepage video found. I mapped one private yard privacy transformation ad as an example. Did I catch you with 30 seconds?</x:v>
      </x:c>
      <x:c r="AX967" s="60" t="str">
        <x:v>https://www.facebook.com/ads/library/?active_status=active&amp;ad_type=all&amp;country=US&amp;q=Outen%20Fencing%20Co&amp;search_type=keyword_unordered</x:v>
      </x:c>
      <x:c r="AY967" s="60" t="str">
        <x:v>ok:200</x:v>
      </x:c>
      <x:c r="AZ967" s="60" t="n">
        <x:v>46232.722858796296</x:v>
      </x:c>
      <x:c r="BA967" s="60" t="str">
        <x:v>AI Ark SC trades export</x:v>
      </x:c>
      <x:c r="BB967" s="60" t="str">
        <x:v>https://fencecontractorcolumbiasouthcarolina.com | https://www.linkedin.com/company/outen-fencing-co</x:v>
      </x:c>
      <x:c r="BC967" s="60" t="str"/>
    </x:row>
    <x:row r="968" ht="18" customHeight="1">
      <x:c r="A968" s="70" t="str">
        <x:v>967</x:v>
      </x:c>
      <x:c r="B968" s="70" t="str">
        <x:v>D - Nurture</x:v>
      </x:c>
      <x:c r="C968" s="72" t="str">
        <x:v>41</x:v>
      </x:c>
      <x:c r="D968" s="60" t="str">
        <x:v>Jacobsen Electric</x:v>
      </x:c>
      <x:c r="E968" s="60" t="str">
        <x:v>https://jacobsenelectric.com</x:v>
      </x:c>
      <x:c r="F968" s="60" t="str">
        <x:v>https://www.jacobsenelectric.com/</x:v>
      </x:c>
      <x:c r="G968" s="60" t="str">
        <x:v>Mount Pleasant</x:v>
      </x:c>
      <x:c r="H968" s="60" t="str">
        <x:v>South Carolina</x:v>
      </x:c>
      <x:c r="I968" s="60" t="str">
        <x:v>Electrical</x:v>
      </x:c>
      <x:c r="J968" s="60" t="str">
        <x:v>Jacobsen Electric</x:v>
      </x:c>
      <x:c r="K968" s="60" t="str"/>
      <x:c r="L968" s="60" t="str">
        <x:v>Owner / decision maker to verify</x:v>
      </x:c>
      <x:c r="M968" s="60" t="str"/>
      <x:c r="N968" s="60" t="str"/>
      <x:c r="O968" s="60" t="str">
        <x:v>(843) 410-9443</x:v>
      </x:c>
      <x:c r="P968" s="60" t="str"/>
      <x:c r="Q968" s="60" t="str"/>
      <x:c r="R968" s="60" t="str"/>
      <x:c r="S968" s="60" t="str">
        <x:v>5</x:v>
      </x:c>
      <x:c r="T968" s="74" t="str">
        <x:v>38</x:v>
      </x:c>
      <x:c r="U968" s="60" t="str"/>
      <x:c r="V968" s="74" t="str">
        <x:v>21</x:v>
      </x:c>
      <x:c r="W968" s="74" t="str">
        <x:v>0</x:v>
      </x:c>
      <x:c r="X968" s="74" t="str">
        <x:v>10</x:v>
      </x:c>
      <x:c r="Y968" s="74" t="str">
        <x:v>5</x:v>
      </x:c>
      <x:c r="Z968" s="74" t="str">
        <x:v>5</x:v>
      </x:c>
      <x:c r="AA968" s="74" t="str">
        <x:v>0</x:v>
      </x:c>
      <x:c r="AB968" s="74" t="str">
        <x:v>0</x:v>
      </x:c>
      <x:c r="AC968" s="74" t="str">
        <x:v>0</x:v>
      </x:c>
      <x:c r="AD968" s="74" t="str">
        <x:v>0</x:v>
      </x:c>
      <x:c r="AE968" s="74" t="str">
        <x:v>0</x:v>
      </x:c>
      <x:c r="AF968" s="74" t="str"/>
      <x:c r="AG968" s="74" t="str">
        <x:v>0</x:v>
      </x:c>
      <x:c r="AH968" s="74" t="str">
        <x:v>0</x:v>
      </x:c>
      <x:c r="AI968" s="74" t="str">
        <x:v>0</x:v>
      </x:c>
      <x:c r="AJ968" s="74" t="str">
        <x:v>0</x:v>
      </x:c>
      <x:c r="AK968" s="74" t="str">
        <x:v>1</x:v>
      </x:c>
      <x:c r="AL968" s="74" t="str">
        <x:v>0</x:v>
      </x:c>
      <x:c r="AM968" s="74" t="str">
        <x:v>1</x:v>
      </x:c>
      <x:c r="AN968" s="74" t="str">
        <x:v>0</x:v>
      </x:c>
      <x:c r="AO968" s="60" t="str">
        <x:v>2026</x:v>
      </x:c>
      <x:c r="AP968" s="76" t="str">
        <x:v>ICP fit; paid-demand need requires manual verification</x:v>
      </x:c>
      <x:c r="AQ968" s="76" t="str">
        <x:v>visible service offer; no embedded homepage video detected</x:v>
      </x:c>
      <x:c r="AR968" s="76" t="str">
        <x:v>I was reviewing electrical companies in Mount Pleasant, South Carolina and Jacobsen Electric looked like a strong fit for a creative test.</x:v>
      </x:c>
      <x:c r="AS968" s="76" t="str">
        <x:v>safety inspection problem/solution ad</x:v>
      </x:c>
      <x:c r="AT968" s="76" t="str">
        <x:v>Jacobsen Electric ad concept</x:v>
      </x:c>
      <x:c r="AU968" s="76" t="str">
        <x:v>Hi Jacobsen Electric — I was reviewing electrical companies in Mount Pleasant, South Carolina and Jacobsen Electric looked like a strong fit for a creative test. I mapped a private 15-second safety inspection problem/solution ad for Jacobsen Electric using only public brand context—not for publishing, just to show the angle. We build three client-approved video ad concepts in seven days, then turn the winners into fresh variations. No filming day required. Worth sending the private sample?</x:v>
      </x:c>
      <x:c r="AV968" s="76" t="str">
        <x:v>Quick follow-up: the sample angle is a safety inspection problem/solution ad. If it misses the mark, no problem—I won't keep chasing. Should I send it?</x:v>
      </x:c>
      <x:c r="AW968" s="76" t="str">
        <x:v>Hi Jacobsen Electric, Ryan here. I was looking at Jacobsen Electric's public marketing and noticed: icp fit; paid-demand need requires manual verification. I mapped one private safety inspection problem/solution ad as an example. Did I catch you with 30 seconds?</x:v>
      </x:c>
      <x:c r="AX968" s="60" t="str">
        <x:v>https://www.facebook.com/ads/library/?active_status=active&amp;ad_type=all&amp;country=US&amp;q=Jacobsen%20Electric&amp;search_type=keyword_unordered</x:v>
      </x:c>
      <x:c r="AY968" s="60" t="str">
        <x:v>ok:200</x:v>
      </x:c>
      <x:c r="AZ968" s="60" t="n">
        <x:v>46232.722858796296</x:v>
      </x:c>
      <x:c r="BA968" s="60" t="str">
        <x:v>Google Maps home-services export</x:v>
      </x:c>
      <x:c r="BB968" s="60" t="str">
        <x:v>https://jacobsenelectric.com | https://maps.google.com/?cid=17754694504116410015&amp;g_mp=Cidnb29nbGUubWFwcy5wbGFjZXMudjEuUGxhY2VzLlNlYXJjaFRleHQQAhgEIAA</x:v>
      </x:c>
      <x:c r="BC968" s="60" t="str"/>
    </x:row>
    <x:row r="969" ht="18" customHeight="1">
      <x:c r="A969" s="70" t="str">
        <x:v>968</x:v>
      </x:c>
      <x:c r="B969" s="70" t="str">
        <x:v>D - Nurture</x:v>
      </x:c>
      <x:c r="C969" s="72" t="str">
        <x:v>41</x:v>
      </x:c>
      <x:c r="D969" s="60" t="str">
        <x:v>Do It All Construction</x:v>
      </x:c>
      <x:c r="E969" s="60" t="str">
        <x:v>https://etsimonds.com</x:v>
      </x:c>
      <x:c r="F969" s="60" t="str">
        <x:v>https://www.etsimonds.com/</x:v>
      </x:c>
      <x:c r="G969" s="60" t="str">
        <x:v>Fountain Inn</x:v>
      </x:c>
      <x:c r="H969" s="60" t="str">
        <x:v>South Carolina</x:v>
      </x:c>
      <x:c r="I969" s="60" t="str">
        <x:v>General Contractor</x:v>
      </x:c>
      <x:c r="J969" s="60" t="str">
        <x:v>chad</x:v>
      </x:c>
      <x:c r="K969" s="60" t="str">
        <x:v>greene</x:v>
      </x:c>
      <x:c r="L969" s="60" t="str">
        <x:v>Business Owner</x:v>
      </x:c>
      <x:c r="M969" s="60" t="str"/>
      <x:c r="N969" s="60" t="str"/>
      <x:c r="O969" s="60" t="str">
        <x:v>+1 618 457 8191</x:v>
      </x:c>
      <x:c r="P969" s="60" t="str">
        <x:v>https://www.linkedin.com/in/chad-greene-392bb110b</x:v>
      </x:c>
      <x:c r="Q969" s="60" t="str">
        <x:v>11-50</x:v>
      </x:c>
      <x:c r="R969" s="60" t="str">
        <x:v>1000000-4999999</x:v>
      </x:c>
      <x:c r="S969" s="60" t="str"/>
      <x:c r="T969" s="74" t="str">
        <x:v>0</x:v>
      </x:c>
      <x:c r="U969" s="60" t="str"/>
      <x:c r="V969" s="74" t="str">
        <x:v>27</x:v>
      </x:c>
      <x:c r="W969" s="74" t="str">
        <x:v>0</x:v>
      </x:c>
      <x:c r="X969" s="74" t="str">
        <x:v>4</x:v>
      </x:c>
      <x:c r="Y969" s="74" t="str">
        <x:v>5</x:v>
      </x:c>
      <x:c r="Z969" s="74" t="str">
        <x:v>5</x:v>
      </x:c>
      <x:c r="AA969" s="74" t="str">
        <x:v>0</x:v>
      </x:c>
      <x:c r="AB969" s="74" t="str">
        <x:v>0</x:v>
      </x:c>
      <x:c r="AC969" s="74" t="str">
        <x:v>0</x:v>
      </x:c>
      <x:c r="AD969" s="74" t="str">
        <x:v>0</x:v>
      </x:c>
      <x:c r="AE969" s="74" t="str">
        <x:v>0</x:v>
      </x:c>
      <x:c r="AF969" s="74" t="str"/>
      <x:c r="AG969" s="74" t="str">
        <x:v>1</x:v>
      </x:c>
      <x:c r="AH969" s="74" t="str">
        <x:v>1</x:v>
      </x:c>
      <x:c r="AI969" s="74" t="str">
        <x:v>0</x:v>
      </x:c>
      <x:c r="AJ969" s="74" t="str">
        <x:v>0</x:v>
      </x:c>
      <x:c r="AK969" s="74" t="str">
        <x:v>0</x:v>
      </x:c>
      <x:c r="AL969" s="74" t="str">
        <x:v>0</x:v>
      </x:c>
      <x:c r="AM969" s="74" t="str">
        <x:v>1</x:v>
      </x:c>
      <x:c r="AN969" s="74" t="str">
        <x:v>0</x:v>
      </x:c>
      <x:c r="AO969" s="60" t="str">
        <x:v>0</x:v>
      </x:c>
      <x:c r="AP969" s="76" t="str">
        <x:v>ICP fit; paid-demand need requires manual verification</x:v>
      </x:c>
      <x:c r="AQ969" s="76" t="str">
        <x:v>project/gallery proof</x:v>
      </x:c>
      <x:c r="AR969" s="76" t="str">
        <x:v>I was reviewing general contractor companies in Fountain Inn, South Carolina and Do It All Construction looked like a strong fit for a creative test.</x:v>
      </x:c>
      <x:c r="AS969" s="76" t="str">
        <x:v>project walkthrough with proof milestones</x:v>
      </x:c>
      <x:c r="AT969" s="76" t="str">
        <x:v>Do It All Construction ad concept</x:v>
      </x:c>
      <x:c r="AU969" s="76" t="str">
        <x:v>Hi chad — I was reviewing general contractor companies in Fountain Inn, South Carolina and Do It All Construction looked like a strong fit for a creative test. I mapped a private 15-second project walkthrough with proof milestones for Do It All Construction using only public brand context—not for publishing, just to show the angle. We build three client-approved video ad concepts in seven days, then turn the winners into fresh variations. No filming day required. Worth sending the private sample?</x:v>
      </x:c>
      <x:c r="AV969" s="76" t="str">
        <x:v>Quick follow-up: the sample angle is a project walkthrough with proof milestones. If it misses the mark, no problem—I won't keep chasing. Should I send it?</x:v>
      </x:c>
      <x:c r="AW969" s="76" t="str">
        <x:v>Hi chad, Ryan here. I was looking at Do It All Construction's public marketing and noticed: icp fit; paid-demand need requires manual verification. I mapped one private project walkthrough with proof milestones as an example. Did I catch you with 30 seconds?</x:v>
      </x:c>
      <x:c r="AX969" s="60" t="str">
        <x:v>https://www.facebook.com/ads/library/?active_status=active&amp;ad_type=all&amp;country=US&amp;q=Do%20It%20All%20Construction&amp;search_type=keyword_unordered</x:v>
      </x:c>
      <x:c r="AY969" s="60" t="str">
        <x:v>ok:200</x:v>
      </x:c>
      <x:c r="AZ969" s="60" t="n">
        <x:v>46232.722858796296</x:v>
      </x:c>
      <x:c r="BA969" s="60" t="str">
        <x:v>AI Ark SC trades export</x:v>
      </x:c>
      <x:c r="BB969" s="60" t="str">
        <x:v>https://etsimonds.com | https://www.linkedin.com/company/do-it-all-construction</x:v>
      </x:c>
      <x:c r="BC969" s="60" t="str"/>
    </x:row>
    <x:row r="970" ht="18" customHeight="1">
      <x:c r="A970" s="70" t="str">
        <x:v>969</x:v>
      </x:c>
      <x:c r="B970" s="70" t="str">
        <x:v>D - Nurture</x:v>
      </x:c>
      <x:c r="C970" s="72" t="str">
        <x:v>41</x:v>
      </x:c>
      <x:c r="D970" s="60" t="str">
        <x:v>Lowcountry Home Loans, LLC</x:v>
      </x:c>
      <x:c r="E970" s="60" t="str">
        <x:v>https://lowcountryhomeloans.com</x:v>
      </x:c>
      <x:c r="F970" s="60" t="str">
        <x:v>https://www.lowcountryhomeloans.com/</x:v>
      </x:c>
      <x:c r="G970" s="60" t="str">
        <x:v>Charleston</x:v>
      </x:c>
      <x:c r="H970" s="60" t="str">
        <x:v>South Carolina Metropolitan Area</x:v>
      </x:c>
      <x:c r="I970" s="60" t="str">
        <x:v>General Contractor</x:v>
      </x:c>
      <x:c r="J970" s="60" t="str">
        <x:v>Taylor</x:v>
      </x:c>
      <x:c r="K970" s="60" t="str">
        <x:v>Cabaniss</x:v>
      </x:c>
      <x:c r="L970" s="60" t="str">
        <x:v>Owner/Mortgage Broker</x:v>
      </x:c>
      <x:c r="M970" s="60" t="str">
        <x:v>taylor@lowcountryhomeloans.com</x:v>
      </x:c>
      <x:c r="N970" s="60" t="str">
        <x:v>Verified with BounceBan on 26 May 26 12:32</x:v>
      </x:c>
      <x:c r="O970" s="60" t="str"/>
      <x:c r="P970" s="60" t="str">
        <x:v>https://www.linkedin.com/in/taylor-cabaniss-34213071</x:v>
      </x:c>
      <x:c r="Q970" s="60" t="str">
        <x:v>2-10</x:v>
      </x:c>
      <x:c r="R970" s="60" t="str">
        <x:v>100000-499999</x:v>
      </x:c>
      <x:c r="S970" s="60" t="str"/>
      <x:c r="T970" s="74" t="str">
        <x:v>0</x:v>
      </x:c>
      <x:c r="U970" s="60" t="str"/>
      <x:c r="V970" s="74" t="str">
        <x:v>20</x:v>
      </x:c>
      <x:c r="W970" s="74" t="str">
        <x:v>0</x:v>
      </x:c>
      <x:c r="X970" s="74" t="str">
        <x:v>10</x:v>
      </x:c>
      <x:c r="Y970" s="74" t="str">
        <x:v>4</x:v>
      </x:c>
      <x:c r="Z970" s="74" t="str">
        <x:v>7</x:v>
      </x:c>
      <x:c r="AA970" s="74" t="str">
        <x:v>0</x:v>
      </x:c>
      <x:c r="AB970" s="74" t="str">
        <x:v>0</x:v>
      </x:c>
      <x:c r="AC970" s="74" t="str">
        <x:v>0</x:v>
      </x:c>
      <x:c r="AD970" s="74" t="str">
        <x:v>0</x:v>
      </x:c>
      <x:c r="AE970" s="74" t="str">
        <x:v>0</x:v>
      </x:c>
      <x:c r="AF970" s="74" t="str"/>
      <x:c r="AG970" s="74" t="str">
        <x:v>0</x:v>
      </x:c>
      <x:c r="AH970" s="74" t="str">
        <x:v>0</x:v>
      </x:c>
      <x:c r="AI970" s="74" t="str">
        <x:v>1</x:v>
      </x:c>
      <x:c r="AJ970" s="74" t="str">
        <x:v>0</x:v>
      </x:c>
      <x:c r="AK970" s="74" t="str">
        <x:v>0</x:v>
      </x:c>
      <x:c r="AL970" s="74" t="str">
        <x:v>0</x:v>
      </x:c>
      <x:c r="AM970" s="74" t="str">
        <x:v>1</x:v>
      </x:c>
      <x:c r="AN970" s="74" t="str">
        <x:v>0</x:v>
      </x:c>
      <x:c r="AO970" s="60" t="str">
        <x:v>0</x:v>
      </x:c>
      <x:c r="AP970" s="76" t="str">
        <x:v>ICP fit; paid-demand need requires manual verification</x:v>
      </x:c>
      <x:c r="AQ970" s="76" t="str">
        <x:v>testimonials; no embedded homepage video detected</x:v>
      </x:c>
      <x:c r="AR970" s="76" t="str">
        <x:v>I was reviewing general contractor companies in Charleston, South Carolina Metropolitan Area and Lowcountry Home Loans, LLC looked like a strong fit for a creative test.</x:v>
      </x:c>
      <x:c r="AS970" s="76" t="str">
        <x:v>project walkthrough with proof milestones</x:v>
      </x:c>
      <x:c r="AT970" s="76" t="str">
        <x:v>Lowcountry Home Loans, LLC ad concept</x:v>
      </x:c>
      <x:c r="AU970" s="76" t="str">
        <x:v>Hi Taylor — I was reviewing general contractor companies in Charleston, South Carolina Metropolitan Area and Lowcountry Home Loans, LLC looked like a strong fit for a creative test. I mapped a private 15-second project walkthrough with proof milestones for Lowcountry Home Loans, LLC using only public brand context—not for publishing, just to show the angle. We build three client-approved video ad concepts in seven days, then turn the winners into fresh variations. No filming day required. Worth sending the private sample?</x:v>
      </x:c>
      <x:c r="AV970" s="76" t="str">
        <x:v>Quick follow-up: the sample angle is a project walkthrough with proof milestones. If it misses the mark, no problem—I won't keep chasing. Should I send it?</x:v>
      </x:c>
      <x:c r="AW970" s="76" t="str">
        <x:v>Hi Taylor, Ryan here. I was looking at Lowcountry Home Loans, LLC's public marketing and noticed: icp fit; paid-demand need requires manual verification. I mapped one private project walkthrough with proof milestones as an example. Did I catch you with 30 seconds?</x:v>
      </x:c>
      <x:c r="AX970" s="60" t="str">
        <x:v>https://www.facebook.com/ads/library/?active_status=active&amp;ad_type=all&amp;country=US&amp;q=Lowcountry%20Home%20Loans%2C%20LLC&amp;search_type=keyword_unordered</x:v>
      </x:c>
      <x:c r="AY970" s="60" t="str">
        <x:v>ok:200</x:v>
      </x:c>
      <x:c r="AZ970" s="60" t="n">
        <x:v>46232.722858796296</x:v>
      </x:c>
      <x:c r="BA970" s="60" t="str">
        <x:v>AI Ark SC trades export</x:v>
      </x:c>
      <x:c r="BB970" s="60" t="str">
        <x:v>https://lowcountryhomeloans.com | https://www.linkedin.com/company/lowcountry-home-loans-llc</x:v>
      </x:c>
      <x:c r="BC970" s="60" t="str"/>
    </x:row>
    <x:row r="971" ht="18" customHeight="1">
      <x:c r="A971" s="70" t="str">
        <x:v>970</x:v>
      </x:c>
      <x:c r="B971" s="70" t="str">
        <x:v>D - Nurture</x:v>
      </x:c>
      <x:c r="C971" s="72" t="str">
        <x:v>41</x:v>
      </x:c>
      <x:c r="D971" s="60" t="str">
        <x:v>Superior Painting</x:v>
      </x:c>
      <x:c r="E971" s="60" t="str">
        <x:v>https://ck.page</x:v>
      </x:c>
      <x:c r="F971" s="60" t="str">
        <x:v>https://kit.com/features/landing-pages</x:v>
      </x:c>
      <x:c r="G971" s="60" t="str">
        <x:v>Georgetown</x:v>
      </x:c>
      <x:c r="H971" s="60" t="str">
        <x:v>South Carolina</x:v>
      </x:c>
      <x:c r="I971" s="60" t="str">
        <x:v>General Contractor</x:v>
      </x:c>
      <x:c r="J971" s="60" t="str">
        <x:v>Charles</x:v>
      </x:c>
      <x:c r="K971" s="60" t="str">
        <x:v>Burke</x:v>
      </x:c>
      <x:c r="L971" s="60" t="str">
        <x:v>Company Owner</x:v>
      </x:c>
      <x:c r="M971" s="60" t="str"/>
      <x:c r="N971" s="60" t="str"/>
      <x:c r="O971" s="60" t="str">
        <x:v>+1 609 705 4603, +1 843 742 8332</x:v>
      </x:c>
      <x:c r="P971" s="60" t="str">
        <x:v>https://www.linkedin.com/in/charles-burke-72763216a</x:v>
      </x:c>
      <x:c r="Q971" s="60" t="str">
        <x:v>11-50</x:v>
      </x:c>
      <x:c r="R971" s="60" t="str">
        <x:v>5000000-9999999</x:v>
      </x:c>
      <x:c r="S971" s="60" t="str"/>
      <x:c r="T971" s="74" t="str">
        <x:v>0</x:v>
      </x:c>
      <x:c r="U971" s="60" t="str"/>
      <x:c r="V971" s="74" t="str">
        <x:v>27</x:v>
      </x:c>
      <x:c r="W971" s="74" t="str">
        <x:v>0</x:v>
      </x:c>
      <x:c r="X971" s="74" t="str">
        <x:v>6</x:v>
      </x:c>
      <x:c r="Y971" s="74" t="str">
        <x:v>3</x:v>
      </x:c>
      <x:c r="Z971" s="74" t="str">
        <x:v>5</x:v>
      </x:c>
      <x:c r="AA971" s="74" t="str">
        <x:v>0</x:v>
      </x:c>
      <x:c r="AB971" s="74" t="str">
        <x:v>0</x:v>
      </x:c>
      <x:c r="AC971" s="74" t="str">
        <x:v>0</x:v>
      </x:c>
      <x:c r="AD971" s="74" t="str">
        <x:v>0</x:v>
      </x:c>
      <x:c r="AE971" s="74" t="str">
        <x:v>0</x:v>
      </x:c>
      <x:c r="AF971" s="74" t="str"/>
      <x:c r="AG971" s="74" t="str">
        <x:v>0</x:v>
      </x:c>
      <x:c r="AH971" s="74" t="str">
        <x:v>0</x:v>
      </x:c>
      <x:c r="AI971" s="74" t="str">
        <x:v>0</x:v>
      </x:c>
      <x:c r="AJ971" s="74" t="str">
        <x:v>0</x:v>
      </x:c>
      <x:c r="AK971" s="74" t="str">
        <x:v>1</x:v>
      </x:c>
      <x:c r="AL971" s="74" t="str">
        <x:v>1</x:v>
      </x:c>
      <x:c r="AM971" s="74" t="str">
        <x:v>1</x:v>
      </x:c>
      <x:c r="AN971" s="74" t="str">
        <x:v>1</x:v>
      </x:c>
      <x:c r="AO971" s="60" t="str">
        <x:v>2026</x:v>
      </x:c>
      <x:c r="AP971" s="76" t="str">
        <x:v>ICP fit; paid-demand need requires manual verification</x:v>
      </x:c>
      <x:c r="AQ971" s="76" t="str">
        <x:v>visible service offer; no embedded homepage video detected</x:v>
      </x:c>
      <x:c r="AR971" s="76" t="str">
        <x:v>I was reviewing general contractor companies in Georgetown, South Carolina and Superior Painting looked like a strong fit for a creative test.</x:v>
      </x:c>
      <x:c r="AS971" s="76" t="str">
        <x:v>project walkthrough with proof milestones</x:v>
      </x:c>
      <x:c r="AT971" s="76" t="str">
        <x:v>Superior Painting ad concept</x:v>
      </x:c>
      <x:c r="AU971" s="76" t="str">
        <x:v>Hi Charles — I was reviewing general contractor companies in Georgetown, South Carolina and Superior Painting looked like a strong fit for a creative test. I mapped a private 15-second project walkthrough with proof milestones for Superior Painting using only public brand context—not for publishing, just to show the angle. We build three client-approved video ad concepts in seven days, then turn the winners into fresh variations. No filming day required. Worth sending the private sample?</x:v>
      </x:c>
      <x:c r="AV971" s="76" t="str">
        <x:v>Quick follow-up: the sample angle is a project walkthrough with proof milestones. If it misses the mark, no problem—I won't keep chasing. Should I send it?</x:v>
      </x:c>
      <x:c r="AW971" s="76" t="str">
        <x:v>Hi Charles, Ryan here. I was looking at Superior Painting's public marketing and noticed: icp fit; paid-demand need requires manual verification. I mapped one private project walkthrough with proof milestones as an example. Did I catch you with 30 seconds?</x:v>
      </x:c>
      <x:c r="AX971" s="60" t="str">
        <x:v>https://www.facebook.com/ads/library/?active_status=active&amp;ad_type=all&amp;country=US&amp;q=Superior%20Painting&amp;search_type=keyword_unordered</x:v>
      </x:c>
      <x:c r="AY971" s="60" t="str">
        <x:v>ok:200</x:v>
      </x:c>
      <x:c r="AZ971" s="60" t="n">
        <x:v>46232.722858796296</x:v>
      </x:c>
      <x:c r="BA971" s="60" t="str">
        <x:v>AI Ark SC trades export</x:v>
      </x:c>
      <x:c r="BB971" s="60" t="str">
        <x:v>https://ck.page | https://www.linkedin.com/company/superior-painting</x:v>
      </x:c>
      <x:c r="BC971" s="60" t="str"/>
    </x:row>
    <x:row r="972" ht="18" customHeight="1">
      <x:c r="A972" s="70" t="str">
        <x:v>971</x:v>
      </x:c>
      <x:c r="B972" s="70" t="str">
        <x:v>D - Nurture</x:v>
      </x:c>
      <x:c r="C972" s="72" t="str">
        <x:v>41</x:v>
      </x:c>
      <x:c r="D972" s="60" t="str">
        <x:v>National Electric &amp; Emergency Services</x:v>
      </x:c>
      <x:c r="E972" s="60" t="str">
        <x:v>https://tristatesc.com</x:v>
      </x:c>
      <x:c r="F972" s="60" t="str">
        <x:v>https://tristatesc.com</x:v>
      </x:c>
      <x:c r="G972" s="60" t="str">
        <x:v>Greenville</x:v>
      </x:c>
      <x:c r="H972" s="60" t="str">
        <x:v>South Carolina</x:v>
      </x:c>
      <x:c r="I972" s="60" t="str">
        <x:v>Electrical</x:v>
      </x:c>
      <x:c r="J972" s="60" t="str">
        <x:v>National Electric &amp; Emergency Services</x:v>
      </x:c>
      <x:c r="K972" s="60" t="str"/>
      <x:c r="L972" s="60" t="str">
        <x:v>Owner / decision maker to verify</x:v>
      </x:c>
      <x:c r="M972" s="60" t="str"/>
      <x:c r="N972" s="60" t="str"/>
      <x:c r="O972" s="60" t="str">
        <x:v>(864) 918-3321</x:v>
      </x:c>
      <x:c r="P972" s="60" t="str"/>
      <x:c r="Q972" s="60" t="str"/>
      <x:c r="R972" s="60" t="str"/>
      <x:c r="S972" s="60" t="str">
        <x:v>4.8</x:v>
      </x:c>
      <x:c r="T972" s="74" t="str">
        <x:v>133</x:v>
      </x:c>
      <x:c r="U972" s="60" t="str"/>
      <x:c r="V972" s="74" t="str">
        <x:v>23</x:v>
      </x:c>
      <x:c r="W972" s="74" t="str">
        <x:v>0</x:v>
      </x:c>
      <x:c r="X972" s="74" t="str">
        <x:v>10</x:v>
      </x:c>
      <x:c r="Y972" s="74" t="str">
        <x:v>3</x:v>
      </x:c>
      <x:c r="Z972" s="74" t="str">
        <x:v>5</x:v>
      </x:c>
      <x:c r="AA972" s="74" t="str">
        <x:v>0</x:v>
      </x:c>
      <x:c r="AB972" s="74" t="str">
        <x:v>0</x:v>
      </x:c>
      <x:c r="AC972" s="74" t="str">
        <x:v>0</x:v>
      </x:c>
      <x:c r="AD972" s="74" t="str">
        <x:v>0</x:v>
      </x:c>
      <x:c r="AE972" s="74" t="str">
        <x:v>0</x:v>
      </x:c>
      <x:c r="AF972" s="74" t="str"/>
      <x:c r="AG972" s="74" t="str">
        <x:v>0</x:v>
      </x:c>
      <x:c r="AH972" s="74" t="str">
        <x:v>0</x:v>
      </x:c>
      <x:c r="AI972" s="74" t="str">
        <x:v>0</x:v>
      </x:c>
      <x:c r="AJ972" s="74" t="str">
        <x:v>0</x:v>
      </x:c>
      <x:c r="AK972" s="74" t="str">
        <x:v>0</x:v>
      </x:c>
      <x:c r="AL972" s="74" t="str">
        <x:v>0</x:v>
      </x:c>
      <x:c r="AM972" s="74" t="str">
        <x:v>0</x:v>
      </x:c>
      <x:c r="AN972" s="74" t="str">
        <x:v>0</x:v>
      </x:c>
      <x:c r="AO972" s="60" t="str">
        <x:v>0</x:v>
      </x:c>
      <x:c r="AP972" s="76" t="str">
        <x:v>133 Google reviews; no embedded homepage video found</x:v>
      </x:c>
      <x:c r="AQ972" s="76" t="str">
        <x:v>no embedded homepage video detected</x:v>
      </x:c>
      <x:c r="AR972" s="76" t="str">
        <x:v>National Electric &amp; Emergency Services has 133 Google reviews—strong proof that could be turned into short-form ad concepts.</x:v>
      </x:c>
      <x:c r="AS972" s="76" t="str">
        <x:v>safety inspection problem/solution ad</x:v>
      </x:c>
      <x:c r="AT972" s="76" t="str">
        <x:v>National Electric &amp; Emergency Services ad concept</x:v>
      </x:c>
      <x:c r="AU972" s="76" t="str">
        <x:v>Hi National Electric &amp; Emergency Services — National Electric &amp; Emergency Services has 133 Google reviews—strong proof that could be turned into short-form ad concepts. I mapped a private 15-second safety inspection problem/solution ad for National Electric &amp; Emergency Services using only public brand context—not for publishing, just to show the angle. We build three client-approved video ad concepts in seven days, then turn the winners into fresh variations. No filming day required. Worth sending the private sample?</x:v>
      </x:c>
      <x:c r="AV972" s="76" t="str">
        <x:v>Quick follow-up: the sample angle is a safety inspection problem/solution ad. If it misses the mark, no problem—I won't keep chasing. Should I send it?</x:v>
      </x:c>
      <x:c r="AW972" s="76" t="str">
        <x:v>Hi National Electric &amp; Emergency Services, Ryan here. I was looking at National Electric &amp; Emergency Services's public marketing and noticed: 133 google reviews; no embedded homepage video found. I mapped one private safety inspection problem/solution ad as an example. Did I catch you with 30 seconds?</x:v>
      </x:c>
      <x:c r="AX972" s="60" t="str">
        <x:v>https://www.facebook.com/ads/library/?active_status=active&amp;ad_type=all&amp;country=US&amp;q=National%20Electric%20%26%20Emergency%20Services&amp;search_type=keyword_unordered</x:v>
      </x:c>
      <x:c r="AY972" s="60" t="str">
        <x:v>ok:200</x:v>
      </x:c>
      <x:c r="AZ972" s="60" t="n">
        <x:v>46232.722858796296</x:v>
      </x:c>
      <x:c r="BA972" s="60" t="str">
        <x:v>Google Maps home-services export</x:v>
      </x:c>
      <x:c r="BB972" s="60" t="str">
        <x:v>https://maps.google.com/?cid=10948566501424851616&amp;g_mp=Cidnb29nbGUubWFwcy5wbGFjZXMudjEuUGxhY2VzLlNlYXJjaFRleHQQAhgEIAA | https://tristatesc.com</x:v>
      </x:c>
      <x:c r="BC972" s="60" t="str"/>
    </x:row>
    <x:row r="973" ht="18" customHeight="1">
      <x:c r="A973" s="70" t="str">
        <x:v>972</x:v>
      </x:c>
      <x:c r="B973" s="70" t="str">
        <x:v>D - Nurture</x:v>
      </x:c>
      <x:c r="C973" s="72" t="str">
        <x:v>41</x:v>
      </x:c>
      <x:c r="D973" s="60" t="str">
        <x:v>Blythewood Garage Doors LLC</x:v>
      </x:c>
      <x:c r="E973" s="60" t="str">
        <x:v>https://blythewoodgaragedoors.com</x:v>
      </x:c>
      <x:c r="F973" s="60" t="str">
        <x:v>https://www.blythewoodgaragedoors.com/</x:v>
      </x:c>
      <x:c r="G973" s="60" t="str">
        <x:v>Columbia</x:v>
      </x:c>
      <x:c r="H973" s="60" t="str">
        <x:v>South Carolina</x:v>
      </x:c>
      <x:c r="I973" s="60" t="str">
        <x:v>Garage Doors</x:v>
      </x:c>
      <x:c r="J973" s="60" t="str">
        <x:v>Blythewood Garage Doors LLC</x:v>
      </x:c>
      <x:c r="K973" s="60" t="str"/>
      <x:c r="L973" s="60" t="str">
        <x:v>Owner / decision maker to verify</x:v>
      </x:c>
      <x:c r="M973" s="60" t="str"/>
      <x:c r="N973" s="60" t="str"/>
      <x:c r="O973" s="60" t="str">
        <x:v>(803) 638-4130</x:v>
      </x:c>
      <x:c r="P973" s="60" t="str"/>
      <x:c r="Q973" s="60" t="str"/>
      <x:c r="R973" s="60" t="str"/>
      <x:c r="S973" s="60" t="str">
        <x:v>5</x:v>
      </x:c>
      <x:c r="T973" s="74" t="str">
        <x:v>10</x:v>
      </x:c>
      <x:c r="U973" s="60" t="str"/>
      <x:c r="V973" s="74" t="str">
        <x:v>20</x:v>
      </x:c>
      <x:c r="W973" s="74" t="str">
        <x:v>0</x:v>
      </x:c>
      <x:c r="X973" s="74" t="str">
        <x:v>13</x:v>
      </x:c>
      <x:c r="Y973" s="74" t="str">
        <x:v>3</x:v>
      </x:c>
      <x:c r="Z973" s="74" t="str">
        <x:v>5</x:v>
      </x:c>
      <x:c r="AA973" s="74" t="str">
        <x:v>0</x:v>
      </x:c>
      <x:c r="AB973" s="74" t="str">
        <x:v>0</x:v>
      </x:c>
      <x:c r="AC973" s="74" t="str">
        <x:v>0</x:v>
      </x:c>
      <x:c r="AD973" s="74" t="str">
        <x:v>0</x:v>
      </x:c>
      <x:c r="AE973" s="74" t="str">
        <x:v>0</x:v>
      </x:c>
      <x:c r="AF973" s="74" t="str"/>
      <x:c r="AG973" s="74" t="str">
        <x:v>0</x:v>
      </x:c>
      <x:c r="AH973" s="74" t="str">
        <x:v>0</x:v>
      </x:c>
      <x:c r="AI973" s="74" t="str">
        <x:v>0</x:v>
      </x:c>
      <x:c r="AJ973" s="74" t="str">
        <x:v>0</x:v>
      </x:c>
      <x:c r="AK973" s="74" t="str">
        <x:v>1</x:v>
      </x:c>
      <x:c r="AL973" s="74" t="str">
        <x:v>0</x:v>
      </x:c>
      <x:c r="AM973" s="74" t="str">
        <x:v>1</x:v>
      </x:c>
      <x:c r="AN973" s="74" t="str">
        <x:v>0</x:v>
      </x:c>
      <x:c r="AO973" s="60" t="str">
        <x:v>2021</x:v>
      </x:c>
      <x:c r="AP973" s="76" t="str">
        <x:v>ICP fit; paid-demand need requires manual verification</x:v>
      </x:c>
      <x:c r="AQ973" s="76" t="str">
        <x:v>visible service offer; no embedded homepage video detected</x:v>
      </x:c>
      <x:c r="AR973" s="76" t="str">
        <x:v>I was reviewing garage doors companies in Columbia, South Carolina and Blythewood Garage Doors LLC looked like a strong fit for a creative test.</x:v>
      </x:c>
      <x:c r="AS973" s="76" t="str">
        <x:v>curb-appeal transformation ad</x:v>
      </x:c>
      <x:c r="AT973" s="76" t="str">
        <x:v>Blythewood Garage Doors LLC ad concept</x:v>
      </x:c>
      <x:c r="AU973" s="76" t="str">
        <x:v>Hi Blythewood Garage Doors LLC — I was reviewing garage doors companies in Columbia, South Carolina and Blythewood Garage Doors LLC looked like a strong fit for a creative test. I mapped a private 15-second curb-appeal transformation ad for Blythewood Garage Doors LLC using only public brand context—not for publishing, just to show the angle. We build three client-approved video ad concepts in seven days, then turn the winners into fresh variations. No filming day required. Worth sending the private sample?</x:v>
      </x:c>
      <x:c r="AV973" s="76" t="str">
        <x:v>Quick follow-up: the sample angle is a curb-appeal transformation ad. If it misses the mark, no problem—I won't keep chasing. Should I send it?</x:v>
      </x:c>
      <x:c r="AW973" s="76" t="str">
        <x:v>Hi Blythewood Garage Doors LLC, Ryan here. I was looking at Blythewood Garage Doors LLC's public marketing and noticed: icp fit; paid-demand need requires manual verification. I mapped one private curb-appeal transformation ad as an example. Did I catch you with 30 seconds?</x:v>
      </x:c>
      <x:c r="AX973" s="60" t="str">
        <x:v>https://www.facebook.com/ads/library/?active_status=active&amp;ad_type=all&amp;country=US&amp;q=Blythewood%20Garage%20Doors%20LLC&amp;search_type=keyword_unordered</x:v>
      </x:c>
      <x:c r="AY973" s="60" t="str">
        <x:v>ok:200</x:v>
      </x:c>
      <x:c r="AZ973" s="60" t="n">
        <x:v>46232.722858796296</x:v>
      </x:c>
      <x:c r="BA973" s="60" t="str">
        <x:v>Google Maps home-services export</x:v>
      </x:c>
      <x:c r="BB973" s="60" t="str">
        <x:v>https://blythewoodgaragedoors.com | https://maps.google.com/?cid=1717550574713423604&amp;g_mp=Cidnb29nbGUubWFwcy5wbGFjZXMudjEuUGxhY2VzLlNlYXJjaFRleHQQAhgEIAA</x:v>
      </x:c>
      <x:c r="BC973" s="60" t="str"/>
    </x:row>
    <x:row r="974" ht="18" customHeight="1">
      <x:c r="A974" s="70" t="str">
        <x:v>973</x:v>
      </x:c>
      <x:c r="B974" s="70" t="str">
        <x:v>D - Nurture</x:v>
      </x:c>
      <x:c r="C974" s="72" t="str">
        <x:v>41</x:v>
      </x:c>
      <x:c r="D974" s="60" t="str">
        <x:v>Backup Power Pro</x:v>
      </x:c>
      <x:c r="E974" s="60" t="str">
        <x:v>https://backuppowerpro.com</x:v>
      </x:c>
      <x:c r="F974" s="60" t="str">
        <x:v>https://backuppowerpro.com</x:v>
      </x:c>
      <x:c r="G974" s="60" t="str">
        <x:v>Greenville</x:v>
      </x:c>
      <x:c r="H974" s="60" t="str">
        <x:v>South Carolina</x:v>
      </x:c>
      <x:c r="I974" s="60" t="str">
        <x:v>Electrical</x:v>
      </x:c>
      <x:c r="J974" s="60" t="str">
        <x:v>Backup Power Pro</x:v>
      </x:c>
      <x:c r="K974" s="60" t="str"/>
      <x:c r="L974" s="60" t="str">
        <x:v>Owner / decision maker to verify</x:v>
      </x:c>
      <x:c r="M974" s="60" t="str"/>
      <x:c r="N974" s="60" t="str"/>
      <x:c r="O974" s="60" t="str">
        <x:v>(864) 863-8009</x:v>
      </x:c>
      <x:c r="P974" s="60" t="str"/>
      <x:c r="Q974" s="60" t="str"/>
      <x:c r="R974" s="60" t="str"/>
      <x:c r="S974" s="60" t="str">
        <x:v>4.9</x:v>
      </x:c>
      <x:c r="T974" s="74" t="str">
        <x:v>103</x:v>
      </x:c>
      <x:c r="U974" s="60" t="str"/>
      <x:c r="V974" s="74" t="str">
        <x:v>23</x:v>
      </x:c>
      <x:c r="W974" s="74" t="str">
        <x:v>0</x:v>
      </x:c>
      <x:c r="X974" s="74" t="str">
        <x:v>10</x:v>
      </x:c>
      <x:c r="Y974" s="74" t="str">
        <x:v>3</x:v>
      </x:c>
      <x:c r="Z974" s="74" t="str">
        <x:v>5</x:v>
      </x:c>
      <x:c r="AA974" s="74" t="str">
        <x:v>0</x:v>
      </x:c>
      <x:c r="AB974" s="74" t="str">
        <x:v>0</x:v>
      </x:c>
      <x:c r="AC974" s="74" t="str">
        <x:v>0</x:v>
      </x:c>
      <x:c r="AD974" s="74" t="str">
        <x:v>0</x:v>
      </x:c>
      <x:c r="AE974" s="74" t="str">
        <x:v>0</x:v>
      </x:c>
      <x:c r="AF974" s="74" t="str"/>
      <x:c r="AG974" s="74" t="str">
        <x:v>0</x:v>
      </x:c>
      <x:c r="AH974" s="74" t="str">
        <x:v>0</x:v>
      </x:c>
      <x:c r="AI974" s="74" t="str">
        <x:v>0</x:v>
      </x:c>
      <x:c r="AJ974" s="74" t="str">
        <x:v>0</x:v>
      </x:c>
      <x:c r="AK974" s="74" t="str">
        <x:v>0</x:v>
      </x:c>
      <x:c r="AL974" s="74" t="str">
        <x:v>0</x:v>
      </x:c>
      <x:c r="AM974" s="74" t="str">
        <x:v>0</x:v>
      </x:c>
      <x:c r="AN974" s="74" t="str">
        <x:v>0</x:v>
      </x:c>
      <x:c r="AO974" s="60" t="str">
        <x:v>0</x:v>
      </x:c>
      <x:c r="AP974" s="76" t="str">
        <x:v>103 Google reviews; no embedded homepage video found</x:v>
      </x:c>
      <x:c r="AQ974" s="76" t="str">
        <x:v>no embedded homepage video detected</x:v>
      </x:c>
      <x:c r="AR974" s="76" t="str">
        <x:v>Backup Power Pro has 103 Google reviews—strong proof that could be turned into short-form ad concepts.</x:v>
      </x:c>
      <x:c r="AS974" s="76" t="str">
        <x:v>safety inspection problem/solution ad</x:v>
      </x:c>
      <x:c r="AT974" s="76" t="str">
        <x:v>Backup Power Pro ad concept</x:v>
      </x:c>
      <x:c r="AU974" s="76" t="str">
        <x:v>Hi Backup Power Pro — Backup Power Pro has 103 Google reviews—strong proof that could be turned into short-form ad concepts. I mapped a private 15-second safety inspection problem/solution ad for Backup Power Pro using only public brand context—not for publishing, just to show the angle. We build three client-approved video ad concepts in seven days, then turn the winners into fresh variations. No filming day required. Worth sending the private sample?</x:v>
      </x:c>
      <x:c r="AV974" s="76" t="str">
        <x:v>Quick follow-up: the sample angle is a safety inspection problem/solution ad. If it misses the mark, no problem—I won't keep chasing. Should I send it?</x:v>
      </x:c>
      <x:c r="AW974" s="76" t="str">
        <x:v>Hi Backup Power Pro, Ryan here. I was looking at Backup Power Pro's public marketing and noticed: 103 google reviews; no embedded homepage video found. I mapped one private safety inspection problem/solution ad as an example. Did I catch you with 30 seconds?</x:v>
      </x:c>
      <x:c r="AX974" s="60" t="str">
        <x:v>https://www.facebook.com/ads/library/?active_status=active&amp;ad_type=all&amp;country=US&amp;q=Backup%20Power%20Pro&amp;search_type=keyword_unordered</x:v>
      </x:c>
      <x:c r="AY974" s="60" t="str">
        <x:v>ok:200</x:v>
      </x:c>
      <x:c r="AZ974" s="60" t="n">
        <x:v>46232.722858796296</x:v>
      </x:c>
      <x:c r="BA974" s="60" t="str">
        <x:v>Google Maps home-services export</x:v>
      </x:c>
      <x:c r="BB974" s="60" t="str">
        <x:v>https://backuppowerpro.com | https://maps.google.com/?cid=13804809858339523420&amp;g_mp=Cidnb29nbGUubWFwcy5wbGFjZXMudjEuUGxhY2VzLlNlYXJjaFRleHQQAhgEIAA</x:v>
      </x:c>
      <x:c r="BC974" s="60" t="str"/>
    </x:row>
    <x:row r="975" ht="18" customHeight="1">
      <x:c r="A975" s="70" t="str">
        <x:v>974</x:v>
      </x:c>
      <x:c r="B975" s="70" t="str">
        <x:v>D - Nurture</x:v>
      </x:c>
      <x:c r="C975" s="72" t="str">
        <x:v>41</x:v>
      </x:c>
      <x:c r="D975" s="60" t="str">
        <x:v>A Good Plumber</x:v>
      </x:c>
      <x:c r="E975" s="60" t="str">
        <x:v>https://charlestonplumbing.co</x:v>
      </x:c>
      <x:c r="F975" s="60" t="str">
        <x:v>https://charlestonplumbing.co</x:v>
      </x:c>
      <x:c r="G975" s="60" t="str">
        <x:v>Goose Creek</x:v>
      </x:c>
      <x:c r="H975" s="60" t="str">
        <x:v>South Carolina</x:v>
      </x:c>
      <x:c r="I975" s="60" t="str">
        <x:v>Plumbing</x:v>
      </x:c>
      <x:c r="J975" s="60" t="str">
        <x:v>A Good Plumber</x:v>
      </x:c>
      <x:c r="K975" s="60" t="str"/>
      <x:c r="L975" s="60" t="str">
        <x:v>Owner / decision maker to verify</x:v>
      </x:c>
      <x:c r="M975" s="60" t="str"/>
      <x:c r="N975" s="60" t="str"/>
      <x:c r="O975" s="60" t="str">
        <x:v>(843) 847-1968</x:v>
      </x:c>
      <x:c r="P975" s="60" t="str"/>
      <x:c r="Q975" s="60" t="str"/>
      <x:c r="R975" s="60" t="str"/>
      <x:c r="S975" s="60" t="str">
        <x:v>4.3</x:v>
      </x:c>
      <x:c r="T975" s="74" t="str">
        <x:v>105</x:v>
      </x:c>
      <x:c r="U975" s="60" t="str">
        <x:v>no_show, communication</x:v>
      </x:c>
      <x:c r="V975" s="74" t="str">
        <x:v>24</x:v>
      </x:c>
      <x:c r="W975" s="74" t="str">
        <x:v>0</x:v>
      </x:c>
      <x:c r="X975" s="74" t="str">
        <x:v>12</x:v>
      </x:c>
      <x:c r="Y975" s="74" t="str">
        <x:v>3</x:v>
      </x:c>
      <x:c r="Z975" s="74" t="str">
        <x:v>5</x:v>
      </x:c>
      <x:c r="AA975" s="74" t="str">
        <x:v>0</x:v>
      </x:c>
      <x:c r="AB975" s="74" t="str">
        <x:v>0</x:v>
      </x:c>
      <x:c r="AC975" s="74" t="str">
        <x:v>0</x:v>
      </x:c>
      <x:c r="AD975" s="74" t="str">
        <x:v>0</x:v>
      </x:c>
      <x:c r="AE975" s="74" t="str">
        <x:v>0</x:v>
      </x:c>
      <x:c r="AF975" s="74" t="str"/>
      <x:c r="AG975" s="74" t="str">
        <x:v>0</x:v>
      </x:c>
      <x:c r="AH975" s="74" t="str">
        <x:v>0</x:v>
      </x:c>
      <x:c r="AI975" s="74" t="str">
        <x:v>0</x:v>
      </x:c>
      <x:c r="AJ975" s="74" t="str">
        <x:v>0</x:v>
      </x:c>
      <x:c r="AK975" s="74" t="str">
        <x:v>0</x:v>
      </x:c>
      <x:c r="AL975" s="74" t="str">
        <x:v>0</x:v>
      </x:c>
      <x:c r="AM975" s="74" t="str">
        <x:v>0</x:v>
      </x:c>
      <x:c r="AN975" s="74" t="str">
        <x:v>0</x:v>
      </x:c>
      <x:c r="AO975" s="60" t="str">
        <x:v>0</x:v>
      </x:c>
      <x:c r="AP975" s="76" t="str">
        <x:v>105 Google reviews; no embedded homepage video found</x:v>
      </x:c>
      <x:c r="AQ975" s="76" t="str">
        <x:v>no embedded homepage video detected</x:v>
      </x:c>
      <x:c r="AR975" s="76" t="str">
        <x:v>A Good Plumber has 105 Google reviews—strong proof that could be turned into short-form ad concepts.</x:v>
      </x:c>
      <x:c r="AS975" s="76" t="str">
        <x:v>small symptom to prevented-emergency ad</x:v>
      </x:c>
      <x:c r="AT975" s="76" t="str">
        <x:v>A Good Plumber ad concept</x:v>
      </x:c>
      <x:c r="AU975" s="76" t="str">
        <x:v>Hi A Good Plumber — A Good Plumber has 105 Google reviews—strong proof that could be turned into short-form ad concepts. I mapped a private 15-second small symptom to prevented-emergency ad for A Good Plumber using only public brand context—not for publishing, just to show the angle. We build three client-approved video ad concepts in seven days, then turn the winners into fresh variations. No filming day required. Worth sending the private sample?</x:v>
      </x:c>
      <x:c r="AV975" s="76" t="str">
        <x:v>Quick follow-up: the sample angle is a small symptom to prevented-emergency ad. If it misses the mark, no problem—I won't keep chasing. Should I send it?</x:v>
      </x:c>
      <x:c r="AW975" s="76" t="str">
        <x:v>Hi A Good Plumber, Ryan here. I was looking at A Good Plumber's public marketing and noticed: 105 google reviews; no embedded homepage video found. I mapped one private small symptom to prevented-emergency ad as an example. Did I catch you with 30 seconds?</x:v>
      </x:c>
      <x:c r="AX975" s="60" t="str">
        <x:v>https://www.facebook.com/ads/library/?active_status=active&amp;ad_type=all&amp;country=US&amp;q=A%20Good%20Plumber&amp;search_type=keyword_unordered</x:v>
      </x:c>
      <x:c r="AY975" s="60" t="str">
        <x:v>url_error:TimeoutError</x:v>
      </x:c>
      <x:c r="AZ975" s="60" t="n">
        <x:v>46232.722858796296</x:v>
      </x:c>
      <x:c r="BA975" s="60" t="str">
        <x:v>Google Maps home-services export</x:v>
      </x:c>
      <x:c r="BB975" s="60" t="str">
        <x:v>https://charlestonplumbing.co | https://maps.google.com/?cid=4964442622594682619&amp;g_mp=Cidnb29nbGUubWFwcy5wbGFjZXMudjEuUGxhY2VzLlNlYXJjaFRleHQQAhgEIAA</x:v>
      </x:c>
      <x:c r="BC975" s="60" t="str"/>
    </x:row>
    <x:row r="976" ht="18" customHeight="1">
      <x:c r="A976" s="70" t="str">
        <x:v>975</x:v>
      </x:c>
      <x:c r="B976" s="70" t="str">
        <x:v>D - Nurture</x:v>
      </x:c>
      <x:c r="C976" s="72" t="str">
        <x:v>41</x:v>
      </x:c>
      <x:c r="D976" s="60" t="str">
        <x:v>The Roofing Guy LLC</x:v>
      </x:c>
      <x:c r="E976" s="60" t="str">
        <x:v>https://roofingguyllc.com</x:v>
      </x:c>
      <x:c r="F976" s="60" t="str">
        <x:v>https://roofingguyllc.com</x:v>
      </x:c>
      <x:c r="G976" s="60" t="str">
        <x:v>Rock Hill</x:v>
      </x:c>
      <x:c r="H976" s="60" t="str">
        <x:v>South Carolina</x:v>
      </x:c>
      <x:c r="I976" s="60" t="str">
        <x:v>Roofing</x:v>
      </x:c>
      <x:c r="J976" s="60" t="str">
        <x:v>The Roofing Guy LLC</x:v>
      </x:c>
      <x:c r="K976" s="60" t="str"/>
      <x:c r="L976" s="60" t="str">
        <x:v>Owner / decision maker to verify</x:v>
      </x:c>
      <x:c r="M976" s="60" t="str"/>
      <x:c r="N976" s="60" t="str"/>
      <x:c r="O976" s="60" t="str">
        <x:v>(803) 386-2000</x:v>
      </x:c>
      <x:c r="P976" s="60" t="str"/>
      <x:c r="Q976" s="60" t="str"/>
      <x:c r="R976" s="60" t="str"/>
      <x:c r="S976" s="60" t="str">
        <x:v>4.6</x:v>
      </x:c>
      <x:c r="T976" s="74" t="str">
        <x:v>43</x:v>
      </x:c>
      <x:c r="U976" s="60" t="str"/>
      <x:c r="V976" s="74" t="str">
        <x:v>27</x:v>
      </x:c>
      <x:c r="W976" s="74" t="str">
        <x:v>0</x:v>
      </x:c>
      <x:c r="X976" s="74" t="str">
        <x:v>10</x:v>
      </x:c>
      <x:c r="Y976" s="74" t="str">
        <x:v>2</x:v>
      </x:c>
      <x:c r="Z976" s="74" t="str">
        <x:v>5</x:v>
      </x:c>
      <x:c r="AA976" s="74" t="str">
        <x:v>0</x:v>
      </x:c>
      <x:c r="AB976" s="74" t="str">
        <x:v>0</x:v>
      </x:c>
      <x:c r="AC976" s="74" t="str">
        <x:v>0</x:v>
      </x:c>
      <x:c r="AD976" s="74" t="str">
        <x:v>0</x:v>
      </x:c>
      <x:c r="AE976" s="74" t="str">
        <x:v>0</x:v>
      </x:c>
      <x:c r="AF976" s="74" t="str"/>
      <x:c r="AG976" s="74" t="str">
        <x:v>0</x:v>
      </x:c>
      <x:c r="AH976" s="74" t="str">
        <x:v>0</x:v>
      </x:c>
      <x:c r="AI976" s="74" t="str">
        <x:v>0</x:v>
      </x:c>
      <x:c r="AJ976" s="74" t="str">
        <x:v>0</x:v>
      </x:c>
      <x:c r="AK976" s="74" t="str">
        <x:v>0</x:v>
      </x:c>
      <x:c r="AL976" s="74" t="str">
        <x:v>0</x:v>
      </x:c>
      <x:c r="AM976" s="74" t="str">
        <x:v>0</x:v>
      </x:c>
      <x:c r="AN976" s="74" t="str">
        <x:v>0</x:v>
      </x:c>
      <x:c r="AO976" s="60" t="str">
        <x:v>0</x:v>
      </x:c>
      <x:c r="AP976" s="76" t="str">
        <x:v>ICP fit; paid-demand need requires manual verification</x:v>
      </x:c>
      <x:c r="AQ976" s="76" t="str">
        <x:v>no embedded homepage video detected</x:v>
      </x:c>
      <x:c r="AR976" s="76" t="str">
        <x:v>I was reviewing roofing companies in Rock Hill, South Carolina and The Roofing Guy LLC looked like a strong fit for a creative test.</x:v>
      </x:c>
      <x:c r="AS976" s="76" t="str">
        <x:v>storm-to-inspection before/after ad</x:v>
      </x:c>
      <x:c r="AT976" s="76" t="str">
        <x:v>The Roofing Guy LLC ad concept</x:v>
      </x:c>
      <x:c r="AU976" s="76" t="str">
        <x:v>Hi The Roofing Guy LLC — I was reviewing roofing companies in Rock Hill, South Carolina and The Roofing Guy LLC looked like a strong fit for a creative test. I mapped a private 15-second storm-to-inspection before/after ad for The Roofing Guy LLC using only public brand context—not for publishing, just to show the angle. We build three client-approved video ad concepts in seven days, then turn the winners into fresh variations. No filming day required. Worth sending the private sample?</x:v>
      </x:c>
      <x:c r="AV976" s="76" t="str">
        <x:v>Quick follow-up: the sample angle is a storm-to-inspection before/after ad. If it misses the mark, no problem—I won't keep chasing. Should I send it?</x:v>
      </x:c>
      <x:c r="AW976" s="76" t="str">
        <x:v>Hi The Roofing Guy LLC, Ryan here. I was looking at The Roofing Guy LLC's public marketing and noticed: icp fit; paid-demand need requires manual verification. I mapped one private storm-to-inspection before/after ad as an example. Did I catch you with 30 seconds?</x:v>
      </x:c>
      <x:c r="AX976" s="60" t="str">
        <x:v>https://www.facebook.com/ads/library/?active_status=active&amp;ad_type=all&amp;country=US&amp;q=The%20Roofing%20Guy%20LLC&amp;search_type=keyword_unordered</x:v>
      </x:c>
      <x:c r="AY976" s="60" t="str">
        <x:v>http:403</x:v>
      </x:c>
      <x:c r="AZ976" s="60" t="n">
        <x:v>46232.722858796296</x:v>
      </x:c>
      <x:c r="BA976" s="60" t="str">
        <x:v>Google Maps home-services export</x:v>
      </x:c>
      <x:c r="BB976" s="60" t="str">
        <x:v>https://maps.google.com/?cid=14225260819810195950&amp;g_mp=Cidnb29nbGUubWFwcy5wbGFjZXMudjEuUGxhY2VzLlNlYXJjaFRleHQQAhgEIAA | https://roofingguyllc.com</x:v>
      </x:c>
      <x:c r="BC976" s="60" t="str"/>
    </x:row>
    <x:row r="977" ht="18" customHeight="1">
      <x:c r="A977" s="70" t="str">
        <x:v>976</x:v>
      </x:c>
      <x:c r="B977" s="70" t="str">
        <x:v>D - Nurture</x:v>
      </x:c>
      <x:c r="C977" s="72" t="str">
        <x:v>41</x:v>
      </x:c>
      <x:c r="D977" s="60" t="str">
        <x:v>Enloe Residential</x:v>
      </x:c>
      <x:c r="E977" s="60" t="str">
        <x:v>https://enloeresidential.com</x:v>
      </x:c>
      <x:c r="F977" s="60" t="str">
        <x:v>https://enloeresidential.com</x:v>
      </x:c>
      <x:c r="G977" s="60" t="str">
        <x:v>Aiken</x:v>
      </x:c>
      <x:c r="H977" s="60" t="str">
        <x:v>South Carolina</x:v>
      </x:c>
      <x:c r="I977" s="60" t="str">
        <x:v>Roofing</x:v>
      </x:c>
      <x:c r="J977" s="60" t="str">
        <x:v>Enloe Residential</x:v>
      </x:c>
      <x:c r="K977" s="60" t="str"/>
      <x:c r="L977" s="60" t="str">
        <x:v>Owner / decision maker to verify</x:v>
      </x:c>
      <x:c r="M977" s="60" t="str"/>
      <x:c r="N977" s="60" t="str"/>
      <x:c r="O977" s="60" t="str">
        <x:v>(706) 863-5538</x:v>
      </x:c>
      <x:c r="P977" s="60" t="str"/>
      <x:c r="Q977" s="60" t="str"/>
      <x:c r="R977" s="60" t="str"/>
      <x:c r="S977" s="60" t="str">
        <x:v>4.3</x:v>
      </x:c>
      <x:c r="T977" s="74" t="str">
        <x:v>91</x:v>
      </x:c>
      <x:c r="U977" s="60" t="str"/>
      <x:c r="V977" s="74" t="str">
        <x:v>27</x:v>
      </x:c>
      <x:c r="W977" s="74" t="str">
        <x:v>0</x:v>
      </x:c>
      <x:c r="X977" s="74" t="str">
        <x:v>10</x:v>
      </x:c>
      <x:c r="Y977" s="74" t="str">
        <x:v>2</x:v>
      </x:c>
      <x:c r="Z977" s="74" t="str">
        <x:v>5</x:v>
      </x:c>
      <x:c r="AA977" s="74" t="str">
        <x:v>0</x:v>
      </x:c>
      <x:c r="AB977" s="74" t="str">
        <x:v>0</x:v>
      </x:c>
      <x:c r="AC977" s="74" t="str">
        <x:v>0</x:v>
      </x:c>
      <x:c r="AD977" s="74" t="str">
        <x:v>0</x:v>
      </x:c>
      <x:c r="AE977" s="74" t="str">
        <x:v>0</x:v>
      </x:c>
      <x:c r="AF977" s="74" t="str"/>
      <x:c r="AG977" s="74" t="str">
        <x:v>0</x:v>
      </x:c>
      <x:c r="AH977" s="74" t="str">
        <x:v>0</x:v>
      </x:c>
      <x:c r="AI977" s="74" t="str">
        <x:v>0</x:v>
      </x:c>
      <x:c r="AJ977" s="74" t="str">
        <x:v>0</x:v>
      </x:c>
      <x:c r="AK977" s="74" t="str">
        <x:v>0</x:v>
      </x:c>
      <x:c r="AL977" s="74" t="str">
        <x:v>0</x:v>
      </x:c>
      <x:c r="AM977" s="74" t="str">
        <x:v>0</x:v>
      </x:c>
      <x:c r="AN977" s="74" t="str">
        <x:v>0</x:v>
      </x:c>
      <x:c r="AO977" s="60" t="str">
        <x:v>0</x:v>
      </x:c>
      <x:c r="AP977" s="76" t="str">
        <x:v>ICP fit; paid-demand need requires manual verification</x:v>
      </x:c>
      <x:c r="AQ977" s="76" t="str">
        <x:v>no embedded homepage video detected</x:v>
      </x:c>
      <x:c r="AR977" s="76" t="str">
        <x:v>I was reviewing roofing companies in Aiken, South Carolina and Enloe Residential looked like a strong fit for a creative test.</x:v>
      </x:c>
      <x:c r="AS977" s="76" t="str">
        <x:v>storm-to-inspection before/after ad</x:v>
      </x:c>
      <x:c r="AT977" s="76" t="str">
        <x:v>Enloe Residential ad concept</x:v>
      </x:c>
      <x:c r="AU977" s="76" t="str">
        <x:v>Hi Enloe Residential — I was reviewing roofing companies in Aiken, South Carolina and Enloe Residential looked like a strong fit for a creative test. I mapped a private 15-second storm-to-inspection before/after ad for Enloe Residential using only public brand context—not for publishing, just to show the angle. We build three client-approved video ad concepts in seven days, then turn the winners into fresh variations. No filming day required. Worth sending the private sample?</x:v>
      </x:c>
      <x:c r="AV977" s="76" t="str">
        <x:v>Quick follow-up: the sample angle is a storm-to-inspection before/after ad. If it misses the mark, no problem—I won't keep chasing. Should I send it?</x:v>
      </x:c>
      <x:c r="AW977" s="76" t="str">
        <x:v>Hi Enloe Residential, Ryan here. I was looking at Enloe Residential's public marketing and noticed: icp fit; paid-demand need requires manual verification. I mapped one private storm-to-inspection before/after ad as an example. Did I catch you with 30 seconds?</x:v>
      </x:c>
      <x:c r="AX977" s="60" t="str">
        <x:v>https://www.facebook.com/ads/library/?active_status=active&amp;ad_type=all&amp;country=US&amp;q=Enloe%20Residential&amp;search_type=keyword_unordered</x:v>
      </x:c>
      <x:c r="AY977" s="60" t="str">
        <x:v>url_error:gaierror</x:v>
      </x:c>
      <x:c r="AZ977" s="60" t="n">
        <x:v>46232.722858796296</x:v>
      </x:c>
      <x:c r="BA977" s="60" t="str">
        <x:v>Google Maps home-services export</x:v>
      </x:c>
      <x:c r="BB977" s="60" t="str">
        <x:v>https://enloeresidential.com | https://maps.google.com/?cid=1895193270579102721&amp;g_mp=Cidnb29nbGUubWFwcy5wbGFjZXMudjEuUGxhY2VzLlNlYXJjaFRleHQQAhgEIAA</x:v>
      </x:c>
      <x:c r="BC977" s="60" t="str"/>
    </x:row>
    <x:row r="978" ht="18" customHeight="1">
      <x:c r="A978" s="70" t="str">
        <x:v>977</x:v>
      </x:c>
      <x:c r="B978" s="70" t="str">
        <x:v>D - Nurture</x:v>
      </x:c>
      <x:c r="C978" s="72" t="str">
        <x:v>41</x:v>
      </x:c>
      <x:c r="D978" s="60" t="str">
        <x:v>R.D. Brown Contractors, Inc.</x:v>
      </x:c>
      <x:c r="E978" s="60" t="str">
        <x:v>https://browntrusted.com</x:v>
      </x:c>
      <x:c r="F978" s="60" t="str">
        <x:v>http://browntrusted.com</x:v>
      </x:c>
      <x:c r="G978" s="60" t="str">
        <x:v>North Augusta</x:v>
      </x:c>
      <x:c r="H978" s="60" t="str">
        <x:v>South Carolina</x:v>
      </x:c>
      <x:c r="I978" s="60" t="str">
        <x:v>General Contractor</x:v>
      </x:c>
      <x:c r="J978" s="60" t="str">
        <x:v>Todd</x:v>
      </x:c>
      <x:c r="K978" s="60" t="str">
        <x:v>Brown</x:v>
      </x:c>
      <x:c r="L978" s="60" t="str">
        <x:v>President / Owner</x:v>
      </x:c>
      <x:c r="M978" s="60" t="str">
        <x:v>tbrown@browntrusted.com</x:v>
      </x:c>
      <x:c r="N978" s="60" t="str">
        <x:v>Verified with BounceBan on 08 Jun 26 12:07</x:v>
      </x:c>
      <x:c r="O978" s="60" t="str">
        <x:v>+1 803 221 7047</x:v>
      </x:c>
      <x:c r="P978" s="60" t="str">
        <x:v>https://www.linkedin.com/in/todd-brown-64098313</x:v>
      </x:c>
      <x:c r="Q978" s="60" t="str">
        <x:v>11-50</x:v>
      </x:c>
      <x:c r="R978" s="60" t="str">
        <x:v>500000-999999</x:v>
      </x:c>
      <x:c r="S978" s="60" t="str"/>
      <x:c r="T978" s="74" t="str">
        <x:v>0</x:v>
      </x:c>
      <x:c r="U978" s="60" t="str"/>
      <x:c r="V978" s="74" t="str">
        <x:v>25</x:v>
      </x:c>
      <x:c r="W978" s="74" t="str">
        <x:v>0</x:v>
      </x:c>
      <x:c r="X978" s="74" t="str">
        <x:v>6</x:v>
      </x:c>
      <x:c r="Y978" s="74" t="str">
        <x:v>0</x:v>
      </x:c>
      <x:c r="Z978" s="74" t="str">
        <x:v>10</x:v>
      </x:c>
      <x:c r="AA978" s="74" t="str">
        <x:v>0</x:v>
      </x:c>
      <x:c r="AB978" s="74" t="str">
        <x:v>0</x:v>
      </x:c>
      <x:c r="AC978" s="74" t="str">
        <x:v>0</x:v>
      </x:c>
      <x:c r="AD978" s="74" t="str">
        <x:v>0</x:v>
      </x:c>
      <x:c r="AE978" s="74" t="str">
        <x:v>0</x:v>
      </x:c>
      <x:c r="AF978" s="74" t="str"/>
      <x:c r="AG978" s="74" t="str">
        <x:v>0</x:v>
      </x:c>
      <x:c r="AH978" s="74" t="str">
        <x:v>0</x:v>
      </x:c>
      <x:c r="AI978" s="74" t="str">
        <x:v>0</x:v>
      </x:c>
      <x:c r="AJ978" s="74" t="str">
        <x:v>0</x:v>
      </x:c>
      <x:c r="AK978" s="74" t="str">
        <x:v>0</x:v>
      </x:c>
      <x:c r="AL978" s="74" t="str">
        <x:v>0</x:v>
      </x:c>
      <x:c r="AM978" s="74" t="str">
        <x:v>1</x:v>
      </x:c>
      <x:c r="AN978" s="74" t="str">
        <x:v>1</x:v>
      </x:c>
      <x:c r="AO978" s="60" t="str">
        <x:v>0</x:v>
      </x:c>
      <x:c r="AP978" s="76" t="str">
        <x:v>ICP fit; paid-demand need requires manual verification</x:v>
      </x:c>
      <x:c r="AQ978" s="76" t="str">
        <x:v>no embedded homepage video detected</x:v>
      </x:c>
      <x:c r="AR978" s="76" t="str">
        <x:v>I was reviewing general contractor companies in North Augusta, South Carolina and R.D. Brown Contractors, Inc. looked like a strong fit for a creative test.</x:v>
      </x:c>
      <x:c r="AS978" s="76" t="str">
        <x:v>project walkthrough with proof milestones</x:v>
      </x:c>
      <x:c r="AT978" s="76" t="str">
        <x:v>R.D. Brown Contractors, Inc. ad concept</x:v>
      </x:c>
      <x:c r="AU978" s="76" t="str">
        <x:v>Hi Todd — I was reviewing general contractor companies in North Augusta, South Carolina and R.D. Brown Contractors, Inc. looked like a strong fit for a creative test. I mapped a private 15-second project walkthrough with proof milestones for R.D. Brown Contractors, Inc. using only public brand context—not for publishing, just to show the angle. We build three client-approved video ad concepts in seven days, then turn the winners into fresh variations. No filming day required. Worth sending the private sample?</x:v>
      </x:c>
      <x:c r="AV978" s="76" t="str">
        <x:v>Quick follow-up: the sample angle is a project walkthrough with proof milestones. If it misses the mark, no problem—I won't keep chasing. Should I send it?</x:v>
      </x:c>
      <x:c r="AW978" s="76" t="str">
        <x:v>Hi Todd, Ryan here. I was looking at R.D. Brown Contractors, Inc.'s public marketing and noticed: icp fit; paid-demand need requires manual verification. I mapped one private project walkthrough with proof milestones as an example. Did I catch you with 30 seconds?</x:v>
      </x:c>
      <x:c r="AX978" s="60" t="str">
        <x:v>https://www.facebook.com/ads/library/?active_status=active&amp;ad_type=all&amp;country=US&amp;q=R.D.%20Brown%20Contractors%2C%20Inc.&amp;search_type=keyword_unordered</x:v>
      </x:c>
      <x:c r="AY978" s="60" t="str">
        <x:v>ok:200</x:v>
      </x:c>
      <x:c r="AZ978" s="60" t="n">
        <x:v>46232.722858796296</x:v>
      </x:c>
      <x:c r="BA978" s="60" t="str">
        <x:v>AI Ark SC trades export</x:v>
      </x:c>
      <x:c r="BB978" s="60" t="str">
        <x:v>https://browntrusted.com | https://www.linkedin.com/company/r-d-brown-contractors-inc-</x:v>
      </x:c>
      <x:c r="BC978" s="60" t="str"/>
    </x:row>
    <x:row r="979" ht="18" customHeight="1">
      <x:c r="A979" s="70" t="str">
        <x:v>978</x:v>
      </x:c>
      <x:c r="B979" s="70" t="str">
        <x:v>D - Nurture</x:v>
      </x:c>
      <x:c r="C979" s="72" t="str">
        <x:v>41</x:v>
      </x:c>
      <x:c r="D979" s="60" t="str">
        <x:v>Coastal Carolina Home Watch</x:v>
      </x:c>
      <x:c r="E979" s="60" t="str">
        <x:v>https://cchomewatch.com</x:v>
      </x:c>
      <x:c r="F979" s="60" t="str">
        <x:v>https://www.cchomewatch.com/</x:v>
      </x:c>
      <x:c r="G979" s="60" t="str">
        <x:v>Murrells Inlet</x:v>
      </x:c>
      <x:c r="H979" s="60" t="str">
        <x:v>South Carolina</x:v>
      </x:c>
      <x:c r="I979" s="60" t="str">
        <x:v>Cleaning &amp; Exterior Care</x:v>
      </x:c>
      <x:c r="J979" s="60" t="str">
        <x:v>Jack</x:v>
      </x:c>
      <x:c r="K979" s="60" t="str">
        <x:v>Luber</x:v>
      </x:c>
      <x:c r="L979" s="60" t="str">
        <x:v>Founder/ Former Owner</x:v>
      </x:c>
      <x:c r="M979" s="60" t="str">
        <x:v>jack@cchomewatch.com</x:v>
      </x:c>
      <x:c r="N979" s="60" t="str">
        <x:v>Verified with BounceBan on 08 Jun 26 12:06</x:v>
      </x:c>
      <x:c r="O979" s="60" t="str">
        <x:v>+1 561 706 4233</x:v>
      </x:c>
      <x:c r="P979" s="60" t="str">
        <x:v>https://www.linkedin.com/in/jack-luber-81aa5418</x:v>
      </x:c>
      <x:c r="Q979" s="60" t="str">
        <x:v>11-50</x:v>
      </x:c>
      <x:c r="R979" s="60" t="str">
        <x:v>100000-499999</x:v>
      </x:c>
      <x:c r="S979" s="60" t="str"/>
      <x:c r="T979" s="74" t="str">
        <x:v>0</x:v>
      </x:c>
      <x:c r="U979" s="60" t="str"/>
      <x:c r="V979" s="74" t="str">
        <x:v>21</x:v>
      </x:c>
      <x:c r="W979" s="74" t="str">
        <x:v>0</x:v>
      </x:c>
      <x:c r="X979" s="74" t="str">
        <x:v>10</x:v>
      </x:c>
      <x:c r="Y979" s="74" t="str">
        <x:v>0</x:v>
      </x:c>
      <x:c r="Z979" s="74" t="str">
        <x:v>10</x:v>
      </x:c>
      <x:c r="AA979" s="74" t="str">
        <x:v>0</x:v>
      </x:c>
      <x:c r="AB979" s="74" t="str">
        <x:v>0</x:v>
      </x:c>
      <x:c r="AC979" s="74" t="str">
        <x:v>0</x:v>
      </x:c>
      <x:c r="AD979" s="74" t="str">
        <x:v>0</x:v>
      </x:c>
      <x:c r="AE979" s="74" t="str">
        <x:v>0</x:v>
      </x:c>
      <x:c r="AF979" s="74" t="str"/>
      <x:c r="AG979" s="74" t="str">
        <x:v>0</x:v>
      </x:c>
      <x:c r="AH979" s="74" t="str">
        <x:v>0</x:v>
      </x:c>
      <x:c r="AI979" s="74" t="str">
        <x:v>0</x:v>
      </x:c>
      <x:c r="AJ979" s="74" t="str">
        <x:v>0</x:v>
      </x:c>
      <x:c r="AK979" s="74" t="str">
        <x:v>0</x:v>
      </x:c>
      <x:c r="AL979" s="74" t="str">
        <x:v>0</x:v>
      </x:c>
      <x:c r="AM979" s="74" t="str">
        <x:v>0</x:v>
      </x:c>
      <x:c r="AN979" s="74" t="str">
        <x:v>0</x:v>
      </x:c>
      <x:c r="AO979" s="60" t="str">
        <x:v>0</x:v>
      </x:c>
      <x:c r="AP979" s="76" t="str">
        <x:v>ICP fit; paid-demand need requires manual verification</x:v>
      </x:c>
      <x:c r="AQ979" s="76" t="str">
        <x:v>no embedded homepage video detected</x:v>
      </x:c>
      <x:c r="AR979" s="76" t="str">
        <x:v>I was reviewing cleaning &amp; exterior care companies in Murrells Inlet, South Carolina and Coastal Carolina Home Watch looked like a strong fit for a creative test.</x:v>
      </x:c>
      <x:c r="AS979" s="76" t="str">
        <x:v>high-contrast before/after ad</x:v>
      </x:c>
      <x:c r="AT979" s="76" t="str">
        <x:v>Coastal Carolina Home Watch ad concept</x:v>
      </x:c>
      <x:c r="AU979" s="76" t="str">
        <x:v>Hi Jack — I was reviewing cleaning &amp; exterior care companies in Murrells Inlet, South Carolina and Coastal Carolina Home Watch looked like a strong fit for a creative test. I mapped a private 15-second high-contrast before/after ad for Coastal Carolina Home Watch using only public brand context—not for publishing, just to show the angle. We build three client-approved video ad concepts in seven days, then turn the winners into fresh variations. No filming day required. Worth sending the private sample?</x:v>
      </x:c>
      <x:c r="AV979" s="76" t="str">
        <x:v>Quick follow-up: the sample angle is a high-contrast before/after ad. If it misses the mark, no problem—I won't keep chasing. Should I send it?</x:v>
      </x:c>
      <x:c r="AW979" s="76" t="str">
        <x:v>Hi Jack, Ryan here. I was looking at Coastal Carolina Home Watch's public marketing and noticed: icp fit; paid-demand need requires manual verification. I mapped one private high-contrast before/after ad as an example. Did I catch you with 30 seconds?</x:v>
      </x:c>
      <x:c r="AX979" s="60" t="str">
        <x:v>https://www.facebook.com/ads/library/?active_status=active&amp;ad_type=all&amp;country=US&amp;q=Coastal%20Carolina%20Home%20Watch&amp;search_type=keyword_unordered</x:v>
      </x:c>
      <x:c r="AY979" s="60" t="str">
        <x:v>ok:200</x:v>
      </x:c>
      <x:c r="AZ979" s="60" t="n">
        <x:v>46232.722858796296</x:v>
      </x:c>
      <x:c r="BA979" s="60" t="str">
        <x:v>AI Ark SC trades export</x:v>
      </x:c>
      <x:c r="BB979" s="60" t="str">
        <x:v>https://cchomewatch.com | https://www.linkedin.com/company/coastal-carolina-home-watch</x:v>
      </x:c>
      <x:c r="BC979" s="60" t="str"/>
    </x:row>
    <x:row r="980" ht="18" customHeight="1">
      <x:c r="A980" s="70" t="str">
        <x:v>979</x:v>
      </x:c>
      <x:c r="B980" s="70" t="str">
        <x:v>D - Nurture</x:v>
      </x:c>
      <x:c r="C980" s="72" t="str">
        <x:v>41</x:v>
      </x:c>
      <x:c r="D980" s="60" t="str">
        <x:v>Carolina Fence Supply, LLC</x:v>
      </x:c>
      <x:c r="E980" s="60" t="str">
        <x:v>https://carolinafencesupply.com</x:v>
      </x:c>
      <x:c r="F980" s="60" t="str">
        <x:v>https://www.carolinafenceandhome.com/</x:v>
      </x:c>
      <x:c r="G980" s="60" t="str">
        <x:v>Rock Hill</x:v>
      </x:c>
      <x:c r="H980" s="60" t="str">
        <x:v>South Carolina</x:v>
      </x:c>
      <x:c r="I980" s="60" t="str">
        <x:v>Fence &amp; Deck</x:v>
      </x:c>
      <x:c r="J980" s="60" t="str">
        <x:v>Rhonda</x:v>
      </x:c>
      <x:c r="K980" s="60" t="str">
        <x:v>Davis</x:v>
      </x:c>
      <x:c r="L980" s="60" t="str">
        <x:v>Business Owner</x:v>
      </x:c>
      <x:c r="M980" s="60" t="str">
        <x:v>rhonda@carolinafencesupply.com</x:v>
      </x:c>
      <x:c r="N980" s="60" t="str">
        <x:v>Verified with BounceBan on 08 Jun 26 12:08</x:v>
      </x:c>
      <x:c r="O980" s="60" t="str"/>
      <x:c r="P980" s="60" t="str">
        <x:v>https://www.linkedin.com/in/rhonda-davis-619739244</x:v>
      </x:c>
      <x:c r="Q980" s="60" t="str">
        <x:v>11-50</x:v>
      </x:c>
      <x:c r="R980" s="60" t="str">
        <x:v>100000-499999</x:v>
      </x:c>
      <x:c r="S980" s="60" t="str"/>
      <x:c r="T980" s="74" t="str">
        <x:v>0</x:v>
      </x:c>
      <x:c r="U980" s="60" t="str"/>
      <x:c r="V980" s="74" t="str">
        <x:v>24</x:v>
      </x:c>
      <x:c r="W980" s="74" t="str">
        <x:v>0</x:v>
      </x:c>
      <x:c r="X980" s="74" t="str">
        <x:v>10</x:v>
      </x:c>
      <x:c r="Y980" s="74" t="str">
        <x:v>0</x:v>
      </x:c>
      <x:c r="Z980" s="74" t="str">
        <x:v>7</x:v>
      </x:c>
      <x:c r="AA980" s="74" t="str">
        <x:v>0</x:v>
      </x:c>
      <x:c r="AB980" s="74" t="str">
        <x:v>0</x:v>
      </x:c>
      <x:c r="AC980" s="74" t="str">
        <x:v>0</x:v>
      </x:c>
      <x:c r="AD980" s="74" t="str">
        <x:v>0</x:v>
      </x:c>
      <x:c r="AE980" s="74" t="str">
        <x:v>0</x:v>
      </x:c>
      <x:c r="AF980" s="74" t="str"/>
      <x:c r="AG980" s="74" t="str">
        <x:v>0</x:v>
      </x:c>
      <x:c r="AH980" s="74" t="str">
        <x:v>0</x:v>
      </x:c>
      <x:c r="AI980" s="74" t="str">
        <x:v>0</x:v>
      </x:c>
      <x:c r="AJ980" s="74" t="str">
        <x:v>0</x:v>
      </x:c>
      <x:c r="AK980" s="74" t="str">
        <x:v>0</x:v>
      </x:c>
      <x:c r="AL980" s="74" t="str">
        <x:v>0</x:v>
      </x:c>
      <x:c r="AM980" s="74" t="str">
        <x:v>0</x:v>
      </x:c>
      <x:c r="AN980" s="74" t="str">
        <x:v>0</x:v>
      </x:c>
      <x:c r="AO980" s="60" t="str">
        <x:v>0</x:v>
      </x:c>
      <x:c r="AP980" s="76" t="str">
        <x:v>ICP fit; paid-demand need requires manual verification</x:v>
      </x:c>
      <x:c r="AQ980" s="76" t="str">
        <x:v>no embedded homepage video detected</x:v>
      </x:c>
      <x:c r="AR980" s="76" t="str">
        <x:v>I was reviewing fence &amp; deck companies in Rock Hill, South Carolina and Carolina Fence Supply, LLC looked like a strong fit for a creative test.</x:v>
      </x:c>
      <x:c r="AS980" s="76" t="str">
        <x:v>yard privacy transformation ad</x:v>
      </x:c>
      <x:c r="AT980" s="76" t="str">
        <x:v>Carolina Fence Supply, LLC ad concept</x:v>
      </x:c>
      <x:c r="AU980" s="76" t="str">
        <x:v>Hi Rhonda — I was reviewing fence &amp; deck companies in Rock Hill, South Carolina and Carolina Fence Supply, LLC looked like a strong fit for a creative test. I mapped a private 15-second yard privacy transformation ad for Carolina Fence Supply, LLC using only public brand context—not for publishing, just to show the angle. We build three client-approved video ad concepts in seven days, then turn the winners into fresh variations. No filming day required. Worth sending the private sample?</x:v>
      </x:c>
      <x:c r="AV980" s="76" t="str">
        <x:v>Quick follow-up: the sample angle is a yard privacy transformation ad. If it misses the mark, no problem—I won't keep chasing. Should I send it?</x:v>
      </x:c>
      <x:c r="AW980" s="76" t="str">
        <x:v>Hi Rhonda, Ryan here. I was looking at Carolina Fence Supply, LLC's public marketing and noticed: icp fit; paid-demand need requires manual verification. I mapped one private yard privacy transformation ad as an example. Did I catch you with 30 seconds?</x:v>
      </x:c>
      <x:c r="AX980" s="60" t="str">
        <x:v>https://www.facebook.com/ads/library/?active_status=active&amp;ad_type=all&amp;country=US&amp;q=Carolina%20Fence%20Supply%2C%20LLC&amp;search_type=keyword_unordered</x:v>
      </x:c>
      <x:c r="AY980" s="60" t="str">
        <x:v>ok:200</x:v>
      </x:c>
      <x:c r="AZ980" s="60" t="n">
        <x:v>46232.722858796296</x:v>
      </x:c>
      <x:c r="BA980" s="60" t="str">
        <x:v>AI Ark SC trades export</x:v>
      </x:c>
      <x:c r="BB980" s="60" t="str">
        <x:v>https://carolinafencesupply.com | https://www.linkedin.com/company/carolinafencesupplyllc</x:v>
      </x:c>
      <x:c r="BC980" s="60" t="str"/>
    </x:row>
    <x:row r="981" ht="18" customHeight="1">
      <x:c r="A981" s="70" t="str">
        <x:v>980</x:v>
      </x:c>
      <x:c r="B981" s="70" t="str">
        <x:v>D - Nurture</x:v>
      </x:c>
      <x:c r="C981" s="72" t="str">
        <x:v>41</x:v>
      </x:c>
      <x:c r="D981" s="60" t="str">
        <x:v>Bridgeport Homes SC</x:v>
      </x:c>
      <x:c r="E981" s="60" t="str">
        <x:v>https://bridgeport-homes.com</x:v>
      </x:c>
      <x:c r="F981" s="60" t="str">
        <x:v>https://www.bridgeport-homes.com/</x:v>
      </x:c>
      <x:c r="G981" s="60" t="str">
        <x:v>Mount Pleasant</x:v>
      </x:c>
      <x:c r="H981" s="60" t="str">
        <x:v>South Carolina</x:v>
      </x:c>
      <x:c r="I981" s="60" t="str">
        <x:v>Remodeling</x:v>
      </x:c>
      <x:c r="J981" s="60" t="str">
        <x:v>Jamie</x:v>
      </x:c>
      <x:c r="K981" s="60" t="str">
        <x:v>Laird</x:v>
      </x:c>
      <x:c r="L981" s="60" t="str">
        <x:v>Business Owner</x:v>
      </x:c>
      <x:c r="M981" s="60" t="str">
        <x:v>jamie@bridgeport-homes.com</x:v>
      </x:c>
      <x:c r="N981" s="60" t="str">
        <x:v>Verified with BounceBan on 08 Jun 26 12:07</x:v>
      </x:c>
      <x:c r="O981" s="60" t="str"/>
      <x:c r="P981" s="60" t="str">
        <x:v>https://www.linkedin.com/in/jamie-laird-574419129</x:v>
      </x:c>
      <x:c r="Q981" s="60" t="str">
        <x:v>2-10</x:v>
      </x:c>
      <x:c r="R981" s="60" t="str">
        <x:v>100000-499999</x:v>
      </x:c>
      <x:c r="S981" s="60" t="str"/>
      <x:c r="T981" s="74" t="str">
        <x:v>0</x:v>
      </x:c>
      <x:c r="U981" s="60" t="str"/>
      <x:c r="V981" s="74" t="str">
        <x:v>25</x:v>
      </x:c>
      <x:c r="W981" s="74" t="str">
        <x:v>0</x:v>
      </x:c>
      <x:c r="X981" s="74" t="str">
        <x:v>9</x:v>
      </x:c>
      <x:c r="Y981" s="74" t="str">
        <x:v>0</x:v>
      </x:c>
      <x:c r="Z981" s="74" t="str">
        <x:v>7</x:v>
      </x:c>
      <x:c r="AA981" s="74" t="str">
        <x:v>0</x:v>
      </x:c>
      <x:c r="AB981" s="74" t="str">
        <x:v>0</x:v>
      </x:c>
      <x:c r="AC981" s="74" t="str">
        <x:v>0</x:v>
      </x:c>
      <x:c r="AD981" s="74" t="str">
        <x:v>0</x:v>
      </x:c>
      <x:c r="AE981" s="74" t="str">
        <x:v>0</x:v>
      </x:c>
      <x:c r="AF981" s="74" t="str"/>
      <x:c r="AG981" s="74" t="str">
        <x:v>0</x:v>
      </x:c>
      <x:c r="AH981" s="74" t="str">
        <x:v>0</x:v>
      </x:c>
      <x:c r="AI981" s="74" t="str">
        <x:v>0</x:v>
      </x:c>
      <x:c r="AJ981" s="74" t="str">
        <x:v>0</x:v>
      </x:c>
      <x:c r="AK981" s="74" t="str">
        <x:v>0</x:v>
      </x:c>
      <x:c r="AL981" s="74" t="str">
        <x:v>1</x:v>
      </x:c>
      <x:c r="AM981" s="74" t="str">
        <x:v>1</x:v>
      </x:c>
      <x:c r="AN981" s="74" t="str">
        <x:v>0</x:v>
      </x:c>
      <x:c r="AO981" s="60" t="str">
        <x:v>2021</x:v>
      </x:c>
      <x:c r="AP981" s="76" t="str">
        <x:v>ICP fit; paid-demand need requires manual verification</x:v>
      </x:c>
      <x:c r="AQ981" s="76" t="str">
        <x:v>no embedded homepage video detected</x:v>
      </x:c>
      <x:c r="AR981" s="76" t="str">
        <x:v>I was reviewing remodeling companies in Mount Pleasant, South Carolina and Bridgeport Homes SC looked like a strong fit for a creative test.</x:v>
      </x:c>
      <x:c r="AS981" s="76" t="str">
        <x:v>project reveal with budget-and-timeline proof</x:v>
      </x:c>
      <x:c r="AT981" s="76" t="str">
        <x:v>Bridgeport Homes SC ad concept</x:v>
      </x:c>
      <x:c r="AU981" s="76" t="str">
        <x:v>Hi Jamie — I was reviewing remodeling companies in Mount Pleasant, South Carolina and Bridgeport Homes SC looked like a strong fit for a creative test. I mapped a private 15-second project reveal with budget-and-timeline proof for Bridgeport Homes SC using only public brand context—not for publishing, just to show the angle. We build three client-approved video ad concepts in seven days, then turn the winners into fresh variations. No filming day required. Worth sending the private sample?</x:v>
      </x:c>
      <x:c r="AV981" s="76" t="str">
        <x:v>Quick follow-up: the sample angle is a project reveal with budget-and-timeline proof. If it misses the mark, no problem—I won't keep chasing. Should I send it?</x:v>
      </x:c>
      <x:c r="AW981" s="76" t="str">
        <x:v>Hi Jamie, Ryan here. I was looking at Bridgeport Homes SC's public marketing and noticed: icp fit; paid-demand need requires manual verification. I mapped one private project reveal with budget-and-timeline proof as an example. Did I catch you with 30 seconds?</x:v>
      </x:c>
      <x:c r="AX981" s="60" t="str">
        <x:v>https://www.facebook.com/ads/library/?active_status=active&amp;ad_type=all&amp;country=US&amp;q=Bridgeport%20Homes%20SC&amp;search_type=keyword_unordered</x:v>
      </x:c>
      <x:c r="AY981" s="60" t="str">
        <x:v>ok:200</x:v>
      </x:c>
      <x:c r="AZ981" s="60" t="n">
        <x:v>46232.722858796296</x:v>
      </x:c>
      <x:c r="BA981" s="60" t="str">
        <x:v>AI Ark SC trades export</x:v>
      </x:c>
      <x:c r="BB981" s="60" t="str">
        <x:v>https://bridgeport-homes.com | https://www.linkedin.com/company/bridgeport-homes-sc</x:v>
      </x:c>
      <x:c r="BC981" s="60" t="str"/>
    </x:row>
    <x:row r="982" ht="18" customHeight="1">
      <x:c r="A982" s="70" t="str">
        <x:v>981</x:v>
      </x:c>
      <x:c r="B982" s="70" t="str">
        <x:v>D - Nurture</x:v>
      </x:c>
      <x:c r="C982" s="72" t="str">
        <x:v>41</x:v>
      </x:c>
      <x:c r="D982" s="60" t="str">
        <x:v>Borezzo</x:v>
      </x:c>
      <x:c r="E982" s="60" t="str">
        <x:v>https://borezzo.com</x:v>
      </x:c>
      <x:c r="F982" s="60" t="str">
        <x:v>https://borezzo.com</x:v>
      </x:c>
      <x:c r="G982" s="60" t="str">
        <x:v>North Charleston</x:v>
      </x:c>
      <x:c r="H982" s="60" t="str">
        <x:v>South Carolina</x:v>
      </x:c>
      <x:c r="I982" s="60" t="str">
        <x:v>Remodeling</x:v>
      </x:c>
      <x:c r="J982" s="60" t="str">
        <x:v>Breno</x:v>
      </x:c>
      <x:c r="K982" s="60" t="str">
        <x:v>Lanes</x:v>
      </x:c>
      <x:c r="L982" s="60" t="str">
        <x:v>Company Owner</x:v>
      </x:c>
      <x:c r="M982" s="60" t="str">
        <x:v>breno@borezzo.com</x:v>
      </x:c>
      <x:c r="N982" s="60" t="str">
        <x:v>Verified with BounceBan on 08 Jun 26 12:06</x:v>
      </x:c>
      <x:c r="O982" s="60" t="str"/>
      <x:c r="P982" s="60" t="str">
        <x:v>https://www.linkedin.com/in/breno-lanes-6214b9283</x:v>
      </x:c>
      <x:c r="Q982" s="60" t="str">
        <x:v>11-50</x:v>
      </x:c>
      <x:c r="R982" s="60" t="str">
        <x:v>0-99999</x:v>
      </x:c>
      <x:c r="S982" s="60" t="str"/>
      <x:c r="T982" s="74" t="str">
        <x:v>0</x:v>
      </x:c>
      <x:c r="U982" s="60" t="str"/>
      <x:c r="V982" s="74" t="str">
        <x:v>28</x:v>
      </x:c>
      <x:c r="W982" s="74" t="str">
        <x:v>0</x:v>
      </x:c>
      <x:c r="X982" s="74" t="str">
        <x:v>6</x:v>
      </x:c>
      <x:c r="Y982" s="74" t="str">
        <x:v>0</x:v>
      </x:c>
      <x:c r="Z982" s="74" t="str">
        <x:v>7</x:v>
      </x:c>
      <x:c r="AA982" s="74" t="str">
        <x:v>0</x:v>
      </x:c>
      <x:c r="AB982" s="74" t="str">
        <x:v>0</x:v>
      </x:c>
      <x:c r="AC982" s="74" t="str">
        <x:v>0</x:v>
      </x:c>
      <x:c r="AD982" s="74" t="str">
        <x:v>0</x:v>
      </x:c>
      <x:c r="AE982" s="74" t="str">
        <x:v>0</x:v>
      </x:c>
      <x:c r="AF982" s="74" t="str"/>
      <x:c r="AG982" s="74" t="str">
        <x:v>0</x:v>
      </x:c>
      <x:c r="AH982" s="74" t="str">
        <x:v>0</x:v>
      </x:c>
      <x:c r="AI982" s="74" t="str">
        <x:v>0</x:v>
      </x:c>
      <x:c r="AJ982" s="74" t="str">
        <x:v>0</x:v>
      </x:c>
      <x:c r="AK982" s="74" t="str">
        <x:v>0</x:v>
      </x:c>
      <x:c r="AL982" s="74" t="str">
        <x:v>1</x:v>
      </x:c>
      <x:c r="AM982" s="74" t="str">
        <x:v>1</x:v>
      </x:c>
      <x:c r="AN982" s="74" t="str">
        <x:v>0</x:v>
      </x:c>
      <x:c r="AO982" s="60" t="str">
        <x:v>0</x:v>
      </x:c>
      <x:c r="AP982" s="76" t="str">
        <x:v>ICP fit; paid-demand need requires manual verification</x:v>
      </x:c>
      <x:c r="AQ982" s="76" t="str">
        <x:v>no embedded homepage video detected</x:v>
      </x:c>
      <x:c r="AR982" s="76" t="str">
        <x:v>I was reviewing remodeling companies in North Charleston, South Carolina and Borezzo looked like a strong fit for a creative test.</x:v>
      </x:c>
      <x:c r="AS982" s="76" t="str">
        <x:v>project reveal with budget-and-timeline proof</x:v>
      </x:c>
      <x:c r="AT982" s="76" t="str">
        <x:v>Borezzo ad concept</x:v>
      </x:c>
      <x:c r="AU982" s="76" t="str">
        <x:v>Hi Breno — I was reviewing remodeling companies in North Charleston, South Carolina and Borezzo looked like a strong fit for a creative test. I mapped a private 15-second project reveal with budget-and-timeline proof for Borezzo using only public brand context—not for publishing, just to show the angle. We build three client-approved video ad concepts in seven days, then turn the winners into fresh variations. No filming day required. Worth sending the private sample?</x:v>
      </x:c>
      <x:c r="AV982" s="76" t="str">
        <x:v>Quick follow-up: the sample angle is a project reveal with budget-and-timeline proof. If it misses the mark, no problem—I won't keep chasing. Should I send it?</x:v>
      </x:c>
      <x:c r="AW982" s="76" t="str">
        <x:v>Hi Breno, Ryan here. I was looking at Borezzo's public marketing and noticed: icp fit; paid-demand need requires manual verification. I mapped one private project reveal with budget-and-timeline proof as an example. Did I catch you with 30 seconds?</x:v>
      </x:c>
      <x:c r="AX982" s="60" t="str">
        <x:v>https://www.facebook.com/ads/library/?active_status=active&amp;ad_type=all&amp;country=US&amp;q=Borezzo&amp;search_type=keyword_unordered</x:v>
      </x:c>
      <x:c r="AY982" s="60" t="str">
        <x:v>ok:200</x:v>
      </x:c>
      <x:c r="AZ982" s="60" t="n">
        <x:v>46232.722858796296</x:v>
      </x:c>
      <x:c r="BA982" s="60" t="str">
        <x:v>AI Ark SC trades export</x:v>
      </x:c>
      <x:c r="BB982" s="60" t="str">
        <x:v>https://borezzo.com | https://www.linkedin.com/company/borezzo</x:v>
      </x:c>
      <x:c r="BC982" s="60" t="str"/>
    </x:row>
    <x:row r="983" ht="18" customHeight="1">
      <x:c r="A983" s="70" t="str">
        <x:v>982</x:v>
      </x:c>
      <x:c r="B983" s="70" t="str">
        <x:v>D - Nurture</x:v>
      </x:c>
      <x:c r="C983" s="72" t="str">
        <x:v>41</x:v>
      </x:c>
      <x:c r="D983" s="60" t="str">
        <x:v>Torres Construction, Inc.</x:v>
      </x:c>
      <x:c r="E983" s="60" t="str">
        <x:v>https://torresconstructs.com</x:v>
      </x:c>
      <x:c r="F983" s="60" t="str">
        <x:v>https://torresconstructs.com</x:v>
      </x:c>
      <x:c r="G983" s="60" t="str">
        <x:v>Elgin</x:v>
      </x:c>
      <x:c r="H983" s="60" t="str">
        <x:v>South Carolina</x:v>
      </x:c>
      <x:c r="I983" s="60" t="str">
        <x:v>Remodeling</x:v>
      </x:c>
      <x:c r="J983" s="60" t="str">
        <x:v>Janice</x:v>
      </x:c>
      <x:c r="K983" s="60" t="str">
        <x:v>Torres</x:v>
      </x:c>
      <x:c r="L983" s="60" t="str">
        <x:v>Business Owner</x:v>
      </x:c>
      <x:c r="M983" s="60" t="str"/>
      <x:c r="N983" s="60" t="str"/>
      <x:c r="O983" s="60" t="str">
        <x:v>+1 803 728 9895, +1 803 427 9567</x:v>
      </x:c>
      <x:c r="P983" s="60" t="str">
        <x:v>https://www.linkedin.com/in/janice-torres-653b73135</x:v>
      </x:c>
      <x:c r="Q983" s="60" t="str">
        <x:v>2-10</x:v>
      </x:c>
      <x:c r="R983" s="60" t="str">
        <x:v>1000000-4999999</x:v>
      </x:c>
      <x:c r="S983" s="60" t="str"/>
      <x:c r="T983" s="74" t="str">
        <x:v>0</x:v>
      </x:c>
      <x:c r="U983" s="60" t="str"/>
      <x:c r="V983" s="74" t="str">
        <x:v>29</x:v>
      </x:c>
      <x:c r="W983" s="74" t="str">
        <x:v>0</x:v>
      </x:c>
      <x:c r="X983" s="74" t="str">
        <x:v>10</x:v>
      </x:c>
      <x:c r="Y983" s="74" t="str">
        <x:v>0</x:v>
      </x:c>
      <x:c r="Z983" s="74" t="str">
        <x:v>5</x:v>
      </x:c>
      <x:c r="AA983" s="74" t="str">
        <x:v>0</x:v>
      </x:c>
      <x:c r="AB983" s="74" t="str">
        <x:v>0</x:v>
      </x:c>
      <x:c r="AC983" s="74" t="str">
        <x:v>0</x:v>
      </x:c>
      <x:c r="AD983" s="74" t="str">
        <x:v>0</x:v>
      </x:c>
      <x:c r="AE983" s="74" t="str">
        <x:v>0</x:v>
      </x:c>
      <x:c r="AF983" s="74" t="str"/>
      <x:c r="AG983" s="74" t="str">
        <x:v>0</x:v>
      </x:c>
      <x:c r="AH983" s="74" t="str">
        <x:v>0</x:v>
      </x:c>
      <x:c r="AI983" s="74" t="str">
        <x:v>0</x:v>
      </x:c>
      <x:c r="AJ983" s="74" t="str">
        <x:v>0</x:v>
      </x:c>
      <x:c r="AK983" s="74" t="str">
        <x:v>0</x:v>
      </x:c>
      <x:c r="AL983" s="74" t="str">
        <x:v>0</x:v>
      </x:c>
      <x:c r="AM983" s="74" t="str">
        <x:v>0</x:v>
      </x:c>
      <x:c r="AN983" s="74" t="str">
        <x:v>0</x:v>
      </x:c>
      <x:c r="AO983" s="60" t="str">
        <x:v>0</x:v>
      </x:c>
      <x:c r="AP983" s="76" t="str">
        <x:v>ICP fit; paid-demand need requires manual verification</x:v>
      </x:c>
      <x:c r="AQ983" s="76" t="str">
        <x:v>no embedded homepage video detected</x:v>
      </x:c>
      <x:c r="AR983" s="76" t="str">
        <x:v>I was reviewing remodeling companies in Elgin, South Carolina and Torres Construction, Inc. looked like a strong fit for a creative test.</x:v>
      </x:c>
      <x:c r="AS983" s="76" t="str">
        <x:v>project reveal with budget-and-timeline proof</x:v>
      </x:c>
      <x:c r="AT983" s="76" t="str">
        <x:v>Torres Construction, Inc. ad concept</x:v>
      </x:c>
      <x:c r="AU983" s="76" t="str">
        <x:v>Hi Janice — I was reviewing remodeling companies in Elgin, South Carolina and Torres Construction, Inc. looked like a strong fit for a creative test. I mapped a private 15-second project reveal with budget-and-timeline proof for Torres Construction, Inc. using only public brand context—not for publishing, just to show the angle. We build three client-approved video ad concepts in seven days, then turn the winners into fresh variations. No filming day required. Worth sending the private sample?</x:v>
      </x:c>
      <x:c r="AV983" s="76" t="str">
        <x:v>Quick follow-up: the sample angle is a project reveal with budget-and-timeline proof. If it misses the mark, no problem—I won't keep chasing. Should I send it?</x:v>
      </x:c>
      <x:c r="AW983" s="76" t="str">
        <x:v>Hi Janice, Ryan here. I was looking at Torres Construction, Inc.'s public marketing and noticed: icp fit; paid-demand need requires manual verification. I mapped one private project reveal with budget-and-timeline proof as an example. Did I catch you with 30 seconds?</x:v>
      </x:c>
      <x:c r="AX983" s="60" t="str">
        <x:v>https://www.facebook.com/ads/library/?active_status=active&amp;ad_type=all&amp;country=US&amp;q=Torres%20Construction%2C%20Inc.&amp;search_type=keyword_unordered</x:v>
      </x:c>
      <x:c r="AY983" s="60" t="str">
        <x:v>url_error:gaierror</x:v>
      </x:c>
      <x:c r="AZ983" s="60" t="n">
        <x:v>46232.722858796296</x:v>
      </x:c>
      <x:c r="BA983" s="60" t="str">
        <x:v>AI Ark SC trades export</x:v>
      </x:c>
      <x:c r="BB983" s="60" t="str">
        <x:v>https://torresconstructs.com | https://www.linkedin.com/company/torres-construction</x:v>
      </x:c>
      <x:c r="BC983" s="60" t="str"/>
    </x:row>
    <x:row r="984" ht="18" customHeight="1">
      <x:c r="A984" s="70" t="str">
        <x:v>983</x:v>
      </x:c>
      <x:c r="B984" s="70" t="str">
        <x:v>D - Nurture</x:v>
      </x:c>
      <x:c r="C984" s="72" t="str">
        <x:v>41</x:v>
      </x:c>
      <x:c r="D984" s="60" t="str">
        <x:v>Shepherd Services</x:v>
      </x:c>
      <x:c r="E984" s="60" t="str">
        <x:v>https://shepherdservice.com</x:v>
      </x:c>
      <x:c r="F984" s="60" t="str">
        <x:v>https://shepherdservice.com</x:v>
      </x:c>
      <x:c r="G984" s="60" t="str">
        <x:v>Easley</x:v>
      </x:c>
      <x:c r="H984" s="60" t="str">
        <x:v>South Carolina</x:v>
      </x:c>
      <x:c r="I984" s="60" t="str">
        <x:v>HVAC</x:v>
      </x:c>
      <x:c r="J984" s="60" t="str">
        <x:v>Kristin</x:v>
      </x:c>
      <x:c r="K984" s="60" t="str">
        <x:v>Shepherd</x:v>
      </x:c>
      <x:c r="L984" s="60" t="str">
        <x:v>Co-Owner</x:v>
      </x:c>
      <x:c r="M984" s="60" t="str"/>
      <x:c r="N984" s="60" t="str"/>
      <x:c r="O984" s="60" t="str">
        <x:v>+1 408 559 7160</x:v>
      </x:c>
      <x:c r="P984" s="60" t="str">
        <x:v>https://www.linkedin.com/in/kristin-shepherd-627900b7</x:v>
      </x:c>
      <x:c r="Q984" s="60" t="str">
        <x:v>2-10</x:v>
      </x:c>
      <x:c r="R984" s="60" t="str">
        <x:v>500000-999999</x:v>
      </x:c>
      <x:c r="S984" s="60" t="str"/>
      <x:c r="T984" s="74" t="str">
        <x:v>0</x:v>
      </x:c>
      <x:c r="U984" s="60" t="str"/>
      <x:c r="V984" s="74" t="str">
        <x:v>29</x:v>
      </x:c>
      <x:c r="W984" s="74" t="str">
        <x:v>0</x:v>
      </x:c>
      <x:c r="X984" s="74" t="str">
        <x:v>10</x:v>
      </x:c>
      <x:c r="Y984" s="74" t="str">
        <x:v>0</x:v>
      </x:c>
      <x:c r="Z984" s="74" t="str">
        <x:v>5</x:v>
      </x:c>
      <x:c r="AA984" s="74" t="str">
        <x:v>0</x:v>
      </x:c>
      <x:c r="AB984" s="74" t="str">
        <x:v>0</x:v>
      </x:c>
      <x:c r="AC984" s="74" t="str">
        <x:v>0</x:v>
      </x:c>
      <x:c r="AD984" s="74" t="str">
        <x:v>0</x:v>
      </x:c>
      <x:c r="AE984" s="74" t="str">
        <x:v>0</x:v>
      </x:c>
      <x:c r="AF984" s="74" t="str"/>
      <x:c r="AG984" s="74" t="str">
        <x:v>0</x:v>
      </x:c>
      <x:c r="AH984" s="74" t="str">
        <x:v>0</x:v>
      </x:c>
      <x:c r="AI984" s="74" t="str">
        <x:v>0</x:v>
      </x:c>
      <x:c r="AJ984" s="74" t="str">
        <x:v>0</x:v>
      </x:c>
      <x:c r="AK984" s="74" t="str">
        <x:v>0</x:v>
      </x:c>
      <x:c r="AL984" s="74" t="str">
        <x:v>0</x:v>
      </x:c>
      <x:c r="AM984" s="74" t="str">
        <x:v>0</x:v>
      </x:c>
      <x:c r="AN984" s="74" t="str">
        <x:v>0</x:v>
      </x:c>
      <x:c r="AO984" s="60" t="str">
        <x:v>0</x:v>
      </x:c>
      <x:c r="AP984" s="76" t="str">
        <x:v>ICP fit; paid-demand need requires manual verification</x:v>
      </x:c>
      <x:c r="AQ984" s="76" t="str">
        <x:v>no embedded homepage video detected</x:v>
      </x:c>
      <x:c r="AR984" s="76" t="str">
        <x:v>I was reviewing hvac companies in Easley, South Carolina and Shepherd Services looked like a strong fit for a creative test.</x:v>
      </x:c>
      <x:c r="AS984" s="76" t="str">
        <x:v>no-cool-call to same-day comfort ad</x:v>
      </x:c>
      <x:c r="AT984" s="76" t="str">
        <x:v>Shepherd Services ad concept</x:v>
      </x:c>
      <x:c r="AU984" s="76" t="str">
        <x:v>Hi Kristin — I was reviewing hvac companies in Easley, South Carolina and Shepherd Services looked like a strong fit for a creative test. I mapped a private 15-second no-cool-call to same-day comfort ad for Shepherd Services using only public brand context—not for publishing, just to show the angle. We build three client-approved video ad concepts in seven days, then turn the winners into fresh variations. No filming day required. Worth sending the private sample?</x:v>
      </x:c>
      <x:c r="AV984" s="76" t="str">
        <x:v>Quick follow-up: the sample angle is a no-cool-call to same-day comfort ad. If it misses the mark, no problem—I won't keep chasing. Should I send it?</x:v>
      </x:c>
      <x:c r="AW984" s="76" t="str">
        <x:v>Hi Kristin, Ryan here. I was looking at Shepherd Services's public marketing and noticed: icp fit; paid-demand need requires manual verification. I mapped one private no-cool-call to same-day comfort ad as an example. Did I catch you with 30 seconds?</x:v>
      </x:c>
      <x:c r="AX984" s="60" t="str">
        <x:v>https://www.facebook.com/ads/library/?active_status=active&amp;ad_type=all&amp;country=US&amp;q=Shepherd%20Services&amp;search_type=keyword_unordered</x:v>
      </x:c>
      <x:c r="AY984" s="60" t="str">
        <x:v>url_error:gaierror</x:v>
      </x:c>
      <x:c r="AZ984" s="60" t="n">
        <x:v>46232.722858796296</x:v>
      </x:c>
      <x:c r="BA984" s="60" t="str">
        <x:v>AI Ark SC trades export</x:v>
      </x:c>
      <x:c r="BB984" s="60" t="str">
        <x:v>https://shepherdservice.com | https://www.linkedin.com/company/shepherd-services</x:v>
      </x:c>
      <x:c r="BC984" s="60" t="str"/>
    </x:row>
    <x:row r="985" ht="18" customHeight="1">
      <x:c r="A985" s="70" t="str">
        <x:v>984</x:v>
      </x:c>
      <x:c r="B985" s="70" t="str">
        <x:v>D - Nurture</x:v>
      </x:c>
      <x:c r="C985" s="72" t="str">
        <x:v>41</x:v>
      </x:c>
      <x:c r="D985" s="60" t="str">
        <x:v>Mead Construction Inc.</x:v>
      </x:c>
      <x:c r="E985" s="60" t="str">
        <x:v>https://mead-construction.com</x:v>
      </x:c>
      <x:c r="F985" s="60" t="str">
        <x:v>https://mead-construction.com</x:v>
      </x:c>
      <x:c r="G985" s="60" t="str">
        <x:v>Greenville</x:v>
      </x:c>
      <x:c r="H985" s="60" t="str">
        <x:v>South Carolina</x:v>
      </x:c>
      <x:c r="I985" s="60" t="str">
        <x:v>General Contractor</x:v>
      </x:c>
      <x:c r="J985" s="60" t="str">
        <x:v>Matthew</x:v>
      </x:c>
      <x:c r="K985" s="60" t="str">
        <x:v>Mead</x:v>
      </x:c>
      <x:c r="L985" s="60" t="str">
        <x:v>Co-Owner</x:v>
      </x:c>
      <x:c r="M985" s="60" t="str"/>
      <x:c r="N985" s="60" t="str"/>
      <x:c r="O985" s="60" t="str">
        <x:v>+1 864 430 9268</x:v>
      </x:c>
      <x:c r="P985" s="60" t="str">
        <x:v>https://www.linkedin.com/in/matthew-mead-251923134</x:v>
      </x:c>
      <x:c r="Q985" s="60" t="str">
        <x:v>11-50</x:v>
      </x:c>
      <x:c r="R985" s="60" t="str">
        <x:v>100000-499999</x:v>
      </x:c>
      <x:c r="S985" s="60" t="str"/>
      <x:c r="T985" s="74" t="str">
        <x:v>0</x:v>
      </x:c>
      <x:c r="U985" s="60" t="str"/>
      <x:c r="V985" s="74" t="str">
        <x:v>23</x:v>
      </x:c>
      <x:c r="W985" s="74" t="str">
        <x:v>0</x:v>
      </x:c>
      <x:c r="X985" s="74" t="str">
        <x:v>13</x:v>
      </x:c>
      <x:c r="Y985" s="74" t="str">
        <x:v>0</x:v>
      </x:c>
      <x:c r="Z985" s="74" t="str">
        <x:v>5</x:v>
      </x:c>
      <x:c r="AA985" s="74" t="str">
        <x:v>0</x:v>
      </x:c>
      <x:c r="AB985" s="74" t="str">
        <x:v>0</x:v>
      </x:c>
      <x:c r="AC985" s="74" t="str">
        <x:v>0</x:v>
      </x:c>
      <x:c r="AD985" s="74" t="str">
        <x:v>0</x:v>
      </x:c>
      <x:c r="AE985" s="74" t="str">
        <x:v>0</x:v>
      </x:c>
      <x:c r="AF985" s="74" t="str"/>
      <x:c r="AG985" s="74" t="str">
        <x:v>0</x:v>
      </x:c>
      <x:c r="AH985" s="74" t="str">
        <x:v>0</x:v>
      </x:c>
      <x:c r="AI985" s="74" t="str">
        <x:v>0</x:v>
      </x:c>
      <x:c r="AJ985" s="74" t="str">
        <x:v>0</x:v>
      </x:c>
      <x:c r="AK985" s="74" t="str">
        <x:v>0</x:v>
      </x:c>
      <x:c r="AL985" s="74" t="str">
        <x:v>0</x:v>
      </x:c>
      <x:c r="AM985" s="74" t="str">
        <x:v>0</x:v>
      </x:c>
      <x:c r="AN985" s="74" t="str">
        <x:v>0</x:v>
      </x:c>
      <x:c r="AO985" s="60" t="str">
        <x:v>2020</x:v>
      </x:c>
      <x:c r="AP985" s="76" t="str">
        <x:v>ICP fit; paid-demand need requires manual verification</x:v>
      </x:c>
      <x:c r="AQ985" s="76" t="str">
        <x:v>no embedded homepage video detected</x:v>
      </x:c>
      <x:c r="AR985" s="76" t="str">
        <x:v>I was reviewing general contractor companies in Greenville, South Carolina and Mead Construction Inc. looked like a strong fit for a creative test.</x:v>
      </x:c>
      <x:c r="AS985" s="76" t="str">
        <x:v>project walkthrough with proof milestones</x:v>
      </x:c>
      <x:c r="AT985" s="76" t="str">
        <x:v>Mead Construction Inc. ad concept</x:v>
      </x:c>
      <x:c r="AU985" s="76" t="str">
        <x:v>Hi Matthew — I was reviewing general contractor companies in Greenville, South Carolina and Mead Construction Inc. looked like a strong fit for a creative test. I mapped a private 15-second project walkthrough with proof milestones for Mead Construction Inc. using only public brand context—not for publishing, just to show the angle. We build three client-approved video ad concepts in seven days, then turn the winners into fresh variations. No filming day required. Worth sending the private sample?</x:v>
      </x:c>
      <x:c r="AV985" s="76" t="str">
        <x:v>Quick follow-up: the sample angle is a project walkthrough with proof milestones. If it misses the mark, no problem—I won't keep chasing. Should I send it?</x:v>
      </x:c>
      <x:c r="AW985" s="76" t="str">
        <x:v>Hi Matthew, Ryan here. I was looking at Mead Construction Inc.'s public marketing and noticed: icp fit; paid-demand need requires manual verification. I mapped one private project walkthrough with proof milestones as an example. Did I catch you with 30 seconds?</x:v>
      </x:c>
      <x:c r="AX985" s="60" t="str">
        <x:v>https://www.facebook.com/ads/library/?active_status=active&amp;ad_type=all&amp;country=US&amp;q=Mead%20Construction%20Inc.&amp;search_type=keyword_unordered</x:v>
      </x:c>
      <x:c r="AY985" s="60" t="str">
        <x:v>ok:200</x:v>
      </x:c>
      <x:c r="AZ985" s="60" t="n">
        <x:v>46232.722858796296</x:v>
      </x:c>
      <x:c r="BA985" s="60" t="str">
        <x:v>AI Ark SC trades export</x:v>
      </x:c>
      <x:c r="BB985" s="60" t="str">
        <x:v>https://mead-construction.com | https://www.linkedin.com/company/mead-construction-inc-1</x:v>
      </x:c>
      <x:c r="BC985" s="60" t="str"/>
    </x:row>
    <x:row r="986" ht="18" customHeight="1">
      <x:c r="A986" s="70" t="str">
        <x:v>985</x:v>
      </x:c>
      <x:c r="B986" s="70" t="str">
        <x:v>D - Nurture</x:v>
      </x:c>
      <x:c r="C986" s="72" t="str">
        <x:v>41</x:v>
      </x:c>
      <x:c r="D986" s="60" t="str">
        <x:v>Fresh and Clean</x:v>
      </x:c>
      <x:c r="E986" s="60" t="str">
        <x:v>https://freshandclean.ca</x:v>
      </x:c>
      <x:c r="F986" s="60" t="str">
        <x:v>https://www.freshandclean.ca/</x:v>
      </x:c>
      <x:c r="G986" s="60" t="str">
        <x:v>Irmo</x:v>
      </x:c>
      <x:c r="H986" s="60" t="str">
        <x:v>South Carolina</x:v>
      </x:c>
      <x:c r="I986" s="60" t="str">
        <x:v>Restoration</x:v>
      </x:c>
      <x:c r="J986" s="60" t="str">
        <x:v>Noralba</x:v>
      </x:c>
      <x:c r="K986" s="60" t="str">
        <x:v>Hurtado</x:v>
      </x:c>
      <x:c r="L986" s="60" t="str">
        <x:v>Owner</x:v>
      </x:c>
      <x:c r="M986" s="60" t="str"/>
      <x:c r="N986" s="60" t="str"/>
      <x:c r="O986" s="60" t="str">
        <x:v>+1 203 564 4633</x:v>
      </x:c>
      <x:c r="P986" s="60" t="str">
        <x:v>https://www.linkedin.com/in/noralba-hurtado-40b557a9</x:v>
      </x:c>
      <x:c r="Q986" s="60" t="str">
        <x:v>11-50</x:v>
      </x:c>
      <x:c r="R986" s="60" t="str">
        <x:v>1000000-4999999</x:v>
      </x:c>
      <x:c r="S986" s="60" t="str"/>
      <x:c r="T986" s="74" t="str">
        <x:v>0</x:v>
      </x:c>
      <x:c r="U986" s="60" t="str"/>
      <x:c r="V986" s="74" t="str">
        <x:v>30</x:v>
      </x:c>
      <x:c r="W986" s="74" t="str">
        <x:v>0</x:v>
      </x:c>
      <x:c r="X986" s="74" t="str">
        <x:v>6</x:v>
      </x:c>
      <x:c r="Y986" s="74" t="str">
        <x:v>0</x:v>
      </x:c>
      <x:c r="Z986" s="74" t="str">
        <x:v>5</x:v>
      </x:c>
      <x:c r="AA986" s="74" t="str">
        <x:v>0</x:v>
      </x:c>
      <x:c r="AB986" s="74" t="str">
        <x:v>0</x:v>
      </x:c>
      <x:c r="AC986" s="74" t="str">
        <x:v>0</x:v>
      </x:c>
      <x:c r="AD986" s="74" t="str">
        <x:v>0</x:v>
      </x:c>
      <x:c r="AE986" s="74" t="str">
        <x:v>0</x:v>
      </x:c>
      <x:c r="AF986" s="74" t="str"/>
      <x:c r="AG986" s="74" t="str">
        <x:v>0</x:v>
      </x:c>
      <x:c r="AH986" s="74" t="str">
        <x:v>0</x:v>
      </x:c>
      <x:c r="AI986" s="74" t="str">
        <x:v>0</x:v>
      </x:c>
      <x:c r="AJ986" s="74" t="str">
        <x:v>0</x:v>
      </x:c>
      <x:c r="AK986" s="74" t="str">
        <x:v>0</x:v>
      </x:c>
      <x:c r="AL986" s="74" t="str">
        <x:v>1</x:v>
      </x:c>
      <x:c r="AM986" s="74" t="str">
        <x:v>1</x:v>
      </x:c>
      <x:c r="AN986" s="74" t="str">
        <x:v>0</x:v>
      </x:c>
      <x:c r="AO986" s="60" t="str">
        <x:v>0</x:v>
      </x:c>
      <x:c r="AP986" s="76" t="str">
        <x:v>ICP fit; paid-demand need requires manual verification</x:v>
      </x:c>
      <x:c r="AQ986" s="76" t="str">
        <x:v>no embedded homepage video detected</x:v>
      </x:c>
      <x:c r="AR986" s="76" t="str">
        <x:v>I was reviewing restoration companies in Irmo, South Carolina and Fresh and Clean looked like a strong fit for a creative test.</x:v>
      </x:c>
      <x:c r="AS986" s="76" t="str">
        <x:v>first-24-hours emergency-response ad</x:v>
      </x:c>
      <x:c r="AT986" s="76" t="str">
        <x:v>Fresh and Clean ad concept</x:v>
      </x:c>
      <x:c r="AU986" s="76" t="str">
        <x:v>Hi Noralba — I was reviewing restoration companies in Irmo, South Carolina and Fresh and Clean looked like a strong fit for a creative test. I mapped a private 15-second first-24-hours emergency-response ad for Fresh and Clean using only public brand context—not for publishing, just to show the angle. We build three client-approved video ad concepts in seven days, then turn the winners into fresh variations. No filming day required. Worth sending the private sample?</x:v>
      </x:c>
      <x:c r="AV986" s="76" t="str">
        <x:v>Quick follow-up: the sample angle is a first-24-hours emergency-response ad. If it misses the mark, no problem—I won't keep chasing. Should I send it?</x:v>
      </x:c>
      <x:c r="AW986" s="76" t="str">
        <x:v>Hi Noralba, Ryan here. I was looking at Fresh and Clean's public marketing and noticed: icp fit; paid-demand need requires manual verification. I mapped one private first-24-hours emergency-response ad as an example. Did I catch you with 30 seconds?</x:v>
      </x:c>
      <x:c r="AX986" s="60" t="str">
        <x:v>https://www.facebook.com/ads/library/?active_status=active&amp;ad_type=all&amp;country=US&amp;q=Fresh%20and%20Clean&amp;search_type=keyword_unordered</x:v>
      </x:c>
      <x:c r="AY986" s="60" t="str">
        <x:v>ok:200</x:v>
      </x:c>
      <x:c r="AZ986" s="60" t="n">
        <x:v>46232.722858796296</x:v>
      </x:c>
      <x:c r="BA986" s="60" t="str">
        <x:v>AI Ark SC trades export</x:v>
      </x:c>
      <x:c r="BB986" s="60" t="str">
        <x:v>https://freshandclean.ca | https://www.linkedin.com/company/fresh-and-clean</x:v>
      </x:c>
      <x:c r="BC986" s="60" t="str"/>
    </x:row>
    <x:row r="987" ht="18" customHeight="1">
      <x:c r="A987" s="70" t="str">
        <x:v>986</x:v>
      </x:c>
      <x:c r="B987" s="70" t="str">
        <x:v>D - Nurture</x:v>
      </x:c>
      <x:c r="C987" s="72" t="str">
        <x:v>41</x:v>
      </x:c>
      <x:c r="D987" s="60" t="str">
        <x:v>Elite Builders of Myrtle Beach</x:v>
      </x:c>
      <x:c r="E987" s="60" t="str">
        <x:v>https://elitebuildersmb.com</x:v>
      </x:c>
      <x:c r="F987" s="60" t="str">
        <x:v>https://elitebuildersmb.com</x:v>
      </x:c>
      <x:c r="G987" s="60" t="str">
        <x:v>Greater Myrtle Beach Area</x:v>
      </x:c>
      <x:c r="H987" s="60" t="str"/>
      <x:c r="I987" s="60" t="str">
        <x:v>General Contractor</x:v>
      </x:c>
      <x:c r="J987" s="60" t="str">
        <x:v>Shayla</x:v>
      </x:c>
      <x:c r="K987" s="60" t="str">
        <x:v>Jenkins</x:v>
      </x:c>
      <x:c r="L987" s="60" t="str">
        <x:v>Company Owner</x:v>
      </x:c>
      <x:c r="M987" s="60" t="str"/>
      <x:c r="N987" s="60" t="str"/>
      <x:c r="O987" s="60" t="str">
        <x:v>+1 614 815 0641</x:v>
      </x:c>
      <x:c r="P987" s="60" t="str">
        <x:v>https://www.linkedin.com/in/shayla-jenkins-73302739</x:v>
      </x:c>
      <x:c r="Q987" s="60" t="str">
        <x:v>11-50</x:v>
      </x:c>
      <x:c r="R987" s="60" t="str">
        <x:v>0-99999</x:v>
      </x:c>
      <x:c r="S987" s="60" t="str"/>
      <x:c r="T987" s="74" t="str">
        <x:v>0</x:v>
      </x:c>
      <x:c r="U987" s="60" t="str"/>
      <x:c r="V987" s="74" t="str">
        <x:v>23</x:v>
      </x:c>
      <x:c r="W987" s="74" t="str">
        <x:v>0</x:v>
      </x:c>
      <x:c r="X987" s="74" t="str">
        <x:v>13</x:v>
      </x:c>
      <x:c r="Y987" s="74" t="str">
        <x:v>0</x:v>
      </x:c>
      <x:c r="Z987" s="74" t="str">
        <x:v>5</x:v>
      </x:c>
      <x:c r="AA987" s="74" t="str">
        <x:v>0</x:v>
      </x:c>
      <x:c r="AB987" s="74" t="str">
        <x:v>0</x:v>
      </x:c>
      <x:c r="AC987" s="74" t="str">
        <x:v>0</x:v>
      </x:c>
      <x:c r="AD987" s="74" t="str">
        <x:v>0</x:v>
      </x:c>
      <x:c r="AE987" s="74" t="str">
        <x:v>0</x:v>
      </x:c>
      <x:c r="AF987" s="74" t="str"/>
      <x:c r="AG987" s="74" t="str">
        <x:v>0</x:v>
      </x:c>
      <x:c r="AH987" s="74" t="str">
        <x:v>0</x:v>
      </x:c>
      <x:c r="AI987" s="74" t="str">
        <x:v>0</x:v>
      </x:c>
      <x:c r="AJ987" s="74" t="str">
        <x:v>0</x:v>
      </x:c>
      <x:c r="AK987" s="74" t="str">
        <x:v>0</x:v>
      </x:c>
      <x:c r="AL987" s="74" t="str">
        <x:v>0</x:v>
      </x:c>
      <x:c r="AM987" s="74" t="str">
        <x:v>0</x:v>
      </x:c>
      <x:c r="AN987" s="74" t="str">
        <x:v>0</x:v>
      </x:c>
      <x:c r="AO987" s="60" t="str">
        <x:v>2021</x:v>
      </x:c>
      <x:c r="AP987" s="76" t="str">
        <x:v>ICP fit; paid-demand need requires manual verification</x:v>
      </x:c>
      <x:c r="AQ987" s="76" t="str">
        <x:v>no embedded homepage video detected</x:v>
      </x:c>
      <x:c r="AR987" s="76" t="str">
        <x:v>I was reviewing general contractor companies in Greater Myrtle Beach Area and Elite Builders of Myrtle Beach looked like a strong fit for a creative test.</x:v>
      </x:c>
      <x:c r="AS987" s="76" t="str">
        <x:v>project walkthrough with proof milestones</x:v>
      </x:c>
      <x:c r="AT987" s="76" t="str">
        <x:v>Elite Builders of Myrtle Beach ad concept</x:v>
      </x:c>
      <x:c r="AU987" s="76" t="str">
        <x:v>Hi Shayla — I was reviewing general contractor companies in Greater Myrtle Beach Area and Elite Builders of Myrtle Beach looked like a strong fit for a creative test. I mapped a private 15-second project walkthrough with proof milestones for Elite Builders of Myrtle Beach using only public brand context—not for publishing, just to show the angle. We build three client-approved video ad concepts in seven days, then turn the winners into fresh variations. No filming day required. Worth sending the private sample?</x:v>
      </x:c>
      <x:c r="AV987" s="76" t="str">
        <x:v>Quick follow-up: the sample angle is a project walkthrough with proof milestones. If it misses the mark, no problem—I won't keep chasing. Should I send it?</x:v>
      </x:c>
      <x:c r="AW987" s="76" t="str">
        <x:v>Hi Shayla, Ryan here. I was looking at Elite Builders of Myrtle Beach's public marketing and noticed: icp fit; paid-demand need requires manual verification. I mapped one private project walkthrough with proof milestones as an example. Did I catch you with 30 seconds?</x:v>
      </x:c>
      <x:c r="AX987" s="60" t="str">
        <x:v>https://www.facebook.com/ads/library/?active_status=active&amp;ad_type=all&amp;country=US&amp;q=Elite%20Builders%20of%20Myrtle%20Beach&amp;search_type=keyword_unordered</x:v>
      </x:c>
      <x:c r="AY987" s="60" t="str">
        <x:v>ok:200</x:v>
      </x:c>
      <x:c r="AZ987" s="60" t="n">
        <x:v>46232.722858796296</x:v>
      </x:c>
      <x:c r="BA987" s="60" t="str">
        <x:v>AI Ark SC trades export</x:v>
      </x:c>
      <x:c r="BB987" s="60" t="str">
        <x:v>https://elitebuildersmb.com | https://www.linkedin.com/company/elite-builders-of-myrtle-beach</x:v>
      </x:c>
      <x:c r="BC987" s="60" t="str"/>
    </x:row>
    <x:row r="988" ht="18" customHeight="1">
      <x:c r="A988" s="70" t="str">
        <x:v>987</x:v>
      </x:c>
      <x:c r="B988" s="70" t="str">
        <x:v>D - Nurture</x:v>
      </x:c>
      <x:c r="C988" s="72" t="str">
        <x:v>41</x:v>
      </x:c>
      <x:c r="D988" s="60" t="str">
        <x:v>Atlantic Pools</x:v>
      </x:c>
      <x:c r="E988" s="60" t="str">
        <x:v>https://okcpools.com</x:v>
      </x:c>
      <x:c r="F988" s="60" t="str">
        <x:v>https://okcpools.com</x:v>
      </x:c>
      <x:c r="G988" s="60" t="str">
        <x:v>Columbia</x:v>
      </x:c>
      <x:c r="H988" s="60" t="str">
        <x:v>South Carolina Metropolitan Area</x:v>
      </x:c>
      <x:c r="I988" s="60" t="str">
        <x:v>Pools &amp; Spas</x:v>
      </x:c>
      <x:c r="J988" s="60" t="str">
        <x:v>Scott</x:v>
      </x:c>
      <x:c r="K988" s="60" t="str">
        <x:v>Baldwin</x:v>
      </x:c>
      <x:c r="L988" s="60" t="str">
        <x:v>Business Owner</x:v>
      </x:c>
      <x:c r="M988" s="60" t="str"/>
      <x:c r="N988" s="60" t="str"/>
      <x:c r="O988" s="60" t="str">
        <x:v>+1 405 308 4899</x:v>
      </x:c>
      <x:c r="P988" s="60" t="str">
        <x:v>https://www.linkedin.com/in/scott-baldwin-a57a4b160</x:v>
      </x:c>
      <x:c r="Q988" s="60" t="str">
        <x:v>2-10</x:v>
      </x:c>
      <x:c r="R988" s="60" t="str">
        <x:v>500000-999999</x:v>
      </x:c>
      <x:c r="S988" s="60" t="str"/>
      <x:c r="T988" s="74" t="str">
        <x:v>0</x:v>
      </x:c>
      <x:c r="U988" s="60" t="str"/>
      <x:c r="V988" s="74" t="str">
        <x:v>26</x:v>
      </x:c>
      <x:c r="W988" s="74" t="str">
        <x:v>0</x:v>
      </x:c>
      <x:c r="X988" s="74" t="str">
        <x:v>10</x:v>
      </x:c>
      <x:c r="Y988" s="74" t="str">
        <x:v>0</x:v>
      </x:c>
      <x:c r="Z988" s="74" t="str">
        <x:v>5</x:v>
      </x:c>
      <x:c r="AA988" s="74" t="str">
        <x:v>0</x:v>
      </x:c>
      <x:c r="AB988" s="74" t="str">
        <x:v>0</x:v>
      </x:c>
      <x:c r="AC988" s="74" t="str">
        <x:v>0</x:v>
      </x:c>
      <x:c r="AD988" s="74" t="str">
        <x:v>0</x:v>
      </x:c>
      <x:c r="AE988" s="74" t="str">
        <x:v>0</x:v>
      </x:c>
      <x:c r="AF988" s="74" t="str"/>
      <x:c r="AG988" s="74" t="str">
        <x:v>0</x:v>
      </x:c>
      <x:c r="AH988" s="74" t="str">
        <x:v>0</x:v>
      </x:c>
      <x:c r="AI988" s="74" t="str">
        <x:v>0</x:v>
      </x:c>
      <x:c r="AJ988" s="74" t="str">
        <x:v>0</x:v>
      </x:c>
      <x:c r="AK988" s="74" t="str">
        <x:v>0</x:v>
      </x:c>
      <x:c r="AL988" s="74" t="str">
        <x:v>0</x:v>
      </x:c>
      <x:c r="AM988" s="74" t="str">
        <x:v>0</x:v>
      </x:c>
      <x:c r="AN988" s="74" t="str">
        <x:v>0</x:v>
      </x:c>
      <x:c r="AO988" s="60" t="str">
        <x:v>0</x:v>
      </x:c>
      <x:c r="AP988" s="76" t="str">
        <x:v>ICP fit; paid-demand need requires manual verification</x:v>
      </x:c>
      <x:c r="AQ988" s="76" t="str">
        <x:v>no embedded homepage video detected</x:v>
      </x:c>
      <x:c r="AR988" s="76" t="str">
        <x:v>I was reviewing pools &amp; spas companies in Columbia, South Carolina Metropolitan Area and Atlantic Pools looked like a strong fit for a creative test.</x:v>
      </x:c>
      <x:c r="AS988" s="76" t="str">
        <x:v>backyard-before to finished-project reveal</x:v>
      </x:c>
      <x:c r="AT988" s="76" t="str">
        <x:v>Atlantic Pools ad concept</x:v>
      </x:c>
      <x:c r="AU988" s="76" t="str">
        <x:v>Hi Scott — I was reviewing pools &amp; spas companies in Columbia, South Carolina Metropolitan Area and Atlantic Pools looked like a strong fit for a creative test. I mapped a private 15-second backyard-before to finished-project reveal for Atlantic Pools using only public brand context—not for publishing, just to show the angle. We build three client-approved video ad concepts in seven days, then turn the winners into fresh variations. No filming day required. Worth sending the private sample?</x:v>
      </x:c>
      <x:c r="AV988" s="76" t="str">
        <x:v>Quick follow-up: the sample angle is a backyard-before to finished-project reveal. If it misses the mark, no problem—I won't keep chasing. Should I send it?</x:v>
      </x:c>
      <x:c r="AW988" s="76" t="str">
        <x:v>Hi Scott, Ryan here. I was looking at Atlantic Pools's public marketing and noticed: icp fit; paid-demand need requires manual verification. I mapped one private backyard-before to finished-project reveal as an example. Did I catch you with 30 seconds?</x:v>
      </x:c>
      <x:c r="AX988" s="60" t="str">
        <x:v>https://www.facebook.com/ads/library/?active_status=active&amp;ad_type=all&amp;country=US&amp;q=Atlantic%20Pools&amp;search_type=keyword_unordered</x:v>
      </x:c>
      <x:c r="AY988" s="60" t="str">
        <x:v>ok:200</x:v>
      </x:c>
      <x:c r="AZ988" s="60" t="n">
        <x:v>46232.722858796296</x:v>
      </x:c>
      <x:c r="BA988" s="60" t="str">
        <x:v>AI Ark SC trades export</x:v>
      </x:c>
      <x:c r="BB988" s="60" t="str">
        <x:v>https://okcpools.com | https://www.linkedin.com/company/atlantic-pools-inc</x:v>
      </x:c>
      <x:c r="BC988" s="60" t="str"/>
    </x:row>
    <x:row r="989" ht="18" customHeight="1">
      <x:c r="A989" s="70" t="str">
        <x:v>988</x:v>
      </x:c>
      <x:c r="B989" s="70" t="str">
        <x:v>D - Nurture</x:v>
      </x:c>
      <x:c r="C989" s="72" t="str">
        <x:v>40</x:v>
      </x:c>
      <x:c r="D989" s="60" t="str">
        <x:v>Lafaye Custom Homes</x:v>
      </x:c>
      <x:c r="E989" s="60" t="str">
        <x:v>https://lafayehomes.com</x:v>
      </x:c>
      <x:c r="F989" s="60" t="str">
        <x:v>https://lafayehomes.com</x:v>
      </x:c>
      <x:c r="G989" s="60" t="str">
        <x:v>Columbia</x:v>
      </x:c>
      <x:c r="H989" s="60" t="str">
        <x:v>South Carolina</x:v>
      </x:c>
      <x:c r="I989" s="60" t="str">
        <x:v>General Contractor</x:v>
      </x:c>
      <x:c r="J989" s="60" t="str">
        <x:v>Lucas</x:v>
      </x:c>
      <x:c r="K989" s="60" t="str">
        <x:v>Bunch</x:v>
      </x:c>
      <x:c r="L989" s="60" t="str">
        <x:v>Owner / President</x:v>
      </x:c>
      <x:c r="M989" s="60" t="str"/>
      <x:c r="N989" s="60" t="str"/>
      <x:c r="O989" s="60" t="str">
        <x:v>+1 803 422 6487</x:v>
      </x:c>
      <x:c r="P989" s="60" t="str">
        <x:v>https://www.linkedin.com/in/lucas-bunch-1aab0420</x:v>
      </x:c>
      <x:c r="Q989" s="60" t="str">
        <x:v>11-50</x:v>
      </x:c>
      <x:c r="R989" s="60" t="str">
        <x:v>100000-499999</x:v>
      </x:c>
      <x:c r="S989" s="60" t="str"/>
      <x:c r="T989" s="74" t="str">
        <x:v>0</x:v>
      </x:c>
      <x:c r="U989" s="60" t="str"/>
      <x:c r="V989" s="74" t="str">
        <x:v>23</x:v>
      </x:c>
      <x:c r="W989" s="74" t="str">
        <x:v>3</x:v>
      </x:c>
      <x:c r="X989" s="74" t="str">
        <x:v>0</x:v>
      </x:c>
      <x:c r="Y989" s="74" t="str">
        <x:v>9</x:v>
      </x:c>
      <x:c r="Z989" s="74" t="str">
        <x:v>5</x:v>
      </x:c>
      <x:c r="AA989" s="74" t="str">
        <x:v>0</x:v>
      </x:c>
      <x:c r="AB989" s="74" t="str">
        <x:v>0</x:v>
      </x:c>
      <x:c r="AC989" s="74" t="str">
        <x:v>1</x:v>
      </x:c>
      <x:c r="AD989" s="74" t="str">
        <x:v>0</x:v>
      </x:c>
      <x:c r="AE989" s="74" t="str">
        <x:v>0</x:v>
      </x:c>
      <x:c r="AF989" s="74" t="str"/>
      <x:c r="AG989" s="74" t="str">
        <x:v>1</x:v>
      </x:c>
      <x:c r="AH989" s="74" t="str">
        <x:v>1</x:v>
      </x:c>
      <x:c r="AI989" s="74" t="str">
        <x:v>1</x:v>
      </x:c>
      <x:c r="AJ989" s="74" t="str">
        <x:v>0</x:v>
      </x:c>
      <x:c r="AK989" s="74" t="str">
        <x:v>0</x:v>
      </x:c>
      <x:c r="AL989" s="74" t="str">
        <x:v>1</x:v>
      </x:c>
      <x:c r="AM989" s="74" t="str">
        <x:v>0</x:v>
      </x:c>
      <x:c r="AN989" s="74" t="str">
        <x:v>0</x:v>
      </x:c>
      <x:c r="AO989" s="60" t="str">
        <x:v>2026</x:v>
      </x:c>
      <x:c r="AP989" s="76" t="str">
        <x:v>ICP fit; paid-demand need requires manual verification</x:v>
      </x:c>
      <x:c r="AQ989" s="76" t="str">
        <x:v>project/gallery proof; testimonials</x:v>
      </x:c>
      <x:c r="AR989" s="76" t="str">
        <x:v>I was reviewing general contractor companies in Columbia, South Carolina and Lafaye Custom Homes looked like a strong fit for a creative test.</x:v>
      </x:c>
      <x:c r="AS989" s="76" t="str">
        <x:v>project walkthrough with proof milestones</x:v>
      </x:c>
      <x:c r="AT989" s="76" t="str">
        <x:v>Lafaye Custom Homes ad concept</x:v>
      </x:c>
      <x:c r="AU989" s="76" t="str">
        <x:v>Hi Lucas — I was reviewing general contractor companies in Columbia, South Carolina and Lafaye Custom Homes looked like a strong fit for a creative test. I mapped a private 15-second project walkthrough with proof milestones for Lafaye Custom Homes using only public brand context—not for publishing, just to show the angle. We build three client-approved video ad concepts in seven days, then turn the winners into fresh variations. No filming day required. Worth sending the private sample?</x:v>
      </x:c>
      <x:c r="AV989" s="76" t="str">
        <x:v>Quick follow-up: the sample angle is a project walkthrough with proof milestones. If it misses the mark, no problem—I won't keep chasing. Should I send it?</x:v>
      </x:c>
      <x:c r="AW989" s="76" t="str">
        <x:v>Hi Lucas, Ryan here. I was looking at Lafaye Custom Homes's public marketing and noticed: icp fit; paid-demand need requires manual verification. I mapped one private project walkthrough with proof milestones as an example. Did I catch you with 30 seconds?</x:v>
      </x:c>
      <x:c r="AX989" s="60" t="str">
        <x:v>https://www.facebook.com/ads/library/?active_status=active&amp;ad_type=all&amp;country=US&amp;q=Lafaye%20Custom%20Homes&amp;search_type=keyword_unordered</x:v>
      </x:c>
      <x:c r="AY989" s="60" t="str">
        <x:v>ok:200</x:v>
      </x:c>
      <x:c r="AZ989" s="60" t="n">
        <x:v>46232.722858796296</x:v>
      </x:c>
      <x:c r="BA989" s="60" t="str">
        <x:v>AI Ark SC trades export</x:v>
      </x:c>
      <x:c r="BB989" s="60" t="str">
        <x:v>https://lafayehomes.com | https://www.linkedin.com/company/b-b-homes-llc</x:v>
      </x:c>
      <x:c r="BC989" s="60" t="str"/>
    </x:row>
    <x:row r="990" ht="18" customHeight="1">
      <x:c r="A990" s="70" t="str">
        <x:v>989</x:v>
      </x:c>
      <x:c r="B990" s="70" t="str">
        <x:v>D - Nurture</x:v>
      </x:c>
      <x:c r="C990" s="72" t="str">
        <x:v>40</x:v>
      </x:c>
      <x:c r="D990" s="60" t="str">
        <x:v>Jones &amp; Jones Painting</x:v>
      </x:c>
      <x:c r="E990" s="60" t="str">
        <x:v>https://jonesandjonespaint.com</x:v>
      </x:c>
      <x:c r="F990" s="60" t="str">
        <x:v>https://jonesandjonespaint.com</x:v>
      </x:c>
      <x:c r="G990" s="60" t="str">
        <x:v>Charleston County</x:v>
      </x:c>
      <x:c r="H990" s="60" t="str">
        <x:v>South Carolina</x:v>
      </x:c>
      <x:c r="I990" s="60" t="str">
        <x:v>Painting</x:v>
      </x:c>
      <x:c r="J990" s="60" t="str">
        <x:v>Rafael</x:v>
      </x:c>
      <x:c r="K990" s="60" t="str">
        <x:v>Jones</x:v>
      </x:c>
      <x:c r="L990" s="60" t="str">
        <x:v>Company Owner</x:v>
      </x:c>
      <x:c r="M990" s="60" t="str"/>
      <x:c r="N990" s="60" t="str"/>
      <x:c r="O990" s="60" t="str"/>
      <x:c r="P990" s="60" t="str">
        <x:v>https://www.linkedin.com/in/rafael-jones-7155b219b</x:v>
      </x:c>
      <x:c r="Q990" s="60" t="str">
        <x:v>2-10</x:v>
      </x:c>
      <x:c r="R990" s="60" t="str">
        <x:v>100000-499999</x:v>
      </x:c>
      <x:c r="S990" s="60" t="str"/>
      <x:c r="T990" s="74" t="str">
        <x:v>0</x:v>
      </x:c>
      <x:c r="U990" s="60" t="str"/>
      <x:c r="V990" s="74" t="str">
        <x:v>21</x:v>
      </x:c>
      <x:c r="W990" s="74" t="str">
        <x:v>3</x:v>
      </x:c>
      <x:c r="X990" s="74" t="str">
        <x:v>6</x:v>
      </x:c>
      <x:c r="Y990" s="74" t="str">
        <x:v>8</x:v>
      </x:c>
      <x:c r="Z990" s="74" t="str">
        <x:v>2</x:v>
      </x:c>
      <x:c r="AA990" s="74" t="str">
        <x:v>0</x:v>
      </x:c>
      <x:c r="AB990" s="74" t="str">
        <x:v>0</x:v>
      </x:c>
      <x:c r="AC990" s="74" t="str">
        <x:v>1</x:v>
      </x:c>
      <x:c r="AD990" s="74" t="str">
        <x:v>0</x:v>
      </x:c>
      <x:c r="AE990" s="74" t="str">
        <x:v>0</x:v>
      </x:c>
      <x:c r="AF990" s="74" t="str"/>
      <x:c r="AG990" s="74" t="str">
        <x:v>0</x:v>
      </x:c>
      <x:c r="AH990" s="74" t="str">
        <x:v>1</x:v>
      </x:c>
      <x:c r="AI990" s="74" t="str">
        <x:v>0</x:v>
      </x:c>
      <x:c r="AJ990" s="74" t="str">
        <x:v>0</x:v>
      </x:c>
      <x:c r="AK990" s="74" t="str">
        <x:v>1</x:v>
      </x:c>
      <x:c r="AL990" s="74" t="str">
        <x:v>1</x:v>
      </x:c>
      <x:c r="AM990" s="74" t="str">
        <x:v>1</x:v>
      </x:c>
      <x:c r="AN990" s="74" t="str">
        <x:v>0</x:v>
      </x:c>
      <x:c r="AO990" s="60" t="str">
        <x:v>2025</x:v>
      </x:c>
      <x:c r="AP990" s="76" t="str">
        <x:v>Project/gallery proof found; no embedded homepage video found</x:v>
      </x:c>
      <x:c r="AQ990" s="76" t="str">
        <x:v>project/gallery proof; visible service offer; no embedded homepage video detected</x:v>
      </x:c>
      <x:c r="AR990" s="76" t="str">
        <x:v>I found project/gallery proof on Jones &amp; Jones Painting's site that could be repackaged into short-form ad concepts.</x:v>
      </x:c>
      <x:c r="AS990" s="76" t="str">
        <x:v>one-room transformation ad</x:v>
      </x:c>
      <x:c r="AT990" s="76" t="str">
        <x:v>Jones &amp; Jones Painting ad concept</x:v>
      </x:c>
      <x:c r="AU990" s="76" t="str">
        <x:v>Hi Rafael — I found project/gallery proof on Jones &amp; Jones Painting's site that could be repackaged into short-form ad concepts. I mapped a private 15-second one-room transformation ad for Jones &amp; Jones Painting using only public brand context—not for publishing, just to show the angle. We build three client-approved video ad concepts in seven days, then turn the winners into fresh variations. No filming day required. Worth sending the private sample?</x:v>
      </x:c>
      <x:c r="AV990" s="76" t="str">
        <x:v>Quick follow-up: the sample angle is a one-room transformation ad. If it misses the mark, no problem—I won't keep chasing. Should I send it?</x:v>
      </x:c>
      <x:c r="AW990" s="76" t="str">
        <x:v>Hi Rafael, Ryan here. I was looking at Jones &amp; Jones Painting's public marketing and noticed: project/gallery proof found; no embedded homepage video found. I mapped one private one-room transformation ad as an example. Did I catch you with 30 seconds?</x:v>
      </x:c>
      <x:c r="AX990" s="60" t="str">
        <x:v>https://www.facebook.com/ads/library/?active_status=active&amp;ad_type=all&amp;country=US&amp;q=Jones%20%26%20Jones%20Painting&amp;search_type=keyword_unordered</x:v>
      </x:c>
      <x:c r="AY990" s="60" t="str">
        <x:v>ok:200</x:v>
      </x:c>
      <x:c r="AZ990" s="60" t="n">
        <x:v>46232.722858796296</x:v>
      </x:c>
      <x:c r="BA990" s="60" t="str">
        <x:v>AI Ark SC trades export</x:v>
      </x:c>
      <x:c r="BB990" s="60" t="str">
        <x:v>https://jonesandjonespaint.com | https://www.linkedin.com/company/jones-jones-painting</x:v>
      </x:c>
      <x:c r="BC990" s="60" t="str"/>
    </x:row>
    <x:row r="991" ht="18" customHeight="1">
      <x:c r="A991" s="70" t="str">
        <x:v>990</x:v>
      </x:c>
      <x:c r="B991" s="70" t="str">
        <x:v>D - Nurture</x:v>
      </x:c>
      <x:c r="C991" s="72" t="str">
        <x:v>40</x:v>
      </x:c>
      <x:c r="D991" s="60" t="str">
        <x:v>Cicco Construction Group</x:v>
      </x:c>
      <x:c r="E991" s="60" t="str">
        <x:v>https://prestigedesignbuild.com</x:v>
      </x:c>
      <x:c r="F991" s="60" t="str">
        <x:v>https://www.hugedomains.com/domain_profile.cfm?d=prestigedesignbuild.com</x:v>
      </x:c>
      <x:c r="G991" s="60" t="str">
        <x:v>Myrtle Beach</x:v>
      </x:c>
      <x:c r="H991" s="60" t="str">
        <x:v>South Carolina</x:v>
      </x:c>
      <x:c r="I991" s="60" t="str">
        <x:v>Remodeling</x:v>
      </x:c>
      <x:c r="J991" s="60" t="str">
        <x:v>Lynn</x:v>
      </x:c>
      <x:c r="K991" s="60" t="str">
        <x:v>Blevins</x:v>
      </x:c>
      <x:c r="L991" s="60" t="str">
        <x:v>Business Owner</x:v>
      </x:c>
      <x:c r="M991" s="60" t="str"/>
      <x:c r="N991" s="60" t="str"/>
      <x:c r="O991" s="60" t="str">
        <x:v>+1 423 383 5478</x:v>
      </x:c>
      <x:c r="P991" s="60" t="str">
        <x:v>https://www.linkedin.com/in/lynnblevins</x:v>
      </x:c>
      <x:c r="Q991" s="60" t="str">
        <x:v>2-10</x:v>
      </x:c>
      <x:c r="R991" s="60" t="str">
        <x:v>100000-499999</x:v>
      </x:c>
      <x:c r="S991" s="60" t="str"/>
      <x:c r="T991" s="74" t="str">
        <x:v>0</x:v>
      </x:c>
      <x:c r="U991" s="60" t="str"/>
      <x:c r="V991" s="74" t="str">
        <x:v>25</x:v>
      </x:c>
      <x:c r="W991" s="74" t="str">
        <x:v>3</x:v>
      </x:c>
      <x:c r="X991" s="74" t="str">
        <x:v>0</x:v>
      </x:c>
      <x:c r="Y991" s="74" t="str">
        <x:v>7</x:v>
      </x:c>
      <x:c r="Z991" s="74" t="str">
        <x:v>5</x:v>
      </x:c>
      <x:c r="AA991" s="74" t="str">
        <x:v>0</x:v>
      </x:c>
      <x:c r="AB991" s="74" t="str">
        <x:v>0</x:v>
      </x:c>
      <x:c r="AC991" s="74" t="str">
        <x:v>1</x:v>
      </x:c>
      <x:c r="AD991" s="74" t="str">
        <x:v>0</x:v>
      </x:c>
      <x:c r="AE991" s="74" t="str">
        <x:v>0</x:v>
      </x:c>
      <x:c r="AF991" s="74" t="str"/>
      <x:c r="AG991" s="74" t="str">
        <x:v>1</x:v>
      </x:c>
      <x:c r="AH991" s="74" t="str">
        <x:v>0</x:v>
      </x:c>
      <x:c r="AI991" s="74" t="str">
        <x:v>1</x:v>
      </x:c>
      <x:c r="AJ991" s="74" t="str">
        <x:v>1</x:v>
      </x:c>
      <x:c r="AK991" s="74" t="str">
        <x:v>0</x:v>
      </x:c>
      <x:c r="AL991" s="74" t="str">
        <x:v>0</x:v>
      </x:c>
      <x:c r="AM991" s="74" t="str">
        <x:v>0</x:v>
      </x:c>
      <x:c r="AN991" s="74" t="str">
        <x:v>1</x:v>
      </x:c>
      <x:c r="AO991" s="60" t="str">
        <x:v>2026</x:v>
      </x:c>
      <x:c r="AP991" s="76" t="str">
        <x:v>ICP fit; paid-demand need requires manual verification</x:v>
      </x:c>
      <x:c r="AQ991" s="76" t="str">
        <x:v>testimonials; financing</x:v>
      </x:c>
      <x:c r="AR991" s="76" t="str">
        <x:v>I was reviewing remodeling companies in Myrtle Beach, South Carolina and Cicco Construction Group looked like a strong fit for a creative test.</x:v>
      </x:c>
      <x:c r="AS991" s="76" t="str">
        <x:v>project reveal with budget-and-timeline proof</x:v>
      </x:c>
      <x:c r="AT991" s="76" t="str">
        <x:v>Cicco Construction Group ad concept</x:v>
      </x:c>
      <x:c r="AU991" s="76" t="str">
        <x:v>Hi Lynn — I was reviewing remodeling companies in Myrtle Beach, South Carolina and Cicco Construction Group looked like a strong fit for a creative test. I mapped a private 15-second project reveal with budget-and-timeline proof for Cicco Construction Group using only public brand context—not for publishing, just to show the angle. We build three client-approved video ad concepts in seven days, then turn the winners into fresh variations. No filming day required. Worth sending the private sample?</x:v>
      </x:c>
      <x:c r="AV991" s="76" t="str">
        <x:v>Quick follow-up: the sample angle is a project reveal with budget-and-timeline proof. If it misses the mark, no problem—I won't keep chasing. Should I send it?</x:v>
      </x:c>
      <x:c r="AW991" s="76" t="str">
        <x:v>Hi Lynn, Ryan here. I was looking at Cicco Construction Group's public marketing and noticed: icp fit; paid-demand need requires manual verification. I mapped one private project reveal with budget-and-timeline proof as an example. Did I catch you with 30 seconds?</x:v>
      </x:c>
      <x:c r="AX991" s="60" t="str">
        <x:v>https://www.facebook.com/ads/library/?active_status=active&amp;ad_type=all&amp;country=US&amp;q=Cicco%20Construction%20Group&amp;search_type=keyword_unordered</x:v>
      </x:c>
      <x:c r="AY991" s="60" t="str">
        <x:v>ok:200</x:v>
      </x:c>
      <x:c r="AZ991" s="60" t="n">
        <x:v>46232.722858796296</x:v>
      </x:c>
      <x:c r="BA991" s="60" t="str">
        <x:v>AI Ark SC trades export</x:v>
      </x:c>
      <x:c r="BB991" s="60" t="str">
        <x:v>https://prestigedesignbuild.com | https://www.linkedin.com/company/ciccoconstructiongroup</x:v>
      </x:c>
      <x:c r="BC991" s="60" t="str"/>
    </x:row>
    <x:row r="992" ht="18" customHeight="1">
      <x:c r="A992" s="70" t="str">
        <x:v>991</x:v>
      </x:c>
      <x:c r="B992" s="70" t="str">
        <x:v>D - Nurture</x:v>
      </x:c>
      <x:c r="C992" s="72" t="str">
        <x:v>40</x:v>
      </x:c>
      <x:c r="D992" s="60" t="str">
        <x:v>Mr. Rooter Plumbing of Lexington SC</x:v>
      </x:c>
      <x:c r="E992" s="60" t="str">
        <x:v>https://mrrootercolumbia.com</x:v>
      </x:c>
      <x:c r="F992" s="60" t="str">
        <x:v>https://www.mrrootercolumbia.com/</x:v>
      </x:c>
      <x:c r="G992" s="60" t="str">
        <x:v>Columbia</x:v>
      </x:c>
      <x:c r="H992" s="60" t="str">
        <x:v>South Carolina</x:v>
      </x:c>
      <x:c r="I992" s="60" t="str">
        <x:v>Plumbing</x:v>
      </x:c>
      <x:c r="J992" s="60" t="str">
        <x:v>Mr. Rooter Plumbing of Lexington SC</x:v>
      </x:c>
      <x:c r="K992" s="60" t="str"/>
      <x:c r="L992" s="60" t="str">
        <x:v>Owner / decision maker to verify</x:v>
      </x:c>
      <x:c r="M992" s="60" t="str"/>
      <x:c r="N992" s="60" t="str"/>
      <x:c r="O992" s="60" t="str">
        <x:v>(803) 291-2822</x:v>
      </x:c>
      <x:c r="P992" s="60" t="str"/>
      <x:c r="Q992" s="60" t="str"/>
      <x:c r="R992" s="60" t="str"/>
      <x:c r="S992" s="60" t="str">
        <x:v>5</x:v>
      </x:c>
      <x:c r="T992" s="74" t="str">
        <x:v>67</x:v>
      </x:c>
      <x:c r="U992" s="60" t="str"/>
      <x:c r="V992" s="74" t="str">
        <x:v>22</x:v>
      </x:c>
      <x:c r="W992" s="74" t="str">
        <x:v>3</x:v>
      </x:c>
      <x:c r="X992" s="74" t="str">
        <x:v>4</x:v>
      </x:c>
      <x:c r="Y992" s="74" t="str">
        <x:v>6</x:v>
      </x:c>
      <x:c r="Z992" s="74" t="str">
        <x:v>5</x:v>
      </x:c>
      <x:c r="AA992" s="74" t="str">
        <x:v>0</x:v>
      </x:c>
      <x:c r="AB992" s="74" t="str">
        <x:v>0</x:v>
      </x:c>
      <x:c r="AC992" s="74" t="str">
        <x:v>1</x:v>
      </x:c>
      <x:c r="AD992" s="74" t="str">
        <x:v>0</x:v>
      </x:c>
      <x:c r="AE992" s="74" t="str">
        <x:v>0</x:v>
      </x:c>
      <x:c r="AF992" s="74" t="str"/>
      <x:c r="AG992" s="74" t="str">
        <x:v>1</x:v>
      </x:c>
      <x:c r="AH992" s="74" t="str">
        <x:v>0</x:v>
      </x:c>
      <x:c r="AI992" s="74" t="str">
        <x:v>1</x:v>
      </x:c>
      <x:c r="AJ992" s="74" t="str">
        <x:v>0</x:v>
      </x:c>
      <x:c r="AK992" s="74" t="str">
        <x:v>0</x:v>
      </x:c>
      <x:c r="AL992" s="74" t="str">
        <x:v>0</x:v>
      </x:c>
      <x:c r="AM992" s="74" t="str">
        <x:v>1</x:v>
      </x:c>
      <x:c r="AN992" s="74" t="str">
        <x:v>0</x:v>
      </x:c>
      <x:c r="AO992" s="60" t="str">
        <x:v>2026</x:v>
      </x:c>
      <x:c r="AP992" s="76" t="str">
        <x:v>ICP fit; paid-demand need requires manual verification</x:v>
      </x:c>
      <x:c r="AQ992" s="76" t="str">
        <x:v>testimonials</x:v>
      </x:c>
      <x:c r="AR992" s="76" t="str">
        <x:v>I was reviewing plumbing companies in Columbia, South Carolina and Mr. Rooter Plumbing of Lexington SC looked like a strong fit for a creative test.</x:v>
      </x:c>
      <x:c r="AS992" s="76" t="str">
        <x:v>small symptom to prevented-emergency ad</x:v>
      </x:c>
      <x:c r="AT992" s="76" t="str">
        <x:v>Mr. Rooter Plumbing of Lexington SC ad concept</x:v>
      </x:c>
      <x:c r="AU992" s="76" t="str">
        <x:v>Hi Mr. Rooter Plumbing of Lexington SC — I was reviewing plumbing companies in Columbia, South Carolina and Mr. Rooter Plumbing of Lexington SC looked like a strong fit for a creative test. I mapped a private 15-second small symptom to prevented-emergency ad for Mr. Rooter Plumbing of Lexington SC using only public brand context—not for publishing, just to show the angle. We build three client-approved video ad concepts in seven days, then turn the winners into fresh variations. No filming day required. Worth sending the private sample?</x:v>
      </x:c>
      <x:c r="AV992" s="76" t="str">
        <x:v>Quick follow-up: the sample angle is a small symptom to prevented-emergency ad. If it misses the mark, no problem—I won't keep chasing. Should I send it?</x:v>
      </x:c>
      <x:c r="AW992" s="76" t="str">
        <x:v>Hi Mr. Rooter Plumbing of Lexington SC, Ryan here. I was looking at Mr. Rooter Plumbing of Lexington SC's public marketing and noticed: icp fit; paid-demand need requires manual verification. I mapped one private small symptom to prevented-emergency ad as an example. Did I catch you with 30 seconds?</x:v>
      </x:c>
      <x:c r="AX992" s="60" t="str">
        <x:v>https://www.facebook.com/ads/library/?active_status=active&amp;ad_type=all&amp;country=US&amp;q=Mr.%20Rooter%20Plumbing%20of%20Lexington%20SC&amp;search_type=keyword_unordered</x:v>
      </x:c>
      <x:c r="AY992" s="60" t="str">
        <x:v>ok:200</x:v>
      </x:c>
      <x:c r="AZ992" s="60" t="n">
        <x:v>46232.722858796296</x:v>
      </x:c>
      <x:c r="BA992" s="60" t="str">
        <x:v>Google Maps home-services export</x:v>
      </x:c>
      <x:c r="BB992" s="60" t="str">
        <x:v>https://maps.google.com/?cid=12387587902184258570&amp;g_mp=Cidnb29nbGUubWFwcy5wbGFjZXMudjEuUGxhY2VzLlNlYXJjaFRleHQQAhgEIAA | https://maps.google.com/?cid=630709716200024288&amp;g_mp=Cidnb29nbGUubWFwcy5wbGFjZXMudjEuUGxhY2VzLlNlYXJjaFRleHQQAhgEIAA | https://mrrootercolumbia.com</x:v>
      </x:c>
      <x:c r="BC992" s="60" t="str"/>
    </x:row>
    <x:row r="993" ht="18" customHeight="1">
      <x:c r="A993" s="70" t="str">
        <x:v>992</x:v>
      </x:c>
      <x:c r="B993" s="70" t="str">
        <x:v>D - Nurture</x:v>
      </x:c>
      <x:c r="C993" s="72" t="str">
        <x:v>40</x:v>
      </x:c>
      <x:c r="D993" s="60" t="str">
        <x:v>Temporary Wall Systems Greenville</x:v>
      </x:c>
      <x:c r="E993" s="60" t="str">
        <x:v>https://tempwallsystems.com</x:v>
      </x:c>
      <x:c r="F993" s="60" t="str">
        <x:v>https://tempwallsystems.com</x:v>
      </x:c>
      <x:c r="G993" s="60" t="str">
        <x:v>Greenville</x:v>
      </x:c>
      <x:c r="H993" s="60" t="str">
        <x:v>South Carolina</x:v>
      </x:c>
      <x:c r="I993" s="60" t="str">
        <x:v>Remodeling</x:v>
      </x:c>
      <x:c r="J993" s="60" t="str">
        <x:v>Kerry</x:v>
      </x:c>
      <x:c r="K993" s="60" t="str">
        <x:v>Lundquist</x:v>
      </x:c>
      <x:c r="L993" s="60" t="str">
        <x:v>Owner</x:v>
      </x:c>
      <x:c r="M993" s="60" t="str">
        <x:v>kerry.lundquist@tempwallsystems.com</x:v>
      </x:c>
      <x:c r="N993" s="60" t="str">
        <x:v>Verified with BounceBan on 08 Jun 26 12:06</x:v>
      </x:c>
      <x:c r="O993" s="60" t="str"/>
      <x:c r="P993" s="60" t="str">
        <x:v>https://www.linkedin.com/in/kerrylundquist</x:v>
      </x:c>
      <x:c r="Q993" s="60" t="str">
        <x:v>2-10</x:v>
      </x:c>
      <x:c r="R993" s="60" t="str">
        <x:v>0-99999</x:v>
      </x:c>
      <x:c r="S993" s="60" t="str"/>
      <x:c r="T993" s="74" t="str">
        <x:v>0</x:v>
      </x:c>
      <x:c r="U993" s="60" t="str"/>
      <x:c r="V993" s="74" t="str">
        <x:v>25</x:v>
      </x:c>
      <x:c r="W993" s="74" t="str">
        <x:v>3</x:v>
      </x:c>
      <x:c r="X993" s="74" t="str">
        <x:v>0</x:v>
      </x:c>
      <x:c r="Y993" s="74" t="str">
        <x:v>5</x:v>
      </x:c>
      <x:c r="Z993" s="74" t="str">
        <x:v>7</x:v>
      </x:c>
      <x:c r="AA993" s="74" t="str">
        <x:v>0</x:v>
      </x:c>
      <x:c r="AB993" s="74" t="str">
        <x:v>0</x:v>
      </x:c>
      <x:c r="AC993" s="74" t="str">
        <x:v>1</x:v>
      </x:c>
      <x:c r="AD993" s="74" t="str">
        <x:v>0</x:v>
      </x:c>
      <x:c r="AE993" s="74" t="str">
        <x:v>0</x:v>
      </x:c>
      <x:c r="AF993" s="74" t="str"/>
      <x:c r="AG993" s="74" t="str">
        <x:v>1</x:v>
      </x:c>
      <x:c r="AH993" s="74" t="str">
        <x:v>1</x:v>
      </x:c>
      <x:c r="AI993" s="74" t="str">
        <x:v>0</x:v>
      </x:c>
      <x:c r="AJ993" s="74" t="str">
        <x:v>0</x:v>
      </x:c>
      <x:c r="AK993" s="74" t="str">
        <x:v>0</x:v>
      </x:c>
      <x:c r="AL993" s="74" t="str">
        <x:v>1</x:v>
      </x:c>
      <x:c r="AM993" s="74" t="str">
        <x:v>0</x:v>
      </x:c>
      <x:c r="AN993" s="74" t="str">
        <x:v>1</x:v>
      </x:c>
      <x:c r="AO993" s="60" t="str">
        <x:v>2026</x:v>
      </x:c>
      <x:c r="AP993" s="76" t="str">
        <x:v>ICP fit; paid-demand need requires manual verification</x:v>
      </x:c>
      <x:c r="AQ993" s="76" t="str">
        <x:v>project/gallery proof</x:v>
      </x:c>
      <x:c r="AR993" s="76" t="str">
        <x:v>I was reviewing remodeling companies in Greenville, South Carolina and Temporary Wall Systems Greenville looked like a strong fit for a creative test.</x:v>
      </x:c>
      <x:c r="AS993" s="76" t="str">
        <x:v>project reveal with budget-and-timeline proof</x:v>
      </x:c>
      <x:c r="AT993" s="76" t="str">
        <x:v>Temporary Wall Systems Greenville ad concept</x:v>
      </x:c>
      <x:c r="AU993" s="76" t="str">
        <x:v>Hi Kerry — I was reviewing remodeling companies in Greenville, South Carolina and Temporary Wall Systems Greenville looked like a strong fit for a creative test. I mapped a private 15-second project reveal with budget-and-timeline proof for Temporary Wall Systems Greenville using only public brand context—not for publishing, just to show the angle. We build three client-approved video ad concepts in seven days, then turn the winners into fresh variations. No filming day required. Worth sending the private sample?</x:v>
      </x:c>
      <x:c r="AV993" s="76" t="str">
        <x:v>Quick follow-up: the sample angle is a project reveal with budget-and-timeline proof. If it misses the mark, no problem—I won't keep chasing. Should I send it?</x:v>
      </x:c>
      <x:c r="AW993" s="76" t="str">
        <x:v>Hi Kerry, Ryan here. I was looking at Temporary Wall Systems Greenville's public marketing and noticed: icp fit; paid-demand need requires manual verification. I mapped one private project reveal with budget-and-timeline proof as an example. Did I catch you with 30 seconds?</x:v>
      </x:c>
      <x:c r="AX993" s="60" t="str">
        <x:v>https://www.facebook.com/ads/library/?active_status=active&amp;ad_type=all&amp;country=US&amp;q=Temporary%20Wall%20Systems%20Greenville&amp;search_type=keyword_unordered</x:v>
      </x:c>
      <x:c r="AY993" s="60" t="str">
        <x:v>ok:200</x:v>
      </x:c>
      <x:c r="AZ993" s="60" t="n">
        <x:v>46232.722858796296</x:v>
      </x:c>
      <x:c r="BA993" s="60" t="str">
        <x:v>AI Ark SC trades export</x:v>
      </x:c>
      <x:c r="BB993" s="60" t="str">
        <x:v>https://tempwallsystems.com | https://www.linkedin.com/company/tws-greenville</x:v>
      </x:c>
      <x:c r="BC993" s="60" t="str"/>
    </x:row>
    <x:row r="994" ht="18" customHeight="1">
      <x:c r="A994" s="70" t="str">
        <x:v>993</x:v>
      </x:c>
      <x:c r="B994" s="70" t="str">
        <x:v>D - Nurture</x:v>
      </x:c>
      <x:c r="C994" s="72" t="str">
        <x:v>40</x:v>
      </x:c>
      <x:c r="D994" s="60" t="str">
        <x:v>Sunrise Electric Co.</x:v>
      </x:c>
      <x:c r="E994" s="60" t="str">
        <x:v>https://onlysunrise.com</x:v>
      </x:c>
      <x:c r="F994" s="60" t="str">
        <x:v>https://onlysunrise.com</x:v>
      </x:c>
      <x:c r="G994" s="60" t="str">
        <x:v>Myrtle Beach</x:v>
      </x:c>
      <x:c r="H994" s="60" t="str">
        <x:v>South Carolina</x:v>
      </x:c>
      <x:c r="I994" s="60" t="str">
        <x:v>Electrical</x:v>
      </x:c>
      <x:c r="J994" s="60" t="str">
        <x:v>Sunrise Electric Co.</x:v>
      </x:c>
      <x:c r="K994" s="60" t="str"/>
      <x:c r="L994" s="60" t="str">
        <x:v>Owner / decision maker to verify</x:v>
      </x:c>
      <x:c r="M994" s="60" t="str"/>
      <x:c r="N994" s="60" t="str"/>
      <x:c r="O994" s="60" t="str">
        <x:v>(854) 237-0976</x:v>
      </x:c>
      <x:c r="P994" s="60" t="str"/>
      <x:c r="Q994" s="60" t="str"/>
      <x:c r="R994" s="60" t="str"/>
      <x:c r="S994" s="60" t="str">
        <x:v>5</x:v>
      </x:c>
      <x:c r="T994" s="74" t="str">
        <x:v>44</x:v>
      </x:c>
      <x:c r="U994" s="60" t="str"/>
      <x:c r="V994" s="74" t="str">
        <x:v>21</x:v>
      </x:c>
      <x:c r="W994" s="74" t="str">
        <x:v>3</x:v>
      </x:c>
      <x:c r="X994" s="74" t="str">
        <x:v>6</x:v>
      </x:c>
      <x:c r="Y994" s="74" t="str">
        <x:v>5</x:v>
      </x:c>
      <x:c r="Z994" s="74" t="str">
        <x:v>5</x:v>
      </x:c>
      <x:c r="AA994" s="74" t="str">
        <x:v>0</x:v>
      </x:c>
      <x:c r="AB994" s="74" t="str">
        <x:v>0</x:v>
      </x:c>
      <x:c r="AC994" s="74" t="str">
        <x:v>1</x:v>
      </x:c>
      <x:c r="AD994" s="74" t="str">
        <x:v>0</x:v>
      </x:c>
      <x:c r="AE994" s="74" t="str">
        <x:v>0</x:v>
      </x:c>
      <x:c r="AF994" s="74" t="str"/>
      <x:c r="AG994" s="74" t="str">
        <x:v>0</x:v>
      </x:c>
      <x:c r="AH994" s="74" t="str">
        <x:v>0</x:v>
      </x:c>
      <x:c r="AI994" s="74" t="str">
        <x:v>0</x:v>
      </x:c>
      <x:c r="AJ994" s="74" t="str">
        <x:v>0</x:v>
      </x:c>
      <x:c r="AK994" s="74" t="str">
        <x:v>1</x:v>
      </x:c>
      <x:c r="AL994" s="74" t="str">
        <x:v>1</x:v>
      </x:c>
      <x:c r="AM994" s="74" t="str">
        <x:v>1</x:v>
      </x:c>
      <x:c r="AN994" s="74" t="str">
        <x:v>1</x:v>
      </x:c>
      <x:c r="AO994" s="60" t="str">
        <x:v>2026</x:v>
      </x:c>
      <x:c r="AP994" s="76" t="str">
        <x:v>ICP fit; paid-demand need requires manual verification</x:v>
      </x:c>
      <x:c r="AQ994" s="76" t="str">
        <x:v>visible service offer; no embedded homepage video detected</x:v>
      </x:c>
      <x:c r="AR994" s="76" t="str">
        <x:v>I was reviewing electrical companies in Myrtle Beach, South Carolina and Sunrise Electric Co. looked like a strong fit for a creative test.</x:v>
      </x:c>
      <x:c r="AS994" s="76" t="str">
        <x:v>safety inspection problem/solution ad</x:v>
      </x:c>
      <x:c r="AT994" s="76" t="str">
        <x:v>Sunrise Electric Co. ad concept</x:v>
      </x:c>
      <x:c r="AU994" s="76" t="str">
        <x:v>Hi Sunrise Electric Co. — I was reviewing electrical companies in Myrtle Beach, South Carolina and Sunrise Electric Co. looked like a strong fit for a creative test. I mapped a private 15-second safety inspection problem/solution ad for Sunrise Electric Co. using only public brand context—not for publishing, just to show the angle. We build three client-approved video ad concepts in seven days, then turn the winners into fresh variations. No filming day required. Worth sending the private sample?</x:v>
      </x:c>
      <x:c r="AV994" s="76" t="str">
        <x:v>Quick follow-up: the sample angle is a safety inspection problem/solution ad. If it misses the mark, no problem—I won't keep chasing. Should I send it?</x:v>
      </x:c>
      <x:c r="AW994" s="76" t="str">
        <x:v>Hi Sunrise Electric Co., Ryan here. I was looking at Sunrise Electric Co.'s public marketing and noticed: icp fit; paid-demand need requires manual verification. I mapped one private safety inspection problem/solution ad as an example. Did I catch you with 30 seconds?</x:v>
      </x:c>
      <x:c r="AX994" s="60" t="str">
        <x:v>https://www.facebook.com/ads/library/?active_status=active&amp;ad_type=all&amp;country=US&amp;q=Sunrise%20Electric%20Co.&amp;search_type=keyword_unordered</x:v>
      </x:c>
      <x:c r="AY994" s="60" t="str">
        <x:v>ok:200</x:v>
      </x:c>
      <x:c r="AZ994" s="60" t="n">
        <x:v>46232.722858796296</x:v>
      </x:c>
      <x:c r="BA994" s="60" t="str">
        <x:v>Google Maps home-services export</x:v>
      </x:c>
      <x:c r="BB994" s="60" t="str">
        <x:v>https://maps.google.com/?cid=9367192145598689814&amp;g_mp=Cidnb29nbGUubWFwcy5wbGFjZXMudjEuUGxhY2VzLlNlYXJjaFRleHQQAhgEIAA | https://onlysunrise.com</x:v>
      </x:c>
      <x:c r="BC994" s="60" t="str"/>
    </x:row>
    <x:row r="995" ht="18" customHeight="1">
      <x:c r="A995" s="70" t="str">
        <x:v>994</x:v>
      </x:c>
      <x:c r="B995" s="70" t="str">
        <x:v>D - Nurture</x:v>
      </x:c>
      <x:c r="C995" s="72" t="str">
        <x:v>40</x:v>
      </x:c>
      <x:c r="D995" s="60" t="str">
        <x:v>Ben Ross Roofing</x:v>
      </x:c>
      <x:c r="E995" s="60" t="str">
        <x:v>https://benrossroofing.com</x:v>
      </x:c>
      <x:c r="F995" s="60" t="str">
        <x:v>https://benrossroofing.com</x:v>
      </x:c>
      <x:c r="G995" s="60" t="str">
        <x:v>Rock Hill</x:v>
      </x:c>
      <x:c r="H995" s="60" t="str">
        <x:v>South Carolina</x:v>
      </x:c>
      <x:c r="I995" s="60" t="str">
        <x:v>Roofing</x:v>
      </x:c>
      <x:c r="J995" s="60" t="str">
        <x:v>Ben Ross Roofing</x:v>
      </x:c>
      <x:c r="K995" s="60" t="str"/>
      <x:c r="L995" s="60" t="str">
        <x:v>Owner / decision maker to verify</x:v>
      </x:c>
      <x:c r="M995" s="60" t="str"/>
      <x:c r="N995" s="60" t="str"/>
      <x:c r="O995" s="60" t="str">
        <x:v>(803) 327-7677</x:v>
      </x:c>
      <x:c r="P995" s="60" t="str"/>
      <x:c r="Q995" s="60" t="str"/>
      <x:c r="R995" s="60" t="str"/>
      <x:c r="S995" s="60" t="str">
        <x:v>4.9</x:v>
      </x:c>
      <x:c r="T995" s="74" t="str">
        <x:v>60</x:v>
      </x:c>
      <x:c r="U995" s="60" t="str"/>
      <x:c r="V995" s="74" t="str">
        <x:v>27</x:v>
      </x:c>
      <x:c r="W995" s="74" t="str">
        <x:v>3</x:v>
      </x:c>
      <x:c r="X995" s="74" t="str">
        <x:v>0</x:v>
      </x:c>
      <x:c r="Y995" s="74" t="str">
        <x:v>5</x:v>
      </x:c>
      <x:c r="Z995" s="74" t="str">
        <x:v>5</x:v>
      </x:c>
      <x:c r="AA995" s="74" t="str">
        <x:v>0</x:v>
      </x:c>
      <x:c r="AB995" s="74" t="str">
        <x:v>0</x:v>
      </x:c>
      <x:c r="AC995" s="74" t="str">
        <x:v>1</x:v>
      </x:c>
      <x:c r="AD995" s="74" t="str">
        <x:v>0</x:v>
      </x:c>
      <x:c r="AE995" s="74" t="str">
        <x:v>0</x:v>
      </x:c>
      <x:c r="AF995" s="74" t="str"/>
      <x:c r="AG995" s="74" t="str">
        <x:v>1</x:v>
      </x:c>
      <x:c r="AH995" s="74" t="str">
        <x:v>0</x:v>
      </x:c>
      <x:c r="AI995" s="74" t="str">
        <x:v>0</x:v>
      </x:c>
      <x:c r="AJ995" s="74" t="str">
        <x:v>0</x:v>
      </x:c>
      <x:c r="AK995" s="74" t="str">
        <x:v>1</x:v>
      </x:c>
      <x:c r="AL995" s="74" t="str">
        <x:v>1</x:v>
      </x:c>
      <x:c r="AM995" s="74" t="str">
        <x:v>1</x:v>
      </x:c>
      <x:c r="AN995" s="74" t="str">
        <x:v>1</x:v>
      </x:c>
      <x:c r="AO995" s="60" t="str">
        <x:v>0</x:v>
      </x:c>
      <x:c r="AP995" s="76" t="str">
        <x:v>ICP fit; paid-demand need requires manual verification</x:v>
      </x:c>
      <x:c r="AQ995" s="76" t="str">
        <x:v>visible service offer</x:v>
      </x:c>
      <x:c r="AR995" s="76" t="str">
        <x:v>I was reviewing roofing companies in Rock Hill, South Carolina and Ben Ross Roofing looked like a strong fit for a creative test.</x:v>
      </x:c>
      <x:c r="AS995" s="76" t="str">
        <x:v>storm-to-inspection before/after ad</x:v>
      </x:c>
      <x:c r="AT995" s="76" t="str">
        <x:v>Ben Ross Roofing ad concept</x:v>
      </x:c>
      <x:c r="AU995" s="76" t="str">
        <x:v>Hi Ben Ross Roofing — I was reviewing roofing companies in Rock Hill, South Carolina and Ben Ross Roofing looked like a strong fit for a creative test. I mapped a private 15-second storm-to-inspection before/after ad for Ben Ross Roofing using only public brand context—not for publishing, just to show the angle. We build three client-approved video ad concepts in seven days, then turn the winners into fresh variations. No filming day required. Worth sending the private sample?</x:v>
      </x:c>
      <x:c r="AV995" s="76" t="str">
        <x:v>Quick follow-up: the sample angle is a storm-to-inspection before/after ad. If it misses the mark, no problem—I won't keep chasing. Should I send it?</x:v>
      </x:c>
      <x:c r="AW995" s="76" t="str">
        <x:v>Hi Ben Ross Roofing, Ryan here. I was looking at Ben Ross Roofing's public marketing and noticed: icp fit; paid-demand need requires manual verification. I mapped one private storm-to-inspection before/after ad as an example. Did I catch you with 30 seconds?</x:v>
      </x:c>
      <x:c r="AX995" s="60" t="str">
        <x:v>https://www.facebook.com/ads/library/?active_status=active&amp;ad_type=all&amp;country=US&amp;q=Ben%20Ross%20Roofing&amp;search_type=keyword_unordered</x:v>
      </x:c>
      <x:c r="AY995" s="60" t="str">
        <x:v>ok:200</x:v>
      </x:c>
      <x:c r="AZ995" s="60" t="n">
        <x:v>46232.722858796296</x:v>
      </x:c>
      <x:c r="BA995" s="60" t="str">
        <x:v>Google Maps home-services export</x:v>
      </x:c>
      <x:c r="BB995" s="60" t="str">
        <x:v>https://benrossroofing.com | https://maps.google.com/?cid=18358661437100044036&amp;g_mp=Cidnb29nbGUubWFwcy5wbGFjZXMudjEuUGxhY2VzLlNlYXJjaFRleHQQAhgEIAA</x:v>
      </x:c>
      <x:c r="BC995" s="60" t="str"/>
    </x:row>
    <x:row r="996" ht="18" customHeight="1">
      <x:c r="A996" s="70" t="str">
        <x:v>995</x:v>
      </x:c>
      <x:c r="B996" s="70" t="str">
        <x:v>D - Nurture</x:v>
      </x:c>
      <x:c r="C996" s="72" t="str">
        <x:v>40</x:v>
      </x:c>
      <x:c r="D996" s="60" t="str">
        <x:v>Bragg &amp; Company Construction, LLC</x:v>
      </x:c>
      <x:c r="E996" s="60" t="str">
        <x:v>https://braggco.com</x:v>
      </x:c>
      <x:c r="F996" s="60" t="str">
        <x:v>https://braggco.com</x:v>
      </x:c>
      <x:c r="G996" s="60" t="str">
        <x:v>Sullivans Island</x:v>
      </x:c>
      <x:c r="H996" s="60" t="str">
        <x:v>South Carolina</x:v>
      </x:c>
      <x:c r="I996" s="60" t="str">
        <x:v>General Contractor</x:v>
      </x:c>
      <x:c r="J996" s="60" t="str">
        <x:v>Mark</x:v>
      </x:c>
      <x:c r="K996" s="60" t="str">
        <x:v>Bragg</x:v>
      </x:c>
      <x:c r="L996" s="60" t="str">
        <x:v>Owner</x:v>
      </x:c>
      <x:c r="M996" s="60" t="str">
        <x:v>bragg@braggco.com</x:v>
      </x:c>
      <x:c r="N996" s="60" t="str">
        <x:v>Verified with BounceBan on 08 Jun 26 12:06</x:v>
      </x:c>
      <x:c r="O996" s="60" t="str">
        <x:v>+1 843 478 3667</x:v>
      </x:c>
      <x:c r="P996" s="60" t="str">
        <x:v>https://www.linkedin.com/in/mark-bragg-67297a12</x:v>
      </x:c>
      <x:c r="Q996" s="60" t="str">
        <x:v>null+</x:v>
      </x:c>
      <x:c r="R996" s="60" t="str">
        <x:v>100000-499999</x:v>
      </x:c>
      <x:c r="S996" s="60" t="str"/>
      <x:c r="T996" s="74" t="str">
        <x:v>0</x:v>
      </x:c>
      <x:c r="U996" s="60" t="str"/>
      <x:c r="V996" s="74" t="str">
        <x:v>17</x:v>
      </x:c>
      <x:c r="W996" s="74" t="str">
        <x:v>3</x:v>
      </x:c>
      <x:c r="X996" s="74" t="str">
        <x:v>6</x:v>
      </x:c>
      <x:c r="Y996" s="74" t="str">
        <x:v>4</x:v>
      </x:c>
      <x:c r="Z996" s="74" t="str">
        <x:v>10</x:v>
      </x:c>
      <x:c r="AA996" s="74" t="str">
        <x:v>0</x:v>
      </x:c>
      <x:c r="AB996" s="74" t="str">
        <x:v>0</x:v>
      </x:c>
      <x:c r="AC996" s="74" t="str">
        <x:v>1</x:v>
      </x:c>
      <x:c r="AD996" s="74" t="str">
        <x:v>0</x:v>
      </x:c>
      <x:c r="AE996" s="74" t="str">
        <x:v>0</x:v>
      </x:c>
      <x:c r="AF996" s="74" t="str"/>
      <x:c r="AG996" s="74" t="str">
        <x:v>0</x:v>
      </x:c>
      <x:c r="AH996" s="74" t="str">
        <x:v>0</x:v>
      </x:c>
      <x:c r="AI996" s="74" t="str">
        <x:v>1</x:v>
      </x:c>
      <x:c r="AJ996" s="74" t="str">
        <x:v>0</x:v>
      </x:c>
      <x:c r="AK996" s="74" t="str">
        <x:v>0</x:v>
      </x:c>
      <x:c r="AL996" s="74" t="str">
        <x:v>1</x:v>
      </x:c>
      <x:c r="AM996" s="74" t="str">
        <x:v>1</x:v>
      </x:c>
      <x:c r="AN996" s="74" t="str">
        <x:v>1</x:v>
      </x:c>
      <x:c r="AO996" s="60" t="str">
        <x:v>2026</x:v>
      </x:c>
      <x:c r="AP996" s="76" t="str">
        <x:v>ICP fit; paid-demand need requires manual verification</x:v>
      </x:c>
      <x:c r="AQ996" s="76" t="str">
        <x:v>testimonials; no embedded homepage video detected</x:v>
      </x:c>
      <x:c r="AR996" s="76" t="str">
        <x:v>I was reviewing general contractor companies in Sullivans Island, South Carolina and Bragg &amp; Company Construction, LLC looked like a strong fit for a creative test.</x:v>
      </x:c>
      <x:c r="AS996" s="76" t="str">
        <x:v>project walkthrough with proof milestones</x:v>
      </x:c>
      <x:c r="AT996" s="76" t="str">
        <x:v>Bragg &amp; Company Construction, LLC ad concept</x:v>
      </x:c>
      <x:c r="AU996" s="76" t="str">
        <x:v>Hi Mark — I was reviewing general contractor companies in Sullivans Island, South Carolina and Bragg &amp; Company Construction, LLC looked like a strong fit for a creative test. I mapped a private 15-second project walkthrough with proof milestones for Bragg &amp; Company Construction, LLC using only public brand context—not for publishing, just to show the angle. We build three client-approved video ad concepts in seven days, then turn the winners into fresh variations. No filming day required. Worth sending the private sample?</x:v>
      </x:c>
      <x:c r="AV996" s="76" t="str">
        <x:v>Quick follow-up: the sample angle is a project walkthrough with proof milestones. If it misses the mark, no problem—I won't keep chasing. Should I send it?</x:v>
      </x:c>
      <x:c r="AW996" s="76" t="str">
        <x:v>Hi Mark, Ryan here. I was looking at Bragg &amp; Company Construction, LLC's public marketing and noticed: icp fit; paid-demand need requires manual verification. I mapped one private project walkthrough with proof milestones as an example. Did I catch you with 30 seconds?</x:v>
      </x:c>
      <x:c r="AX996" s="60" t="str">
        <x:v>https://www.facebook.com/ads/library/?active_status=active&amp;ad_type=all&amp;country=US&amp;q=Bragg%20%26%20Company%20Construction%2C%20LLC&amp;search_type=keyword_unordered</x:v>
      </x:c>
      <x:c r="AY996" s="60" t="str">
        <x:v>ok:200</x:v>
      </x:c>
      <x:c r="AZ996" s="60" t="n">
        <x:v>46232.722858796296</x:v>
      </x:c>
      <x:c r="BA996" s="60" t="str">
        <x:v>AI Ark SC trades export</x:v>
      </x:c>
      <x:c r="BB996" s="60" t="str">
        <x:v>https://braggco.com | https://www.linkedin.com/company/bragg-&amp;-company-construction-llc</x:v>
      </x:c>
      <x:c r="BC996" s="60" t="str"/>
    </x:row>
    <x:row r="997" ht="18" customHeight="1">
      <x:c r="A997" s="70" t="str">
        <x:v>996</x:v>
      </x:c>
      <x:c r="B997" s="70" t="str">
        <x:v>D - Nurture</x:v>
      </x:c>
      <x:c r="C997" s="72" t="str">
        <x:v>40</x:v>
      </x:c>
      <x:c r="D997" s="60" t="str">
        <x:v>Hubbard Supply inc.</x:v>
      </x:c>
      <x:c r="E997" s="60" t="str">
        <x:v>https://hubbardsupplyhouse.com</x:v>
      </x:c>
      <x:c r="F997" s="60" t="str">
        <x:v>https://www.hubbardsupplyhouse.com/</x:v>
      </x:c>
      <x:c r="G997" s="60" t="str">
        <x:v>Sumter</x:v>
      </x:c>
      <x:c r="H997" s="60" t="str">
        <x:v>South Carolina</x:v>
      </x:c>
      <x:c r="I997" s="60" t="str">
        <x:v>Plumbing</x:v>
      </x:c>
      <x:c r="J997" s="60" t="str">
        <x:v>Hubbard Supply inc.</x:v>
      </x:c>
      <x:c r="K997" s="60" t="str"/>
      <x:c r="L997" s="60" t="str">
        <x:v>Owner / decision maker to verify</x:v>
      </x:c>
      <x:c r="M997" s="60" t="str"/>
      <x:c r="N997" s="60" t="str"/>
      <x:c r="O997" s="60" t="str">
        <x:v>(803) 393-7175</x:v>
      </x:c>
      <x:c r="P997" s="60" t="str"/>
      <x:c r="Q997" s="60" t="str"/>
      <x:c r="R997" s="60" t="str"/>
      <x:c r="S997" s="60" t="str">
        <x:v>4.2</x:v>
      </x:c>
      <x:c r="T997" s="74" t="str">
        <x:v>23</x:v>
      </x:c>
      <x:c r="U997" s="60" t="str">
        <x:v>communication</x:v>
      </x:c>
      <x:c r="V997" s="74" t="str">
        <x:v>20</x:v>
      </x:c>
      <x:c r="W997" s="74" t="str">
        <x:v>3</x:v>
      </x:c>
      <x:c r="X997" s="74" t="str">
        <x:v>8</x:v>
      </x:c>
      <x:c r="Y997" s="74" t="str">
        <x:v>4</x:v>
      </x:c>
      <x:c r="Z997" s="74" t="str">
        <x:v>5</x:v>
      </x:c>
      <x:c r="AA997" s="74" t="str">
        <x:v>0</x:v>
      </x:c>
      <x:c r="AB997" s="74" t="str">
        <x:v>0</x:v>
      </x:c>
      <x:c r="AC997" s="74" t="str">
        <x:v>1</x:v>
      </x:c>
      <x:c r="AD997" s="74" t="str">
        <x:v>0</x:v>
      </x:c>
      <x:c r="AE997" s="74" t="str">
        <x:v>0</x:v>
      </x:c>
      <x:c r="AF997" s="74" t="str"/>
      <x:c r="AG997" s="74" t="str">
        <x:v>0</x:v>
      </x:c>
      <x:c r="AH997" s="74" t="str">
        <x:v>0</x:v>
      </x:c>
      <x:c r="AI997" s="74" t="str">
        <x:v>1</x:v>
      </x:c>
      <x:c r="AJ997" s="74" t="str">
        <x:v>0</x:v>
      </x:c>
      <x:c r="AK997" s="74" t="str">
        <x:v>0</x:v>
      </x:c>
      <x:c r="AL997" s="74" t="str">
        <x:v>1</x:v>
      </x:c>
      <x:c r="AM997" s="74" t="str">
        <x:v>1</x:v>
      </x:c>
      <x:c r="AN997" s="74" t="str">
        <x:v>0</x:v>
      </x:c>
      <x:c r="AO997" s="60" t="str">
        <x:v>0</x:v>
      </x:c>
      <x:c r="AP997" s="76" t="str">
        <x:v>ICP fit; paid-demand need requires manual verification</x:v>
      </x:c>
      <x:c r="AQ997" s="76" t="str">
        <x:v>testimonials; no embedded homepage video detected</x:v>
      </x:c>
      <x:c r="AR997" s="76" t="str">
        <x:v>I was reviewing plumbing companies in Sumter, South Carolina and Hubbard Supply inc. looked like a strong fit for a creative test.</x:v>
      </x:c>
      <x:c r="AS997" s="76" t="str">
        <x:v>small symptom to prevented-emergency ad</x:v>
      </x:c>
      <x:c r="AT997" s="76" t="str">
        <x:v>Hubbard Supply inc. ad concept</x:v>
      </x:c>
      <x:c r="AU997" s="76" t="str">
        <x:v>Hi Hubbard Supply inc. — I was reviewing plumbing companies in Sumter, South Carolina and Hubbard Supply inc. looked like a strong fit for a creative test. I mapped a private 15-second small symptom to prevented-emergency ad for Hubbard Supply inc. using only public brand context—not for publishing, just to show the angle. We build three client-approved video ad concepts in seven days, then turn the winners into fresh variations. No filming day required. Worth sending the private sample?</x:v>
      </x:c>
      <x:c r="AV997" s="76" t="str">
        <x:v>Quick follow-up: the sample angle is a small symptom to prevented-emergency ad. If it misses the mark, no problem—I won't keep chasing. Should I send it?</x:v>
      </x:c>
      <x:c r="AW997" s="76" t="str">
        <x:v>Hi Hubbard Supply inc., Ryan here. I was looking at Hubbard Supply inc.'s public marketing and noticed: icp fit; paid-demand need requires manual verification. I mapped one private small symptom to prevented-emergency ad as an example. Did I catch you with 30 seconds?</x:v>
      </x:c>
      <x:c r="AX997" s="60" t="str">
        <x:v>https://www.facebook.com/ads/library/?active_status=active&amp;ad_type=all&amp;country=US&amp;q=Hubbard%20Supply%20inc.&amp;search_type=keyword_unordered</x:v>
      </x:c>
      <x:c r="AY997" s="60" t="str">
        <x:v>ok:200</x:v>
      </x:c>
      <x:c r="AZ997" s="60" t="n">
        <x:v>46232.722858796296</x:v>
      </x:c>
      <x:c r="BA997" s="60" t="str">
        <x:v>Google Maps home-services export</x:v>
      </x:c>
      <x:c r="BB997" s="60" t="str">
        <x:v>https://hubbardsupplyhouse.com | https://maps.google.com/?cid=18395898111776720442&amp;g_mp=Cidnb29nbGUubWFwcy5wbGFjZXMudjEuUGxhY2VzLlNlYXJjaFRleHQQAhgEIAA</x:v>
      </x:c>
      <x:c r="BC997" s="60" t="str"/>
    </x:row>
    <x:row r="998" ht="18" customHeight="1">
      <x:c r="A998" s="70" t="str">
        <x:v>997</x:v>
      </x:c>
      <x:c r="B998" s="70" t="str">
        <x:v>D - Nurture</x:v>
      </x:c>
      <x:c r="C998" s="72" t="str">
        <x:v>40</x:v>
      </x:c>
      <x:c r="D998" s="60" t="str">
        <x:v>Sumter Utilities Inc</x:v>
      </x:c>
      <x:c r="E998" s="60" t="str">
        <x:v>https://sumter-utilities.com</x:v>
      </x:c>
      <x:c r="F998" s="60" t="str">
        <x:v>https://www.sumter-utilities.com/</x:v>
      </x:c>
      <x:c r="G998" s="60" t="str">
        <x:v>Sumter</x:v>
      </x:c>
      <x:c r="H998" s="60" t="str">
        <x:v>South Carolina</x:v>
      </x:c>
      <x:c r="I998" s="60" t="str">
        <x:v>Electrical</x:v>
      </x:c>
      <x:c r="J998" s="60" t="str">
        <x:v>Sumter Utilities Inc</x:v>
      </x:c>
      <x:c r="K998" s="60" t="str"/>
      <x:c r="L998" s="60" t="str">
        <x:v>Owner / decision maker to verify</x:v>
      </x:c>
      <x:c r="M998" s="60" t="str"/>
      <x:c r="N998" s="60" t="str"/>
      <x:c r="O998" s="60" t="str">
        <x:v>(803) 469-8585</x:v>
      </x:c>
      <x:c r="P998" s="60" t="str"/>
      <x:c r="Q998" s="60" t="str"/>
      <x:c r="R998" s="60" t="str"/>
      <x:c r="S998" s="60" t="str">
        <x:v>3.6</x:v>
      </x:c>
      <x:c r="T998" s="74" t="str">
        <x:v>102</x:v>
      </x:c>
      <x:c r="U998" s="60" t="str">
        <x:v>slow_response</x:v>
      </x:c>
      <x:c r="V998" s="74" t="str">
        <x:v>23</x:v>
      </x:c>
      <x:c r="W998" s="74" t="str">
        <x:v>3</x:v>
      </x:c>
      <x:c r="X998" s="74" t="str">
        <x:v>6</x:v>
      </x:c>
      <x:c r="Y998" s="74" t="str">
        <x:v>3</x:v>
      </x:c>
      <x:c r="Z998" s="74" t="str">
        <x:v>5</x:v>
      </x:c>
      <x:c r="AA998" s="74" t="str">
        <x:v>0</x:v>
      </x:c>
      <x:c r="AB998" s="74" t="str">
        <x:v>0</x:v>
      </x:c>
      <x:c r="AC998" s="74" t="str">
        <x:v>1</x:v>
      </x:c>
      <x:c r="AD998" s="74" t="str">
        <x:v>0</x:v>
      </x:c>
      <x:c r="AE998" s="74" t="str">
        <x:v>0</x:v>
      </x:c>
      <x:c r="AF998" s="74" t="str"/>
      <x:c r="AG998" s="74" t="str">
        <x:v>1</x:v>
      </x:c>
      <x:c r="AH998" s="74" t="str">
        <x:v>0</x:v>
      </x:c>
      <x:c r="AI998" s="74" t="str">
        <x:v>0</x:v>
      </x:c>
      <x:c r="AJ998" s="74" t="str">
        <x:v>0</x:v>
      </x:c>
      <x:c r="AK998" s="74" t="str">
        <x:v>0</x:v>
      </x:c>
      <x:c r="AL998" s="74" t="str">
        <x:v>0</x:v>
      </x:c>
      <x:c r="AM998" s="74" t="str">
        <x:v>0</x:v>
      </x:c>
      <x:c r="AN998" s="74" t="str">
        <x:v>0</x:v>
      </x:c>
      <x:c r="AO998" s="60" t="str">
        <x:v>2026</x:v>
      </x:c>
      <x:c r="AP998" s="76" t="str">
        <x:v>ICP fit; paid-demand need requires manual verification</x:v>
      </x:c>
      <x:c r="AQ998" s="76" t="str">
        <x:v>No strong homepage signal detected</x:v>
      </x:c>
      <x:c r="AR998" s="76" t="str">
        <x:v>I was reviewing electrical companies in Sumter, South Carolina and Sumter Utilities Inc looked like a strong fit for a creative test.</x:v>
      </x:c>
      <x:c r="AS998" s="76" t="str">
        <x:v>safety inspection problem/solution ad</x:v>
      </x:c>
      <x:c r="AT998" s="76" t="str">
        <x:v>Sumter Utilities Inc ad concept</x:v>
      </x:c>
      <x:c r="AU998" s="76" t="str">
        <x:v>Hi Sumter Utilities Inc — I was reviewing electrical companies in Sumter, South Carolina and Sumter Utilities Inc looked like a strong fit for a creative test. I mapped a private 15-second safety inspection problem/solution ad for Sumter Utilities Inc using only public brand context—not for publishing, just to show the angle. We build three client-approved video ad concepts in seven days, then turn the winners into fresh variations. No filming day required. Worth sending the private sample?</x:v>
      </x:c>
      <x:c r="AV998" s="76" t="str">
        <x:v>Quick follow-up: the sample angle is a safety inspection problem/solution ad. If it misses the mark, no problem—I won't keep chasing. Should I send it?</x:v>
      </x:c>
      <x:c r="AW998" s="76" t="str">
        <x:v>Hi Sumter Utilities Inc, Ryan here. I was looking at Sumter Utilities Inc's public marketing and noticed: icp fit; paid-demand need requires manual verification. I mapped one private safety inspection problem/solution ad as an example. Did I catch you with 30 seconds?</x:v>
      </x:c>
      <x:c r="AX998" s="60" t="str">
        <x:v>https://www.facebook.com/ads/library/?active_status=active&amp;ad_type=all&amp;country=US&amp;q=Sumter%20Utilities%20Inc&amp;search_type=keyword_unordered</x:v>
      </x:c>
      <x:c r="AY998" s="60" t="str">
        <x:v>ok:200</x:v>
      </x:c>
      <x:c r="AZ998" s="60" t="n">
        <x:v>46232.722858796296</x:v>
      </x:c>
      <x:c r="BA998" s="60" t="str">
        <x:v>Google Maps home-services export</x:v>
      </x:c>
      <x:c r="BB998" s="60" t="str">
        <x:v>https://maps.google.com/?cid=1921032579828202918&amp;g_mp=Cidnb29nbGUubWFwcy5wbGFjZXMudjEuUGxhY2VzLlNlYXJjaFRleHQQAhgEIAA | https://sumter-utilities.com</x:v>
      </x:c>
      <x:c r="BC998" s="60" t="str"/>
    </x:row>
    <x:row r="999" ht="18" customHeight="1">
      <x:c r="A999" s="70" t="str">
        <x:v>998</x:v>
      </x:c>
      <x:c r="B999" s="70" t="str">
        <x:v>D - Nurture</x:v>
      </x:c>
      <x:c r="C999" s="72" t="str">
        <x:v>40</x:v>
      </x:c>
      <x:c r="D999" s="60" t="str">
        <x:v>Gatch Electrical Contractors, Inc.</x:v>
      </x:c>
      <x:c r="E999" s="60" t="str">
        <x:v>https://gatchelectrical.com</x:v>
      </x:c>
      <x:c r="F999" s="60" t="str">
        <x:v>https://www.gatchelectrical.com/</x:v>
      </x:c>
      <x:c r="G999" s="60" t="str">
        <x:v>Charleston</x:v>
      </x:c>
      <x:c r="H999" s="60" t="str">
        <x:v>South Carolina</x:v>
      </x:c>
      <x:c r="I999" s="60" t="str">
        <x:v>Electrical</x:v>
      </x:c>
      <x:c r="J999" s="60" t="str">
        <x:v>Jason</x:v>
      </x:c>
      <x:c r="K999" s="60" t="str">
        <x:v>Meyer</x:v>
      </x:c>
      <x:c r="L999" s="60" t="str">
        <x:v>CFO/Co-Owner at Gatch Electrical Contractors, Inc.</x:v>
      </x:c>
      <x:c r="M999" s="60" t="str">
        <x:v>jmeyer@gatchelectrical.com</x:v>
      </x:c>
      <x:c r="N999" s="60" t="str">
        <x:v>Verified with BounceBan on 08 Jun 26 12:06</x:v>
      </x:c>
      <x:c r="O999" s="60" t="str">
        <x:v>+1 843 575 9548, +1 843 224 6662</x:v>
      </x:c>
      <x:c r="P999" s="60" t="str">
        <x:v>https://www.linkedin.com/in/jason-meyer-15452839</x:v>
      </x:c>
      <x:c r="Q999" s="60" t="str">
        <x:v>51-200</x:v>
      </x:c>
      <x:c r="R999" s="60" t="str">
        <x:v>500000-999999</x:v>
      </x:c>
      <x:c r="S999" s="60" t="str"/>
      <x:c r="T999" s="74" t="str">
        <x:v>0</x:v>
      </x:c>
      <x:c r="U999" s="60" t="str"/>
      <x:c r="V999" s="74" t="str">
        <x:v>27</x:v>
      </x:c>
      <x:c r="W999" s="74" t="str">
        <x:v>3</x:v>
      </x:c>
      <x:c r="X999" s="74" t="str">
        <x:v>0</x:v>
      </x:c>
      <x:c r="Y999" s="74" t="str">
        <x:v>0</x:v>
      </x:c>
      <x:c r="Z999" s="74" t="str">
        <x:v>10</x:v>
      </x:c>
      <x:c r="AA999" s="74" t="str">
        <x:v>0</x:v>
      </x:c>
      <x:c r="AB999" s="74" t="str">
        <x:v>0</x:v>
      </x:c>
      <x:c r="AC999" s="74" t="str">
        <x:v>1</x:v>
      </x:c>
      <x:c r="AD999" s="74" t="str">
        <x:v>0</x:v>
      </x:c>
      <x:c r="AE999" s="74" t="str">
        <x:v>0</x:v>
      </x:c>
      <x:c r="AF999" s="74" t="str"/>
      <x:c r="AG999" s="74" t="str">
        <x:v>1</x:v>
      </x:c>
      <x:c r="AH999" s="74" t="str">
        <x:v>0</x:v>
      </x:c>
      <x:c r="AI999" s="74" t="str">
        <x:v>0</x:v>
      </x:c>
      <x:c r="AJ999" s="74" t="str">
        <x:v>0</x:v>
      </x:c>
      <x:c r="AK999" s="74" t="str">
        <x:v>0</x:v>
      </x:c>
      <x:c r="AL999" s="74" t="str">
        <x:v>1</x:v>
      </x:c>
      <x:c r="AM999" s="74" t="str">
        <x:v>1</x:v>
      </x:c>
      <x:c r="AN999" s="74" t="str">
        <x:v>0</x:v>
      </x:c>
      <x:c r="AO999" s="60" t="str">
        <x:v>2026</x:v>
      </x:c>
      <x:c r="AP999" s="76" t="str">
        <x:v>ICP fit; paid-demand need requires manual verification</x:v>
      </x:c>
      <x:c r="AQ999" s="76" t="str">
        <x:v>No strong homepage signal detected</x:v>
      </x:c>
      <x:c r="AR999" s="76" t="str">
        <x:v>I was reviewing electrical companies in Charleston, South Carolina and Gatch Electrical Contractors, Inc. looked like a strong fit for a creative test.</x:v>
      </x:c>
      <x:c r="AS999" s="76" t="str">
        <x:v>safety inspection problem/solution ad</x:v>
      </x:c>
      <x:c r="AT999" s="76" t="str">
        <x:v>Gatch Electrical Contractors, Inc. ad concept</x:v>
      </x:c>
      <x:c r="AU999" s="76" t="str">
        <x:v>Hi Jason — I was reviewing electrical companies in Charleston, South Carolina and Gatch Electrical Contractors, Inc. looked like a strong fit for a creative test. I mapped a private 15-second safety inspection problem/solution ad for Gatch Electrical Contractors, Inc. using only public brand context—not for publishing, just to show the angle. We build three client-approved video ad concepts in seven days, then turn the winners into fresh variations. No filming day required. Worth sending the private sample?</x:v>
      </x:c>
      <x:c r="AV999" s="76" t="str">
        <x:v>Quick follow-up: the sample angle is a safety inspection problem/solution ad. If it misses the mark, no problem—I won't keep chasing. Should I send it?</x:v>
      </x:c>
      <x:c r="AW999" s="76" t="str">
        <x:v>Hi Jason, Ryan here. I was looking at Gatch Electrical Contractors, Inc.'s public marketing and noticed: icp fit; paid-demand need requires manual verification. I mapped one private safety inspection problem/solution ad as an example. Did I catch you with 30 seconds?</x:v>
      </x:c>
      <x:c r="AX999" s="60" t="str">
        <x:v>https://www.facebook.com/ads/library/?active_status=active&amp;ad_type=all&amp;country=US&amp;q=Gatch%20Electrical%20Contractors%2C%20Inc.&amp;search_type=keyword_unordered</x:v>
      </x:c>
      <x:c r="AY999" s="60" t="str">
        <x:v>ok:200</x:v>
      </x:c>
      <x:c r="AZ999" s="60" t="n">
        <x:v>46232.722858796296</x:v>
      </x:c>
      <x:c r="BA999" s="60" t="str">
        <x:v>AI Ark SC trades export</x:v>
      </x:c>
      <x:c r="BB999" s="60" t="str">
        <x:v>https://gatchelectrical.com | https://www.linkedin.com/company/gatchelectrical</x:v>
      </x:c>
      <x:c r="BC999" s="60" t="str"/>
    </x:row>
    <x:row r="1000" ht="18" customHeight="1">
      <x:c r="A1000" s="70" t="str">
        <x:v>999</x:v>
      </x:c>
      <x:c r="B1000" s="70" t="str">
        <x:v>D - Nurture</x:v>
      </x:c>
      <x:c r="C1000" s="72" t="str">
        <x:v>40</x:v>
      </x:c>
      <x:c r="D1000" s="60" t="str">
        <x:v>Litchfield Seamless Gutters &amp; Windows</x:v>
      </x:c>
      <x:c r="E1000" s="60" t="str">
        <x:v>https://litchfieldgutterssc.com</x:v>
      </x:c>
      <x:c r="F1000" s="60" t="str">
        <x:v>https://www.litchfieldgutterssc.com/</x:v>
      </x:c>
      <x:c r="G1000" s="60" t="str">
        <x:v>Moncks Corner</x:v>
      </x:c>
      <x:c r="H1000" s="60" t="str">
        <x:v>South Carolina</x:v>
      </x:c>
      <x:c r="I1000" s="60" t="str">
        <x:v>Roofing</x:v>
      </x:c>
      <x:c r="J1000" s="60" t="str">
        <x:v>Scott and Elizabeth</x:v>
      </x:c>
      <x:c r="K1000" s="60" t="str">
        <x:v>Litchfield</x:v>
      </x:c>
      <x:c r="L1000" s="60" t="str">
        <x:v>Small Business Owner</x:v>
      </x:c>
      <x:c r="M1000" s="60" t="str"/>
      <x:c r="N1000" s="60" t="str"/>
      <x:c r="O1000" s="60" t="str">
        <x:v>+1 843 480 0478</x:v>
      </x:c>
      <x:c r="P1000" s="60" t="str">
        <x:v>https://www.linkedin.com/in/scott-and-elizabeth-litchfield-0b9493252</x:v>
      </x:c>
      <x:c r="Q1000" s="60" t="str">
        <x:v>2-10</x:v>
      </x:c>
      <x:c r="R1000" s="60" t="str">
        <x:v>0-99999</x:v>
      </x:c>
      <x:c r="S1000" s="60" t="str"/>
      <x:c r="T1000" s="74" t="str">
        <x:v>0</x:v>
      </x:c>
      <x:c r="U1000" s="60" t="str"/>
      <x:c r="V1000" s="74" t="str">
        <x:v>28</x:v>
      </x:c>
      <x:c r="W1000" s="74" t="str">
        <x:v>3</x:v>
      </x:c>
      <x:c r="X1000" s="74" t="str">
        <x:v>4</x:v>
      </x:c>
      <x:c r="Y1000" s="74" t="str">
        <x:v>0</x:v>
      </x:c>
      <x:c r="Z1000" s="74" t="str">
        <x:v>5</x:v>
      </x:c>
      <x:c r="AA1000" s="74" t="str">
        <x:v>0</x:v>
      </x:c>
      <x:c r="AB1000" s="74" t="str">
        <x:v>0</x:v>
      </x:c>
      <x:c r="AC1000" s="74" t="str">
        <x:v>1</x:v>
      </x:c>
      <x:c r="AD1000" s="74" t="str">
        <x:v>0</x:v>
      </x:c>
      <x:c r="AE1000" s="74" t="str">
        <x:v>0</x:v>
      </x:c>
      <x:c r="AF1000" s="74" t="str"/>
      <x:c r="AG1000" s="74" t="str">
        <x:v>1</x:v>
      </x:c>
      <x:c r="AH1000" s="74" t="str">
        <x:v>0</x:v>
      </x:c>
      <x:c r="AI1000" s="74" t="str">
        <x:v>0</x:v>
      </x:c>
      <x:c r="AJ1000" s="74" t="str">
        <x:v>0</x:v>
      </x:c>
      <x:c r="AK1000" s="74" t="str">
        <x:v>0</x:v>
      </x:c>
      <x:c r="AL1000" s="74" t="str">
        <x:v>0</x:v>
      </x:c>
      <x:c r="AM1000" s="74" t="str">
        <x:v>1</x:v>
      </x:c>
      <x:c r="AN1000" s="74" t="str">
        <x:v>0</x:v>
      </x:c>
      <x:c r="AO1000" s="60" t="str">
        <x:v>0</x:v>
      </x:c>
      <x:c r="AP1000" s="76" t="str">
        <x:v>ICP fit; paid-demand need requires manual verification</x:v>
      </x:c>
      <x:c r="AQ1000" s="76" t="str">
        <x:v>No strong homepage signal detected</x:v>
      </x:c>
      <x:c r="AR1000" s="76" t="str">
        <x:v>I was reviewing roofing companies in Moncks Corner, South Carolina and Litchfield Seamless Gutters &amp; Windows looked like a strong fit for a creative test.</x:v>
      </x:c>
      <x:c r="AS1000" s="76" t="str">
        <x:v>storm-to-inspection before/after ad</x:v>
      </x:c>
      <x:c r="AT1000" s="76" t="str">
        <x:v>Litchfield Seamless Gutters &amp; Windows ad concept</x:v>
      </x:c>
      <x:c r="AU1000" s="76" t="str">
        <x:v>Hi Scott and Elizabeth — I was reviewing roofing companies in Moncks Corner, South Carolina and Litchfield Seamless Gutters &amp; Windows looked like a strong fit for a creative test. I mapped a private 15-second storm-to-inspection before/after ad for Litchfield Seamless Gutters &amp; Windows using only public brand context—not for publishing, just to show the angle. We build three client-approved video ad concepts in seven days, then turn the winners into fresh variations. No filming day required. Worth sending the private sample?</x:v>
      </x:c>
      <x:c r="AV1000" s="76" t="str">
        <x:v>Quick follow-up: the sample angle is a storm-to-inspection before/after ad. If it misses the mark, no problem—I won't keep chasing. Should I send it?</x:v>
      </x:c>
      <x:c r="AW1000" s="76" t="str">
        <x:v>Hi Scott and Elizabeth, Ryan here. I was looking at Litchfield Seamless Gutters &amp; Windows's public marketing and noticed: icp fit; paid-demand need requires manual verification. I mapped one private storm-to-inspection before/after ad as an example. Did I catch you with 30 seconds?</x:v>
      </x:c>
      <x:c r="AX1000" s="60" t="str">
        <x:v>https://www.facebook.com/ads/library/?active_status=active&amp;ad_type=all&amp;country=US&amp;q=Litchfield%20Seamless%20Gutters%20%26%20Windows&amp;search_type=keyword_unordered</x:v>
      </x:c>
      <x:c r="AY1000" s="60" t="str">
        <x:v>ok:200</x:v>
      </x:c>
      <x:c r="AZ1000" s="60" t="n">
        <x:v>46232.722858796296</x:v>
      </x:c>
      <x:c r="BA1000" s="60" t="str">
        <x:v>AI Ark SC trades export</x:v>
      </x:c>
      <x:c r="BB1000" s="60" t="str">
        <x:v>https://litchfieldgutterssc.com | https://www.linkedin.com/company/litchfield-seamless-gutters-&amp;-windows</x:v>
      </x:c>
      <x:c r="BC1000" s="60" t="str"/>
    </x:row>
    <x:row r="1001" ht="18" customHeight="1">
      <x:c r="A1001" s="70" t="str">
        <x:v>1000</x:v>
      </x:c>
      <x:c r="B1001" s="70" t="str">
        <x:v>D - Nurture</x:v>
      </x:c>
      <x:c r="C1001" s="72" t="str">
        <x:v>40</x:v>
      </x:c>
      <x:c r="D1001" s="60" t="str">
        <x:v>Hometown Roofing Services</x:v>
      </x:c>
      <x:c r="E1001" s="60" t="str">
        <x:v>https://hometownroofingsc.com</x:v>
      </x:c>
      <x:c r="F1001" s="60" t="str">
        <x:v>https://hometownroofingsc.com</x:v>
      </x:c>
      <x:c r="G1001" s="60" t="str">
        <x:v>Mount Pleasant</x:v>
      </x:c>
      <x:c r="H1001" s="60" t="str">
        <x:v>South Carolina</x:v>
      </x:c>
      <x:c r="I1001" s="60" t="str">
        <x:v>Roofing</x:v>
      </x:c>
      <x:c r="J1001" s="60" t="str">
        <x:v>Hometown Roofing Services</x:v>
      </x:c>
      <x:c r="K1001" s="60" t="str"/>
      <x:c r="L1001" s="60" t="str">
        <x:v>Owner / decision maker to verify</x:v>
      </x:c>
      <x:c r="M1001" s="60" t="str"/>
      <x:c r="N1001" s="60" t="str"/>
      <x:c r="O1001" s="60" t="str">
        <x:v>(843) 331-5850</x:v>
      </x:c>
      <x:c r="P1001" s="60" t="str"/>
      <x:c r="Q1001" s="60" t="str"/>
      <x:c r="R1001" s="60" t="str"/>
      <x:c r="S1001" s="60" t="str">
        <x:v>5</x:v>
      </x:c>
      <x:c r="T1001" s="74" t="str">
        <x:v>39</x:v>
      </x:c>
      <x:c r="U1001" s="60" t="str"/>
      <x:c r="V1001" s="74" t="str">
        <x:v>27</x:v>
      </x:c>
      <x:c r="W1001" s="74" t="str">
        <x:v>0</x:v>
      </x:c>
      <x:c r="X1001" s="74" t="str">
        <x:v>0</x:v>
      </x:c>
      <x:c r="Y1001" s="74" t="str">
        <x:v>8</x:v>
      </x:c>
      <x:c r="Z1001" s="74" t="str">
        <x:v>5</x:v>
      </x:c>
      <x:c r="AA1001" s="74" t="str">
        <x:v>0</x:v>
      </x:c>
      <x:c r="AB1001" s="74" t="str">
        <x:v>0</x:v>
      </x:c>
      <x:c r="AC1001" s="74" t="str">
        <x:v>0</x:v>
      </x:c>
      <x:c r="AD1001" s="74" t="str">
        <x:v>0</x:v>
      </x:c>
      <x:c r="AE1001" s="74" t="str">
        <x:v>0</x:v>
      </x:c>
      <x:c r="AF1001" s="74" t="str"/>
      <x:c r="AG1001" s="74" t="str">
        <x:v>1</x:v>
      </x:c>
      <x:c r="AH1001" s="74" t="str">
        <x:v>0</x:v>
      </x:c>
      <x:c r="AI1001" s="74" t="str">
        <x:v>0</x:v>
      </x:c>
      <x:c r="AJ1001" s="74" t="str">
        <x:v>1</x:v>
      </x:c>
      <x:c r="AK1001" s="74" t="str">
        <x:v>1</x:v>
      </x:c>
      <x:c r="AL1001" s="74" t="str">
        <x:v>1</x:v>
      </x:c>
      <x:c r="AM1001" s="74" t="str">
        <x:v>1</x:v>
      </x:c>
      <x:c r="AN1001" s="74" t="str">
        <x:v>0</x:v>
      </x:c>
      <x:c r="AO1001" s="60" t="str">
        <x:v>2025</x:v>
      </x:c>
      <x:c r="AP1001" s="76" t="str">
        <x:v>ICP fit; paid-demand need requires manual verification</x:v>
      </x:c>
      <x:c r="AQ1001" s="76" t="str">
        <x:v>financing; visible service offer</x:v>
      </x:c>
      <x:c r="AR1001" s="76" t="str">
        <x:v>I was reviewing roofing companies in Mount Pleasant, South Carolina and Hometown Roofing Services looked like a strong fit for a creative test.</x:v>
      </x:c>
      <x:c r="AS1001" s="76" t="str">
        <x:v>storm-to-inspection before/after ad</x:v>
      </x:c>
      <x:c r="AT1001" s="76" t="str">
        <x:v>Hometown Roofing Services ad concept</x:v>
      </x:c>
      <x:c r="AU1001" s="76" t="str">
        <x:v>Hi Hometown Roofing Services — I was reviewing roofing companies in Mount Pleasant, South Carolina and Hometown Roofing Services looked like a strong fit for a creative test. I mapped a private 15-second storm-to-inspection before/after ad for Hometown Roofing Services using only public brand context—not for publishing, just to show the angle. We build three client-approved video ad concepts in seven days, then turn the winners into fresh variations. No filming day required. Worth sending the private sample?</x:v>
      </x:c>
      <x:c r="AV1001" s="76" t="str">
        <x:v>Quick follow-up: the sample angle is a storm-to-inspection before/after ad. If it misses the mark, no problem—I won't keep chasing. Should I send it?</x:v>
      </x:c>
      <x:c r="AW1001" s="76" t="str">
        <x:v>Hi Hometown Roofing Services, Ryan here. I was looking at Hometown Roofing Services's public marketing and noticed: icp fit; paid-demand need requires manual verification. I mapped one private storm-to-inspection before/after ad as an example. Did I catch you with 30 seconds?</x:v>
      </x:c>
      <x:c r="AX1001" s="60" t="str">
        <x:v>https://www.facebook.com/ads/library/?active_status=active&amp;ad_type=all&amp;country=US&amp;q=Hometown%20Roofing%20Services&amp;search_type=keyword_unordered</x:v>
      </x:c>
      <x:c r="AY1001" s="60" t="str">
        <x:v>ok:200</x:v>
      </x:c>
      <x:c r="AZ1001" s="60" t="n">
        <x:v>46232.722858796296</x:v>
      </x:c>
      <x:c r="BA1001" s="60" t="str">
        <x:v>Google Maps home-services export</x:v>
      </x:c>
      <x:c r="BB1001" s="60" t="str">
        <x:v>https://hometownroofingsc.com | https://maps.google.com/?cid=6934776940473801448&amp;g_mp=Cidnb29nbGUubWFwcy5wbGFjZXMudjEuUGxhY2VzLlNlYXJjaFRleHQQAhgEIAA | https://maps.google.com/?cid=7185558394250652868&amp;g_mp=Cidnb29nbGUubWFwcy5wbGFjZXMudjEuUGxhY2VzLlNlYXJjaFRleHQQAhgEIAA</x:v>
      </x:c>
      <x:c r="BC1001" s="60" t="str"/>
    </x:row>
  </x:sheetData>
  <x:conditionalFormatting sqref="B2:B1001">
    <x:cfRule type="containsText" dxfId="0" priority="1" operator="containsText" text="A - Layup"/>
    <x:cfRule type="containsText" dxfId="1" priority="2" operator="containsText" text="B - Strong"/>
    <x:cfRule type="containsText" dxfId="2" priority="3" operator="containsText" text="D - Nurture"/>
  </x:conditionalFormatting>
  <x:conditionalFormatting sqref="C2:C1001">
    <x:cfRule type="dataBar" priority="4">
      <x:dataBar>
        <x:cfvo type="min"/>
        <x:cfvo type="max"/>
        <x:color rgb="FF2563EB"/>
      </x:dataBar>
      <x:extLst>
        <x:ext xmlns:x14="http://schemas.microsoft.com/office/spreadsheetml/2009/9/main" uri="{B025F937-C7B1-47D3-B67F-A62EFF666E3E}">
          <x14:id>{AA7030F8-BC31-B375-06FB-B4BF5CE8A668}</x14:id>
        </x:ext>
      </x:extLst>
    </x:cfRule>
  </x:conditionalFormatting>
  <x:pageMargins left="0.7" right="0.7" top="0.75" bottom="0.75" header="0.3" footer="0.3"/>
  <x:tableParts count="1">
    <x:tablePart xmlns:r="http://schemas.openxmlformats.org/officeDocument/2006/relationships" r:id="R8a6b340c9b8d48b4"/>
  </x:tableParts>
  <x:extLst>
    <x:ext xmlns:x14="http://schemas.microsoft.com/office/spreadsheetml/2009/9/main" xmlns:xm="http://schemas.microsoft.com/office/excel/2006/main" uri="{78C0D931-6437-407d-A8EE-F0AAD7539E65}">
      <x14:conditionalFormattings>
        <x14:conditionalFormatting>
          <x14:cfRule type="dataBar" priority="4" id="{AA7030F8-BC31-B375-06FB-B4BF5CE8A668}">
            <x14:dataBar gradient="1">
              <x14:cfvo type="min"/>
              <x14:cfvo type="max"/>
              <x14:fillColor rgb="FF2563EB"/>
            </x14:dataBar>
          </x14:cfRule>
          <xm:sqref>C2:C1001</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6" hidden="0" customWidth="1"/>
    <x:col min="4" max="4" width="24" hidden="0" customWidth="1"/>
    <x:col min="5" max="5" width="16" hidden="0" customWidth="1"/>
    <x:col min="6" max="6" width="16" hidden="0" customWidth="1"/>
    <x:col min="7" max="7" width="21"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ht="20" customHeight="1">
      <x:c r="A1" s="44" t="str">
        <x:v>Home-Service Creative Engine</x:v>
      </x:c>
      <x:c r="B1" s="45"/>
      <x:c r="C1" s="45"/>
      <x:c r="D1" s="45"/>
      <x:c r="E1" s="45"/>
      <x:c r="F1" s="45"/>
      <x:c r="G1" s="45"/>
      <x:c r="H1" s="45"/>
      <x:c r="I1" s="45"/>
      <x:c r="J1" s="45"/>
      <x:c r="K1" s="45"/>
      <x:c r="L1" s="45"/>
      <x:c r="M1" s="45"/>
      <x:c r="N1" s="45"/>
    </x:row>
    <x:row r="2" ht="20" customHeight="1">
      <x:c r="A2" s="46" t="str">
        <x:v>Need-ranked prospect universe • public website signals • human verification required before outreach</x:v>
      </x:c>
      <x:c r="B2" s="45"/>
      <x:c r="C2" s="45"/>
      <x:c r="D2" s="45"/>
      <x:c r="E2" s="45"/>
      <x:c r="F2" s="45"/>
      <x:c r="G2" s="45"/>
      <x:c r="H2" s="45"/>
      <x:c r="I2" s="45"/>
      <x:c r="J2" s="45"/>
      <x:c r="K2" s="45"/>
      <x:c r="L2" s="45"/>
      <x:c r="M2" s="45"/>
      <x:c r="N2" s="45"/>
    </x:row>
    <x:row r="3" ht="20" customHeight="1">
      <x:c r="A3" s="45"/>
      <x:c r="B3" s="45"/>
      <x:c r="C3" s="45"/>
      <x:c r="D3" s="45"/>
      <x:c r="E3" s="45"/>
      <x:c r="F3" s="45"/>
      <x:c r="G3" s="45"/>
      <x:c r="H3" s="45"/>
      <x:c r="I3" s="45"/>
      <x:c r="J3" s="45"/>
      <x:c r="K3" s="45"/>
      <x:c r="L3" s="45"/>
      <x:c r="M3" s="45"/>
      <x:c r="N3" s="45"/>
    </x:row>
    <x:row r="4" ht="20" customHeight="1">
      <x:c r="A4" s="47" t="str">
        <x:v>Ranked accounts</x:v>
      </x:c>
      <x:c r="B4" s="45"/>
      <x:c r="C4" s="47" t="str">
        <x:v>A-tier layups</x:v>
      </x:c>
      <x:c r="D4" s="45"/>
      <x:c r="E4" s="47" t="str">
        <x:v>B-tier strong</x:v>
      </x:c>
      <x:c r="F4" s="45"/>
      <x:c r="G4" s="47" t="str">
        <x:v>Paid-demand signal</x:v>
      </x:c>
      <x:c r="H4" s="45"/>
      <x:c r="I4" s="45"/>
      <x:c r="J4" s="45"/>
      <x:c r="K4" s="45"/>
      <x:c r="L4" s="45"/>
      <x:c r="M4" s="45"/>
      <x:c r="N4" s="45"/>
    </x:row>
    <x:row r="5" ht="20" customHeight="1">
      <x:c r="A5" s="48" t="n">
        <x:f>COUNTA('Prospect Universe'!$D$2:$D$1001)</x:f>
        <x:v>1000</x:v>
      </x:c>
      <x:c r="B5" s="45"/>
      <x:c r="C5" s="48" t="n">
        <x:f>COUNTIF('Prospect Universe'!$B$2:$B$1001,"A - Layup")</x:f>
        <x:v>97</x:v>
      </x:c>
      <x:c r="D5" s="45"/>
      <x:c r="E5" s="48" t="n">
        <x:f>COUNTIF('Prospect Universe'!$B$2:$B$1001,"B - Strong")</x:f>
        <x:v>240</x:v>
      </x:c>
      <x:c r="F5" s="45"/>
      <x:c r="G5" s="48" t="n">
        <x:f>COUNTIF('Prospect Universe'!$W$2:$W$1001,"&gt;=8")</x:f>
        <x:v>284</x:v>
      </x:c>
      <x:c r="H5" s="45"/>
      <x:c r="I5" s="45"/>
      <x:c r="J5" s="45"/>
      <x:c r="K5" s="45"/>
      <x:c r="L5" s="45"/>
      <x:c r="M5" s="45"/>
      <x:c r="N5" s="45"/>
    </x:row>
    <x:row r="6" ht="20" customHeight="1">
      <x:c r="A6" s="45"/>
      <x:c r="B6" s="45"/>
      <x:c r="C6" s="45"/>
      <x:c r="D6" s="45"/>
      <x:c r="E6" s="45"/>
      <x:c r="F6" s="45"/>
      <x:c r="G6" s="45"/>
      <x:c r="H6" s="45"/>
      <x:c r="I6" s="45"/>
      <x:c r="J6" s="45"/>
      <x:c r="K6" s="45"/>
      <x:c r="L6" s="45"/>
      <x:c r="M6" s="45"/>
      <x:c r="N6" s="45"/>
    </x:row>
    <x:row r="7" ht="20" customHeight="1">
      <x:c r="A7" s="45"/>
      <x:c r="B7" s="45"/>
      <x:c r="C7" s="45"/>
      <x:c r="D7" s="45"/>
      <x:c r="E7" s="45"/>
      <x:c r="F7" s="45"/>
      <x:c r="G7" s="45"/>
      <x:c r="H7" s="45"/>
      <x:c r="I7" s="45"/>
      <x:c r="J7" s="45"/>
      <x:c r="K7" s="45"/>
      <x:c r="L7" s="45"/>
      <x:c r="M7" s="45"/>
      <x:c r="N7" s="45"/>
    </x:row>
    <x:row r="8" ht="20" customHeight="1">
      <x:c r="A8" s="47" t="str">
        <x:v>Reachable accounts</x:v>
      </x:c>
      <x:c r="B8" s="45"/>
      <x:c r="C8" s="47" t="str">
        <x:v>Successful scans</x:v>
      </x:c>
      <x:c r="D8" s="45"/>
      <x:c r="E8" s="47" t="str">
        <x:v>No homepage video</x:v>
      </x:c>
      <x:c r="F8" s="45"/>
      <x:c r="G8" s="47" t="str">
        <x:v>Meta/Google tags</x:v>
      </x:c>
      <x:c r="H8" s="45"/>
      <x:c r="I8" s="45"/>
      <x:c r="J8" s="45"/>
      <x:c r="K8" s="45"/>
      <x:c r="L8" s="45"/>
      <x:c r="M8" s="45"/>
      <x:c r="N8" s="45"/>
    </x:row>
    <x:row r="9" ht="20" customHeight="1">
      <x:c r="A9" s="48" t="n">
        <x:f>COUNTIF('Prospect Universe'!$Z$2:$Z$1001,"&gt;=3")</x:f>
        <x:v>940</x:v>
      </x:c>
      <x:c r="B9" s="45"/>
      <x:c r="C9" s="48" t="n">
        <x:f>COUNTIF('Prospect Universe'!$AY$2:$AY$1001,"ok:200")</x:f>
        <x:v>967</x:v>
      </x:c>
      <x:c r="D9" s="45"/>
      <x:c r="E9" s="48" t="n">
        <x:f>COUNTIF('Prospect Universe'!$AG$2:$AG$1001,0)</x:f>
        <x:v>736</x:v>
      </x:c>
      <x:c r="F9" s="45"/>
      <x:c r="G9" s="48" t="n">
        <x:f>COUNTIF('Prospect Universe'!$AA$2:$AA$1001,1)+COUNTIF('Prospect Universe'!$AB$2:$AB$1001,1)</x:f>
        <x:v>293</x:v>
      </x:c>
      <x:c r="H9" s="45"/>
      <x:c r="I9" s="45"/>
      <x:c r="J9" s="45"/>
      <x:c r="K9" s="45"/>
      <x:c r="L9" s="45"/>
      <x:c r="M9" s="45"/>
      <x:c r="N9" s="45"/>
    </x:row>
    <x:row r="10" ht="20" customHeight="1">
      <x:c r="A10" s="45"/>
      <x:c r="B10" s="45"/>
      <x:c r="C10" s="45"/>
      <x:c r="D10" s="45"/>
      <x:c r="E10" s="45"/>
      <x:c r="F10" s="45"/>
      <x:c r="G10" s="45"/>
      <x:c r="H10" s="45"/>
      <x:c r="I10" s="45"/>
      <x:c r="J10" s="45"/>
      <x:c r="K10" s="45"/>
      <x:c r="L10" s="45"/>
      <x:c r="M10" s="45"/>
      <x:c r="N10" s="45"/>
    </x:row>
    <x:row r="11" ht="20" customHeight="1">
      <x:c r="A11" s="45"/>
      <x:c r="B11" s="45"/>
      <x:c r="C11" s="45"/>
      <x:c r="D11" s="45"/>
      <x:c r="E11" s="45"/>
      <x:c r="F11" s="45"/>
      <x:c r="G11" s="45"/>
      <x:c r="H11" s="45"/>
      <x:c r="I11" s="45"/>
      <x:c r="J11" s="45"/>
      <x:c r="K11" s="45"/>
      <x:c r="L11" s="45"/>
      <x:c r="M11" s="45"/>
      <x:c r="N11" s="45"/>
    </x:row>
    <x:row r="12" ht="20" customHeight="1">
      <x:c r="A12" s="49" t="str">
        <x:v>Tier</x:v>
      </x:c>
      <x:c r="B12" s="49" t="str">
        <x:v>Accounts</x:v>
      </x:c>
      <x:c r="C12" s="45"/>
      <x:c r="D12" s="49" t="str">
        <x:v>Vertical</x:v>
      </x:c>
      <x:c r="E12" s="49" t="str">
        <x:v>Accounts</x:v>
      </x:c>
      <x:c r="F12" s="45"/>
      <x:c r="G12" s="45"/>
      <x:c r="H12" s="45"/>
      <x:c r="I12" s="45"/>
      <x:c r="J12" s="45"/>
      <x:c r="K12" s="45"/>
      <x:c r="L12" s="45"/>
      <x:c r="M12" s="45"/>
      <x:c r="N12" s="45"/>
    </x:row>
    <x:row r="13" ht="20" customHeight="1">
      <x:c r="A13" s="50" t="str">
        <x:v>A - Layup</x:v>
      </x:c>
      <x:c r="B13" s="50" t="n">
        <x:f>COUNTIF('Prospect Universe'!$B$2:$B$1001,A13)</x:f>
        <x:v>97</x:v>
      </x:c>
      <x:c r="C13" s="45"/>
      <x:c r="D13" s="50" t="str">
        <x:v>Roofing</x:v>
      </x:c>
      <x:c r="E13" s="50" t="n">
        <x:f>COUNTIF('Prospect Universe'!$I$2:$I$1001,D13)</x:f>
        <x:v>243</x:v>
      </x:c>
      <x:c r="F13" s="45"/>
      <x:c r="G13" s="45"/>
      <x:c r="H13" s="45"/>
      <x:c r="I13" s="45"/>
      <x:c r="J13" s="45"/>
      <x:c r="K13" s="45"/>
      <x:c r="L13" s="45"/>
      <x:c r="M13" s="45"/>
      <x:c r="N13" s="45"/>
    </x:row>
    <x:row r="14" ht="20" customHeight="1">
      <x:c r="A14" s="50" t="str">
        <x:v>B - Strong</x:v>
      </x:c>
      <x:c r="B14" s="50" t="n">
        <x:f>COUNTIF('Prospect Universe'!$B$2:$B$1001,A14)</x:f>
        <x:v>240</x:v>
      </x:c>
      <x:c r="C14" s="45"/>
      <x:c r="D14" s="50" t="str">
        <x:v>HVAC</x:v>
      </x:c>
      <x:c r="E14" s="50" t="n">
        <x:f>COUNTIF('Prospect Universe'!$I$2:$I$1001,D14)</x:f>
        <x:v>169</x:v>
      </x:c>
      <x:c r="F14" s="45"/>
      <x:c r="G14" s="45"/>
      <x:c r="H14" s="45"/>
      <x:c r="I14" s="45"/>
      <x:c r="J14" s="45"/>
      <x:c r="K14" s="45"/>
      <x:c r="L14" s="45"/>
      <x:c r="M14" s="45"/>
      <x:c r="N14" s="45"/>
    </x:row>
    <x:row r="15" ht="20" customHeight="1">
      <x:c r="A15" s="50" t="str">
        <x:v>C - Verify</x:v>
      </x:c>
      <x:c r="B15" s="50" t="n">
        <x:f>COUNTIF('Prospect Universe'!$B$2:$B$1001,A15)</x:f>
        <x:v>602</x:v>
      </x:c>
      <x:c r="C15" s="45"/>
      <x:c r="D15" s="50" t="str">
        <x:v>General Contractor</x:v>
      </x:c>
      <x:c r="E15" s="50" t="n">
        <x:f>COUNTIF('Prospect Universe'!$I$2:$I$1001,D15)</x:f>
        <x:v>139</x:v>
      </x:c>
      <x:c r="F15" s="45"/>
      <x:c r="G15" s="45"/>
      <x:c r="H15" s="45"/>
      <x:c r="I15" s="45"/>
      <x:c r="J15" s="45"/>
      <x:c r="K15" s="45"/>
      <x:c r="L15" s="45"/>
      <x:c r="M15" s="45"/>
      <x:c r="N15" s="45"/>
    </x:row>
    <x:row r="16" ht="20" customHeight="1">
      <x:c r="A16" s="50" t="str">
        <x:v>D - Nurture</x:v>
      </x:c>
      <x:c r="B16" s="50" t="n">
        <x:f>COUNTIF('Prospect Universe'!$B$2:$B$1001,A16)</x:f>
        <x:v>61</x:v>
      </x:c>
      <x:c r="C16" s="45"/>
      <x:c r="D16" s="50" t="str">
        <x:v>Plumbing</x:v>
      </x:c>
      <x:c r="E16" s="50" t="n">
        <x:f>COUNTIF('Prospect Universe'!$I$2:$I$1001,D16)</x:f>
        <x:v>113</x:v>
      </x:c>
      <x:c r="F16" s="45"/>
      <x:c r="G16" s="45"/>
      <x:c r="H16" s="45"/>
      <x:c r="I16" s="45"/>
      <x:c r="J16" s="45"/>
      <x:c r="K16" s="45"/>
      <x:c r="L16" s="45"/>
      <x:c r="M16" s="45"/>
      <x:c r="N16" s="45"/>
    </x:row>
    <x:row r="17" ht="20" customHeight="1">
      <x:c r="A17" s="45"/>
      <x:c r="B17" s="45"/>
      <x:c r="C17" s="45"/>
      <x:c r="D17" s="50" t="str">
        <x:v>Remodeling</x:v>
      </x:c>
      <x:c r="E17" s="50" t="n">
        <x:f>COUNTIF('Prospect Universe'!$I$2:$I$1001,D17)</x:f>
        <x:v>93</x:v>
      </x:c>
      <x:c r="F17" s="45"/>
      <x:c r="G17" s="45"/>
      <x:c r="H17" s="45"/>
      <x:c r="I17" s="45"/>
      <x:c r="J17" s="45"/>
      <x:c r="K17" s="45"/>
      <x:c r="L17" s="45"/>
      <x:c r="M17" s="45"/>
      <x:c r="N17" s="45"/>
    </x:row>
    <x:row r="18" ht="20" customHeight="1">
      <x:c r="A18" s="45"/>
      <x:c r="B18" s="45"/>
      <x:c r="C18" s="45"/>
      <x:c r="D18" s="50" t="str">
        <x:v>Electrical</x:v>
      </x:c>
      <x:c r="E18" s="50" t="n">
        <x:f>COUNTIF('Prospect Universe'!$I$2:$I$1001,D18)</x:f>
        <x:v>70</x:v>
      </x:c>
      <x:c r="F18" s="45"/>
      <x:c r="G18" s="45"/>
      <x:c r="H18" s="45"/>
      <x:c r="I18" s="45"/>
      <x:c r="J18" s="45"/>
      <x:c r="K18" s="45"/>
      <x:c r="L18" s="45"/>
      <x:c r="M18" s="45"/>
      <x:c r="N18" s="45"/>
    </x:row>
    <x:row r="19" ht="20" customHeight="1">
      <x:c r="A19" s="45"/>
      <x:c r="B19" s="45"/>
      <x:c r="C19" s="45"/>
      <x:c r="D19" s="50" t="str">
        <x:v>Restoration</x:v>
      </x:c>
      <x:c r="E19" s="50" t="n">
        <x:f>COUNTIF('Prospect Universe'!$I$2:$I$1001,D19)</x:f>
        <x:v>37</x:v>
      </x:c>
      <x:c r="F19" s="45"/>
      <x:c r="G19" s="45"/>
      <x:c r="H19" s="45"/>
      <x:c r="I19" s="45"/>
      <x:c r="J19" s="45"/>
      <x:c r="K19" s="45"/>
      <x:c r="L19" s="45"/>
      <x:c r="M19" s="45"/>
      <x:c r="N19" s="45"/>
    </x:row>
    <x:row r="20" ht="20" customHeight="1">
      <x:c r="A20" s="45"/>
      <x:c r="B20" s="45"/>
      <x:c r="C20" s="45"/>
      <x:c r="D20" s="50" t="str">
        <x:v>Garage Doors</x:v>
      </x:c>
      <x:c r="E20" s="50" t="n">
        <x:f>COUNTIF('Prospect Universe'!$I$2:$I$1001,D20)</x:f>
        <x:v>31</x:v>
      </x:c>
      <x:c r="F20" s="45"/>
      <x:c r="G20" s="45"/>
      <x:c r="H20" s="45"/>
      <x:c r="I20" s="45"/>
      <x:c r="J20" s="45"/>
      <x:c r="K20" s="45"/>
      <x:c r="L20" s="45"/>
      <x:c r="M20" s="45"/>
      <x:c r="N20" s="45"/>
    </x:row>
    <x:row r="21" ht="20" customHeight="1">
      <x:c r="A21" s="45"/>
      <x:c r="B21" s="45"/>
      <x:c r="C21" s="45"/>
      <x:c r="D21" s="50" t="str">
        <x:v>Windows &amp; Doors</x:v>
      </x:c>
      <x:c r="E21" s="50" t="n">
        <x:f>COUNTIF('Prospect Universe'!$I$2:$I$1001,D21)</x:f>
        <x:v>23</x:v>
      </x:c>
      <x:c r="F21" s="45"/>
      <x:c r="G21" s="45"/>
      <x:c r="H21" s="45"/>
      <x:c r="I21" s="45"/>
      <x:c r="J21" s="45"/>
      <x:c r="K21" s="45"/>
      <x:c r="L21" s="45"/>
      <x:c r="M21" s="45"/>
      <x:c r="N21" s="45"/>
    </x:row>
    <x:row r="22" ht="20" customHeight="1">
      <x:c r="A22" s="45"/>
      <x:c r="B22" s="45"/>
      <x:c r="C22" s="45"/>
      <x:c r="D22" s="50" t="str">
        <x:v>Landscaping &amp; Tree</x:v>
      </x:c>
      <x:c r="E22" s="50" t="n">
        <x:f>COUNTIF('Prospect Universe'!$I$2:$I$1001,D22)</x:f>
        <x:v>16</x:v>
      </x:c>
      <x:c r="F22" s="45"/>
      <x:c r="G22" s="45"/>
      <x:c r="H22" s="45"/>
      <x:c r="I22" s="45"/>
      <x:c r="J22" s="45"/>
      <x:c r="K22" s="45"/>
      <x:c r="L22" s="45"/>
      <x:c r="M22" s="45"/>
      <x:c r="N22" s="45"/>
    </x:row>
    <x:row r="23" ht="20" customHeight="1">
      <x:c r="A23" s="45"/>
      <x:c r="B23" s="45"/>
      <x:c r="C23" s="45"/>
      <x:c r="D23" s="45"/>
      <x:c r="E23" s="45"/>
      <x:c r="F23" s="45"/>
      <x:c r="G23" s="45"/>
      <x:c r="H23" s="45"/>
      <x:c r="I23" s="45"/>
      <x:c r="J23" s="45"/>
      <x:c r="K23" s="45"/>
      <x:c r="L23" s="45"/>
      <x:c r="M23" s="45"/>
      <x:c r="N23" s="45"/>
    </x:row>
    <x:row r="24" ht="20" customHeight="1">
      <x:c r="A24" s="45"/>
      <x:c r="B24" s="45"/>
      <x:c r="C24" s="45"/>
      <x:c r="D24" s="45"/>
      <x:c r="E24" s="45"/>
      <x:c r="F24" s="45"/>
      <x:c r="G24" s="45"/>
      <x:c r="H24" s="45"/>
      <x:c r="I24" s="45"/>
      <x:c r="J24" s="45"/>
      <x:c r="K24" s="45"/>
      <x:c r="L24" s="45"/>
      <x:c r="M24" s="45"/>
      <x:c r="N24" s="45"/>
    </x:row>
    <x:row r="25" ht="20" customHeight="1">
      <x:c r="A25" s="51" t="str">
        <x:v>Interpretation: installed tags are a demand-infrastructure proxy, not proof of current media spend. Verify ads, contact, and message before sending.</x:v>
      </x:c>
      <x:c r="B25" s="45"/>
      <x:c r="C25" s="45"/>
      <x:c r="D25" s="45"/>
      <x:c r="E25" s="45"/>
      <x:c r="F25" s="45"/>
      <x:c r="G25" s="45"/>
      <x:c r="H25" s="45"/>
      <x:c r="I25" s="45"/>
      <x:c r="J25" s="45"/>
      <x:c r="K25" s="45"/>
      <x:c r="L25" s="45"/>
      <x:c r="M25" s="45"/>
      <x:c r="N25" s="45"/>
    </x:row>
    <x:row r="26" ht="20" customHeight="1">
      <x:c r="A26" s="45"/>
      <x:c r="B26" s="45"/>
      <x:c r="C26" s="45"/>
      <x:c r="D26" s="45"/>
      <x:c r="E26" s="45"/>
      <x:c r="F26" s="45"/>
      <x:c r="G26" s="45"/>
      <x:c r="H26" s="45"/>
      <x:c r="I26" s="45"/>
      <x:c r="J26" s="45"/>
      <x:c r="K26" s="45"/>
      <x:c r="L26" s="45"/>
      <x:c r="M26" s="45"/>
      <x:c r="N26" s="45"/>
    </x:row>
    <x:row r="27" ht="20" customHeight="1">
      <x:c r="A27" s="45"/>
      <x:c r="B27" s="45"/>
      <x:c r="C27" s="45"/>
      <x:c r="D27" s="45"/>
      <x:c r="E27" s="45"/>
      <x:c r="F27" s="45"/>
      <x:c r="G27" s="45"/>
      <x:c r="H27" s="45"/>
      <x:c r="I27" s="45"/>
      <x:c r="J27" s="45"/>
      <x:c r="K27" s="45"/>
      <x:c r="L27" s="45"/>
      <x:c r="M27" s="45"/>
      <x:c r="N27" s="45"/>
    </x:row>
  </x:sheetData>
  <x:mergeCells>
    <x:mergeCell ref="A1:H1"/>
    <x:mergeCell ref="A2:H2"/>
    <x:mergeCell ref="A25:H25"/>
  </x:mergeCells>
  <x:pageMargins left="0.7" right="0.7" top="0.75" bottom="0.75" header="0.3" footer="0.3"/>
  <x:drawing xmlns:r="http://schemas.openxmlformats.org/officeDocument/2006/relationships" r:id="R59d34b94c9cd476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5" hidden="0" customWidth="1"/>
    <x:col min="3" max="3" width="10" hidden="0" customWidth="1"/>
    <x:col min="4" max="4" width="30" hidden="0" customWidth="1"/>
    <x:col min="5" max="5" width="24" hidden="0" customWidth="1"/>
    <x:col min="6" max="6" width="24" hidden="0" customWidth="1"/>
    <x:col min="7" max="7" width="17" hidden="0" customWidth="1"/>
    <x:col min="8" max="8" width="17" hidden="0" customWidth="1"/>
    <x:col min="9" max="9" width="17" hidden="0" customWidth="1"/>
    <x:col min="10" max="10" width="16" hidden="0" customWidth="1"/>
    <x:col min="11" max="11" width="16" hidden="0" customWidth="1"/>
    <x:col min="12" max="12" width="16" hidden="0" customWidth="1"/>
    <x:col min="13" max="13" width="24" hidden="0" customWidth="1"/>
    <x:col min="14" max="14" width="24" hidden="0" customWidth="1"/>
    <x:col min="15" max="15" width="24" hidden="0" customWidth="1"/>
    <x:col min="16" max="16" width="24" hidden="0" customWidth="1"/>
    <x:col min="42" max="42" width="34" hidden="0" customWidth="1"/>
    <x:col min="43" max="43" width="34" hidden="0" customWidth="1"/>
    <x:col min="44" max="44" width="36" hidden="0" customWidth="1"/>
    <x:col min="45" max="45" width="36" hidden="0" customWidth="1"/>
    <x:col min="46" max="46" width="48" hidden="0" customWidth="1"/>
    <x:col min="47" max="47" width="48" hidden="0" customWidth="1"/>
    <x:col min="48" max="48" width="48" hidden="0" customWidth="1"/>
    <x:col min="49" max="49" width="48" hidden="0" customWidth="1"/>
    <x:col min="50" max="50" width="30" hidden="0" customWidth="1"/>
    <x:col min="51" max="51" width="30" hidden="0" customWidth="1"/>
    <x:col min="52" max="52" width="30" hidden="0" customWidth="1"/>
    <x:col min="53" max="53" width="30" hidden="0" customWidth="1"/>
    <x:col min="54" max="54" width="30" hidden="0" customWidth="1"/>
  </x:cols>
  <x:sheetData>
    <x:row r="1" ht="18" customHeight="1">
      <x:c r="A1" s="68" t="str">
        <x:v>rank</x:v>
      </x:c>
      <x:c r="B1" s="68" t="str">
        <x:v>tier</x:v>
      </x:c>
      <x:c r="C1" s="68" t="str">
        <x:v>total_score</x:v>
      </x:c>
      <x:c r="D1" s="68" t="str">
        <x:v>company</x:v>
      </x:c>
      <x:c r="E1" s="68" t="str">
        <x:v>website</x:v>
      </x:c>
      <x:c r="F1" s="68" t="str">
        <x:v>final_url</x:v>
      </x:c>
      <x:c r="G1" s="68" t="str">
        <x:v>city</x:v>
      </x:c>
      <x:c r="H1" s="68" t="str">
        <x:v>state</x:v>
      </x:c>
      <x:c r="I1" s="68" t="str">
        <x:v>vertical</x:v>
      </x:c>
      <x:c r="J1" s="68" t="str">
        <x:v>first_name</x:v>
      </x:c>
      <x:c r="K1" s="68" t="str">
        <x:v>last_name</x:v>
      </x:c>
      <x:c r="L1" s="68" t="str">
        <x:v>title</x:v>
      </x:c>
      <x:c r="M1" s="68" t="str">
        <x:v>email</x:v>
      </x:c>
      <x:c r="N1" s="68" t="str">
        <x:v>email_status</x:v>
      </x:c>
      <x:c r="O1" s="68" t="str">
        <x:v>phone</x:v>
      </x:c>
      <x:c r="P1" s="68" t="str">
        <x:v>linkedin</x:v>
      </x:c>
      <x:c r="Q1" s="68" t="str">
        <x:v>employee_range</x:v>
      </x:c>
      <x:c r="R1" s="68" t="str">
        <x:v>annual_revenue_range</x:v>
      </x:c>
      <x:c r="S1" s="68" t="str">
        <x:v>google_rating</x:v>
      </x:c>
      <x:c r="T1" s="68" t="str">
        <x:v>google_review_count</x:v>
      </x:c>
      <x:c r="U1" s="68" t="str">
        <x:v>complaint_types</x:v>
      </x:c>
      <x:c r="V1" s="68" t="str">
        <x:v>fit_score</x:v>
      </x:c>
      <x:c r="W1" s="68" t="str">
        <x:v>paid_demand_score</x:v>
      </x:c>
      <x:c r="X1" s="68" t="str">
        <x:v>creative_gap_score</x:v>
      </x:c>
      <x:c r="Y1" s="68" t="str">
        <x:v>proof_score</x:v>
      </x:c>
      <x:c r="Z1" s="68" t="str">
        <x:v>reachability_score</x:v>
      </x:c>
      <x:c r="AA1" s="68" t="str">
        <x:v>meta_pixel</x:v>
      </x:c>
      <x:c r="AB1" s="68" t="str">
        <x:v>google_ads_tag</x:v>
      </x:c>
      <x:c r="AC1" s="68" t="str">
        <x:v>google_tag_manager</x:v>
      </x:c>
      <x:c r="AD1" s="68" t="str">
        <x:v>tiktok_pixel</x:v>
      </x:c>
      <x:c r="AE1" s="68" t="str">
        <x:v>call_tracking</x:v>
      </x:c>
      <x:c r="AF1" s="68" t="str">
        <x:v>lead_platform</x:v>
      </x:c>
      <x:c r="AG1" s="68" t="str">
        <x:v>has_video</x:v>
      </x:c>
      <x:c r="AH1" s="68" t="str">
        <x:v>has_gallery</x:v>
      </x:c>
      <x:c r="AI1" s="68" t="str">
        <x:v>has_testimonials</x:v>
      </x:c>
      <x:c r="AJ1" s="68" t="str">
        <x:v>has_financing</x:v>
      </x:c>
      <x:c r="AK1" s="68" t="str">
        <x:v>has_offer</x:v>
      </x:c>
      <x:c r="AL1" s="68" t="str">
        <x:v>instagram_link</x:v>
      </x:c>
      <x:c r="AM1" s="68" t="str">
        <x:v>facebook_link</x:v>
      </x:c>
      <x:c r="AN1" s="68" t="str">
        <x:v>youtube_link</x:v>
      </x:c>
      <x:c r="AO1" s="68" t="str">
        <x:v>latest_copyright_year</x:v>
      </x:c>
      <x:c r="AP1" s="68" t="str">
        <x:v>primary_need_signal</x:v>
      </x:c>
      <x:c r="AQ1" s="68" t="str">
        <x:v>evidence_summary</x:v>
      </x:c>
      <x:c r="AR1" s="68" t="str">
        <x:v>personalization_line</x:v>
      </x:c>
      <x:c r="AS1" s="68" t="str">
        <x:v>sample_concept</x:v>
      </x:c>
      <x:c r="AT1" s="68" t="str">
        <x:v>subject_line</x:v>
      </x:c>
      <x:c r="AU1" s="68" t="str">
        <x:v>email_1</x:v>
      </x:c>
      <x:c r="AV1" s="68" t="str">
        <x:v>follow_up_1</x:v>
      </x:c>
      <x:c r="AW1" s="68" t="str">
        <x:v>call_opener</x:v>
      </x:c>
      <x:c r="AX1" s="68" t="str">
        <x:v>meta_ad_library_check_url</x:v>
      </x:c>
      <x:c r="AY1" s="68" t="str">
        <x:v>scan_status</x:v>
      </x:c>
      <x:c r="AZ1" s="68" t="str">
        <x:v>scanned_at</x:v>
      </x:c>
      <x:c r="BA1" s="68" t="str">
        <x:v>source_labels</x:v>
      </x:c>
      <x:c r="BB1" s="68" t="str">
        <x:v>source_urls</x:v>
      </x:c>
      <x:c r="BC1" s="68" t="str">
        <x:v>excluded_reason</x:v>
      </x:c>
    </x:row>
    <x:row r="2" ht="18" customHeight="1">
      <x:c r="A2" s="70" t="str">
        <x:v>1</x:v>
      </x:c>
      <x:c r="B2" s="70" t="str">
        <x:v>A - Layup</x:v>
      </x:c>
      <x:c r="C2" s="72" t="str">
        <x:v>94</x:v>
      </x:c>
      <x:c r="D2" s="60" t="str">
        <x:v>Vista Roofing Inc.</x:v>
      </x:c>
      <x:c r="E2" s="60" t="str">
        <x:v>https://vistaroofinginc.com</x:v>
      </x:c>
      <x:c r="F2" s="60" t="str">
        <x:v>https://vistaroofinginc.com</x:v>
      </x:c>
      <x:c r="G2" s="60" t="str">
        <x:v>West Columbia</x:v>
      </x:c>
      <x:c r="H2" s="60" t="str">
        <x:v>South Carolina</x:v>
      </x:c>
      <x:c r="I2" s="60" t="str">
        <x:v>Roofing</x:v>
      </x:c>
      <x:c r="J2" s="60" t="str">
        <x:v>Ben</x:v>
      </x:c>
      <x:c r="K2" s="60" t="str">
        <x:v>Stiles</x:v>
      </x:c>
      <x:c r="L2" s="60" t="str">
        <x:v>Co-Owner</x:v>
      </x:c>
      <x:c r="M2" s="60" t="str">
        <x:v>ben@vistaroofinginc.com</x:v>
      </x:c>
      <x:c r="N2" s="60" t="str">
        <x:v>Verified with BounceBan on 08 Jun 26 12:06</x:v>
      </x:c>
      <x:c r="O2" s="60" t="str"/>
      <x:c r="P2" s="60" t="str">
        <x:v>https://www.linkedin.com/in/ben-stiles-39a9b92a4</x:v>
      </x:c>
      <x:c r="Q2" s="60" t="str">
        <x:v>2-10</x:v>
      </x:c>
      <x:c r="R2" s="60" t="str">
        <x:v>500000-999999</x:v>
      </x:c>
      <x:c r="S2" s="60" t="str"/>
      <x:c r="T2" s="74" t="str">
        <x:v>0</x:v>
      </x:c>
      <x:c r="U2" s="60" t="str"/>
      <x:c r="V2" s="74" t="str">
        <x:v>30</x:v>
      </x:c>
      <x:c r="W2" s="74" t="str">
        <x:v>30</x:v>
      </x:c>
      <x:c r="X2" s="74" t="str">
        <x:v>12</x:v>
      </x:c>
      <x:c r="Y2" s="74" t="str">
        <x:v>15</x:v>
      </x:c>
      <x:c r="Z2" s="74" t="str">
        <x:v>7</x:v>
      </x:c>
      <x:c r="AA2" s="74" t="str">
        <x:v>1</x:v>
      </x:c>
      <x:c r="AB2" s="74" t="str">
        <x:v>1</x:v>
      </x:c>
      <x:c r="AC2" s="74" t="str">
        <x:v>1</x:v>
      </x:c>
      <x:c r="AD2" s="74" t="str">
        <x:v>0</x:v>
      </x:c>
      <x:c r="AE2" s="74" t="str">
        <x:v>1</x:v>
      </x:c>
      <x:c r="AF2" s="74" t="str"/>
      <x:c r="AG2" s="74" t="str">
        <x:v>0</x:v>
      </x:c>
      <x:c r="AH2" s="74" t="str">
        <x:v>1</x:v>
      </x:c>
      <x:c r="AI2" s="74" t="str">
        <x:v>1</x:v>
      </x:c>
      <x:c r="AJ2" s="74" t="str">
        <x:v>1</x:v>
      </x:c>
      <x:c r="AK2" s="74" t="str">
        <x:v>1</x:v>
      </x:c>
      <x:c r="AL2" s="74" t="str">
        <x:v>1</x:v>
      </x:c>
      <x:c r="AM2" s="74" t="str">
        <x:v>1</x:v>
      </x:c>
      <x:c r="AN2" s="74" t="str">
        <x:v>1</x:v>
      </x:c>
      <x:c r="AO2" s="60" t="str">
        <x:v>2026</x:v>
      </x:c>
      <x:c r="AP2" s="76" t="str">
        <x:v>Meta tracking detected; no embedded homepage video found</x:v>
      </x:c>
      <x:c r="AQ2" s="76" t="str">
        <x:v>Meta Pixel; Google Ads tag; call tracking; project/gallery proof; testimonials; financing; visible service offer; no embedded homepage video detected</x:v>
      </x:c>
      <x:c r="AR2" s="76" t="str">
        <x:v>I noticed Vista Roofing Inc.'s site has Meta tracking installed, but I couldn't find an embedded video on the homepage.</x:v>
      </x:c>
      <x:c r="AS2" s="76" t="str">
        <x:v>storm-to-inspection before/after ad</x:v>
      </x:c>
      <x:c r="AT2" s="76" t="str">
        <x:v>Vista Roofing Inc. ad concept</x:v>
      </x:c>
      <x:c r="AU2" s="76" t="str">
        <x:v>Hi Ben — I noticed Vista Roofing Inc.'s site has Meta tracking installed, but I couldn't find an embedded video on the homepage. I mapped a private 15-second storm-to-inspection before/after ad for Vista Roofing Inc. using only public brand context—not for publishing, just to show the angle. We build three client-approved video ad concepts in seven days, then turn the winners into fresh variations. No filming day required. Worth sending the private sample?</x:v>
      </x:c>
      <x:c r="AV2" s="76" t="str">
        <x:v>Quick follow-up: the sample angle is a storm-to-inspection before/after ad. If it misses the mark, no problem—I won't keep chasing. Should I send it?</x:v>
      </x:c>
      <x:c r="AW2" s="76" t="str">
        <x:v>Hi Ben, Ryan here. I was looking at Vista Roofing Inc.'s public marketing and noticed: meta tracking detected; no embedded homepage video found. I mapped one private storm-to-inspection before/after ad as an example. Did I catch you with 30 seconds?</x:v>
      </x:c>
      <x:c r="AX2" s="60" t="str">
        <x:v>https://www.facebook.com/ads/library/?active_status=active&amp;ad_type=all&amp;country=US&amp;q=Vista%20Roofing%20Inc.&amp;search_type=keyword_unordered</x:v>
      </x:c>
      <x:c r="AY2" s="60" t="str">
        <x:v>ok:200</x:v>
      </x:c>
      <x:c r="AZ2" s="60" t="n">
        <x:v>46232.722858796296</x:v>
      </x:c>
      <x:c r="BA2" s="60" t="str">
        <x:v>AI Ark SC trades export</x:v>
      </x:c>
      <x:c r="BB2" s="60" t="str">
        <x:v>https://vistaroofinginc.com | https://www.linkedin.com/company/vista-roofing-inc</x:v>
      </x:c>
      <x:c r="BC2" s="60" t="str"/>
    </x:row>
    <x:row r="3" ht="18" customHeight="1">
      <x:c r="A3" s="70" t="str">
        <x:v>2</x:v>
      </x:c>
      <x:c r="B3" s="70" t="str">
        <x:v>A - Layup</x:v>
      </x:c>
      <x:c r="C3" s="72" t="str">
        <x:v>93</x:v>
      </x:c>
      <x:c r="D3" s="60" t="str">
        <x:v>Preferred Choice Heating and Air</x:v>
      </x:c>
      <x:c r="E3" s="60" t="str">
        <x:v>https://preferredchoiceheatingandair.com</x:v>
      </x:c>
      <x:c r="F3" s="60" t="str">
        <x:v>https://www.preferredchoiceheatingandair.com/</x:v>
      </x:c>
      <x:c r="G3" s="60" t="str">
        <x:v>Greenville</x:v>
      </x:c>
      <x:c r="H3" s="60" t="str">
        <x:v>South Carolina</x:v>
      </x:c>
      <x:c r="I3" s="60" t="str">
        <x:v>HVAC</x:v>
      </x:c>
      <x:c r="J3" s="60" t="str">
        <x:v>Preferred Choice Heating and Air</x:v>
      </x:c>
      <x:c r="K3" s="60" t="str"/>
      <x:c r="L3" s="60" t="str">
        <x:v>Owner / decision maker to verify</x:v>
      </x:c>
      <x:c r="M3" s="60" t="str"/>
      <x:c r="N3" s="60" t="str"/>
      <x:c r="O3" s="60" t="str">
        <x:v>(864) 283-6754</x:v>
      </x:c>
      <x:c r="P3" s="60" t="str"/>
      <x:c r="Q3" s="60" t="str"/>
      <x:c r="R3" s="60" t="str"/>
      <x:c r="S3" s="60" t="str">
        <x:v>4.9</x:v>
      </x:c>
      <x:c r="T3" s="74" t="str">
        <x:v>281</x:v>
      </x:c>
      <x:c r="U3" s="60" t="str"/>
      <x:c r="V3" s="74" t="str">
        <x:v>29</x:v>
      </x:c>
      <x:c r="W3" s="74" t="str">
        <x:v>28</x:v>
      </x:c>
      <x:c r="X3" s="74" t="str">
        <x:v>16</x:v>
      </x:c>
      <x:c r="Y3" s="74" t="str">
        <x:v>15</x:v>
      </x:c>
      <x:c r="Z3" s="74" t="str">
        <x:v>5</x:v>
      </x:c>
      <x:c r="AA3" s="74" t="str">
        <x:v>1</x:v>
      </x:c>
      <x:c r="AB3" s="74" t="str">
        <x:v>1</x:v>
      </x:c>
      <x:c r="AC3" s="74" t="str">
        <x:v>1</x:v>
      </x:c>
      <x:c r="AD3" s="74" t="str">
        <x:v>0</x:v>
      </x:c>
      <x:c r="AE3" s="74" t="str">
        <x:v>0</x:v>
      </x:c>
      <x:c r="AF3" s="74" t="str">
        <x:v>podium</x:v>
      </x:c>
      <x:c r="AG3" s="74" t="str">
        <x:v>0</x:v>
      </x:c>
      <x:c r="AH3" s="74" t="str">
        <x:v>1</x:v>
      </x:c>
      <x:c r="AI3" s="74" t="str">
        <x:v>1</x:v>
      </x:c>
      <x:c r="AJ3" s="74" t="str">
        <x:v>0</x:v>
      </x:c>
      <x:c r="AK3" s="74" t="str">
        <x:v>1</x:v>
      </x:c>
      <x:c r="AL3" s="74" t="str">
        <x:v>0</x:v>
      </x:c>
      <x:c r="AM3" s="74" t="str">
        <x:v>1</x:v>
      </x:c>
      <x:c r="AN3" s="74" t="str">
        <x:v>0</x:v>
      </x:c>
      <x:c r="AO3" s="60" t="str">
        <x:v>2026</x:v>
      </x:c>
      <x:c r="AP3" s="76" t="str">
        <x:v>Meta tracking detected; no embedded homepage video found</x:v>
      </x:c>
      <x:c r="AQ3" s="76" t="str">
        <x:v>Meta Pixel; Google Ads tag; project/gallery proof; testimonials; visible service offer; no embedded homepage video detected</x:v>
      </x:c>
      <x:c r="AR3" s="76" t="str">
        <x:v>I noticed Preferred Choice Heating and Air's site has Meta tracking installed, but I couldn't find an embedded video on the homepage.</x:v>
      </x:c>
      <x:c r="AS3" s="76" t="str">
        <x:v>no-cool-call to same-day comfort ad</x:v>
      </x:c>
      <x:c r="AT3" s="76" t="str">
        <x:v>Preferred Choice Heating and Air ad concept</x:v>
      </x:c>
      <x:c r="AU3" s="76" t="str">
        <x:v>Hi Preferred Choice Heating and Air — I noticed Preferred Choice Heating and Air's site has Meta tracking installed, but I couldn't find an embedded video on the homepage. I mapped a private 15-second no-cool-call to same-day comfort ad for Preferred Choice Heating and Air using only public brand context—not for publishing, just to show the angle. We build three client-approved video ad concepts in seven days, then turn the winners into fresh variations. No filming day required. Worth sending the private sample?</x:v>
      </x:c>
      <x:c r="AV3" s="76" t="str">
        <x:v>Quick follow-up: the sample angle is a no-cool-call to same-day comfort ad. If it misses the mark, no problem—I won't keep chasing. Should I send it?</x:v>
      </x:c>
      <x:c r="AW3" s="76" t="str">
        <x:v>Hi Preferred Choice Heating and Air, Ryan here. I was looking at Preferred Choice Heating and Air's public marketing and noticed: meta tracking detected; no embedded homepage video found. I mapped one private no-cool-call to same-day comfort ad as an example. Did I catch you with 30 seconds?</x:v>
      </x:c>
      <x:c r="AX3" s="60" t="str">
        <x:v>https://www.facebook.com/ads/library/?active_status=active&amp;ad_type=all&amp;country=US&amp;q=Preferred%20Choice%20Heating%20and%20Air&amp;search_type=keyword_unordered</x:v>
      </x:c>
      <x:c r="AY3" s="60" t="str">
        <x:v>ok:200</x:v>
      </x:c>
      <x:c r="AZ3" s="60" t="n">
        <x:v>46232.722858796296</x:v>
      </x:c>
      <x:c r="BA3" s="60" t="str">
        <x:v>Google Maps home-services export</x:v>
      </x:c>
      <x:c r="BB3" s="60" t="str">
        <x:v>https://maps.google.com/?cid=13046129050059339488&amp;g_mp=Cidnb29nbGUubWFwcy5wbGFjZXMudjEuUGxhY2VzLlNlYXJjaFRleHQQAhgEIAA | https://preferredchoiceheatingandair.com</x:v>
      </x:c>
      <x:c r="BC3" s="60" t="str"/>
    </x:row>
    <x:row r="4" ht="18" customHeight="1">
      <x:c r="A4" s="70" t="str">
        <x:v>3</x:v>
      </x:c>
      <x:c r="B4" s="70" t="str">
        <x:v>A - Layup</x:v>
      </x:c>
      <x:c r="C4" s="72" t="str">
        <x:v>93</x:v>
      </x:c>
      <x:c r="D4" s="60" t="str">
        <x:v>Willow Ash Roofing</x:v>
      </x:c>
      <x:c r="E4" s="60" t="str">
        <x:v>https://willowashroofing.com</x:v>
      </x:c>
      <x:c r="F4" s="60" t="str">
        <x:v>https://willowashroofing.com</x:v>
      </x:c>
      <x:c r="G4" s="60" t="str">
        <x:v>Mount Pleasant</x:v>
      </x:c>
      <x:c r="H4" s="60" t="str">
        <x:v>South Carolina</x:v>
      </x:c>
      <x:c r="I4" s="60" t="str">
        <x:v>Roofing</x:v>
      </x:c>
      <x:c r="J4" s="60" t="str">
        <x:v>Adam</x:v>
      </x:c>
      <x:c r="K4" s="60" t="str">
        <x:v>Lacey</x:v>
      </x:c>
      <x:c r="L4" s="60" t="str">
        <x:v>Owner</x:v>
      </x:c>
      <x:c r="M4" s="60" t="str">
        <x:v>adam@willowashroofing.com</x:v>
      </x:c>
      <x:c r="N4" s="60" t="str">
        <x:v>Verified with BounceBan on 08 Jun 26 12:06</x:v>
      </x:c>
      <x:c r="O4" s="60" t="str">
        <x:v>+1 562 519 0891</x:v>
      </x:c>
      <x:c r="P4" s="60" t="str">
        <x:v>https://www.linkedin.com/in/adam-lacey-8b4ba358</x:v>
      </x:c>
      <x:c r="Q4" s="60" t="str">
        <x:v>2-10</x:v>
      </x:c>
      <x:c r="R4" s="60" t="str">
        <x:v>0-99999</x:v>
      </x:c>
      <x:c r="S4" s="60" t="str">
        <x:v>4.9</x:v>
      </x:c>
      <x:c r="T4" s="74" t="str">
        <x:v>217</x:v>
      </x:c>
      <x:c r="U4" s="60" t="str"/>
      <x:c r="V4" s="74" t="str">
        <x:v>30</x:v>
      </x:c>
      <x:c r="W4" s="74" t="str">
        <x:v>26</x:v>
      </x:c>
      <x:c r="X4" s="74" t="str">
        <x:v>12</x:v>
      </x:c>
      <x:c r="Y4" s="74" t="str">
        <x:v>15</x:v>
      </x:c>
      <x:c r="Z4" s="74" t="str">
        <x:v>10</x:v>
      </x:c>
      <x:c r="AA4" s="74" t="str">
        <x:v>1</x:v>
      </x:c>
      <x:c r="AB4" s="74" t="str">
        <x:v>0</x:v>
      </x:c>
      <x:c r="AC4" s="74" t="str">
        <x:v>1</x:v>
      </x:c>
      <x:c r="AD4" s="74" t="str">
        <x:v>0</x:v>
      </x:c>
      <x:c r="AE4" s="74" t="str">
        <x:v>1</x:v>
      </x:c>
      <x:c r="AF4" s="74" t="str">
        <x:v>birdeye</x:v>
      </x:c>
      <x:c r="AG4" s="74" t="str">
        <x:v>0</x:v>
      </x:c>
      <x:c r="AH4" s="74" t="str">
        <x:v>1</x:v>
      </x:c>
      <x:c r="AI4" s="74" t="str">
        <x:v>1</x:v>
      </x:c>
      <x:c r="AJ4" s="74" t="str">
        <x:v>1</x:v>
      </x:c>
      <x:c r="AK4" s="74" t="str">
        <x:v>1</x:v>
      </x:c>
      <x:c r="AL4" s="74" t="str">
        <x:v>1</x:v>
      </x:c>
      <x:c r="AM4" s="74" t="str">
        <x:v>1</x:v>
      </x:c>
      <x:c r="AN4" s="74" t="str">
        <x:v>0</x:v>
      </x:c>
      <x:c r="AO4" s="60" t="str">
        <x:v>2026</x:v>
      </x:c>
      <x:c r="AP4" s="76" t="str">
        <x:v>Meta tracking detected; no embedded homepage video found</x:v>
      </x:c>
      <x:c r="AQ4" s="76" t="str">
        <x:v>Meta Pixel; call tracking; project/gallery proof; testimonials; financing; visible service offer; no embedded homepage video detected</x:v>
      </x:c>
      <x:c r="AR4" s="76" t="str">
        <x:v>I noticed Willow Ash Roofing's site has Meta tracking installed, but I couldn't find an embedded video on the homepage.</x:v>
      </x:c>
      <x:c r="AS4" s="76" t="str">
        <x:v>storm-to-inspection before/after ad</x:v>
      </x:c>
      <x:c r="AT4" s="76" t="str">
        <x:v>Willow Ash Roofing ad concept</x:v>
      </x:c>
      <x:c r="AU4" s="76" t="str">
        <x:v>Hi Adam — I noticed Willow Ash Roofing's site has Meta tracking installed, but I couldn't find an embedded video on the homepage. I mapped a private 15-second storm-to-inspection before/after ad for Willow Ash Roofing using only public brand context—not for publishing, just to show the angle. We build three client-approved video ad concepts in seven days, then turn the winners into fresh variations. No filming day required. Worth sending the private sample?</x:v>
      </x:c>
      <x:c r="AV4" s="76" t="str">
        <x:v>Quick follow-up: the sample angle is a storm-to-inspection before/after ad. If it misses the mark, no problem—I won't keep chasing. Should I send it?</x:v>
      </x:c>
      <x:c r="AW4" s="76" t="str">
        <x:v>Hi Adam, Ryan here. I was looking at Willow Ash Roofing's public marketing and noticed: meta tracking detected; no embedded homepage video found. I mapped one private storm-to-inspection before/after ad as an example. Did I catch you with 30 seconds?</x:v>
      </x:c>
      <x:c r="AX4" s="60" t="str">
        <x:v>https://www.facebook.com/ads/library/?active_status=active&amp;ad_type=all&amp;country=US&amp;q=Willow%20Ash%20Roofing&amp;search_type=keyword_unordered</x:v>
      </x:c>
      <x:c r="AY4" s="60" t="str">
        <x:v>ok:200</x:v>
      </x:c>
      <x:c r="AZ4" s="60" t="n">
        <x:v>46232.722858796296</x:v>
      </x:c>
      <x:c r="BA4" s="60" t="str">
        <x:v>AI Ark SC trades export | Google Maps home-services export</x:v>
      </x:c>
      <x:c r="BB4" s="60" t="str">
        <x:v>https://maps.google.com/?cid=2108505434043845802&amp;g_mp=Cidnb29nbGUubWFwcy5wbGFjZXMudjEuUGxhY2VzLlNlYXJjaFRleHQQAhgEIAA | https://willowashroofing.com | https://www.linkedin.com/company/willow-ash-roofing</x:v>
      </x:c>
      <x:c r="BC4" s="60" t="str"/>
    </x:row>
    <x:row r="5" ht="18" customHeight="1">
      <x:c r="A5" s="70" t="str">
        <x:v>4</x:v>
      </x:c>
      <x:c r="B5" s="70" t="str">
        <x:v>A - Layup</x:v>
      </x:c>
      <x:c r="C5" s="72" t="str">
        <x:v>89</x:v>
      </x:c>
      <x:c r="D5" s="60" t="str">
        <x:v>Precision Plumbing, Heating &amp; Air</x:v>
      </x:c>
      <x:c r="E5" s="60" t="str">
        <x:v>https://precisionplumbingpro.com</x:v>
      </x:c>
      <x:c r="F5" s="60" t="str">
        <x:v>https://www.precisionplumbingpro.com/</x:v>
      </x:c>
      <x:c r="G5" s="60" t="str">
        <x:v>Rock Hill</x:v>
      </x:c>
      <x:c r="H5" s="60" t="str">
        <x:v>South Carolina</x:v>
      </x:c>
      <x:c r="I5" s="60" t="str">
        <x:v>HVAC</x:v>
      </x:c>
      <x:c r="J5" s="60" t="str">
        <x:v>Precision Plumbing, Heating &amp; Air</x:v>
      </x:c>
      <x:c r="K5" s="60" t="str"/>
      <x:c r="L5" s="60" t="str">
        <x:v>Owner / decision maker to verify</x:v>
      </x:c>
      <x:c r="M5" s="60" t="str"/>
      <x:c r="N5" s="60" t="str"/>
      <x:c r="O5" s="60" t="str">
        <x:v>(803) 887-3883</x:v>
      </x:c>
      <x:c r="P5" s="60" t="str"/>
      <x:c r="Q5" s="60" t="str"/>
      <x:c r="R5" s="60" t="str"/>
      <x:c r="S5" s="60" t="str">
        <x:v>5</x:v>
      </x:c>
      <x:c r="T5" s="74" t="str">
        <x:v>39</x:v>
      </x:c>
      <x:c r="U5" s="60" t="str"/>
      <x:c r="V5" s="74" t="str">
        <x:v>26</x:v>
      </x:c>
      <x:c r="W5" s="74" t="str">
        <x:v>28</x:v>
      </x:c>
      <x:c r="X5" s="74" t="str">
        <x:v>16</x:v>
      </x:c>
      <x:c r="Y5" s="74" t="str">
        <x:v>14</x:v>
      </x:c>
      <x:c r="Z5" s="74" t="str">
        <x:v>5</x:v>
      </x:c>
      <x:c r="AA5" s="74" t="str">
        <x:v>1</x:v>
      </x:c>
      <x:c r="AB5" s="74" t="str">
        <x:v>1</x:v>
      </x:c>
      <x:c r="AC5" s="74" t="str">
        <x:v>1</x:v>
      </x:c>
      <x:c r="AD5" s="74" t="str">
        <x:v>0</x:v>
      </x:c>
      <x:c r="AE5" s="74" t="str">
        <x:v>0</x:v>
      </x:c>
      <x:c r="AF5" s="74" t="str">
        <x:v>housecallpro</x:v>
      </x:c>
      <x:c r="AG5" s="74" t="str">
        <x:v>0</x:v>
      </x:c>
      <x:c r="AH5" s="74" t="str">
        <x:v>1</x:v>
      </x:c>
      <x:c r="AI5" s="74" t="str">
        <x:v>1</x:v>
      </x:c>
      <x:c r="AJ5" s="74" t="str">
        <x:v>0</x:v>
      </x:c>
      <x:c r="AK5" s="74" t="str">
        <x:v>1</x:v>
      </x:c>
      <x:c r="AL5" s="74" t="str">
        <x:v>0</x:v>
      </x:c>
      <x:c r="AM5" s="74" t="str">
        <x:v>1</x:v>
      </x:c>
      <x:c r="AN5" s="74" t="str">
        <x:v>0</x:v>
      </x:c>
      <x:c r="AO5" s="60" t="str">
        <x:v>2026</x:v>
      </x:c>
      <x:c r="AP5" s="76" t="str">
        <x:v>Meta tracking detected; no embedded homepage video found</x:v>
      </x:c>
      <x:c r="AQ5" s="76" t="str">
        <x:v>Meta Pixel; Google Ads tag; project/gallery proof; testimonials; visible service offer; no embedded homepage video detected</x:v>
      </x:c>
      <x:c r="AR5" s="76" t="str">
        <x:v>I noticed Precision Plumbing, Heating &amp; Air's site has Meta tracking installed, but I couldn't find an embedded video on the homepage.</x:v>
      </x:c>
      <x:c r="AS5" s="76" t="str">
        <x:v>no-cool-call to same-day comfort ad</x:v>
      </x:c>
      <x:c r="AT5" s="76" t="str">
        <x:v>Precision Plumbing, Heating &amp; Air ad concept</x:v>
      </x:c>
      <x:c r="AU5" s="76" t="str">
        <x:v>Hi Precision Plumbing, Heating &amp; Air — I noticed Precision Plumbing, Heating &amp; Air's site has Meta tracking installed, but I couldn't find an embedded video on the homepage. I mapped a private 15-second no-cool-call to same-day comfort ad for Precision Plumbing, Heating &amp; Air using only public brand context—not for publishing, just to show the angle. We build three client-approved video ad concepts in seven days, then turn the winners into fresh variations. No filming day required. Worth sending the private sample?</x:v>
      </x:c>
      <x:c r="AV5" s="76" t="str">
        <x:v>Quick follow-up: the sample angle is a no-cool-call to same-day comfort ad. If it misses the mark, no problem—I won't keep chasing. Should I send it?</x:v>
      </x:c>
      <x:c r="AW5" s="76" t="str">
        <x:v>Hi Precision Plumbing, Heating &amp; Air, Ryan here. I was looking at Precision Plumbing, Heating &amp; Air's public marketing and noticed: meta tracking detected; no embedded homepage video found. I mapped one private no-cool-call to same-day comfort ad as an example. Did I catch you with 30 seconds?</x:v>
      </x:c>
      <x:c r="AX5" s="60" t="str">
        <x:v>https://www.facebook.com/ads/library/?active_status=active&amp;ad_type=all&amp;country=US&amp;q=Precision%20Plumbing%2C%20Heating%20%26%20Air&amp;search_type=keyword_unordered</x:v>
      </x:c>
      <x:c r="AY5" s="60" t="str">
        <x:v>ok:200</x:v>
      </x:c>
      <x:c r="AZ5" s="60" t="n">
        <x:v>46232.722858796296</x:v>
      </x:c>
      <x:c r="BA5" s="60" t="str">
        <x:v>Google Maps home-services export</x:v>
      </x:c>
      <x:c r="BB5" s="60" t="str">
        <x:v>https://maps.google.com/?cid=16240964714450746680&amp;g_mp=Cidnb29nbGUubWFwcy5wbGFjZXMudjEuUGxhY2VzLlNlYXJjaFRleHQQAhgEIAA | https://maps.google.com/?cid=4747713071696353124&amp;g_mp=Cidnb29nbGUubWFwcy5wbGFjZXMudjEuUGxhY2VzLlNlYXJjaFRleHQQAhgEIAA | https://precisionplumbingpro.com</x:v>
      </x:c>
      <x:c r="BC5" s="60" t="str"/>
    </x:row>
    <x:row r="6" ht="18" customHeight="1">
      <x:c r="A6" s="70" t="str">
        <x:v>5</x:v>
      </x:c>
      <x:c r="B6" s="70" t="str">
        <x:v>A - Layup</x:v>
      </x:c>
      <x:c r="C6" s="72" t="str">
        <x:v>89</x:v>
      </x:c>
      <x:c r="D6" s="60" t="str">
        <x:v>Buffington Homes, L.P.</x:v>
      </x:c>
      <x:c r="E6" s="60" t="str">
        <x:v>https://buffingtonhomes.com</x:v>
      </x:c>
      <x:c r="F6" s="60" t="str">
        <x:v>https://buffingtonhomes.com</x:v>
      </x:c>
      <x:c r="G6" s="60" t="str">
        <x:v>Johns Island</x:v>
      </x:c>
      <x:c r="H6" s="60" t="str">
        <x:v>South Carolina</x:v>
      </x:c>
      <x:c r="I6" s="60" t="str">
        <x:v>Remodeling</x:v>
      </x:c>
      <x:c r="J6" s="60" t="str">
        <x:v>Trevor</x:v>
      </x:c>
      <x:c r="K6" s="60" t="str">
        <x:v>Buffington</x:v>
      </x:c>
      <x:c r="L6" s="60" t="str">
        <x:v>Owner</x:v>
      </x:c>
      <x:c r="M6" s="60" t="str">
        <x:v>trevor@buffingtonhomes.com</x:v>
      </x:c>
      <x:c r="N6" s="60" t="str">
        <x:v>Verified with BounceBan on 08 Jun 26 12:06</x:v>
      </x:c>
      <x:c r="O6" s="60" t="str">
        <x:v>+1 843 532 4822</x:v>
      </x:c>
      <x:c r="P6" s="60" t="str">
        <x:v>https://www.linkedin.com/in/trevor-buffington-96b93110</x:v>
      </x:c>
      <x:c r="Q6" s="60" t="str">
        <x:v>2-10</x:v>
      </x:c>
      <x:c r="R6" s="60" t="str">
        <x:v>500000-999999</x:v>
      </x:c>
      <x:c r="S6" s="60" t="str"/>
      <x:c r="T6" s="74" t="str">
        <x:v>0</x:v>
      </x:c>
      <x:c r="U6" s="60" t="str"/>
      <x:c r="V6" s="74" t="str">
        <x:v>27</x:v>
      </x:c>
      <x:c r="W6" s="74" t="str">
        <x:v>25</x:v>
      </x:c>
      <x:c r="X6" s="74" t="str">
        <x:v>15</x:v>
      </x:c>
      <x:c r="Y6" s="74" t="str">
        <x:v>12</x:v>
      </x:c>
      <x:c r="Z6" s="74" t="str">
        <x:v>10</x:v>
      </x:c>
      <x:c r="AA6" s="74" t="str">
        <x:v>1</x:v>
      </x:c>
      <x:c r="AB6" s="74" t="str">
        <x:v>1</x:v>
      </x:c>
      <x:c r="AC6" s="74" t="str">
        <x:v>1</x:v>
      </x:c>
      <x:c r="AD6" s="74" t="str">
        <x:v>0</x:v>
      </x:c>
      <x:c r="AE6" s="74" t="str">
        <x:v>0</x:v>
      </x:c>
      <x:c r="AF6" s="74" t="str"/>
      <x:c r="AG6" s="74" t="str">
        <x:v>0</x:v>
      </x:c>
      <x:c r="AH6" s="74" t="str">
        <x:v>1</x:v>
      </x:c>
      <x:c r="AI6" s="74" t="str">
        <x:v>1</x:v>
      </x:c>
      <x:c r="AJ6" s="74" t="str">
        <x:v>0</x:v>
      </x:c>
      <x:c r="AK6" s="74" t="str">
        <x:v>1</x:v>
      </x:c>
      <x:c r="AL6" s="74" t="str">
        <x:v>1</x:v>
      </x:c>
      <x:c r="AM6" s="74" t="str">
        <x:v>1</x:v>
      </x:c>
      <x:c r="AN6" s="74" t="str">
        <x:v>0</x:v>
      </x:c>
      <x:c r="AO6" s="60" t="str">
        <x:v>2020</x:v>
      </x:c>
      <x:c r="AP6" s="76" t="str">
        <x:v>Meta tracking detected; no embedded homepage video found</x:v>
      </x:c>
      <x:c r="AQ6" s="76" t="str">
        <x:v>Meta Pixel; Google Ads tag; project/gallery proof; testimonials; visible service offer; no embedded homepage video detected</x:v>
      </x:c>
      <x:c r="AR6" s="76" t="str">
        <x:v>I noticed Buffington Homes, L.P.'s site has Meta tracking installed, but I couldn't find an embedded video on the homepage.</x:v>
      </x:c>
      <x:c r="AS6" s="76" t="str">
        <x:v>project reveal with budget-and-timeline proof</x:v>
      </x:c>
      <x:c r="AT6" s="76" t="str">
        <x:v>Buffington Homes, L.P. ad concept</x:v>
      </x:c>
      <x:c r="AU6" s="76" t="str">
        <x:v>Hi Trevor — I noticed Buffington Homes, L.P.'s site has Meta tracking installed, but I couldn't find an embedded video on the homepage. I mapped a private 15-second project reveal with budget-and-timeline proof for Buffington Homes, L.P. using only public brand context—not for publishing, just to show the angle. We build three client-approved video ad concepts in seven days, then turn the winners into fresh variations. No filming day required. Worth sending the private sample?</x:v>
      </x:c>
      <x:c r="AV6" s="76" t="str">
        <x:v>Quick follow-up: the sample angle is a project reveal with budget-and-timeline proof. If it misses the mark, no problem—I won't keep chasing. Should I send it?</x:v>
      </x:c>
      <x:c r="AW6" s="76" t="str">
        <x:v>Hi Trevor, Ryan here. I was looking at Buffington Homes, L.P.'s public marketing and noticed: meta tracking detected; no embedded homepage video found. I mapped one private project reveal with budget-and-timeline proof as an example. Did I catch you with 30 seconds?</x:v>
      </x:c>
      <x:c r="AX6" s="60" t="str">
        <x:v>https://www.facebook.com/ads/library/?active_status=active&amp;ad_type=all&amp;country=US&amp;q=Buffington%20Homes%2C%20L.P.&amp;search_type=keyword_unordered</x:v>
      </x:c>
      <x:c r="AY6" s="60" t="str">
        <x:v>ok:200</x:v>
      </x:c>
      <x:c r="AZ6" s="60" t="n">
        <x:v>46232.722858796296</x:v>
      </x:c>
      <x:c r="BA6" s="60" t="str">
        <x:v>AI Ark SC trades export</x:v>
      </x:c>
      <x:c r="BB6" s="60" t="str">
        <x:v>https://buffingtonhomes.com | https://www.linkedin.com/company/buffington-homes-l.p.</x:v>
      </x:c>
      <x:c r="BC6" s="60" t="str"/>
    </x:row>
    <x:row r="7" ht="18" customHeight="1">
      <x:c r="A7" s="70" t="str">
        <x:v>6</x:v>
      </x:c>
      <x:c r="B7" s="70" t="str">
        <x:v>A - Layup</x:v>
      </x:c>
      <x:c r="C7" s="72" t="str">
        <x:v>87</x:v>
      </x:c>
      <x:c r="D7" s="60" t="str">
        <x:v>Carolina Home Exteriors | Sunroom | Screen Room | Patio Enclosure | Pool Lanai | Home Improvement</x:v>
      </x:c>
      <x:c r="E7" s="60" t="str">
        <x:v>https://carolinahomeexteriors.com</x:v>
      </x:c>
      <x:c r="F7" s="60" t="str">
        <x:v>https://carolinahomeexteriors.com</x:v>
      </x:c>
      <x:c r="G7" s="60" t="str">
        <x:v>Myrtle Beach</x:v>
      </x:c>
      <x:c r="H7" s="60" t="str">
        <x:v>South Carolina</x:v>
      </x:c>
      <x:c r="I7" s="60" t="str">
        <x:v>Windows &amp; Doors</x:v>
      </x:c>
      <x:c r="J7" s="60" t="str">
        <x:v>Edward T.</x:v>
      </x:c>
      <x:c r="K7" s="60" t="str">
        <x:v>Cligrow, III (Ted), MBA</x:v>
      </x:c>
      <x:c r="L7" s="60" t="str">
        <x:v>President and Owner</x:v>
      </x:c>
      <x:c r="M7" s="60" t="str"/>
      <x:c r="N7" s="60" t="str"/>
      <x:c r="O7" s="60" t="str">
        <x:v>+1 843 504 4809</x:v>
      </x:c>
      <x:c r="P7" s="60" t="str">
        <x:v>https://www.linkedin.com/in/tedcligrow</x:v>
      </x:c>
      <x:c r="Q7" s="60" t="str">
        <x:v>11-50</x:v>
      </x:c>
      <x:c r="R7" s="60" t="str">
        <x:v>500000-999999</x:v>
      </x:c>
      <x:c r="S7" s="60" t="str"/>
      <x:c r="T7" s="74" t="str">
        <x:v>0</x:v>
      </x:c>
      <x:c r="U7" s="60" t="str"/>
      <x:c r="V7" s="74" t="str">
        <x:v>30</x:v>
      </x:c>
      <x:c r="W7" s="74" t="str">
        <x:v>25</x:v>
      </x:c>
      <x:c r="X7" s="74" t="str">
        <x:v>16</x:v>
      </x:c>
      <x:c r="Y7" s="74" t="str">
        <x:v>11</x:v>
      </x:c>
      <x:c r="Z7" s="74" t="str">
        <x:v>5</x:v>
      </x:c>
      <x:c r="AA7" s="74" t="str">
        <x:v>1</x:v>
      </x:c>
      <x:c r="AB7" s="74" t="str">
        <x:v>1</x:v>
      </x:c>
      <x:c r="AC7" s="74" t="str">
        <x:v>1</x:v>
      </x:c>
      <x:c r="AD7" s="74" t="str">
        <x:v>0</x:v>
      </x:c>
      <x:c r="AE7" s="74" t="str">
        <x:v>0</x:v>
      </x:c>
      <x:c r="AF7" s="74" t="str"/>
      <x:c r="AG7" s="74" t="str">
        <x:v>0</x:v>
      </x:c>
      <x:c r="AH7" s="74" t="str">
        <x:v>1</x:v>
      </x:c>
      <x:c r="AI7" s="74" t="str">
        <x:v>0</x:v>
      </x:c>
      <x:c r="AJ7" s="74" t="str">
        <x:v>1</x:v>
      </x:c>
      <x:c r="AK7" s="74" t="str">
        <x:v>1</x:v>
      </x:c>
      <x:c r="AL7" s="74" t="str">
        <x:v>0</x:v>
      </x:c>
      <x:c r="AM7" s="74" t="str">
        <x:v>0</x:v>
      </x:c>
      <x:c r="AN7" s="74" t="str">
        <x:v>0</x:v>
      </x:c>
      <x:c r="AO7" s="60" t="str">
        <x:v>0</x:v>
      </x:c>
      <x:c r="AP7" s="76" t="str">
        <x:v>Meta tracking detected; no embedded homepage video found</x:v>
      </x:c>
      <x:c r="AQ7" s="76" t="str">
        <x:v>Meta Pixel; Google Ads tag; project/gallery proof; financing; visible service offer; no embedded homepage video detected</x:v>
      </x:c>
      <x:c r="AR7" s="76" t="str">
        <x:v>I noticed Carolina Home Exteriors | Sunroom | Screen Room | Patio Enclosure | Pool Lanai | Home Improvement's site has Meta tracking installed, but I couldn't find an embedded video on the homepage.</x:v>
      </x:c>
      <x:c r="AS7" s="76" t="str">
        <x:v>energy-loss to installed-window transformation ad</x:v>
      </x:c>
      <x:c r="AT7" s="76" t="str">
        <x:v>Carolina Home Exteriors | Sunroom | Screen Room | Patio Enclosure | Pool Lanai | Home Improvement ad concept</x:v>
      </x:c>
      <x:c r="AU7" s="76" t="str">
        <x:v>Hi Edward T. — I noticed Carolina Home Exteriors | Sunroom | Screen Room | Patio Enclosure | Pool Lanai | Home Improvement's site has Meta tracking installed, but I couldn't find an embedded video on the homepage. I mapped a private 15-second energy-loss to installed-window transformation ad for Carolina Home Exteriors | Sunroom | Screen Room | Patio Enclosure | Pool Lanai | Home Improvement using only public brand context—not for publishing, just to show the angle. We build three client-approved video ad concepts in seven days, then turn the winners into fresh variations. No filming day required. Worth sending the private sample?</x:v>
      </x:c>
      <x:c r="AV7" s="76" t="str">
        <x:v>Quick follow-up: the sample angle is a energy-loss to installed-window transformation ad. If it misses the mark, no problem—I won't keep chasing. Should I send it?</x:v>
      </x:c>
      <x:c r="AW7" s="76" t="str">
        <x:v>Hi Edward T., Ryan here. I was looking at Carolina Home Exteriors | Sunroom | Screen Room | Patio Enclosure | Pool Lanai | Home Improvement's public marketing and noticed: meta tracking detected; no embedded homepage video found. I mapped one private energy-loss to installed-window transformation ad as an example. Did I catch you with 30 seconds?</x:v>
      </x:c>
      <x:c r="AX7" s="60" t="str">
        <x:v>https://www.facebook.com/ads/library/?active_status=active&amp;ad_type=all&amp;country=US&amp;q=Carolina%20Home%20Exteriors%20%7C%20Sunroom%20%7C%20Screen%20Room%20%7C%20Patio%20Enclosure%20%7C%20Pool%20Lanai%20%7C%20Home%20Improvement&amp;search_type=keyword_unordered</x:v>
      </x:c>
      <x:c r="AY7" s="60" t="str">
        <x:v>ok:200</x:v>
      </x:c>
      <x:c r="AZ7" s="60" t="n">
        <x:v>46232.722858796296</x:v>
      </x:c>
      <x:c r="BA7" s="60" t="str">
        <x:v>AI Ark SC trades export</x:v>
      </x:c>
      <x:c r="BB7" s="60" t="str">
        <x:v>https://carolinahomeexteriors.com | https://www.linkedin.com/company/carolina-home-exteriors</x:v>
      </x:c>
      <x:c r="BC7" s="60" t="str"/>
    </x:row>
    <x:row r="8" ht="18" customHeight="1">
      <x:c r="A8" s="70" t="str">
        <x:v>7</x:v>
      </x:c>
      <x:c r="B8" s="70" t="str">
        <x:v>A - Layup</x:v>
      </x:c>
      <x:c r="C8" s="72" t="str">
        <x:v>87</x:v>
      </x:c>
      <x:c r="D8" s="60" t="str">
        <x:v>Southern National Roofing</x:v>
      </x:c>
      <x:c r="E8" s="60" t="str">
        <x:v>https://southernnationalroofing.com</x:v>
      </x:c>
      <x:c r="F8" s="60" t="str">
        <x:v>https://southernnationalroofing.com</x:v>
      </x:c>
      <x:c r="G8" s="60" t="str">
        <x:v>Sumter</x:v>
      </x:c>
      <x:c r="H8" s="60" t="str">
        <x:v>South Carolina</x:v>
      </x:c>
      <x:c r="I8" s="60" t="str">
        <x:v>Roofing</x:v>
      </x:c>
      <x:c r="J8" s="60" t="str">
        <x:v>Southern National Roofing</x:v>
      </x:c>
      <x:c r="K8" s="60" t="str"/>
      <x:c r="L8" s="60" t="str">
        <x:v>Owner / decision maker to verify</x:v>
      </x:c>
      <x:c r="M8" s="60" t="str"/>
      <x:c r="N8" s="60" t="str"/>
      <x:c r="O8" s="60" t="str">
        <x:v>(803) 882-3135</x:v>
      </x:c>
      <x:c r="P8" s="60" t="str"/>
      <x:c r="Q8" s="60" t="str"/>
      <x:c r="R8" s="60" t="str"/>
      <x:c r="S8" s="60" t="str">
        <x:v>4.3</x:v>
      </x:c>
      <x:c r="T8" s="74" t="str">
        <x:v>175</x:v>
      </x:c>
      <x:c r="U8" s="60" t="str"/>
      <x:c r="V8" s="74" t="str">
        <x:v>29</x:v>
      </x:c>
      <x:c r="W8" s="74" t="str">
        <x:v>23</x:v>
      </x:c>
      <x:c r="X8" s="74" t="str">
        <x:v>16</x:v>
      </x:c>
      <x:c r="Y8" s="74" t="str">
        <x:v>14</x:v>
      </x:c>
      <x:c r="Z8" s="74" t="str">
        <x:v>5</x:v>
      </x:c>
      <x:c r="AA8" s="74" t="str">
        <x:v>1</x:v>
      </x:c>
      <x:c r="AB8" s="74" t="str">
        <x:v>0</x:v>
      </x:c>
      <x:c r="AC8" s="74" t="str">
        <x:v>1</x:v>
      </x:c>
      <x:c r="AD8" s="74" t="str">
        <x:v>0</x:v>
      </x:c>
      <x:c r="AE8" s="74" t="str">
        <x:v>1</x:v>
      </x:c>
      <x:c r="AF8" s="74" t="str"/>
      <x:c r="AG8" s="74" t="str">
        <x:v>0</x:v>
      </x:c>
      <x:c r="AH8" s="74" t="str">
        <x:v>1</x:v>
      </x:c>
      <x:c r="AI8" s="74" t="str">
        <x:v>0</x:v>
      </x:c>
      <x:c r="AJ8" s="74" t="str">
        <x:v>1</x:v>
      </x:c>
      <x:c r="AK8" s="74" t="str">
        <x:v>1</x:v>
      </x:c>
      <x:c r="AL8" s="74" t="str">
        <x:v>0</x:v>
      </x:c>
      <x:c r="AM8" s="74" t="str">
        <x:v>1</x:v>
      </x:c>
      <x:c r="AN8" s="74" t="str">
        <x:v>0</x:v>
      </x:c>
      <x:c r="AO8" s="60" t="str">
        <x:v>0</x:v>
      </x:c>
      <x:c r="AP8" s="76" t="str">
        <x:v>Meta tracking detected; no embedded homepage video found</x:v>
      </x:c>
      <x:c r="AQ8" s="76" t="str">
        <x:v>Meta Pixel; call tracking; project/gallery proof; financing; visible service offer; no embedded homepage video detected</x:v>
      </x:c>
      <x:c r="AR8" s="76" t="str">
        <x:v>I noticed Southern National Roofing's site has Meta tracking installed, but I couldn't find an embedded video on the homepage.</x:v>
      </x:c>
      <x:c r="AS8" s="76" t="str">
        <x:v>storm-to-inspection before/after ad</x:v>
      </x:c>
      <x:c r="AT8" s="76" t="str">
        <x:v>Southern National Roofing ad concept</x:v>
      </x:c>
      <x:c r="AU8" s="76" t="str">
        <x:v>Hi Southern National Roofing — I noticed Southern National Roofing's site has Meta tracking installed, but I couldn't find an embedded video on the homepage. I mapped a private 15-second storm-to-inspection before/after ad for Southern National Roofing using only public brand context—not for publishing, just to show the angle. We build three client-approved video ad concepts in seven days, then turn the winners into fresh variations. No filming day required. Worth sending the private sample?</x:v>
      </x:c>
      <x:c r="AV8" s="76" t="str">
        <x:v>Quick follow-up: the sample angle is a storm-to-inspection before/after ad. If it misses the mark, no problem—I won't keep chasing. Should I send it?</x:v>
      </x:c>
      <x:c r="AW8" s="76" t="str">
        <x:v>Hi Southern National Roofing, Ryan here. I was looking at Southern National Roofing's public marketing and noticed: meta tracking detected; no embedded homepage video found. I mapped one private storm-to-inspection before/after ad as an example. Did I catch you with 30 seconds?</x:v>
      </x:c>
      <x:c r="AX8" s="60" t="str">
        <x:v>https://www.facebook.com/ads/library/?active_status=active&amp;ad_type=all&amp;country=US&amp;q=Southern%20National%20Roofing&amp;search_type=keyword_unordered</x:v>
      </x:c>
      <x:c r="AY8" s="60" t="str">
        <x:v>ok:200</x:v>
      </x:c>
      <x:c r="AZ8" s="60" t="n">
        <x:v>46232.722858796296</x:v>
      </x:c>
      <x:c r="BA8" s="60" t="str">
        <x:v>Google Maps home-services export</x:v>
      </x:c>
      <x:c r="BB8" s="60" t="str">
        <x:v>https://maps.google.com/?cid=2746684153530733963&amp;g_mp=Cidnb29nbGUubWFwcy5wbGFjZXMudjEuUGxhY2VzLlNlYXJjaFRleHQQAhgEIAA | https://maps.google.com/?cid=842086455686901953&amp;g_mp=Cidnb29nbGUubWFwcy5wbGFjZXMudjEuUGxhY2VzLlNlYXJjaFRleHQQAhgEIAA | https://southernnationalroofing.com</x:v>
      </x:c>
      <x:c r="BC8" s="60" t="str"/>
    </x:row>
    <x:row r="9" ht="18" customHeight="1">
      <x:c r="A9" s="70" t="str">
        <x:v>8</x:v>
      </x:c>
      <x:c r="B9" s="70" t="str">
        <x:v>A - Layup</x:v>
      </x:c>
      <x:c r="C9" s="72" t="str">
        <x:v>87</x:v>
      </x:c>
      <x:c r="D9" s="60" t="str">
        <x:v>Air Pros Heating and Cooling</x:v>
      </x:c>
      <x:c r="E9" s="60" t="str">
        <x:v>https://airproscooling.com</x:v>
      </x:c>
      <x:c r="F9" s="60" t="str">
        <x:v>https://airproscooling.com</x:v>
      </x:c>
      <x:c r="G9" s="60" t="str">
        <x:v>Charleston</x:v>
      </x:c>
      <x:c r="H9" s="60" t="str">
        <x:v>South Carolina</x:v>
      </x:c>
      <x:c r="I9" s="60" t="str">
        <x:v>HVAC</x:v>
      </x:c>
      <x:c r="J9" s="60" t="str">
        <x:v>Air Pros Heating and Cooling</x:v>
      </x:c>
      <x:c r="K9" s="60" t="str"/>
      <x:c r="L9" s="60" t="str">
        <x:v>Owner / decision maker to verify</x:v>
      </x:c>
      <x:c r="M9" s="60" t="str"/>
      <x:c r="N9" s="60" t="str"/>
      <x:c r="O9" s="60" t="str">
        <x:v>(843) 225-6052</x:v>
      </x:c>
      <x:c r="P9" s="60" t="str"/>
      <x:c r="Q9" s="60" t="str"/>
      <x:c r="R9" s="60" t="str"/>
      <x:c r="S9" s="60" t="str">
        <x:v>4.8</x:v>
      </x:c>
      <x:c r="T9" s="74" t="str">
        <x:v>155</x:v>
      </x:c>
      <x:c r="U9" s="60" t="str">
        <x:v>missed_calls, slow_response</x:v>
      </x:c>
      <x:c r="V9" s="74" t="str">
        <x:v>28</x:v>
      </x:c>
      <x:c r="W9" s="74" t="str">
        <x:v>21</x:v>
      </x:c>
      <x:c r="X9" s="74" t="str">
        <x:v>18</x:v>
      </x:c>
      <x:c r="Y9" s="74" t="str">
        <x:v>15</x:v>
      </x:c>
      <x:c r="Z9" s="74" t="str">
        <x:v>5</x:v>
      </x:c>
      <x:c r="AA9" s="74" t="str">
        <x:v>0</x:v>
      </x:c>
      <x:c r="AB9" s="74" t="str">
        <x:v>1</x:v>
      </x:c>
      <x:c r="AC9" s="74" t="str">
        <x:v>1</x:v>
      </x:c>
      <x:c r="AD9" s="74" t="str">
        <x:v>0</x:v>
      </x:c>
      <x:c r="AE9" s="74" t="str">
        <x:v>1</x:v>
      </x:c>
      <x:c r="AF9" s="74" t="str"/>
      <x:c r="AG9" s="74" t="str">
        <x:v>0</x:v>
      </x:c>
      <x:c r="AH9" s="74" t="str">
        <x:v>1</x:v>
      </x:c>
      <x:c r="AI9" s="74" t="str">
        <x:v>1</x:v>
      </x:c>
      <x:c r="AJ9" s="74" t="str">
        <x:v>1</x:v>
      </x:c>
      <x:c r="AK9" s="74" t="str">
        <x:v>1</x:v>
      </x:c>
      <x:c r="AL9" s="74" t="str">
        <x:v>0</x:v>
      </x:c>
      <x:c r="AM9" s="74" t="str">
        <x:v>1</x:v>
      </x:c>
      <x:c r="AN9" s="74" t="str">
        <x:v>0</x:v>
      </x:c>
      <x:c r="AO9" s="60" t="str">
        <x:v>2025</x:v>
      </x:c>
      <x:c r="AP9" s="76" t="str">
        <x:v>Google Ads tag detected; no embedded homepage video found</x:v>
      </x:c>
      <x:c r="AQ9" s="76" t="str">
        <x:v>Google Ads tag; call tracking; project/gallery proof; testimonials; financing; visible service offer; no embedded homepage video detected</x:v>
      </x:c>
      <x:c r="AR9" s="76" t="str">
        <x:v>I noticed Air Pros Heating and Cooling's site has a Google Ads tag installed, but I couldn't find an embedded video on the homepage.</x:v>
      </x:c>
      <x:c r="AS9" s="76" t="str">
        <x:v>no-cool-call to same-day comfort ad</x:v>
      </x:c>
      <x:c r="AT9" s="76" t="str">
        <x:v>Air Pros Heating and Cooling ad concept</x:v>
      </x:c>
      <x:c r="AU9" s="76" t="str">
        <x:v>Hi Air Pros Heating and Cooling — I noticed Air Pros Heating and Cooling's site has a Google Ads tag installed, but I couldn't find an embedded video on the homepage. I mapped a private 15-second no-cool-call to same-day comfort ad for Air Pros Heating and Cooling using only public brand context—not for publishing, just to show the angle. We build three client-approved video ad concepts in seven days, then turn the winners into fresh variations. No filming day required. Worth sending the private sample?</x:v>
      </x:c>
      <x:c r="AV9" s="76" t="str">
        <x:v>Quick follow-up: the sample angle is a no-cool-call to same-day comfort ad. If it misses the mark, no problem—I won't keep chasing. Should I send it?</x:v>
      </x:c>
      <x:c r="AW9" s="76" t="str">
        <x:v>Hi Air Pros Heating and Cooling, Ryan here. I was looking at Air Pros Heating and Cooling's public marketing and noticed: google ads tag detected; no embedded homepage video found. I mapped one private no-cool-call to same-day comfort ad as an example. Did I catch you with 30 seconds?</x:v>
      </x:c>
      <x:c r="AX9" s="60" t="str">
        <x:v>https://www.facebook.com/ads/library/?active_status=active&amp;ad_type=all&amp;country=US&amp;q=Air%20Pros%20Heating%20and%20Cooling&amp;search_type=keyword_unordered</x:v>
      </x:c>
      <x:c r="AY9" s="60" t="str">
        <x:v>ok:200</x:v>
      </x:c>
      <x:c r="AZ9" s="60" t="n">
        <x:v>46232.722858796296</x:v>
      </x:c>
      <x:c r="BA9" s="60" t="str">
        <x:v>Google Maps home-services export</x:v>
      </x:c>
      <x:c r="BB9" s="60" t="str">
        <x:v>https://airproscooling.com | https://maps.google.com/?cid=2959326301694451527&amp;g_mp=Cidnb29nbGUubWFwcy5wbGFjZXMudjEuUGxhY2VzLlNlYXJjaFRleHQQAhgEIAA</x:v>
      </x:c>
      <x:c r="BC9" s="60" t="str"/>
    </x:row>
    <x:row r="10" ht="18" customHeight="1">
      <x:c r="A10" s="70" t="str">
        <x:v>9</x:v>
      </x:c>
      <x:c r="B10" s="70" t="str">
        <x:v>A - Layup</x:v>
      </x:c>
      <x:c r="C10" s="72" t="str">
        <x:v>86</x:v>
      </x:c>
      <x:c r="D10" s="60" t="str">
        <x:v>AC Heating and Air Conditioning Services</x:v>
      </x:c>
      <x:c r="E10" s="60" t="str">
        <x:v>https://achvac.com</x:v>
      </x:c>
      <x:c r="F10" s="60" t="str">
        <x:v>https://www.achvac.com/</x:v>
      </x:c>
      <x:c r="G10" s="60" t="str">
        <x:v>Charleston</x:v>
      </x:c>
      <x:c r="H10" s="60" t="str">
        <x:v>South Carolina</x:v>
      </x:c>
      <x:c r="I10" s="60" t="str">
        <x:v>HVAC</x:v>
      </x:c>
      <x:c r="J10" s="60" t="str">
        <x:v>AC Heating and Air Conditioning Services</x:v>
      </x:c>
      <x:c r="K10" s="60" t="str"/>
      <x:c r="L10" s="60" t="str">
        <x:v>Owner / decision maker to verify</x:v>
      </x:c>
      <x:c r="M10" s="60" t="str"/>
      <x:c r="N10" s="60" t="str"/>
      <x:c r="O10" s="60" t="str">
        <x:v>(843) 556-7641</x:v>
      </x:c>
      <x:c r="P10" s="60" t="str"/>
      <x:c r="Q10" s="60" t="str"/>
      <x:c r="R10" s="60" t="str"/>
      <x:c r="S10" s="60" t="str">
        <x:v>4.8</x:v>
      </x:c>
      <x:c r="T10" s="74" t="str">
        <x:v>45</x:v>
      </x:c>
      <x:c r="U10" s="60" t="str"/>
      <x:c r="V10" s="74" t="str">
        <x:v>26</x:v>
      </x:c>
      <x:c r="W10" s="74" t="str">
        <x:v>25</x:v>
      </x:c>
      <x:c r="X10" s="74" t="str">
        <x:v>15</x:v>
      </x:c>
      <x:c r="Y10" s="74" t="str">
        <x:v>15</x:v>
      </x:c>
      <x:c r="Z10" s="74" t="str">
        <x:v>5</x:v>
      </x:c>
      <x:c r="AA10" s="74" t="str">
        <x:v>1</x:v>
      </x:c>
      <x:c r="AB10" s="74" t="str">
        <x:v>1</x:v>
      </x:c>
      <x:c r="AC10" s="74" t="str">
        <x:v>1</x:v>
      </x:c>
      <x:c r="AD10" s="74" t="str">
        <x:v>0</x:v>
      </x:c>
      <x:c r="AE10" s="74" t="str">
        <x:v>0</x:v>
      </x:c>
      <x:c r="AF10" s="74" t="str"/>
      <x:c r="AG10" s="74" t="str">
        <x:v>0</x:v>
      </x:c>
      <x:c r="AH10" s="74" t="str">
        <x:v>1</x:v>
      </x:c>
      <x:c r="AI10" s="74" t="str">
        <x:v>1</x:v>
      </x:c>
      <x:c r="AJ10" s="74" t="str">
        <x:v>1</x:v>
      </x:c>
      <x:c r="AK10" s="74" t="str">
        <x:v>1</x:v>
      </x:c>
      <x:c r="AL10" s="74" t="str">
        <x:v>1</x:v>
      </x:c>
      <x:c r="AM10" s="74" t="str">
        <x:v>1</x:v>
      </x:c>
      <x:c r="AN10" s="74" t="str">
        <x:v>0</x:v>
      </x:c>
      <x:c r="AO10" s="60" t="str">
        <x:v>2021</x:v>
      </x:c>
      <x:c r="AP10" s="76" t="str">
        <x:v>Meta tracking detected; no embedded homepage video found</x:v>
      </x:c>
      <x:c r="AQ10" s="76" t="str">
        <x:v>Meta Pixel; Google Ads tag; project/gallery proof; testimonials; financing; visible service offer; no embedded homepage video detected</x:v>
      </x:c>
      <x:c r="AR10" s="76" t="str">
        <x:v>I noticed AC Heating and Air Conditioning Services's site has Meta tracking installed, but I couldn't find an embedded video on the homepage.</x:v>
      </x:c>
      <x:c r="AS10" s="76" t="str">
        <x:v>no-cool-call to same-day comfort ad</x:v>
      </x:c>
      <x:c r="AT10" s="76" t="str">
        <x:v>AC Heating and Air Conditioning Services ad concept</x:v>
      </x:c>
      <x:c r="AU10" s="76" t="str">
        <x:v>Hi AC Heating and Air Conditioning Services — I noticed AC Heating and Air Conditioning Services's site has Meta tracking installed, but I couldn't find an embedded video on the homepage. I mapped a private 15-second no-cool-call to same-day comfort ad for AC Heating and Air Conditioning Services using only public brand context—not for publishing, just to show the angle. We build three client-approved video ad concepts in seven days, then turn the winners into fresh variations. No filming day required. Worth sending the private sample?</x:v>
      </x:c>
      <x:c r="AV10" s="76" t="str">
        <x:v>Quick follow-up: the sample angle is a no-cool-call to same-day comfort ad. If it misses the mark, no problem—I won't keep chasing. Should I send it?</x:v>
      </x:c>
      <x:c r="AW10" s="76" t="str">
        <x:v>Hi AC Heating and Air Conditioning Services, Ryan here. I was looking at AC Heating and Air Conditioning Services's public marketing and noticed: meta tracking detected; no embedded homepage video found. I mapped one private no-cool-call to same-day comfort ad as an example. Did I catch you with 30 seconds?</x:v>
      </x:c>
      <x:c r="AX10" s="60" t="str">
        <x:v>https://www.facebook.com/ads/library/?active_status=active&amp;ad_type=all&amp;country=US&amp;q=AC%20Heating%20and%20Air%20Conditioning%20Services&amp;search_type=keyword_unordered</x:v>
      </x:c>
      <x:c r="AY10" s="60" t="str">
        <x:v>ok:200</x:v>
      </x:c>
      <x:c r="AZ10" s="60" t="n">
        <x:v>46232.722858796296</x:v>
      </x:c>
      <x:c r="BA10" s="60" t="str">
        <x:v>Google Maps home-services export</x:v>
      </x:c>
      <x:c r="BB10" s="60" t="str">
        <x:v>https://achvac.com | https://maps.google.com/?cid=13421459150029309363&amp;g_mp=Cidnb29nbGUubWFwcy5wbGFjZXMudjEuUGxhY2VzLlNlYXJjaFRleHQQAhgEIAA</x:v>
      </x:c>
      <x:c r="BC10" s="60" t="str"/>
    </x:row>
    <x:row r="11" ht="18" customHeight="1">
      <x:c r="A11" s="70" t="str">
        <x:v>10</x:v>
      </x:c>
      <x:c r="B11" s="70" t="str">
        <x:v>A - Layup</x:v>
      </x:c>
      <x:c r="C11" s="72" t="str">
        <x:v>86</x:v>
      </x:c>
      <x:c r="D11" s="60" t="str">
        <x:v>Palmetto Heating &amp; Air LLC</x:v>
      </x:c>
      <x:c r="E11" s="60" t="str">
        <x:v>https://palmettoac.com</x:v>
      </x:c>
      <x:c r="F11" s="60" t="str">
        <x:v>https://palmettoac.com</x:v>
      </x:c>
      <x:c r="G11" s="60" t="str">
        <x:v>Greenville</x:v>
      </x:c>
      <x:c r="H11" s="60" t="str">
        <x:v>South Carolina</x:v>
      </x:c>
      <x:c r="I11" s="60" t="str">
        <x:v>HVAC</x:v>
      </x:c>
      <x:c r="J11" s="60" t="str">
        <x:v>Palmetto Heating &amp; Air LLC</x:v>
      </x:c>
      <x:c r="K11" s="60" t="str"/>
      <x:c r="L11" s="60" t="str">
        <x:v>Owner / decision maker to verify</x:v>
      </x:c>
      <x:c r="M11" s="60" t="str"/>
      <x:c r="N11" s="60" t="str"/>
      <x:c r="O11" s="60" t="str">
        <x:v>(864) 651-9003</x:v>
      </x:c>
      <x:c r="P11" s="60" t="str"/>
      <x:c r="Q11" s="60" t="str"/>
      <x:c r="R11" s="60" t="str"/>
      <x:c r="S11" s="60" t="str">
        <x:v>4.8</x:v>
      </x:c>
      <x:c r="T11" s="74" t="str">
        <x:v>68</x:v>
      </x:c>
      <x:c r="U11" s="60" t="str">
        <x:v>missed_calls, slow_response</x:v>
      </x:c>
      <x:c r="V11" s="74" t="str">
        <x:v>26</x:v>
      </x:c>
      <x:c r="W11" s="74" t="str">
        <x:v>25</x:v>
      </x:c>
      <x:c r="X11" s="74" t="str">
        <x:v>18</x:v>
      </x:c>
      <x:c r="Y11" s="74" t="str">
        <x:v>12</x:v>
      </x:c>
      <x:c r="Z11" s="74" t="str">
        <x:v>5</x:v>
      </x:c>
      <x:c r="AA11" s="74" t="str">
        <x:v>1</x:v>
      </x:c>
      <x:c r="AB11" s="74" t="str">
        <x:v>1</x:v>
      </x:c>
      <x:c r="AC11" s="74" t="str">
        <x:v>1</x:v>
      </x:c>
      <x:c r="AD11" s="74" t="str">
        <x:v>0</x:v>
      </x:c>
      <x:c r="AE11" s="74" t="str">
        <x:v>0</x:v>
      </x:c>
      <x:c r="AF11" s="74" t="str"/>
      <x:c r="AG11" s="74" t="str">
        <x:v>0</x:v>
      </x:c>
      <x:c r="AH11" s="74" t="str">
        <x:v>0</x:v>
      </x:c>
      <x:c r="AI11" s="74" t="str">
        <x:v>1</x:v>
      </x:c>
      <x:c r="AJ11" s="74" t="str">
        <x:v>1</x:v>
      </x:c>
      <x:c r="AK11" s="74" t="str">
        <x:v>1</x:v>
      </x:c>
      <x:c r="AL11" s="74" t="str">
        <x:v>0</x:v>
      </x:c>
      <x:c r="AM11" s="74" t="str">
        <x:v>1</x:v>
      </x:c>
      <x:c r="AN11" s="74" t="str">
        <x:v>0</x:v>
      </x:c>
      <x:c r="AO11" s="60" t="str">
        <x:v>2026</x:v>
      </x:c>
      <x:c r="AP11" s="76" t="str">
        <x:v>Meta tracking detected; no embedded homepage video found</x:v>
      </x:c>
      <x:c r="AQ11" s="76" t="str">
        <x:v>Meta Pixel; Google Ads tag; testimonials; financing; visible service offer; no embedded homepage video detected</x:v>
      </x:c>
      <x:c r="AR11" s="76" t="str">
        <x:v>I noticed Palmetto Heating &amp; Air LLC's site has Meta tracking installed, but I couldn't find an embedded video on the homepage.</x:v>
      </x:c>
      <x:c r="AS11" s="76" t="str">
        <x:v>no-cool-call to same-day comfort ad</x:v>
      </x:c>
      <x:c r="AT11" s="76" t="str">
        <x:v>Palmetto Heating &amp; Air LLC ad concept</x:v>
      </x:c>
      <x:c r="AU11" s="76" t="str">
        <x:v>Hi Palmetto Heating &amp; Air LLC — I noticed Palmetto Heating &amp; Air LLC's site has Meta tracking installed, but I couldn't find an embedded video on the homepage. I mapped a private 15-second no-cool-call to same-day comfort ad for Palmetto Heating &amp; Air LLC using only public brand context—not for publishing, just to show the angle. We build three client-approved video ad concepts in seven days, then turn the winners into fresh variations. No filming day required. Worth sending the private sample?</x:v>
      </x:c>
      <x:c r="AV11" s="76" t="str">
        <x:v>Quick follow-up: the sample angle is a no-cool-call to same-day comfort ad. If it misses the mark, no problem—I won't keep chasing. Should I send it?</x:v>
      </x:c>
      <x:c r="AW11" s="76" t="str">
        <x:v>Hi Palmetto Heating &amp; Air LLC, Ryan here. I was looking at Palmetto Heating &amp; Air LLC's public marketing and noticed: meta tracking detected; no embedded homepage video found. I mapped one private no-cool-call to same-day comfort ad as an example. Did I catch you with 30 seconds?</x:v>
      </x:c>
      <x:c r="AX11" s="60" t="str">
        <x:v>https://www.facebook.com/ads/library/?active_status=active&amp;ad_type=all&amp;country=US&amp;q=Palmetto%20Heating%20%26%20Air%20LLC&amp;search_type=keyword_unordered</x:v>
      </x:c>
      <x:c r="AY11" s="60" t="str">
        <x:v>ok:200</x:v>
      </x:c>
      <x:c r="AZ11" s="60" t="n">
        <x:v>46232.722858796296</x:v>
      </x:c>
      <x:c r="BA11" s="60" t="str">
        <x:v>Google Maps home-services export</x:v>
      </x:c>
      <x:c r="BB11" s="60" t="str">
        <x:v>https://maps.google.com/?cid=13248583052234476314&amp;g_mp=Cidnb29nbGUubWFwcy5wbGFjZXMudjEuUGxhY2VzLlNlYXJjaFRleHQQAhgEIAA | https://palmettoac.com</x:v>
      </x:c>
      <x:c r="BC11" s="60" t="str"/>
    </x:row>
    <x:row r="12" ht="18" customHeight="1">
      <x:c r="A12" s="70" t="str">
        <x:v>11</x:v>
      </x:c>
      <x:c r="B12" s="70" t="str">
        <x:v>A - Layup</x:v>
      </x:c>
      <x:c r="C12" s="72" t="str">
        <x:v>86</x:v>
      </x:c>
      <x:c r="D12" s="60" t="str">
        <x:v>Duckett Plumbing</x:v>
      </x:c>
      <x:c r="E12" s="60" t="str">
        <x:v>https://duckettplumbing.com</x:v>
      </x:c>
      <x:c r="F12" s="60" t="str">
        <x:v>https://duckettplumbing.com</x:v>
      </x:c>
      <x:c r="G12" s="60" t="str">
        <x:v>Greenville</x:v>
      </x:c>
      <x:c r="H12" s="60" t="str">
        <x:v>South Carolina</x:v>
      </x:c>
      <x:c r="I12" s="60" t="str">
        <x:v>Plumbing</x:v>
      </x:c>
      <x:c r="J12" s="60" t="str">
        <x:v>Duckett Plumbing</x:v>
      </x:c>
      <x:c r="K12" s="60" t="str"/>
      <x:c r="L12" s="60" t="str">
        <x:v>Owner / decision maker to verify</x:v>
      </x:c>
      <x:c r="M12" s="60" t="str"/>
      <x:c r="N12" s="60" t="str"/>
      <x:c r="O12" s="60" t="str">
        <x:v>(864) 387-2715</x:v>
      </x:c>
      <x:c r="P12" s="60" t="str"/>
      <x:c r="Q12" s="60" t="str"/>
      <x:c r="R12" s="60" t="str"/>
      <x:c r="S12" s="60" t="str">
        <x:v>4.3</x:v>
      </x:c>
      <x:c r="T12" s="74" t="str">
        <x:v>295</x:v>
      </x:c>
      <x:c r="U12" s="60" t="str">
        <x:v>scheduling</x:v>
      </x:c>
      <x:c r="V12" s="74" t="str">
        <x:v>25</x:v>
      </x:c>
      <x:c r="W12" s="74" t="str">
        <x:v>21</x:v>
      </x:c>
      <x:c r="X12" s="74" t="str">
        <x:v>20</x:v>
      </x:c>
      <x:c r="Y12" s="74" t="str">
        <x:v>15</x:v>
      </x:c>
      <x:c r="Z12" s="74" t="str">
        <x:v>5</x:v>
      </x:c>
      <x:c r="AA12" s="74" t="str">
        <x:v>0</x:v>
      </x:c>
      <x:c r="AB12" s="74" t="str">
        <x:v>1</x:v>
      </x:c>
      <x:c r="AC12" s="74" t="str">
        <x:v>1</x:v>
      </x:c>
      <x:c r="AD12" s="74" t="str">
        <x:v>0</x:v>
      </x:c>
      <x:c r="AE12" s="74" t="str">
        <x:v>1</x:v>
      </x:c>
      <x:c r="AF12" s="74" t="str"/>
      <x:c r="AG12" s="74" t="str">
        <x:v>0</x:v>
      </x:c>
      <x:c r="AH12" s="74" t="str">
        <x:v>1</x:v>
      </x:c>
      <x:c r="AI12" s="74" t="str">
        <x:v>1</x:v>
      </x:c>
      <x:c r="AJ12" s="74" t="str">
        <x:v>0</x:v>
      </x:c>
      <x:c r="AK12" s="74" t="str">
        <x:v>1</x:v>
      </x:c>
      <x:c r="AL12" s="74" t="str">
        <x:v>0</x:v>
      </x:c>
      <x:c r="AM12" s="74" t="str">
        <x:v>1</x:v>
      </x:c>
      <x:c r="AN12" s="74" t="str">
        <x:v>0</x:v>
      </x:c>
      <x:c r="AO12" s="60" t="str">
        <x:v>2024</x:v>
      </x:c>
      <x:c r="AP12" s="76" t="str">
        <x:v>Google Ads tag detected; no embedded homepage video found</x:v>
      </x:c>
      <x:c r="AQ12" s="76" t="str">
        <x:v>Google Ads tag; call tracking; project/gallery proof; testimonials; visible service offer; no embedded homepage video detected</x:v>
      </x:c>
      <x:c r="AR12" s="76" t="str">
        <x:v>I noticed Duckett Plumbing's site has a Google Ads tag installed, but I couldn't find an embedded video on the homepage.</x:v>
      </x:c>
      <x:c r="AS12" s="76" t="str">
        <x:v>small symptom to prevented-emergency ad</x:v>
      </x:c>
      <x:c r="AT12" s="76" t="str">
        <x:v>Duckett Plumbing ad concept</x:v>
      </x:c>
      <x:c r="AU12" s="76" t="str">
        <x:v>Hi Duckett Plumbing — I noticed Duckett Plumbing's site has a Google Ads tag installed, but I couldn't find an embedded video on the homepage. I mapped a private 15-second small symptom to prevented-emergency ad for Duckett Plumbing using only public brand context—not for publishing, just to show the angle. We build three client-approved video ad concepts in seven days, then turn the winners into fresh variations. No filming day required. Worth sending the private sample?</x:v>
      </x:c>
      <x:c r="AV12" s="76" t="str">
        <x:v>Quick follow-up: the sample angle is a small symptom to prevented-emergency ad. If it misses the mark, no problem—I won't keep chasing. Should I send it?</x:v>
      </x:c>
      <x:c r="AW12" s="76" t="str">
        <x:v>Hi Duckett Plumbing, Ryan here. I was looking at Duckett Plumbing's public marketing and noticed: google ads tag detected; no embedded homepage video found. I mapped one private small symptom to prevented-emergency ad as an example. Did I catch you with 30 seconds?</x:v>
      </x:c>
      <x:c r="AX12" s="60" t="str">
        <x:v>https://www.facebook.com/ads/library/?active_status=active&amp;ad_type=all&amp;country=US&amp;q=Duckett%20Plumbing&amp;search_type=keyword_unordered</x:v>
      </x:c>
      <x:c r="AY12" s="60" t="str">
        <x:v>ok:200</x:v>
      </x:c>
      <x:c r="AZ12" s="60" t="n">
        <x:v>46232.722858796296</x:v>
      </x:c>
      <x:c r="BA12" s="60" t="str">
        <x:v>Google Maps home-services export</x:v>
      </x:c>
      <x:c r="BB12" s="60" t="str">
        <x:v>https://duckettplumbing.com | https://maps.google.com/?cid=4629178297444097769&amp;g_mp=Cidnb29nbGUubWFwcy5wbGFjZXMudjEuUGxhY2VzLlNlYXJjaFRleHQQAhgEIAA</x:v>
      </x:c>
      <x:c r="BC12" s="60" t="str"/>
    </x:row>
    <x:row r="13" ht="18" customHeight="1">
      <x:c r="A13" s="70" t="str">
        <x:v>12</x:v>
      </x:c>
      <x:c r="B13" s="70" t="str">
        <x:v>A - Layup</x:v>
      </x:c>
      <x:c r="C13" s="72" t="str">
        <x:v>85</x:v>
      </x:c>
      <x:c r="D13" s="60" t="str">
        <x:v>Air Repair AL</x:v>
      </x:c>
      <x:c r="E13" s="60" t="str">
        <x:v>https://airrepairal.com</x:v>
      </x:c>
      <x:c r="F13" s="60" t="str">
        <x:v>https://www.airrepairal.com/</x:v>
      </x:c>
      <x:c r="G13" s="60" t="str">
        <x:v>Greenville</x:v>
      </x:c>
      <x:c r="H13" s="60" t="str">
        <x:v>South Carolina</x:v>
      </x:c>
      <x:c r="I13" s="60" t="str">
        <x:v>HVAC</x:v>
      </x:c>
      <x:c r="J13" s="60" t="str">
        <x:v>Air Repair AL</x:v>
      </x:c>
      <x:c r="K13" s="60" t="str"/>
      <x:c r="L13" s="60" t="str">
        <x:v>Owner / decision maker to verify</x:v>
      </x:c>
      <x:c r="M13" s="60" t="str"/>
      <x:c r="N13" s="60" t="str"/>
      <x:c r="O13" s="60" t="str">
        <x:v>(864) 777-1111</x:v>
      </x:c>
      <x:c r="P13" s="60" t="str"/>
      <x:c r="Q13" s="60" t="str"/>
      <x:c r="R13" s="60" t="str"/>
      <x:c r="S13" s="60" t="str">
        <x:v>4.7</x:v>
      </x:c>
      <x:c r="T13" s="74" t="str">
        <x:v>489</x:v>
      </x:c>
      <x:c r="U13" s="60" t="str"/>
      <x:c r="V13" s="74" t="str">
        <x:v>29</x:v>
      </x:c>
      <x:c r="W13" s="74" t="str">
        <x:v>28</x:v>
      </x:c>
      <x:c r="X13" s="74" t="str">
        <x:v>12</x:v>
      </x:c>
      <x:c r="Y13" s="74" t="str">
        <x:v>11</x:v>
      </x:c>
      <x:c r="Z13" s="74" t="str">
        <x:v>5</x:v>
      </x:c>
      <x:c r="AA13" s="74" t="str">
        <x:v>1</x:v>
      </x:c>
      <x:c r="AB13" s="74" t="str">
        <x:v>1</x:v>
      </x:c>
      <x:c r="AC13" s="74" t="str">
        <x:v>1</x:v>
      </x:c>
      <x:c r="AD13" s="74" t="str">
        <x:v>0</x:v>
      </x:c>
      <x:c r="AE13" s="74" t="str">
        <x:v>0</x:v>
      </x:c>
      <x:c r="AF13" s="74" t="str">
        <x:v>podium</x:v>
      </x:c>
      <x:c r="AG13" s="74" t="str">
        <x:v>0</x:v>
      </x:c>
      <x:c r="AH13" s="74" t="str">
        <x:v>1</x:v>
      </x:c>
      <x:c r="AI13" s="74" t="str">
        <x:v>0</x:v>
      </x:c>
      <x:c r="AJ13" s="74" t="str">
        <x:v>0</x:v>
      </x:c>
      <x:c r="AK13" s="74" t="str">
        <x:v>1</x:v>
      </x:c>
      <x:c r="AL13" s="74" t="str">
        <x:v>0</x:v>
      </x:c>
      <x:c r="AM13" s="74" t="str">
        <x:v>1</x:v>
      </x:c>
      <x:c r="AN13" s="74" t="str">
        <x:v>1</x:v>
      </x:c>
      <x:c r="AO13" s="60" t="str">
        <x:v>2026</x:v>
      </x:c>
      <x:c r="AP13" s="76" t="str">
        <x:v>Meta tracking detected; no embedded homepage video found</x:v>
      </x:c>
      <x:c r="AQ13" s="76" t="str">
        <x:v>Meta Pixel; Google Ads tag; project/gallery proof; visible service offer; no embedded homepage video detected</x:v>
      </x:c>
      <x:c r="AR13" s="76" t="str">
        <x:v>I noticed Air Repair AL's site has Meta tracking installed, but I couldn't find an embedded video on the homepage.</x:v>
      </x:c>
      <x:c r="AS13" s="76" t="str">
        <x:v>no-cool-call to same-day comfort ad</x:v>
      </x:c>
      <x:c r="AT13" s="76" t="str">
        <x:v>Air Repair AL ad concept</x:v>
      </x:c>
      <x:c r="AU13" s="76" t="str">
        <x:v>Hi Air Repair AL — I noticed Air Repair AL's site has Meta tracking installed, but I couldn't find an embedded video on the homepage. I mapped a private 15-second no-cool-call to same-day comfort ad for Air Repair AL using only public brand context—not for publishing, just to show the angle. We build three client-approved video ad concepts in seven days, then turn the winners into fresh variations. No filming day required. Worth sending the private sample?</x:v>
      </x:c>
      <x:c r="AV13" s="76" t="str">
        <x:v>Quick follow-up: the sample angle is a no-cool-call to same-day comfort ad. If it misses the mark, no problem—I won't keep chasing. Should I send it?</x:v>
      </x:c>
      <x:c r="AW13" s="76" t="str">
        <x:v>Hi Air Repair AL, Ryan here. I was looking at Air Repair AL's public marketing and noticed: meta tracking detected; no embedded homepage video found. I mapped one private no-cool-call to same-day comfort ad as an example. Did I catch you with 30 seconds?</x:v>
      </x:c>
      <x:c r="AX13" s="60" t="str">
        <x:v>https://www.facebook.com/ads/library/?active_status=active&amp;ad_type=all&amp;country=US&amp;q=Air%20Repair%20AL&amp;search_type=keyword_unordered</x:v>
      </x:c>
      <x:c r="AY13" s="60" t="str">
        <x:v>ok:200</x:v>
      </x:c>
      <x:c r="AZ13" s="60" t="n">
        <x:v>46232.722858796296</x:v>
      </x:c>
      <x:c r="BA13" s="60" t="str">
        <x:v>Google Maps home-services export</x:v>
      </x:c>
      <x:c r="BB13" s="60" t="str">
        <x:v>https://airrepairal.com | https://maps.google.com/?cid=454799349211071959&amp;g_mp=Cidnb29nbGUubWFwcy5wbGFjZXMudjEuUGxhY2VzLlNlYXJjaFRleHQQAhgEIAA</x:v>
      </x:c>
      <x:c r="BC13" s="60" t="str"/>
    </x:row>
    <x:row r="14" ht="18" customHeight="1">
      <x:c r="A14" s="70" t="str">
        <x:v>13</x:v>
      </x:c>
      <x:c r="B14" s="70" t="str">
        <x:v>A - Layup</x:v>
      </x:c>
      <x:c r="C14" s="72" t="str">
        <x:v>85</x:v>
      </x:c>
      <x:c r="D14" s="60" t="str">
        <x:v>Aptus Home Services, HVAC, Plumbing &amp; Electric</x:v>
      </x:c>
      <x:c r="E14" s="60" t="str">
        <x:v>https://aptushomeservices.com</x:v>
      </x:c>
      <x:c r="F14" s="60" t="str">
        <x:v>https://aptushomeservices.com</x:v>
      </x:c>
      <x:c r="G14" s="60" t="str">
        <x:v>Mount Pleasant</x:v>
      </x:c>
      <x:c r="H14" s="60" t="str">
        <x:v>South Carolina</x:v>
      </x:c>
      <x:c r="I14" s="60" t="str">
        <x:v>HVAC</x:v>
      </x:c>
      <x:c r="J14" s="60" t="str">
        <x:v>Aptus Home Services, HVAC, Plumbing &amp; Electric</x:v>
      </x:c>
      <x:c r="K14" s="60" t="str"/>
      <x:c r="L14" s="60" t="str">
        <x:v>Owner / decision maker to verify</x:v>
      </x:c>
      <x:c r="M14" s="60" t="str"/>
      <x:c r="N14" s="60" t="str"/>
      <x:c r="O14" s="60" t="str">
        <x:v>(843) 588-4211</x:v>
      </x:c>
      <x:c r="P14" s="60" t="str"/>
      <x:c r="Q14" s="60" t="str"/>
      <x:c r="R14" s="60" t="str"/>
      <x:c r="S14" s="60" t="str">
        <x:v>5</x:v>
      </x:c>
      <x:c r="T14" s="74" t="str">
        <x:v>188</x:v>
      </x:c>
      <x:c r="U14" s="60" t="str"/>
      <x:c r="V14" s="74" t="str">
        <x:v>28</x:v>
      </x:c>
      <x:c r="W14" s="74" t="str">
        <x:v>26</x:v>
      </x:c>
      <x:c r="X14" s="74" t="str">
        <x:v>12</x:v>
      </x:c>
      <x:c r="Y14" s="74" t="str">
        <x:v>14</x:v>
      </x:c>
      <x:c r="Z14" s="74" t="str">
        <x:v>5</x:v>
      </x:c>
      <x:c r="AA14" s="74" t="str">
        <x:v>1</x:v>
      </x:c>
      <x:c r="AB14" s="74" t="str">
        <x:v>0</x:v>
      </x:c>
      <x:c r="AC14" s="74" t="str">
        <x:v>1</x:v>
      </x:c>
      <x:c r="AD14" s="74" t="str">
        <x:v>0</x:v>
      </x:c>
      <x:c r="AE14" s="74" t="str">
        <x:v>1</x:v>
      </x:c>
      <x:c r="AF14" s="74" t="str">
        <x:v>podium</x:v>
      </x:c>
      <x:c r="AG14" s="74" t="str">
        <x:v>0</x:v>
      </x:c>
      <x:c r="AH14" s="74" t="str">
        <x:v>1</x:v>
      </x:c>
      <x:c r="AI14" s="74" t="str">
        <x:v>0</x:v>
      </x:c>
      <x:c r="AJ14" s="74" t="str">
        <x:v>1</x:v>
      </x:c>
      <x:c r="AK14" s="74" t="str">
        <x:v>1</x:v>
      </x:c>
      <x:c r="AL14" s="74" t="str">
        <x:v>1</x:v>
      </x:c>
      <x:c r="AM14" s="74" t="str">
        <x:v>1</x:v>
      </x:c>
      <x:c r="AN14" s="74" t="str">
        <x:v>1</x:v>
      </x:c>
      <x:c r="AO14" s="60" t="str">
        <x:v>2026</x:v>
      </x:c>
      <x:c r="AP14" s="76" t="str">
        <x:v>Meta tracking detected; no embedded homepage video found</x:v>
      </x:c>
      <x:c r="AQ14" s="76" t="str">
        <x:v>Meta Pixel; call tracking; project/gallery proof; financing; visible service offer; no embedded homepage video detected</x:v>
      </x:c>
      <x:c r="AR14" s="76" t="str">
        <x:v>I noticed Aptus Home Services, HVAC, Plumbing &amp; Electric's site has Meta tracking installed, but I couldn't find an embedded video on the homepage.</x:v>
      </x:c>
      <x:c r="AS14" s="76" t="str">
        <x:v>no-cool-call to same-day comfort ad</x:v>
      </x:c>
      <x:c r="AT14" s="76" t="str">
        <x:v>Aptus Home Services, HVAC, Plumbing &amp; Electric ad concept</x:v>
      </x:c>
      <x:c r="AU14" s="76" t="str">
        <x:v>Hi Aptus Home Services, HVAC, Plumbing &amp; Electric — I noticed Aptus Home Services, HVAC, Plumbing &amp; Electric's site has Meta tracking installed, but I couldn't find an embedded video on the homepage. I mapped a private 15-second no-cool-call to same-day comfort ad for Aptus Home Services, HVAC, Plumbing &amp; Electric using only public brand context—not for publishing, just to show the angle. We build three client-approved video ad concepts in seven days, then turn the winners into fresh variations. No filming day required. Worth sending the private sample?</x:v>
      </x:c>
      <x:c r="AV14" s="76" t="str">
        <x:v>Quick follow-up: the sample angle is a no-cool-call to same-day comfort ad. If it misses the mark, no problem—I won't keep chasing. Should I send it?</x:v>
      </x:c>
      <x:c r="AW14" s="76" t="str">
        <x:v>Hi Aptus Home Services, HVAC, Plumbing &amp; Electric, Ryan here. I was looking at Aptus Home Services, HVAC, Plumbing &amp; Electric's public marketing and noticed: meta tracking detected; no embedded homepage video found. I mapped one private no-cool-call to same-day comfort ad as an example. Did I catch you with 30 seconds?</x:v>
      </x:c>
      <x:c r="AX14" s="60" t="str">
        <x:v>https://www.facebook.com/ads/library/?active_status=active&amp;ad_type=all&amp;country=US&amp;q=Aptus%20Home%20Services%2C%20HVAC%2C%20Plumbing%20%26%20Electric&amp;search_type=keyword_unordered</x:v>
      </x:c>
      <x:c r="AY14" s="60" t="str">
        <x:v>ok:200</x:v>
      </x:c>
      <x:c r="AZ14" s="60" t="n">
        <x:v>46232.722858796296</x:v>
      </x:c>
      <x:c r="BA14" s="60" t="str">
        <x:v>Google Maps home-services export</x:v>
      </x:c>
      <x:c r="BB14" s="60" t="str">
        <x:v>https://aptushomeservices.com | https://maps.google.com/?cid=3968008000611051317&amp;g_mp=Cidnb29nbGUubWFwcy5wbGFjZXMudjEuUGxhY2VzLlNlYXJjaFRleHQQAhgEIAA</x:v>
      </x:c>
      <x:c r="BC14" s="60" t="str"/>
    </x:row>
    <x:row r="15" ht="18" customHeight="1">
      <x:c r="A15" s="70" t="str">
        <x:v>14</x:v>
      </x:c>
      <x:c r="B15" s="70" t="str">
        <x:v>A - Layup</x:v>
      </x:c>
      <x:c r="C15" s="72" t="str">
        <x:v>85</x:v>
      </x:c>
      <x:c r="D15" s="60" t="str">
        <x:v>The Red Shirt Guys Roofing</x:v>
      </x:c>
      <x:c r="E15" s="60" t="str">
        <x:v>https://theredshirtguys.com</x:v>
      </x:c>
      <x:c r="F15" s="60" t="str">
        <x:v>https://theredshirtguys.com</x:v>
      </x:c>
      <x:c r="G15" s="60" t="str">
        <x:v>Columbia</x:v>
      </x:c>
      <x:c r="H15" s="60" t="str">
        <x:v>South Carolina</x:v>
      </x:c>
      <x:c r="I15" s="60" t="str">
        <x:v>Roofing</x:v>
      </x:c>
      <x:c r="J15" s="60" t="str">
        <x:v>The Red Shirt Guys Roofing</x:v>
      </x:c>
      <x:c r="K15" s="60" t="str"/>
      <x:c r="L15" s="60" t="str">
        <x:v>Owner / decision maker to verify</x:v>
      </x:c>
      <x:c r="M15" s="60" t="str"/>
      <x:c r="N15" s="60" t="str"/>
      <x:c r="O15" s="60" t="str">
        <x:v>(803) 243-3968</x:v>
      </x:c>
      <x:c r="P15" s="60" t="str"/>
      <x:c r="Q15" s="60" t="str"/>
      <x:c r="R15" s="60" t="str"/>
      <x:c r="S15" s="60" t="str">
        <x:v>4.9</x:v>
      </x:c>
      <x:c r="T15" s="74" t="str">
        <x:v>225</x:v>
      </x:c>
      <x:c r="U15" s="60" t="str"/>
      <x:c r="V15" s="74" t="str">
        <x:v>29</x:v>
      </x:c>
      <x:c r="W15" s="74" t="str">
        <x:v>25</x:v>
      </x:c>
      <x:c r="X15" s="74" t="str">
        <x:v>15</x:v>
      </x:c>
      <x:c r="Y15" s="74" t="str">
        <x:v>11</x:v>
      </x:c>
      <x:c r="Z15" s="74" t="str">
        <x:v>5</x:v>
      </x:c>
      <x:c r="AA15" s="74" t="str">
        <x:v>1</x:v>
      </x:c>
      <x:c r="AB15" s="74" t="str">
        <x:v>1</x:v>
      </x:c>
      <x:c r="AC15" s="74" t="str">
        <x:v>1</x:v>
      </x:c>
      <x:c r="AD15" s="74" t="str">
        <x:v>0</x:v>
      </x:c>
      <x:c r="AE15" s="74" t="str">
        <x:v>0</x:v>
      </x:c>
      <x:c r="AF15" s="74" t="str"/>
      <x:c r="AG15" s="74" t="str">
        <x:v>0</x:v>
      </x:c>
      <x:c r="AH15" s="74" t="str">
        <x:v>1</x:v>
      </x:c>
      <x:c r="AI15" s="74" t="str">
        <x:v>0</x:v>
      </x:c>
      <x:c r="AJ15" s="74" t="str">
        <x:v>0</x:v>
      </x:c>
      <x:c r="AK15" s="74" t="str">
        <x:v>1</x:v>
      </x:c>
      <x:c r="AL15" s="74" t="str">
        <x:v>1</x:v>
      </x:c>
      <x:c r="AM15" s="74" t="str">
        <x:v>1</x:v>
      </x:c>
      <x:c r="AN15" s="74" t="str">
        <x:v>0</x:v>
      </x:c>
      <x:c r="AO15" s="60" t="str">
        <x:v>2024</x:v>
      </x:c>
      <x:c r="AP15" s="76" t="str">
        <x:v>Meta tracking detected; no embedded homepage video found</x:v>
      </x:c>
      <x:c r="AQ15" s="76" t="str">
        <x:v>Meta Pixel; Google Ads tag; project/gallery proof; visible service offer; no embedded homepage video detected</x:v>
      </x:c>
      <x:c r="AR15" s="76" t="str">
        <x:v>I noticed The Red Shirt Guys Roofing's site has Meta tracking installed, but I couldn't find an embedded video on the homepage.</x:v>
      </x:c>
      <x:c r="AS15" s="76" t="str">
        <x:v>storm-to-inspection before/after ad</x:v>
      </x:c>
      <x:c r="AT15" s="76" t="str">
        <x:v>The Red Shirt Guys Roofing ad concept</x:v>
      </x:c>
      <x:c r="AU15" s="76" t="str">
        <x:v>Hi The Red Shirt Guys Roofing — I noticed The Red Shirt Guys Roofing's site has Meta tracking installed, but I couldn't find an embedded video on the homepage. I mapped a private 15-second storm-to-inspection before/after ad for The Red Shirt Guys Roofing using only public brand context—not for publishing, just to show the angle. We build three client-approved video ad concepts in seven days, then turn the winners into fresh variations. No filming day required. Worth sending the private sample?</x:v>
      </x:c>
      <x:c r="AV15" s="76" t="str">
        <x:v>Quick follow-up: the sample angle is a storm-to-inspection before/after ad. If it misses the mark, no problem—I won't keep chasing. Should I send it?</x:v>
      </x:c>
      <x:c r="AW15" s="76" t="str">
        <x:v>Hi The Red Shirt Guys Roofing, Ryan here. I was looking at The Red Shirt Guys Roofing's public marketing and noticed: meta tracking detected; no embedded homepage video found. I mapped one private storm-to-inspection before/after ad as an example. Did I catch you with 30 seconds?</x:v>
      </x:c>
      <x:c r="AX15" s="60" t="str">
        <x:v>https://www.facebook.com/ads/library/?active_status=active&amp;ad_type=all&amp;country=US&amp;q=The%20Red%20Shirt%20Guys%20Roofing&amp;search_type=keyword_unordered</x:v>
      </x:c>
      <x:c r="AY15" s="60" t="str">
        <x:v>ok:200</x:v>
      </x:c>
      <x:c r="AZ15" s="60" t="n">
        <x:v>46232.722858796296</x:v>
      </x:c>
      <x:c r="BA15" s="60" t="str">
        <x:v>Google Maps home-services export</x:v>
      </x:c>
      <x:c r="BB15" s="60" t="str">
        <x:v>https://maps.google.com/?cid=9918663524188870465&amp;g_mp=Cidnb29nbGUubWFwcy5wbGFjZXMudjEuUGxhY2VzLlNlYXJjaFRleHQQAhgEIAA | https://theredshirtguys.com</x:v>
      </x:c>
      <x:c r="BC15" s="60" t="str"/>
    </x:row>
    <x:row r="16" ht="18" customHeight="1">
      <x:c r="A16" s="70" t="str">
        <x:v>15</x:v>
      </x:c>
      <x:c r="B16" s="70" t="str">
        <x:v>A - Layup</x:v>
      </x:c>
      <x:c r="C16" s="72" t="str">
        <x:v>84</x:v>
      </x:c>
      <x:c r="D16" s="60" t="str">
        <x:v>RestoPros of Savannah - Beaufort</x:v>
      </x:c>
      <x:c r="E16" s="60" t="str">
        <x:v>https://restopros.co</x:v>
      </x:c>
      <x:c r="F16" s="60" t="str">
        <x:v>https://www.restopros.co/</x:v>
      </x:c>
      <x:c r="G16" s="60" t="str">
        <x:v>Bluffton</x:v>
      </x:c>
      <x:c r="H16" s="60" t="str">
        <x:v>South Carolina</x:v>
      </x:c>
      <x:c r="I16" s="60" t="str">
        <x:v>Restoration</x:v>
      </x:c>
      <x:c r="J16" s="60" t="str">
        <x:v>Matt</x:v>
      </x:c>
      <x:c r="K16" s="60" t="str">
        <x:v>Hudson</x:v>
      </x:c>
      <x:c r="L16" s="60" t="str">
        <x:v>Company Owner</x:v>
      </x:c>
      <x:c r="M16" s="60" t="str">
        <x:v>mhudson@restopros.co</x:v>
      </x:c>
      <x:c r="N16" s="60" t="str">
        <x:v>Verified with BounceBan on 08 Jun 26 12:06</x:v>
      </x:c>
      <x:c r="O16" s="60" t="str">
        <x:v>+1 508 989 8830</x:v>
      </x:c>
      <x:c r="P16" s="60" t="str">
        <x:v>https://www.linkedin.com/in/matt-hudson-499a7a89</x:v>
      </x:c>
      <x:c r="Q16" s="60" t="str">
        <x:v>11-50</x:v>
      </x:c>
      <x:c r="R16" s="60" t="str">
        <x:v>0-99999</x:v>
      </x:c>
      <x:c r="S16" s="60" t="str"/>
      <x:c r="T16" s="74" t="str">
        <x:v>0</x:v>
      </x:c>
      <x:c r="U16" s="60" t="str"/>
      <x:c r="V16" s="74" t="str">
        <x:v>30</x:v>
      </x:c>
      <x:c r="W16" s="74" t="str">
        <x:v>25</x:v>
      </x:c>
      <x:c r="X16" s="74" t="str">
        <x:v>12</x:v>
      </x:c>
      <x:c r="Y16" s="74" t="str">
        <x:v>7</x:v>
      </x:c>
      <x:c r="Z16" s="74" t="str">
        <x:v>10</x:v>
      </x:c>
      <x:c r="AA16" s="74" t="str">
        <x:v>1</x:v>
      </x:c>
      <x:c r="AB16" s="74" t="str">
        <x:v>1</x:v>
      </x:c>
      <x:c r="AC16" s="74" t="str">
        <x:v>1</x:v>
      </x:c>
      <x:c r="AD16" s="74" t="str">
        <x:v>0</x:v>
      </x:c>
      <x:c r="AE16" s="74" t="str">
        <x:v>0</x:v>
      </x:c>
      <x:c r="AF16" s="74" t="str"/>
      <x:c r="AG16" s="74" t="str">
        <x:v>0</x:v>
      </x:c>
      <x:c r="AH16" s="74" t="str">
        <x:v>0</x:v>
      </x:c>
      <x:c r="AI16" s="74" t="str">
        <x:v>1</x:v>
      </x:c>
      <x:c r="AJ16" s="74" t="str">
        <x:v>0</x:v>
      </x:c>
      <x:c r="AK16" s="74" t="str">
        <x:v>1</x:v>
      </x:c>
      <x:c r="AL16" s="74" t="str">
        <x:v>1</x:v>
      </x:c>
      <x:c r="AM16" s="74" t="str">
        <x:v>1</x:v>
      </x:c>
      <x:c r="AN16" s="74" t="str">
        <x:v>1</x:v>
      </x:c>
      <x:c r="AO16" s="60" t="str">
        <x:v>0</x:v>
      </x:c>
      <x:c r="AP16" s="76" t="str">
        <x:v>Meta tracking detected; no embedded homepage video found</x:v>
      </x:c>
      <x:c r="AQ16" s="76" t="str">
        <x:v>Meta Pixel; Google Ads tag; testimonials; visible service offer; no embedded homepage video detected</x:v>
      </x:c>
      <x:c r="AR16" s="76" t="str">
        <x:v>I noticed RestoPros of Savannah - Beaufort's site has Meta tracking installed, but I couldn't find an embedded video on the homepage.</x:v>
      </x:c>
      <x:c r="AS16" s="76" t="str">
        <x:v>first-24-hours emergency-response ad</x:v>
      </x:c>
      <x:c r="AT16" s="76" t="str">
        <x:v>RestoPros of Savannah - Beaufort ad concept</x:v>
      </x:c>
      <x:c r="AU16" s="76" t="str">
        <x:v>Hi Matt — I noticed RestoPros of Savannah - Beaufort's site has Meta tracking installed, but I couldn't find an embedded video on the homepage. I mapped a private 15-second first-24-hours emergency-response ad for RestoPros of Savannah - Beaufort using only public brand context—not for publishing, just to show the angle. We build three client-approved video ad concepts in seven days, then turn the winners into fresh variations. No filming day required. Worth sending the private sample?</x:v>
      </x:c>
      <x:c r="AV16" s="76" t="str">
        <x:v>Quick follow-up: the sample angle is a first-24-hours emergency-response ad. If it misses the mark, no problem—I won't keep chasing. Should I send it?</x:v>
      </x:c>
      <x:c r="AW16" s="76" t="str">
        <x:v>Hi Matt, Ryan here. I was looking at RestoPros of Savannah - Beaufort's public marketing and noticed: meta tracking detected; no embedded homepage video found. I mapped one private first-24-hours emergency-response ad as an example. Did I catch you with 30 seconds?</x:v>
      </x:c>
      <x:c r="AX16" s="60" t="str">
        <x:v>https://www.facebook.com/ads/library/?active_status=active&amp;ad_type=all&amp;country=US&amp;q=RestoPros%20of%20Savannah%20-%20Beaufort&amp;search_type=keyword_unordered</x:v>
      </x:c>
      <x:c r="AY16" s="60" t="str">
        <x:v>ok:200</x:v>
      </x:c>
      <x:c r="AZ16" s="60" t="n">
        <x:v>46232.722858796296</x:v>
      </x:c>
      <x:c r="BA16" s="60" t="str">
        <x:v>AI Ark SC trades export</x:v>
      </x:c>
      <x:c r="BB16" s="60" t="str">
        <x:v>https://restopros.co | https://www.linkedin.com/company/restopros-of-savannah-beaufort</x:v>
      </x:c>
      <x:c r="BC16" s="60" t="str"/>
    </x:row>
    <x:row r="17" ht="18" customHeight="1">
      <x:c r="A17" s="70" t="str">
        <x:v>16</x:v>
      </x:c>
      <x:c r="B17" s="70" t="str">
        <x:v>B - Strong</x:v>
      </x:c>
      <x:c r="C17" s="72" t="str">
        <x:v>83</x:v>
      </x:c>
      <x:c r="D17" s="60" t="str">
        <x:v>Patio Enclosures by Great Day Improvements</x:v>
      </x:c>
      <x:c r="E17" s="60" t="str">
        <x:v>https://patioenclosures.com</x:v>
      </x:c>
      <x:c r="F17" s="60" t="str">
        <x:v>https://www.patioenclosures.com/</x:v>
      </x:c>
      <x:c r="G17" s="60" t="str">
        <x:v>Taylors</x:v>
      </x:c>
      <x:c r="H17" s="60" t="str">
        <x:v>South Carolina</x:v>
      </x:c>
      <x:c r="I17" s="60" t="str">
        <x:v>Windows &amp; Doors</x:v>
      </x:c>
      <x:c r="J17" s="60" t="str">
        <x:v>Genia</x:v>
      </x:c>
      <x:c r="K17" s="60" t="str">
        <x:v>Hester</x:v>
      </x:c>
      <x:c r="L17" s="60" t="str">
        <x:v>Owner</x:v>
      </x:c>
      <x:c r="M17" s="60" t="str"/>
      <x:c r="N17" s="60" t="str"/>
      <x:c r="O17" s="60" t="str"/>
      <x:c r="P17" s="60" t="str">
        <x:v>https://www.linkedin.com/in/genia-hester-5713284</x:v>
      </x:c>
      <x:c r="Q17" s="60" t="str">
        <x:v>201-500</x:v>
      </x:c>
      <x:c r="R17" s="60" t="str">
        <x:v>10000000-24999999</x:v>
      </x:c>
      <x:c r="S17" s="60" t="str"/>
      <x:c r="T17" s="74" t="str">
        <x:v>0</x:v>
      </x:c>
      <x:c r="U17" s="60" t="str"/>
      <x:c r="V17" s="74" t="str">
        <x:v>30</x:v>
      </x:c>
      <x:c r="W17" s="74" t="str">
        <x:v>30</x:v>
      </x:c>
      <x:c r="X17" s="74" t="str">
        <x:v>12</x:v>
      </x:c>
      <x:c r="Y17" s="74" t="str">
        <x:v>9</x:v>
      </x:c>
      <x:c r="Z17" s="74" t="str">
        <x:v>2</x:v>
      </x:c>
      <x:c r="AA17" s="74" t="str">
        <x:v>1</x:v>
      </x:c>
      <x:c r="AB17" s="74" t="str">
        <x:v>1</x:v>
      </x:c>
      <x:c r="AC17" s="74" t="str">
        <x:v>1</x:v>
      </x:c>
      <x:c r="AD17" s="74" t="str">
        <x:v>1</x:v>
      </x:c>
      <x:c r="AE17" s="74" t="str">
        <x:v>0</x:v>
      </x:c>
      <x:c r="AF17" s="74" t="str"/>
      <x:c r="AG17" s="74" t="str">
        <x:v>0</x:v>
      </x:c>
      <x:c r="AH17" s="74" t="str">
        <x:v>1</x:v>
      </x:c>
      <x:c r="AI17" s="74" t="str">
        <x:v>1</x:v>
      </x:c>
      <x:c r="AJ17" s="74" t="str">
        <x:v>0</x:v>
      </x:c>
      <x:c r="AK17" s="74" t="str">
        <x:v>0</x:v>
      </x:c>
      <x:c r="AL17" s="74" t="str">
        <x:v>1</x:v>
      </x:c>
      <x:c r="AM17" s="74" t="str">
        <x:v>1</x:v>
      </x:c>
      <x:c r="AN17" s="74" t="str">
        <x:v>1</x:v>
      </x:c>
      <x:c r="AO17" s="60" t="str">
        <x:v>0</x:v>
      </x:c>
      <x:c r="AP17" s="76" t="str">
        <x:v>Meta tracking detected; no embedded homepage video found</x:v>
      </x:c>
      <x:c r="AQ17" s="76" t="str">
        <x:v>Meta Pixel; Google Ads tag; TikTok Pixel; project/gallery proof; testimonials; no embedded homepage video detected</x:v>
      </x:c>
      <x:c r="AR17" s="76" t="str">
        <x:v>I noticed Patio Enclosures by Great Day Improvements's site has Meta tracking installed, but I couldn't find an embedded video on the homepage.</x:v>
      </x:c>
      <x:c r="AS17" s="76" t="str">
        <x:v>energy-loss to installed-window transformation ad</x:v>
      </x:c>
      <x:c r="AT17" s="76" t="str">
        <x:v>Patio Enclosures by Great Day Improvements ad concept</x:v>
      </x:c>
      <x:c r="AU17" s="76" t="str">
        <x:v>Hi Genia — I noticed Patio Enclosures by Great Day Improvements's site has Meta tracking installed, but I couldn't find an embedded video on the homepage. I mapped a private 15-second energy-loss to installed-window transformation ad for Patio Enclosures by Great Day Improvements using only public brand context—not for publishing, just to show the angle. We build three client-approved video ad concepts in seven days, then turn the winners into fresh variations. No filming day required. Worth sending the private sample?</x:v>
      </x:c>
      <x:c r="AV17" s="76" t="str">
        <x:v>Quick follow-up: the sample angle is a energy-loss to installed-window transformation ad. If it misses the mark, no problem—I won't keep chasing. Should I send it?</x:v>
      </x:c>
      <x:c r="AW17" s="76" t="str">
        <x:v>Hi Genia, Ryan here. I was looking at Patio Enclosures by Great Day Improvements's public marketing and noticed: meta tracking detected; no embedded homepage video found. I mapped one private energy-loss to installed-window transformation ad as an example. Did I catch you with 30 seconds?</x:v>
      </x:c>
      <x:c r="AX17" s="60" t="str">
        <x:v>https://www.facebook.com/ads/library/?active_status=active&amp;ad_type=all&amp;country=US&amp;q=Patio%20Enclosures%20by%20Great%20Day%20Improvements&amp;search_type=keyword_unordered</x:v>
      </x:c>
      <x:c r="AY17" s="60" t="str">
        <x:v>ok:200</x:v>
      </x:c>
      <x:c r="AZ17" s="60" t="n">
        <x:v>46232.722858796296</x:v>
      </x:c>
      <x:c r="BA17" s="60" t="str">
        <x:v>AI Ark SC trades export</x:v>
      </x:c>
      <x:c r="BB17" s="60" t="str">
        <x:v>https://patioenclosures.com | https://www.linkedin.com/company/patio-enclosures</x:v>
      </x:c>
      <x:c r="BC17" s="60" t="str"/>
    </x:row>
    <x:row r="18" ht="18" customHeight="1">
      <x:c r="A18" s="70" t="str">
        <x:v>17</x:v>
      </x:c>
      <x:c r="B18" s="70" t="str">
        <x:v>A - Layup</x:v>
      </x:c>
      <x:c r="C18" s="72" t="str">
        <x:v>83</x:v>
      </x:c>
      <x:c r="D18" s="60" t="str">
        <x:v>Berkeley Heating &amp; Air Conditioning</x:v>
      </x:c>
      <x:c r="E18" s="60" t="str">
        <x:v>https://berkeleyheating.com</x:v>
      </x:c>
      <x:c r="F18" s="60" t="str">
        <x:v>https://berkeleyheating.com</x:v>
      </x:c>
      <x:c r="G18" s="60" t="str">
        <x:v>North Charleston</x:v>
      </x:c>
      <x:c r="H18" s="60" t="str">
        <x:v>South Carolina</x:v>
      </x:c>
      <x:c r="I18" s="60" t="str">
        <x:v>HVAC</x:v>
      </x:c>
      <x:c r="J18" s="60" t="str">
        <x:v>Berkeley Heating &amp; Air Conditioning</x:v>
      </x:c>
      <x:c r="K18" s="60" t="str"/>
      <x:c r="L18" s="60" t="str">
        <x:v>Owner / decision maker to verify</x:v>
      </x:c>
      <x:c r="M18" s="60" t="str"/>
      <x:c r="N18" s="60" t="str"/>
      <x:c r="O18" s="60" t="str">
        <x:v>(843) 277-6030</x:v>
      </x:c>
      <x:c r="P18" s="60" t="str"/>
      <x:c r="Q18" s="60" t="str"/>
      <x:c r="R18" s="60" t="str"/>
      <x:c r="S18" s="60" t="str">
        <x:v>4.6</x:v>
      </x:c>
      <x:c r="T18" s="74" t="str">
        <x:v>211</x:v>
      </x:c>
      <x:c r="U18" s="60" t="str"/>
      <x:c r="V18" s="74" t="str">
        <x:v>28</x:v>
      </x:c>
      <x:c r="W18" s="74" t="str">
        <x:v>25</x:v>
      </x:c>
      <x:c r="X18" s="74" t="str">
        <x:v>12</x:v>
      </x:c>
      <x:c r="Y18" s="74" t="str">
        <x:v>13</x:v>
      </x:c>
      <x:c r="Z18" s="74" t="str">
        <x:v>5</x:v>
      </x:c>
      <x:c r="AA18" s="74" t="str">
        <x:v>1</x:v>
      </x:c>
      <x:c r="AB18" s="74" t="str">
        <x:v>1</x:v>
      </x:c>
      <x:c r="AC18" s="74" t="str">
        <x:v>1</x:v>
      </x:c>
      <x:c r="AD18" s="74" t="str">
        <x:v>0</x:v>
      </x:c>
      <x:c r="AE18" s="74" t="str">
        <x:v>0</x:v>
      </x:c>
      <x:c r="AF18" s="74" t="str"/>
      <x:c r="AG18" s="74" t="str">
        <x:v>0</x:v>
      </x:c>
      <x:c r="AH18" s="74" t="str">
        <x:v>0</x:v>
      </x:c>
      <x:c r="AI18" s="74" t="str">
        <x:v>1</x:v>
      </x:c>
      <x:c r="AJ18" s="74" t="str">
        <x:v>1</x:v>
      </x:c>
      <x:c r="AK18" s="74" t="str">
        <x:v>1</x:v>
      </x:c>
      <x:c r="AL18" s="74" t="str">
        <x:v>0</x:v>
      </x:c>
      <x:c r="AM18" s="74" t="str">
        <x:v>1</x:v>
      </x:c>
      <x:c r="AN18" s="74" t="str">
        <x:v>1</x:v>
      </x:c>
      <x:c r="AO18" s="60" t="str">
        <x:v>2026</x:v>
      </x:c>
      <x:c r="AP18" s="76" t="str">
        <x:v>Meta tracking detected; no embedded homepage video found</x:v>
      </x:c>
      <x:c r="AQ18" s="76" t="str">
        <x:v>Meta Pixel; Google Ads tag; testimonials; financing; visible service offer; no embedded homepage video detected</x:v>
      </x:c>
      <x:c r="AR18" s="76" t="str">
        <x:v>I noticed Berkeley Heating &amp; Air Conditioning's site has Meta tracking installed, but I couldn't find an embedded video on the homepage.</x:v>
      </x:c>
      <x:c r="AS18" s="76" t="str">
        <x:v>no-cool-call to same-day comfort ad</x:v>
      </x:c>
      <x:c r="AT18" s="76" t="str">
        <x:v>Berkeley Heating &amp; Air Conditioning ad concept</x:v>
      </x:c>
      <x:c r="AU18" s="76" t="str">
        <x:v>Hi Berkeley Heating &amp; Air Conditioning — I noticed Berkeley Heating &amp; Air Conditioning's site has Meta tracking installed, but I couldn't find an embedded video on the homepage. I mapped a private 15-second no-cool-call to same-day comfort ad for Berkeley Heating &amp; Air Conditioning using only public brand context—not for publishing, just to show the angle. We build three client-approved video ad concepts in seven days, then turn the winners into fresh variations. No filming day required. Worth sending the private sample?</x:v>
      </x:c>
      <x:c r="AV18" s="76" t="str">
        <x:v>Quick follow-up: the sample angle is a no-cool-call to same-day comfort ad. If it misses the mark, no problem—I won't keep chasing. Should I send it?</x:v>
      </x:c>
      <x:c r="AW18" s="76" t="str">
        <x:v>Hi Berkeley Heating &amp; Air Conditioning, Ryan here. I was looking at Berkeley Heating &amp; Air Conditioning's public marketing and noticed: meta tracking detected; no embedded homepage video found. I mapped one private no-cool-call to same-day comfort ad as an example. Did I catch you with 30 seconds?</x:v>
      </x:c>
      <x:c r="AX18" s="60" t="str">
        <x:v>https://www.facebook.com/ads/library/?active_status=active&amp;ad_type=all&amp;country=US&amp;q=Berkeley%20Heating%20%26%20Air%20Conditioning&amp;search_type=keyword_unordered</x:v>
      </x:c>
      <x:c r="AY18" s="60" t="str">
        <x:v>ok:200</x:v>
      </x:c>
      <x:c r="AZ18" s="60" t="n">
        <x:v>46232.722858796296</x:v>
      </x:c>
      <x:c r="BA18" s="60" t="str">
        <x:v>Google Maps home-services export</x:v>
      </x:c>
      <x:c r="BB18" s="60" t="str">
        <x:v>https://berkeleyheating.com | https://maps.google.com/?cid=1956880769095308759&amp;g_mp=Cidnb29nbGUubWFwcy5wbGFjZXMudjEuUGxhY2VzLlNlYXJjaFRleHQQAhgEIAA</x:v>
      </x:c>
      <x:c r="BC18" s="60" t="str"/>
    </x:row>
    <x:row r="19" ht="18" customHeight="1">
      <x:c r="A19" s="70" t="str">
        <x:v>18</x:v>
      </x:c>
      <x:c r="B19" s="70" t="str">
        <x:v>A - Layup</x:v>
      </x:c>
      <x:c r="C19" s="72" t="str">
        <x:v>82</x:v>
      </x:c>
      <x:c r="D19" s="60" t="str">
        <x:v>ProLift Garage Doors of Charleston</x:v>
      </x:c>
      <x:c r="E19" s="60" t="str">
        <x:v>https://proliftdoors.com</x:v>
      </x:c>
      <x:c r="F19" s="60" t="str">
        <x:v>https://www.proliftdoors.com/</x:v>
      </x:c>
      <x:c r="G19" s="60" t="str">
        <x:v>Mount Pleasant</x:v>
      </x:c>
      <x:c r="H19" s="60" t="str">
        <x:v>South Carolina</x:v>
      </x:c>
      <x:c r="I19" s="60" t="str">
        <x:v>Garage Doors</x:v>
      </x:c>
      <x:c r="J19" s="60" t="str">
        <x:v>Travis</x:v>
      </x:c>
      <x:c r="K19" s="60" t="str">
        <x:v>Nicolette, MBA</x:v>
      </x:c>
      <x:c r="L19" s="60" t="str">
        <x:v>Business Owner</x:v>
      </x:c>
      <x:c r="M19" s="60" t="str">
        <x:v>tnicolette@proliftdoors.com</x:v>
      </x:c>
      <x:c r="N19" s="60" t="str">
        <x:v>Verified with BounceBan on 08 Jun 26 12:06</x:v>
      </x:c>
      <x:c r="O19" s="60" t="str">
        <x:v>+1 803 467 6740</x:v>
      </x:c>
      <x:c r="P19" s="60" t="str">
        <x:v>https://www.linkedin.com/in/travisnicolette</x:v>
      </x:c>
      <x:c r="Q19" s="60" t="str">
        <x:v>2-10</x:v>
      </x:c>
      <x:c r="R19" s="60" t="str">
        <x:v>100000-499999</x:v>
      </x:c>
      <x:c r="S19" s="60" t="str"/>
      <x:c r="T19" s="74" t="str">
        <x:v>0</x:v>
      </x:c>
      <x:c r="U19" s="60" t="str"/>
      <x:c r="V19" s="74" t="str">
        <x:v>23</x:v>
      </x:c>
      <x:c r="W19" s="74" t="str">
        <x:v>25</x:v>
      </x:c>
      <x:c r="X19" s="74" t="str">
        <x:v>12</x:v>
      </x:c>
      <x:c r="Y19" s="74" t="str">
        <x:v>12</x:v>
      </x:c>
      <x:c r="Z19" s="74" t="str">
        <x:v>10</x:v>
      </x:c>
      <x:c r="AA19" s="74" t="str">
        <x:v>1</x:v>
      </x:c>
      <x:c r="AB19" s="74" t="str">
        <x:v>1</x:v>
      </x:c>
      <x:c r="AC19" s="74" t="str">
        <x:v>1</x:v>
      </x:c>
      <x:c r="AD19" s="74" t="str">
        <x:v>0</x:v>
      </x:c>
      <x:c r="AE19" s="74" t="str">
        <x:v>0</x:v>
      </x:c>
      <x:c r="AF19" s="74" t="str"/>
      <x:c r="AG19" s="74" t="str">
        <x:v>0</x:v>
      </x:c>
      <x:c r="AH19" s="74" t="str">
        <x:v>1</x:v>
      </x:c>
      <x:c r="AI19" s="74" t="str">
        <x:v>1</x:v>
      </x:c>
      <x:c r="AJ19" s="74" t="str">
        <x:v>0</x:v>
      </x:c>
      <x:c r="AK19" s="74" t="str">
        <x:v>1</x:v>
      </x:c>
      <x:c r="AL19" s="74" t="str">
        <x:v>1</x:v>
      </x:c>
      <x:c r="AM19" s="74" t="str">
        <x:v>1</x:v>
      </x:c>
      <x:c r="AN19" s="74" t="str">
        <x:v>1</x:v>
      </x:c>
      <x:c r="AO19" s="60" t="str">
        <x:v>2026</x:v>
      </x:c>
      <x:c r="AP19" s="76" t="str">
        <x:v>Meta tracking detected; no embedded homepage video found</x:v>
      </x:c>
      <x:c r="AQ19" s="76" t="str">
        <x:v>Meta Pixel; Google Ads tag; project/gallery proof; testimonials; visible service offer; no embedded homepage video detected</x:v>
      </x:c>
      <x:c r="AR19" s="76" t="str">
        <x:v>I noticed ProLift Garage Doors of Charleston's site has Meta tracking installed, but I couldn't find an embedded video on the homepage.</x:v>
      </x:c>
      <x:c r="AS19" s="76" t="str">
        <x:v>curb-appeal transformation ad</x:v>
      </x:c>
      <x:c r="AT19" s="76" t="str">
        <x:v>ProLift Garage Doors of Charleston ad concept</x:v>
      </x:c>
      <x:c r="AU19" s="76" t="str">
        <x:v>Hi Travis — I noticed ProLift Garage Doors of Charleston's site has Meta tracking installed, but I couldn't find an embedded video on the homepage. I mapped a private 15-second curb-appeal transformation ad for ProLift Garage Doors of Charleston using only public brand context—not for publishing, just to show the angle. We build three client-approved video ad concepts in seven days, then turn the winners into fresh variations. No filming day required. Worth sending the private sample?</x:v>
      </x:c>
      <x:c r="AV19" s="76" t="str">
        <x:v>Quick follow-up: the sample angle is a curb-appeal transformation ad. If it misses the mark, no problem—I won't keep chasing. Should I send it?</x:v>
      </x:c>
      <x:c r="AW19" s="76" t="str">
        <x:v>Hi Travis, Ryan here. I was looking at ProLift Garage Doors of Charleston's public marketing and noticed: meta tracking detected; no embedded homepage video found. I mapped one private curb-appeal transformation ad as an example. Did I catch you with 30 seconds?</x:v>
      </x:c>
      <x:c r="AX19" s="60" t="str">
        <x:v>https://www.facebook.com/ads/library/?active_status=active&amp;ad_type=all&amp;country=US&amp;q=ProLift%20Garage%20Doors%20of%20Charleston&amp;search_type=keyword_unordered</x:v>
      </x:c>
      <x:c r="AY19" s="60" t="str">
        <x:v>ok:200</x:v>
      </x:c>
      <x:c r="AZ19" s="60" t="n">
        <x:v>46232.722858796296</x:v>
      </x:c>
      <x:c r="BA19" s="60" t="str">
        <x:v>AI Ark SC trades export</x:v>
      </x:c>
      <x:c r="BB19" s="60" t="str">
        <x:v>https://proliftdoors.com | https://www.linkedin.com/company/proliftcharleston</x:v>
      </x:c>
      <x:c r="BC19" s="60" t="str"/>
    </x:row>
    <x:row r="20" ht="18" customHeight="1">
      <x:c r="A20" s="70" t="str">
        <x:v>19</x:v>
      </x:c>
      <x:c r="B20" s="70" t="str">
        <x:v>A - Layup</x:v>
      </x:c>
      <x:c r="C20" s="72" t="str">
        <x:v>82</x:v>
      </x:c>
      <x:c r="D20" s="60" t="str">
        <x:v>Flooring Factory</x:v>
      </x:c>
      <x:c r="E20" s="60" t="str">
        <x:v>https://flooringfactorysc.com</x:v>
      </x:c>
      <x:c r="F20" s="60" t="str">
        <x:v>https://www.flooringfactorysc.com/</x:v>
      </x:c>
      <x:c r="G20" s="60" t="str">
        <x:v>Charleston</x:v>
      </x:c>
      <x:c r="H20" s="60" t="str">
        <x:v>South Carolina Metropolitan Area</x:v>
      </x:c>
      <x:c r="I20" s="60" t="str">
        <x:v>Remodeling</x:v>
      </x:c>
      <x:c r="J20" s="60" t="str">
        <x:v>Livia</x:v>
      </x:c>
      <x:c r="K20" s="60" t="str">
        <x:v>Sousa</x:v>
      </x:c>
      <x:c r="L20" s="60" t="str">
        <x:v>Business Owner</x:v>
      </x:c>
      <x:c r="M20" s="60" t="str">
        <x:v>livia@flooringfactorysc.com</x:v>
      </x:c>
      <x:c r="N20" s="60" t="str">
        <x:v>Verified with BounceBan on 08 Jun 26 12:06</x:v>
      </x:c>
      <x:c r="O20" s="60" t="str">
        <x:v>+1 843 514 0684</x:v>
      </x:c>
      <x:c r="P20" s="60" t="str">
        <x:v>https://www.linkedin.com/in/livia-sousa-57b819192</x:v>
      </x:c>
      <x:c r="Q20" s="60" t="str">
        <x:v>2-10</x:v>
      </x:c>
      <x:c r="R20" s="60" t="str">
        <x:v>500000-999999</x:v>
      </x:c>
      <x:c r="S20" s="60" t="str"/>
      <x:c r="T20" s="74" t="str">
        <x:v>0</x:v>
      </x:c>
      <x:c r="U20" s="60" t="str"/>
      <x:c r="V20" s="74" t="str">
        <x:v>27</x:v>
      </x:c>
      <x:c r="W20" s="74" t="str">
        <x:v>25</x:v>
      </x:c>
      <x:c r="X20" s="74" t="str">
        <x:v>12</x:v>
      </x:c>
      <x:c r="Y20" s="74" t="str">
        <x:v>8</x:v>
      </x:c>
      <x:c r="Z20" s="74" t="str">
        <x:v>10</x:v>
      </x:c>
      <x:c r="AA20" s="74" t="str">
        <x:v>1</x:v>
      </x:c>
      <x:c r="AB20" s="74" t="str">
        <x:v>1</x:v>
      </x:c>
      <x:c r="AC20" s="74" t="str">
        <x:v>1</x:v>
      </x:c>
      <x:c r="AD20" s="74" t="str">
        <x:v>0</x:v>
      </x:c>
      <x:c r="AE20" s="74" t="str">
        <x:v>0</x:v>
      </x:c>
      <x:c r="AF20" s="74" t="str"/>
      <x:c r="AG20" s="74" t="str">
        <x:v>0</x:v>
      </x:c>
      <x:c r="AH20" s="74" t="str">
        <x:v>1</x:v>
      </x:c>
      <x:c r="AI20" s="74" t="str">
        <x:v>0</x:v>
      </x:c>
      <x:c r="AJ20" s="74" t="str">
        <x:v>0</x:v>
      </x:c>
      <x:c r="AK20" s="74" t="str">
        <x:v>1</x:v>
      </x:c>
      <x:c r="AL20" s="74" t="str">
        <x:v>1</x:v>
      </x:c>
      <x:c r="AM20" s="74" t="str">
        <x:v>1</x:v>
      </x:c>
      <x:c r="AN20" s="74" t="str">
        <x:v>0</x:v>
      </x:c>
      <x:c r="AO20" s="60" t="str">
        <x:v>2026</x:v>
      </x:c>
      <x:c r="AP20" s="76" t="str">
        <x:v>Meta tracking detected; no embedded homepage video found</x:v>
      </x:c>
      <x:c r="AQ20" s="76" t="str">
        <x:v>Meta Pixel; Google Ads tag; project/gallery proof; visible service offer; no embedded homepage video detected</x:v>
      </x:c>
      <x:c r="AR20" s="76" t="str">
        <x:v>I noticed Flooring Factory's site has Meta tracking installed, but I couldn't find an embedded video on the homepage.</x:v>
      </x:c>
      <x:c r="AS20" s="76" t="str">
        <x:v>project reveal with budget-and-timeline proof</x:v>
      </x:c>
      <x:c r="AT20" s="76" t="str">
        <x:v>Flooring Factory ad concept</x:v>
      </x:c>
      <x:c r="AU20" s="76" t="str">
        <x:v>Hi Livia — I noticed Flooring Factory's site has Meta tracking installed, but I couldn't find an embedded video on the homepage. I mapped a private 15-second project reveal with budget-and-timeline proof for Flooring Factory using only public brand context—not for publishing, just to show the angle. We build three client-approved video ad concepts in seven days, then turn the winners into fresh variations. No filming day required. Worth sending the private sample?</x:v>
      </x:c>
      <x:c r="AV20" s="76" t="str">
        <x:v>Quick follow-up: the sample angle is a project reveal with budget-and-timeline proof. If it misses the mark, no problem—I won't keep chasing. Should I send it?</x:v>
      </x:c>
      <x:c r="AW20" s="76" t="str">
        <x:v>Hi Livia, Ryan here. I was looking at Flooring Factory's public marketing and noticed: meta tracking detected; no embedded homepage video found. I mapped one private project reveal with budget-and-timeline proof as an example. Did I catch you with 30 seconds?</x:v>
      </x:c>
      <x:c r="AX20" s="60" t="str">
        <x:v>https://www.facebook.com/ads/library/?active_status=active&amp;ad_type=all&amp;country=US&amp;q=Flooring%20Factory&amp;search_type=keyword_unordered</x:v>
      </x:c>
      <x:c r="AY20" s="60" t="str">
        <x:v>ok:200</x:v>
      </x:c>
      <x:c r="AZ20" s="60" t="n">
        <x:v>46232.722858796296</x:v>
      </x:c>
      <x:c r="BA20" s="60" t="str">
        <x:v>AI Ark SC trades export</x:v>
      </x:c>
      <x:c r="BB20" s="60" t="str">
        <x:v>https://flooringfactorysc.com | https://www.linkedin.com/company/flooring-factory</x:v>
      </x:c>
      <x:c r="BC20" s="60" t="str"/>
    </x:row>
    <x:row r="21" ht="18" customHeight="1">
      <x:c r="A21" s="70" t="str">
        <x:v>20</x:v>
      </x:c>
      <x:c r="B21" s="70" t="str">
        <x:v>A - Layup</x:v>
      </x:c>
      <x:c r="C21" s="72" t="str">
        <x:v>82</x:v>
      </x:c>
      <x:c r="D21" s="60" t="str">
        <x:v>PROS Heating &amp; Air</x:v>
      </x:c>
      <x:c r="E21" s="60" t="str">
        <x:v>https://prosheatingandair.com</x:v>
      </x:c>
      <x:c r="F21" s="60" t="str">
        <x:v>https://www.prosheatingandair.com/</x:v>
      </x:c>
      <x:c r="G21" s="60" t="str">
        <x:v>Charleston</x:v>
      </x:c>
      <x:c r="H21" s="60" t="str">
        <x:v>South Carolina</x:v>
      </x:c>
      <x:c r="I21" s="60" t="str">
        <x:v>HVAC</x:v>
      </x:c>
      <x:c r="J21" s="60" t="str">
        <x:v>PROS Heating &amp; Air</x:v>
      </x:c>
      <x:c r="K21" s="60" t="str"/>
      <x:c r="L21" s="60" t="str">
        <x:v>Owner / decision maker to verify</x:v>
      </x:c>
      <x:c r="M21" s="60" t="str"/>
      <x:c r="N21" s="60" t="str"/>
      <x:c r="O21" s="60" t="str">
        <x:v>(843) 469-2182</x:v>
      </x:c>
      <x:c r="P21" s="60" t="str"/>
      <x:c r="Q21" s="60" t="str"/>
      <x:c r="R21" s="60" t="str"/>
      <x:c r="S21" s="60" t="str">
        <x:v>5</x:v>
      </x:c>
      <x:c r="T21" s="74" t="str">
        <x:v>147</x:v>
      </x:c>
      <x:c r="U21" s="60" t="str"/>
      <x:c r="V21" s="74" t="str">
        <x:v>28</x:v>
      </x:c>
      <x:c r="W21" s="74" t="str">
        <x:v>21</x:v>
      </x:c>
      <x:c r="X21" s="74" t="str">
        <x:v>19</x:v>
      </x:c>
      <x:c r="Y21" s="74" t="str">
        <x:v>9</x:v>
      </x:c>
      <x:c r="Z21" s="74" t="str">
        <x:v>5</x:v>
      </x:c>
      <x:c r="AA21" s="74" t="str">
        <x:v>0</x:v>
      </x:c>
      <x:c r="AB21" s="74" t="str">
        <x:v>1</x:v>
      </x:c>
      <x:c r="AC21" s="74" t="str">
        <x:v>1</x:v>
      </x:c>
      <x:c r="AD21" s="74" t="str">
        <x:v>0</x:v>
      </x:c>
      <x:c r="AE21" s="74" t="str">
        <x:v>1</x:v>
      </x:c>
      <x:c r="AF21" s="74" t="str"/>
      <x:c r="AG21" s="74" t="str">
        <x:v>0</x:v>
      </x:c>
      <x:c r="AH21" s="74" t="str">
        <x:v>0</x:v>
      </x:c>
      <x:c r="AI21" s="74" t="str">
        <x:v>0</x:v>
      </x:c>
      <x:c r="AJ21" s="74" t="str">
        <x:v>1</x:v>
      </x:c>
      <x:c r="AK21" s="74" t="str">
        <x:v>1</x:v>
      </x:c>
      <x:c r="AL21" s="74" t="str">
        <x:v>0</x:v>
      </x:c>
      <x:c r="AM21" s="74" t="str">
        <x:v>1</x:v>
      </x:c>
      <x:c r="AN21" s="74" t="str">
        <x:v>0</x:v>
      </x:c>
      <x:c r="AO21" s="60" t="str">
        <x:v>2017</x:v>
      </x:c>
      <x:c r="AP21" s="76" t="str">
        <x:v>Google Ads tag detected; no embedded homepage video found</x:v>
      </x:c>
      <x:c r="AQ21" s="76" t="str">
        <x:v>Google Ads tag; call tracking; financing; visible service offer; no embedded homepage video detected</x:v>
      </x:c>
      <x:c r="AR21" s="76" t="str">
        <x:v>I noticed PROS Heating &amp; Air's site has a Google Ads tag installed, but I couldn't find an embedded video on the homepage.</x:v>
      </x:c>
      <x:c r="AS21" s="76" t="str">
        <x:v>no-cool-call to same-day comfort ad</x:v>
      </x:c>
      <x:c r="AT21" s="76" t="str">
        <x:v>PROS Heating &amp; Air ad concept</x:v>
      </x:c>
      <x:c r="AU21" s="76" t="str">
        <x:v>Hi PROS Heating &amp; Air — I noticed PROS Heating &amp; Air's site has a Google Ads tag installed, but I couldn't find an embedded video on the homepage. I mapped a private 15-second no-cool-call to same-day comfort ad for PROS Heating &amp; Air using only public brand context—not for publishing, just to show the angle. We build three client-approved video ad concepts in seven days, then turn the winners into fresh variations. No filming day required. Worth sending the private sample?</x:v>
      </x:c>
      <x:c r="AV21" s="76" t="str">
        <x:v>Quick follow-up: the sample angle is a no-cool-call to same-day comfort ad. If it misses the mark, no problem—I won't keep chasing. Should I send it?</x:v>
      </x:c>
      <x:c r="AW21" s="76" t="str">
        <x:v>Hi PROS Heating &amp; Air, Ryan here. I was looking at PROS Heating &amp; Air's public marketing and noticed: google ads tag detected; no embedded homepage video found. I mapped one private no-cool-call to same-day comfort ad as an example. Did I catch you with 30 seconds?</x:v>
      </x:c>
      <x:c r="AX21" s="60" t="str">
        <x:v>https://www.facebook.com/ads/library/?active_status=active&amp;ad_type=all&amp;country=US&amp;q=PROS%20Heating%20%26%20Air&amp;search_type=keyword_unordered</x:v>
      </x:c>
      <x:c r="AY21" s="60" t="str">
        <x:v>ok:200</x:v>
      </x:c>
      <x:c r="AZ21" s="60" t="n">
        <x:v>46232.722858796296</x:v>
      </x:c>
      <x:c r="BA21" s="60" t="str">
        <x:v>Google Maps home-services export</x:v>
      </x:c>
      <x:c r="BB21" s="60" t="str">
        <x:v>https://maps.google.com/?cid=7226547245292835234&amp;g_mp=Cidnb29nbGUubWFwcy5wbGFjZXMudjEuUGxhY2VzLlNlYXJjaFRleHQQAhgEIAA | https://prosheatingandair.com</x:v>
      </x:c>
      <x:c r="BC21" s="60" t="str"/>
    </x:row>
    <x:row r="22" ht="18" customHeight="1">
      <x:c r="A22" s="70" t="str">
        <x:v>21</x:v>
      </x:c>
      <x:c r="B22" s="70" t="str">
        <x:v>A - Layup</x:v>
      </x:c>
      <x:c r="C22" s="72" t="str">
        <x:v>81</x:v>
      </x:c>
      <x:c r="D22" s="60" t="str">
        <x:v>Bee Roofing Inc</x:v>
      </x:c>
      <x:c r="E22" s="60" t="str">
        <x:v>https://beeroofing.com</x:v>
      </x:c>
      <x:c r="F22" s="60" t="str">
        <x:v>https://beeroofing.com</x:v>
      </x:c>
      <x:c r="G22" s="60" t="str">
        <x:v>Rock Hill</x:v>
      </x:c>
      <x:c r="H22" s="60" t="str">
        <x:v>South Carolina</x:v>
      </x:c>
      <x:c r="I22" s="60" t="str">
        <x:v>Roofing</x:v>
      </x:c>
      <x:c r="J22" s="60" t="str">
        <x:v>Bee Roofing Inc</x:v>
      </x:c>
      <x:c r="K22" s="60" t="str"/>
      <x:c r="L22" s="60" t="str">
        <x:v>Owner / decision maker to verify</x:v>
      </x:c>
      <x:c r="M22" s="60" t="str"/>
      <x:c r="N22" s="60" t="str"/>
      <x:c r="O22" s="60" t="str">
        <x:v>(803) 232-7536</x:v>
      </x:c>
      <x:c r="P22" s="60" t="str"/>
      <x:c r="Q22" s="60" t="str"/>
      <x:c r="R22" s="60" t="str"/>
      <x:c r="S22" s="60" t="str">
        <x:v>4.9</x:v>
      </x:c>
      <x:c r="T22" s="74" t="str">
        <x:v>29</x:v>
      </x:c>
      <x:c r="U22" s="60" t="str"/>
      <x:c r="V22" s="74" t="str">
        <x:v>25</x:v>
      </x:c>
      <x:c r="W22" s="74" t="str">
        <x:v>25</x:v>
      </x:c>
      <x:c r="X22" s="74" t="str">
        <x:v>16</x:v>
      </x:c>
      <x:c r="Y22" s="74" t="str">
        <x:v>10</x:v>
      </x:c>
      <x:c r="Z22" s="74" t="str">
        <x:v>5</x:v>
      </x:c>
      <x:c r="AA22" s="74" t="str">
        <x:v>1</x:v>
      </x:c>
      <x:c r="AB22" s="74" t="str">
        <x:v>1</x:v>
      </x:c>
      <x:c r="AC22" s="74" t="str">
        <x:v>1</x:v>
      </x:c>
      <x:c r="AD22" s="74" t="str">
        <x:v>0</x:v>
      </x:c>
      <x:c r="AE22" s="74" t="str">
        <x:v>0</x:v>
      </x:c>
      <x:c r="AF22" s="74" t="str"/>
      <x:c r="AG22" s="74" t="str">
        <x:v>0</x:v>
      </x:c>
      <x:c r="AH22" s="74" t="str">
        <x:v>0</x:v>
      </x:c>
      <x:c r="AI22" s="74" t="str">
        <x:v>1</x:v>
      </x:c>
      <x:c r="AJ22" s="74" t="str">
        <x:v>1</x:v>
      </x:c>
      <x:c r="AK22" s="74" t="str">
        <x:v>1</x:v>
      </x:c>
      <x:c r="AL22" s="74" t="str">
        <x:v>0</x:v>
      </x:c>
      <x:c r="AM22" s="74" t="str">
        <x:v>1</x:v>
      </x:c>
      <x:c r="AN22" s="74" t="str">
        <x:v>0</x:v>
      </x:c>
      <x:c r="AO22" s="60" t="str">
        <x:v>2025</x:v>
      </x:c>
      <x:c r="AP22" s="76" t="str">
        <x:v>Meta tracking detected; no embedded homepage video found</x:v>
      </x:c>
      <x:c r="AQ22" s="76" t="str">
        <x:v>Meta Pixel; Google Ads tag; testimonials; financing; visible service offer; no embedded homepage video detected</x:v>
      </x:c>
      <x:c r="AR22" s="76" t="str">
        <x:v>I noticed Bee Roofing Inc's site has Meta tracking installed, but I couldn't find an embedded video on the homepage.</x:v>
      </x:c>
      <x:c r="AS22" s="76" t="str">
        <x:v>storm-to-inspection before/after ad</x:v>
      </x:c>
      <x:c r="AT22" s="76" t="str">
        <x:v>Bee Roofing Inc ad concept</x:v>
      </x:c>
      <x:c r="AU22" s="76" t="str">
        <x:v>Hi Bee Roofing Inc — I noticed Bee Roofing Inc's site has Meta tracking installed, but I couldn't find an embedded video on the homepage. I mapped a private 15-second storm-to-inspection before/after ad for Bee Roofing Inc using only public brand context—not for publishing, just to show the angle. We build three client-approved video ad concepts in seven days, then turn the winners into fresh variations. No filming day required. Worth sending the private sample?</x:v>
      </x:c>
      <x:c r="AV22" s="76" t="str">
        <x:v>Quick follow-up: the sample angle is a storm-to-inspection before/after ad. If it misses the mark, no problem—I won't keep chasing. Should I send it?</x:v>
      </x:c>
      <x:c r="AW22" s="76" t="str">
        <x:v>Hi Bee Roofing Inc, Ryan here. I was looking at Bee Roofing Inc's public marketing and noticed: meta tracking detected; no embedded homepage video found. I mapped one private storm-to-inspection before/after ad as an example. Did I catch you with 30 seconds?</x:v>
      </x:c>
      <x:c r="AX22" s="60" t="str">
        <x:v>https://www.facebook.com/ads/library/?active_status=active&amp;ad_type=all&amp;country=US&amp;q=Bee%20Roofing%20Inc&amp;search_type=keyword_unordered</x:v>
      </x:c>
      <x:c r="AY22" s="60" t="str">
        <x:v>ok:200</x:v>
      </x:c>
      <x:c r="AZ22" s="60" t="n">
        <x:v>46232.722858796296</x:v>
      </x:c>
      <x:c r="BA22" s="60" t="str">
        <x:v>Google Maps home-services export</x:v>
      </x:c>
      <x:c r="BB22" s="60" t="str">
        <x:v>https://beeroofing.com | https://maps.google.com/?cid=11707155156042730449&amp;g_mp=Cidnb29nbGUubWFwcy5wbGFjZXMudjEuUGxhY2VzLlNlYXJjaFRleHQQAhgEIAA</x:v>
      </x:c>
      <x:c r="BC22" s="60" t="str"/>
    </x:row>
    <x:row r="23" ht="18" customHeight="1">
      <x:c r="A23" s="70" t="str">
        <x:v>22</x:v>
      </x:c>
      <x:c r="B23" s="70" t="str">
        <x:v>A - Layup</x:v>
      </x:c>
      <x:c r="C23" s="72" t="str">
        <x:v>81</x:v>
      </x:c>
      <x:c r="D23" s="60" t="str">
        <x:v>Firefly Solar</x:v>
      </x:c>
      <x:c r="E23" s="60" t="str">
        <x:v>https://firefly.solar</x:v>
      </x:c>
      <x:c r="F23" s="60" t="str">
        <x:v>https://firefly.solar</x:v>
      </x:c>
      <x:c r="G23" s="60" t="str">
        <x:v>Easley</x:v>
      </x:c>
      <x:c r="H23" s="60" t="str">
        <x:v>South Carolina</x:v>
      </x:c>
      <x:c r="I23" s="60" t="str">
        <x:v>Roofing</x:v>
      </x:c>
      <x:c r="J23" s="60" t="str">
        <x:v>Aaron</x:v>
      </x:c>
      <x:c r="K23" s="60" t="str">
        <x:v>Davis</x:v>
      </x:c>
      <x:c r="L23" s="60" t="str">
        <x:v>Owner - President</x:v>
      </x:c>
      <x:c r="M23" s="60" t="str">
        <x:v>aaron.d@firefly.solar</x:v>
      </x:c>
      <x:c r="N23" s="60" t="str">
        <x:v>Verified with BounceBan on 08 Jun 26 12:06</x:v>
      </x:c>
      <x:c r="O23" s="60" t="str">
        <x:v>+1 646 258 6045</x:v>
      </x:c>
      <x:c r="P23" s="60" t="str">
        <x:v>https://www.linkedin.com/in/aaron-davis-4a6b9928</x:v>
      </x:c>
      <x:c r="Q23" s="60" t="str">
        <x:v>11-50</x:v>
      </x:c>
      <x:c r="R23" s="60" t="str">
        <x:v>1000000-4999999</x:v>
      </x:c>
      <x:c r="S23" s="60" t="str"/>
      <x:c r="T23" s="74" t="str">
        <x:v>0</x:v>
      </x:c>
      <x:c r="U23" s="60" t="str"/>
      <x:c r="V23" s="74" t="str">
        <x:v>30</x:v>
      </x:c>
      <x:c r="W23" s="74" t="str">
        <x:v>25</x:v>
      </x:c>
      <x:c r="X23" s="74" t="str">
        <x:v>12</x:v>
      </x:c>
      <x:c r="Y23" s="74" t="str">
        <x:v>4</x:v>
      </x:c>
      <x:c r="Z23" s="74" t="str">
        <x:v>10</x:v>
      </x:c>
      <x:c r="AA23" s="74" t="str">
        <x:v>1</x:v>
      </x:c>
      <x:c r="AB23" s="74" t="str">
        <x:v>1</x:v>
      </x:c>
      <x:c r="AC23" s="74" t="str">
        <x:v>1</x:v>
      </x:c>
      <x:c r="AD23" s="74" t="str">
        <x:v>0</x:v>
      </x:c>
      <x:c r="AE23" s="74" t="str">
        <x:v>0</x:v>
      </x:c>
      <x:c r="AF23" s="74" t="str"/>
      <x:c r="AG23" s="74" t="str">
        <x:v>0</x:v>
      </x:c>
      <x:c r="AH23" s="74" t="str">
        <x:v>0</x:v>
      </x:c>
      <x:c r="AI23" s="74" t="str">
        <x:v>1</x:v>
      </x:c>
      <x:c r="AJ23" s="74" t="str">
        <x:v>0</x:v>
      </x:c>
      <x:c r="AK23" s="74" t="str">
        <x:v>0</x:v>
      </x:c>
      <x:c r="AL23" s="74" t="str">
        <x:v>1</x:v>
      </x:c>
      <x:c r="AM23" s="74" t="str">
        <x:v>1</x:v>
      </x:c>
      <x:c r="AN23" s="74" t="str">
        <x:v>0</x:v>
      </x:c>
      <x:c r="AO23" s="60" t="str">
        <x:v>0</x:v>
      </x:c>
      <x:c r="AP23" s="76" t="str">
        <x:v>Meta tracking detected; no embedded homepage video found</x:v>
      </x:c>
      <x:c r="AQ23" s="76" t="str">
        <x:v>Meta Pixel; Google Ads tag; testimonials; no embedded homepage video detected</x:v>
      </x:c>
      <x:c r="AR23" s="76" t="str">
        <x:v>I noticed Firefly Solar's site has Meta tracking installed, but I couldn't find an embedded video on the homepage.</x:v>
      </x:c>
      <x:c r="AS23" s="76" t="str">
        <x:v>storm-to-inspection before/after ad</x:v>
      </x:c>
      <x:c r="AT23" s="76" t="str">
        <x:v>Firefly Solar ad concept</x:v>
      </x:c>
      <x:c r="AU23" s="76" t="str">
        <x:v>Hi Aaron — I noticed Firefly Solar's site has Meta tracking installed, but I couldn't find an embedded video on the homepage. I mapped a private 15-second storm-to-inspection before/after ad for Firefly Solar using only public brand context—not for publishing, just to show the angle. We build three client-approved video ad concepts in seven days, then turn the winners into fresh variations. No filming day required. Worth sending the private sample?</x:v>
      </x:c>
      <x:c r="AV23" s="76" t="str">
        <x:v>Quick follow-up: the sample angle is a storm-to-inspection before/after ad. If it misses the mark, no problem—I won't keep chasing. Should I send it?</x:v>
      </x:c>
      <x:c r="AW23" s="76" t="str">
        <x:v>Hi Aaron, Ryan here. I was looking at Firefly Solar's public marketing and noticed: meta tracking detected; no embedded homepage video found. I mapped one private storm-to-inspection before/after ad as an example. Did I catch you with 30 seconds?</x:v>
      </x:c>
      <x:c r="AX23" s="60" t="str">
        <x:v>https://www.facebook.com/ads/library/?active_status=active&amp;ad_type=all&amp;country=US&amp;q=Firefly%20Solar&amp;search_type=keyword_unordered</x:v>
      </x:c>
      <x:c r="AY23" s="60" t="str">
        <x:v>ok:200</x:v>
      </x:c>
      <x:c r="AZ23" s="60" t="n">
        <x:v>46232.722858796296</x:v>
      </x:c>
      <x:c r="BA23" s="60" t="str">
        <x:v>AI Ark SC trades export</x:v>
      </x:c>
      <x:c r="BB23" s="60" t="str">
        <x:v>https://firefly.solar | https://www.linkedin.com/company/fireflylife</x:v>
      </x:c>
      <x:c r="BC23" s="60" t="str"/>
    </x:row>
    <x:row r="24" ht="18" customHeight="1">
      <x:c r="A24" s="70" t="str">
        <x:v>23</x:v>
      </x:c>
      <x:c r="B24" s="70" t="str">
        <x:v>A - Layup</x:v>
      </x:c>
      <x:c r="C24" s="72" t="str">
        <x:v>81</x:v>
      </x:c>
      <x:c r="D24" s="60" t="str">
        <x:v>redbox+ Dumpsters</x:v>
      </x:c>
      <x:c r="E24" s="60" t="str">
        <x:v>https://redboxplus.com</x:v>
      </x:c>
      <x:c r="F24" s="60" t="str">
        <x:v>https://www.redboxplus.com/</x:v>
      </x:c>
      <x:c r="G24" s="60" t="str">
        <x:v>Greenville</x:v>
      </x:c>
      <x:c r="H24" s="60" t="str">
        <x:v>South Carolina</x:v>
      </x:c>
      <x:c r="I24" s="60" t="str">
        <x:v>General Contractor</x:v>
      </x:c>
      <x:c r="J24" s="60" t="str">
        <x:v>Kathy</x:v>
      </x:c>
      <x:c r="K24" s="60" t="str">
        <x:v>Bullock</x:v>
      </x:c>
      <x:c r="L24" s="60" t="str">
        <x:v>Business Owner</x:v>
      </x:c>
      <x:c r="M24" s="60" t="str">
        <x:v>kbullock@redboxplus.com</x:v>
      </x:c>
      <x:c r="N24" s="60" t="str">
        <x:v>Verified with BounceBan on 07 Jun 26 21:05</x:v>
      </x:c>
      <x:c r="O24" s="60" t="str">
        <x:v>+1 843 425 9721</x:v>
      </x:c>
      <x:c r="P24" s="60" t="str">
        <x:v>https://www.linkedin.com/in/kathy-bullock-09bb5644</x:v>
      </x:c>
      <x:c r="Q24" s="60" t="str">
        <x:v>11-50</x:v>
      </x:c>
      <x:c r="R24" s="60" t="str">
        <x:v>1000000-4999999</x:v>
      </x:c>
      <x:c r="S24" s="60" t="str"/>
      <x:c r="T24" s="74" t="str">
        <x:v>0</x:v>
      </x:c>
      <x:c r="U24" s="60" t="str"/>
      <x:c r="V24" s="74" t="str">
        <x:v>27</x:v>
      </x:c>
      <x:c r="W24" s="74" t="str">
        <x:v>17</x:v>
      </x:c>
      <x:c r="X24" s="74" t="str">
        <x:v>15</x:v>
      </x:c>
      <x:c r="Y24" s="74" t="str">
        <x:v>12</x:v>
      </x:c>
      <x:c r="Z24" s="74" t="str">
        <x:v>10</x:v>
      </x:c>
      <x:c r="AA24" s="74" t="str">
        <x:v>1</x:v>
      </x:c>
      <x:c r="AB24" s="74" t="str">
        <x:v>0</x:v>
      </x:c>
      <x:c r="AC24" s="74" t="str">
        <x:v>0</x:v>
      </x:c>
      <x:c r="AD24" s="74" t="str">
        <x:v>1</x:v>
      </x:c>
      <x:c r="AE24" s="74" t="str">
        <x:v>0</x:v>
      </x:c>
      <x:c r="AF24" s="74" t="str"/>
      <x:c r="AG24" s="74" t="str">
        <x:v>0</x:v>
      </x:c>
      <x:c r="AH24" s="74" t="str">
        <x:v>1</x:v>
      </x:c>
      <x:c r="AI24" s="74" t="str">
        <x:v>1</x:v>
      </x:c>
      <x:c r="AJ24" s="74" t="str">
        <x:v>0</x:v>
      </x:c>
      <x:c r="AK24" s="74" t="str">
        <x:v>1</x:v>
      </x:c>
      <x:c r="AL24" s="74" t="str">
        <x:v>1</x:v>
      </x:c>
      <x:c r="AM24" s="74" t="str">
        <x:v>1</x:v>
      </x:c>
      <x:c r="AN24" s="74" t="str">
        <x:v>0</x:v>
      </x:c>
      <x:c r="AO24" s="60" t="str">
        <x:v>2022</x:v>
      </x:c>
      <x:c r="AP24" s="76" t="str">
        <x:v>Meta tracking detected; no embedded homepage video found</x:v>
      </x:c>
      <x:c r="AQ24" s="76" t="str">
        <x:v>Meta Pixel; TikTok Pixel; project/gallery proof; testimonials; visible service offer; no embedded homepage video detected</x:v>
      </x:c>
      <x:c r="AR24" s="76" t="str">
        <x:v>I noticed redbox+ Dumpsters's site has Meta tracking installed, but I couldn't find an embedded video on the homepage.</x:v>
      </x:c>
      <x:c r="AS24" s="76" t="str">
        <x:v>project walkthrough with proof milestones</x:v>
      </x:c>
      <x:c r="AT24" s="76" t="str">
        <x:v>redbox+ Dumpsters ad concept</x:v>
      </x:c>
      <x:c r="AU24" s="76" t="str">
        <x:v>Hi Kathy — I noticed redbox+ Dumpsters's site has Meta tracking installed, but I couldn't find an embedded video on the homepage. I mapped a private 15-second project walkthrough with proof milestones for redbox+ Dumpsters using only public brand context—not for publishing, just to show the angle. We build three client-approved video ad concepts in seven days, then turn the winners into fresh variations. No filming day required. Worth sending the private sample?</x:v>
      </x:c>
      <x:c r="AV24" s="76" t="str">
        <x:v>Quick follow-up: the sample angle is a project walkthrough with proof milestones. If it misses the mark, no problem—I won't keep chasing. Should I send it?</x:v>
      </x:c>
      <x:c r="AW24" s="76" t="str">
        <x:v>Hi Kathy, Ryan here. I was looking at redbox+ Dumpsters's public marketing and noticed: meta tracking detected; no embedded homepage video found. I mapped one private project walkthrough with proof milestones as an example. Did I catch you with 30 seconds?</x:v>
      </x:c>
      <x:c r="AX24" s="60" t="str">
        <x:v>https://www.facebook.com/ads/library/?active_status=active&amp;ad_type=all&amp;country=US&amp;q=redbox%2B%20Dumpsters&amp;search_type=keyword_unordered</x:v>
      </x:c>
      <x:c r="AY24" s="60" t="str">
        <x:v>ok:200</x:v>
      </x:c>
      <x:c r="AZ24" s="60" t="n">
        <x:v>46232.722858796296</x:v>
      </x:c>
      <x:c r="BA24" s="60" t="str">
        <x:v>AI Ark SC trades export</x:v>
      </x:c>
      <x:c r="BB24" s="60" t="str">
        <x:v>https://redboxplus.com | https://www.linkedin.com/company/redboxplusdumpsters</x:v>
      </x:c>
      <x:c r="BC24" s="60" t="str"/>
    </x:row>
    <x:row r="25" ht="18" customHeight="1">
      <x:c r="A25" s="70" t="str">
        <x:v>24</x:v>
      </x:c>
      <x:c r="B25" s="70" t="str">
        <x:v>A - Layup</x:v>
      </x:c>
      <x:c r="C25" s="72" t="str">
        <x:v>80</x:v>
      </x:c>
      <x:c r="D25" s="60" t="str">
        <x:v>MP Landscape Design</x:v>
      </x:c>
      <x:c r="E25" s="60" t="str">
        <x:v>https://mplandscapedesign.com</x:v>
      </x:c>
      <x:c r="F25" s="60" t="str">
        <x:v>https://mplandscapedesign.com</x:v>
      </x:c>
      <x:c r="G25" s="60" t="str">
        <x:v>Mount Pleasant</x:v>
      </x:c>
      <x:c r="H25" s="60" t="str">
        <x:v>South Carolina</x:v>
      </x:c>
      <x:c r="I25" s="60" t="str">
        <x:v>Landscaping &amp; Tree</x:v>
      </x:c>
      <x:c r="J25" s="60" t="str">
        <x:v>Matt</x:v>
      </x:c>
      <x:c r="K25" s="60" t="str">
        <x:v>Preuss</x:v>
      </x:c>
      <x:c r="L25" s="60" t="str">
        <x:v>Owner</x:v>
      </x:c>
      <x:c r="M25" s="60" t="str">
        <x:v>matt@mplandscapedesign.com</x:v>
      </x:c>
      <x:c r="N25" s="60" t="str">
        <x:v>Verified with BounceBan on 08 Jun 26 12:06</x:v>
      </x:c>
      <x:c r="O25" s="60" t="str">
        <x:v>+1 310 462 6628</x:v>
      </x:c>
      <x:c r="P25" s="60" t="str">
        <x:v>https://www.linkedin.com/in/mattpreuss</x:v>
      </x:c>
      <x:c r="Q25" s="60" t="str">
        <x:v>2-10</x:v>
      </x:c>
      <x:c r="R25" s="60" t="str">
        <x:v>100000-499999</x:v>
      </x:c>
      <x:c r="S25" s="60" t="str"/>
      <x:c r="T25" s="74" t="str">
        <x:v>0</x:v>
      </x:c>
      <x:c r="U25" s="60" t="str"/>
      <x:c r="V25" s="74" t="str">
        <x:v>22</x:v>
      </x:c>
      <x:c r="W25" s="74" t="str">
        <x:v>25</x:v>
      </x:c>
      <x:c r="X25" s="74" t="str">
        <x:v>12</x:v>
      </x:c>
      <x:c r="Y25" s="74" t="str">
        <x:v>11</x:v>
      </x:c>
      <x:c r="Z25" s="74" t="str">
        <x:v>10</x:v>
      </x:c>
      <x:c r="AA25" s="74" t="str">
        <x:v>1</x:v>
      </x:c>
      <x:c r="AB25" s="74" t="str">
        <x:v>1</x:v>
      </x:c>
      <x:c r="AC25" s="74" t="str">
        <x:v>1</x:v>
      </x:c>
      <x:c r="AD25" s="74" t="str">
        <x:v>0</x:v>
      </x:c>
      <x:c r="AE25" s="74" t="str">
        <x:v>0</x:v>
      </x:c>
      <x:c r="AF25" s="74" t="str"/>
      <x:c r="AG25" s="74" t="str">
        <x:v>0</x:v>
      </x:c>
      <x:c r="AH25" s="74" t="str">
        <x:v>1</x:v>
      </x:c>
      <x:c r="AI25" s="74" t="str">
        <x:v>0</x:v>
      </x:c>
      <x:c r="AJ25" s="74" t="str">
        <x:v>1</x:v>
      </x:c>
      <x:c r="AK25" s="74" t="str">
        <x:v>1</x:v>
      </x:c>
      <x:c r="AL25" s="74" t="str">
        <x:v>1</x:v>
      </x:c>
      <x:c r="AM25" s="74" t="str">
        <x:v>1</x:v>
      </x:c>
      <x:c r="AN25" s="74" t="str">
        <x:v>0</x:v>
      </x:c>
      <x:c r="AO25" s="60" t="str">
        <x:v>2026</x:v>
      </x:c>
      <x:c r="AP25" s="76" t="str">
        <x:v>Meta tracking detected; no embedded homepage video found</x:v>
      </x:c>
      <x:c r="AQ25" s="76" t="str">
        <x:v>Meta Pixel; Google Ads tag; project/gallery proof; financing; visible service offer; no embedded homepage video detected</x:v>
      </x:c>
      <x:c r="AR25" s="76" t="str">
        <x:v>I noticed MP Landscape Design's site has Meta tracking installed, but I couldn't find an embedded video on the homepage.</x:v>
      </x:c>
      <x:c r="AS25" s="76" t="str">
        <x:v>property transformation ad</x:v>
      </x:c>
      <x:c r="AT25" s="76" t="str">
        <x:v>MP Landscape Design ad concept</x:v>
      </x:c>
      <x:c r="AU25" s="76" t="str">
        <x:v>Hi Matt — I noticed MP Landscape Design's site has Meta tracking installed, but I couldn't find an embedded video on the homepage. I mapped a private 15-second property transformation ad for MP Landscape Design using only public brand context—not for publishing, just to show the angle. We build three client-approved video ad concepts in seven days, then turn the winners into fresh variations. No filming day required. Worth sending the private sample?</x:v>
      </x:c>
      <x:c r="AV25" s="76" t="str">
        <x:v>Quick follow-up: the sample angle is a property transformation ad. If it misses the mark, no problem—I won't keep chasing. Should I send it?</x:v>
      </x:c>
      <x:c r="AW25" s="76" t="str">
        <x:v>Hi Matt, Ryan here. I was looking at MP Landscape Design's public marketing and noticed: meta tracking detected; no embedded homepage video found. I mapped one private property transformation ad as an example. Did I catch you with 30 seconds?</x:v>
      </x:c>
      <x:c r="AX25" s="60" t="str">
        <x:v>https://www.facebook.com/ads/library/?active_status=active&amp;ad_type=all&amp;country=US&amp;q=MP%20Landscape%20Design&amp;search_type=keyword_unordered</x:v>
      </x:c>
      <x:c r="AY25" s="60" t="str">
        <x:v>ok:200</x:v>
      </x:c>
      <x:c r="AZ25" s="60" t="n">
        <x:v>46232.722858796296</x:v>
      </x:c>
      <x:c r="BA25" s="60" t="str">
        <x:v>AI Ark SC trades export</x:v>
      </x:c>
      <x:c r="BB25" s="60" t="str">
        <x:v>https://mplandscapedesign.com | https://www.linkedin.com/company/mp-landscape-design</x:v>
      </x:c>
      <x:c r="BC25" s="60" t="str"/>
    </x:row>
    <x:row r="26" ht="18" customHeight="1">
      <x:c r="A26" s="70" t="str">
        <x:v>25</x:v>
      </x:c>
      <x:c r="B26" s="70" t="str">
        <x:v>A - Layup</x:v>
      </x:c>
      <x:c r="C26" s="72" t="str">
        <x:v>80</x:v>
      </x:c>
      <x:c r="D26" s="60" t="str">
        <x:v>AGL Services</x:v>
      </x:c>
      <x:c r="E26" s="60" t="str">
        <x:v>https://aglair.com</x:v>
      </x:c>
      <x:c r="F26" s="60" t="str">
        <x:v>https://www.aglair.com/</x:v>
      </x:c>
      <x:c r="G26" s="60" t="str">
        <x:v>Johns Island</x:v>
      </x:c>
      <x:c r="H26" s="60" t="str">
        <x:v>South Carolina</x:v>
      </x:c>
      <x:c r="I26" s="60" t="str">
        <x:v>HVAC</x:v>
      </x:c>
      <x:c r="J26" s="60" t="str">
        <x:v>Richard</x:v>
      </x:c>
      <x:c r="K26" s="60" t="str">
        <x:v>Lingle</x:v>
      </x:c>
      <x:c r="L26" s="60" t="str">
        <x:v>Co-Owner</x:v>
      </x:c>
      <x:c r="M26" s="60" t="str">
        <x:v>richardlingle@aglair.com</x:v>
      </x:c>
      <x:c r="N26" s="60" t="str">
        <x:v>Verified with BounceBan on 08 Jun 26 12:06</x:v>
      </x:c>
      <x:c r="O26" s="60" t="str">
        <x:v>+1 843 795 0066</x:v>
      </x:c>
      <x:c r="P26" s="60" t="str">
        <x:v>https://www.linkedin.com/in/richard-lingle-613649162</x:v>
      </x:c>
      <x:c r="Q26" s="60" t="str">
        <x:v>11-50</x:v>
      </x:c>
      <x:c r="R26" s="60" t="str">
        <x:v>100000-499999</x:v>
      </x:c>
      <x:c r="S26" s="60" t="str"/>
      <x:c r="T26" s="74" t="str">
        <x:v>0</x:v>
      </x:c>
      <x:c r="U26" s="60" t="str"/>
      <x:c r="V26" s="74" t="str">
        <x:v>30</x:v>
      </x:c>
      <x:c r="W26" s="74" t="str">
        <x:v>18</x:v>
      </x:c>
      <x:c r="X26" s="74" t="str">
        <x:v>12</x:v>
      </x:c>
      <x:c r="Y26" s="74" t="str">
        <x:v>10</x:v>
      </x:c>
      <x:c r="Z26" s="74" t="str">
        <x:v>10</x:v>
      </x:c>
      <x:c r="AA26" s="74" t="str">
        <x:v>1</x:v>
      </x:c>
      <x:c r="AB26" s="74" t="str">
        <x:v>0</x:v>
      </x:c>
      <x:c r="AC26" s="74" t="str">
        <x:v>1</x:v>
      </x:c>
      <x:c r="AD26" s="74" t="str">
        <x:v>0</x:v>
      </x:c>
      <x:c r="AE26" s="74" t="str">
        <x:v>0</x:v>
      </x:c>
      <x:c r="AF26" s="74" t="str">
        <x:v>podium</x:v>
      </x:c>
      <x:c r="AG26" s="74" t="str">
        <x:v>0</x:v>
      </x:c>
      <x:c r="AH26" s="74" t="str">
        <x:v>0</x:v>
      </x:c>
      <x:c r="AI26" s="74" t="str">
        <x:v>1</x:v>
      </x:c>
      <x:c r="AJ26" s="74" t="str">
        <x:v>1</x:v>
      </x:c>
      <x:c r="AK26" s="74" t="str">
        <x:v>1</x:v>
      </x:c>
      <x:c r="AL26" s="74" t="str">
        <x:v>0</x:v>
      </x:c>
      <x:c r="AM26" s="74" t="str">
        <x:v>1</x:v>
      </x:c>
      <x:c r="AN26" s="74" t="str">
        <x:v>1</x:v>
      </x:c>
      <x:c r="AO26" s="60" t="str">
        <x:v>2026</x:v>
      </x:c>
      <x:c r="AP26" s="76" t="str">
        <x:v>Meta tracking detected; no embedded homepage video found</x:v>
      </x:c>
      <x:c r="AQ26" s="76" t="str">
        <x:v>Meta Pixel; testimonials; financing; visible service offer; no embedded homepage video detected</x:v>
      </x:c>
      <x:c r="AR26" s="76" t="str">
        <x:v>I noticed AGL Services's site has Meta tracking installed, but I couldn't find an embedded video on the homepage.</x:v>
      </x:c>
      <x:c r="AS26" s="76" t="str">
        <x:v>no-cool-call to same-day comfort ad</x:v>
      </x:c>
      <x:c r="AT26" s="76" t="str">
        <x:v>AGL Services ad concept</x:v>
      </x:c>
      <x:c r="AU26" s="76" t="str">
        <x:v>Hi Richard — I noticed AGL Services's site has Meta tracking installed, but I couldn't find an embedded video on the homepage. I mapped a private 15-second no-cool-call to same-day comfort ad for AGL Services using only public brand context—not for publishing, just to show the angle. We build three client-approved video ad concepts in seven days, then turn the winners into fresh variations. No filming day required. Worth sending the private sample?</x:v>
      </x:c>
      <x:c r="AV26" s="76" t="str">
        <x:v>Quick follow-up: the sample angle is a no-cool-call to same-day comfort ad. If it misses the mark, no problem—I won't keep chasing. Should I send it?</x:v>
      </x:c>
      <x:c r="AW26" s="76" t="str">
        <x:v>Hi Richard, Ryan here. I was looking at AGL Services's public marketing and noticed: meta tracking detected; no embedded homepage video found. I mapped one private no-cool-call to same-day comfort ad as an example. Did I catch you with 30 seconds?</x:v>
      </x:c>
      <x:c r="AX26" s="60" t="str">
        <x:v>https://www.facebook.com/ads/library/?active_status=active&amp;ad_type=all&amp;country=US&amp;q=AGL%20Services&amp;search_type=keyword_unordered</x:v>
      </x:c>
      <x:c r="AY26" s="60" t="str">
        <x:v>ok:200</x:v>
      </x:c>
      <x:c r="AZ26" s="60" t="n">
        <x:v>46232.722858796296</x:v>
      </x:c>
      <x:c r="BA26" s="60" t="str">
        <x:v>AI Ark SC trades export</x:v>
      </x:c>
      <x:c r="BB26" s="60" t="str">
        <x:v>https://aglair.com | https://www.linkedin.com/company/agl-services-sc</x:v>
      </x:c>
      <x:c r="BC26" s="60" t="str"/>
    </x:row>
    <x:row r="27" ht="18" customHeight="1">
      <x:c r="A27" s="70" t="str">
        <x:v>26</x:v>
      </x:c>
      <x:c r="B27" s="70" t="str">
        <x:v>A - Layup</x:v>
      </x:c>
      <x:c r="C27" s="72" t="str">
        <x:v>80</x:v>
      </x:c>
      <x:c r="D27" s="60" t="str">
        <x:v>Advantage AC, Tire &amp; Repair</x:v>
      </x:c>
      <x:c r="E27" s="60" t="str">
        <x:v>https://advantagemuffler.net</x:v>
      </x:c>
      <x:c r="F27" s="60" t="str">
        <x:v>https://www.advantagemuffler.net/</x:v>
      </x:c>
      <x:c r="G27" s="60" t="str">
        <x:v>Spartanburg</x:v>
      </x:c>
      <x:c r="H27" s="60" t="str">
        <x:v>South Carolina</x:v>
      </x:c>
      <x:c r="I27" s="60" t="str">
        <x:v>HVAC</x:v>
      </x:c>
      <x:c r="J27" s="60" t="str">
        <x:v>Advantage AC, Tire &amp; Repair</x:v>
      </x:c>
      <x:c r="K27" s="60" t="str"/>
      <x:c r="L27" s="60" t="str">
        <x:v>Owner / decision maker to verify</x:v>
      </x:c>
      <x:c r="M27" s="60" t="str"/>
      <x:c r="N27" s="60" t="str"/>
      <x:c r="O27" s="60" t="str">
        <x:v>(864) 410-2466</x:v>
      </x:c>
      <x:c r="P27" s="60" t="str"/>
      <x:c r="Q27" s="60" t="str"/>
      <x:c r="R27" s="60" t="str"/>
      <x:c r="S27" s="60" t="str">
        <x:v>4.8</x:v>
      </x:c>
      <x:c r="T27" s="74" t="str">
        <x:v>449</x:v>
      </x:c>
      <x:c r="U27" s="60" t="str">
        <x:v>slow_response</x:v>
      </x:c>
      <x:c r="V27" s="74" t="str">
        <x:v>29</x:v>
      </x:c>
      <x:c r="W27" s="74" t="str">
        <x:v>13</x:v>
      </x:c>
      <x:c r="X27" s="74" t="str">
        <x:v>18</x:v>
      </x:c>
      <x:c r="Y27" s="74" t="str">
        <x:v>15</x:v>
      </x:c>
      <x:c r="Z27" s="74" t="str">
        <x:v>5</x:v>
      </x:c>
      <x:c r="AA27" s="74" t="str">
        <x:v>0</x:v>
      </x:c>
      <x:c r="AB27" s="74" t="str">
        <x:v>1</x:v>
      </x:c>
      <x:c r="AC27" s="74" t="str">
        <x:v>1</x:v>
      </x:c>
      <x:c r="AD27" s="74" t="str">
        <x:v>0</x:v>
      </x:c>
      <x:c r="AE27" s="74" t="str">
        <x:v>0</x:v>
      </x:c>
      <x:c r="AF27" s="74" t="str"/>
      <x:c r="AG27" s="74" t="str">
        <x:v>0</x:v>
      </x:c>
      <x:c r="AH27" s="74" t="str">
        <x:v>1</x:v>
      </x:c>
      <x:c r="AI27" s="74" t="str">
        <x:v>1</x:v>
      </x:c>
      <x:c r="AJ27" s="74" t="str">
        <x:v>1</x:v>
      </x:c>
      <x:c r="AK27" s="74" t="str">
        <x:v>0</x:v>
      </x:c>
      <x:c r="AL27" s="74" t="str">
        <x:v>0</x:v>
      </x:c>
      <x:c r="AM27" s="74" t="str">
        <x:v>1</x:v>
      </x:c>
      <x:c r="AN27" s="74" t="str">
        <x:v>0</x:v>
      </x:c>
      <x:c r="AO27" s="60" t="str">
        <x:v>0</x:v>
      </x:c>
      <x:c r="AP27" s="76" t="str">
        <x:v>Google Ads tag detected; no embedded homepage video found</x:v>
      </x:c>
      <x:c r="AQ27" s="76" t="str">
        <x:v>Google Ads tag; project/gallery proof; testimonials; financing; no embedded homepage video detected</x:v>
      </x:c>
      <x:c r="AR27" s="76" t="str">
        <x:v>I noticed Advantage AC, Tire &amp; Repair's site has a Google Ads tag installed, but I couldn't find an embedded video on the homepage.</x:v>
      </x:c>
      <x:c r="AS27" s="76" t="str">
        <x:v>no-cool-call to same-day comfort ad</x:v>
      </x:c>
      <x:c r="AT27" s="76" t="str">
        <x:v>Advantage AC, Tire &amp; Repair ad concept</x:v>
      </x:c>
      <x:c r="AU27" s="76" t="str">
        <x:v>Hi Advantage AC, Tire &amp; Repair — I noticed Advantage AC, Tire &amp; Repair's site has a Google Ads tag installed, but I couldn't find an embedded video on the homepage. I mapped a private 15-second no-cool-call to same-day comfort ad for Advantage AC, Tire &amp; Repair using only public brand context—not for publishing, just to show the angle. We build three client-approved video ad concepts in seven days, then turn the winners into fresh variations. No filming day required. Worth sending the private sample?</x:v>
      </x:c>
      <x:c r="AV27" s="76" t="str">
        <x:v>Quick follow-up: the sample angle is a no-cool-call to same-day comfort ad. If it misses the mark, no problem—I won't keep chasing. Should I send it?</x:v>
      </x:c>
      <x:c r="AW27" s="76" t="str">
        <x:v>Hi Advantage AC, Tire &amp; Repair, Ryan here. I was looking at Advantage AC, Tire &amp; Repair's public marketing and noticed: google ads tag detected; no embedded homepage video found. I mapped one private no-cool-call to same-day comfort ad as an example. Did I catch you with 30 seconds?</x:v>
      </x:c>
      <x:c r="AX27" s="60" t="str">
        <x:v>https://www.facebook.com/ads/library/?active_status=active&amp;ad_type=all&amp;country=US&amp;q=Advantage%20AC%2C%20Tire%20%26%20Repair&amp;search_type=keyword_unordered</x:v>
      </x:c>
      <x:c r="AY27" s="60" t="str">
        <x:v>ok:200</x:v>
      </x:c>
      <x:c r="AZ27" s="60" t="n">
        <x:v>46232.722858796296</x:v>
      </x:c>
      <x:c r="BA27" s="60" t="str">
        <x:v>Google Maps home-services export</x:v>
      </x:c>
      <x:c r="BB27" s="60" t="str">
        <x:v>https://advantagemuffler.net | https://maps.google.com/?cid=5982344988083806862&amp;g_mp=Cidnb29nbGUubWFwcy5wbGFjZXMudjEuUGxhY2VzLlNlYXJjaFRleHQQAhgEIAA</x:v>
      </x:c>
      <x:c r="BC27" s="60" t="str"/>
    </x:row>
    <x:row r="28" ht="18" customHeight="1">
      <x:c r="A28" s="70" t="str">
        <x:v>27</x:v>
      </x:c>
      <x:c r="B28" s="70" t="str">
        <x:v>A - Layup</x:v>
      </x:c>
      <x:c r="C28" s="72" t="str">
        <x:v>79</x:v>
      </x:c>
      <x:c r="D28" s="60" t="str">
        <x:v>Air Solutions Heating and Cooling</x:v>
      </x:c>
      <x:c r="E28" s="60" t="str">
        <x:v>https://airsolutionssc.com</x:v>
      </x:c>
      <x:c r="F28" s="60" t="str">
        <x:v>https://www.airsolutionssc.com/</x:v>
      </x:c>
      <x:c r="G28" s="60" t="str">
        <x:v>Florence</x:v>
      </x:c>
      <x:c r="H28" s="60" t="str">
        <x:v>South Carolina</x:v>
      </x:c>
      <x:c r="I28" s="60" t="str">
        <x:v>HVAC</x:v>
      </x:c>
      <x:c r="J28" s="60" t="str">
        <x:v>Air Solutions Heating and Cooling</x:v>
      </x:c>
      <x:c r="K28" s="60" t="str"/>
      <x:c r="L28" s="60" t="str">
        <x:v>Owner / decision maker to verify</x:v>
      </x:c>
      <x:c r="M28" s="60" t="str"/>
      <x:c r="N28" s="60" t="str"/>
      <x:c r="O28" s="60" t="str">
        <x:v>(843) 755-6879</x:v>
      </x:c>
      <x:c r="P28" s="60" t="str"/>
      <x:c r="Q28" s="60" t="str"/>
      <x:c r="R28" s="60" t="str"/>
      <x:c r="S28" s="60" t="str">
        <x:v>4.8</x:v>
      </x:c>
      <x:c r="T28" s="74" t="str">
        <x:v>364</x:v>
      </x:c>
      <x:c r="U28" s="60" t="str">
        <x:v>slow_response</x:v>
      </x:c>
      <x:c r="V28" s="74" t="str">
        <x:v>29</x:v>
      </x:c>
      <x:c r="W28" s="74" t="str">
        <x:v>28</x:v>
      </x:c>
      <x:c r="X28" s="74" t="str">
        <x:v>14</x:v>
      </x:c>
      <x:c r="Y28" s="74" t="str">
        <x:v>3</x:v>
      </x:c>
      <x:c r="Z28" s="74" t="str">
        <x:v>5</x:v>
      </x:c>
      <x:c r="AA28" s="74" t="str">
        <x:v>1</x:v>
      </x:c>
      <x:c r="AB28" s="74" t="str">
        <x:v>1</x:v>
      </x:c>
      <x:c r="AC28" s="74" t="str">
        <x:v>1</x:v>
      </x:c>
      <x:c r="AD28" s="74" t="str">
        <x:v>0</x:v>
      </x:c>
      <x:c r="AE28" s="74" t="str">
        <x:v>0</x:v>
      </x:c>
      <x:c r="AF28" s="74" t="str">
        <x:v>podium</x:v>
      </x:c>
      <x:c r="AG28" s="74" t="str">
        <x:v>0</x:v>
      </x:c>
      <x:c r="AH28" s="74" t="str">
        <x:v>0</x:v>
      </x:c>
      <x:c r="AI28" s="74" t="str">
        <x:v>0</x:v>
      </x:c>
      <x:c r="AJ28" s="74" t="str">
        <x:v>0</x:v>
      </x:c>
      <x:c r="AK28" s="74" t="str">
        <x:v>0</x:v>
      </x:c>
      <x:c r="AL28" s="74" t="str">
        <x:v>1</x:v>
      </x:c>
      <x:c r="AM28" s="74" t="str">
        <x:v>1</x:v>
      </x:c>
      <x:c r="AN28" s="74" t="str">
        <x:v>1</x:v>
      </x:c>
      <x:c r="AO28" s="60" t="str">
        <x:v>2026</x:v>
      </x:c>
      <x:c r="AP28" s="76" t="str">
        <x:v>Meta tracking detected; no embedded homepage video found</x:v>
      </x:c>
      <x:c r="AQ28" s="76" t="str">
        <x:v>Meta Pixel; Google Ads tag; no embedded homepage video detected</x:v>
      </x:c>
      <x:c r="AR28" s="76" t="str">
        <x:v>I noticed Air Solutions Heating and Cooling's site has Meta tracking installed, but I couldn't find an embedded video on the homepage.</x:v>
      </x:c>
      <x:c r="AS28" s="76" t="str">
        <x:v>no-cool-call to same-day comfort ad</x:v>
      </x:c>
      <x:c r="AT28" s="76" t="str">
        <x:v>Air Solutions Heating and Cooling ad concept</x:v>
      </x:c>
      <x:c r="AU28" s="76" t="str">
        <x:v>Hi Air Solutions Heating and Cooling — I noticed Air Solutions Heating and Cooling's site has Meta tracking installed, but I couldn't find an embedded video on the homepage. I mapped a private 15-second no-cool-call to same-day comfort ad for Air Solutions Heating and Cooling using only public brand context—not for publishing, just to show the angle. We build three client-approved video ad concepts in seven days, then turn the winners into fresh variations. No filming day required. Worth sending the private sample?</x:v>
      </x:c>
      <x:c r="AV28" s="76" t="str">
        <x:v>Quick follow-up: the sample angle is a no-cool-call to same-day comfort ad. If it misses the mark, no problem—I won't keep chasing. Should I send it?</x:v>
      </x:c>
      <x:c r="AW28" s="76" t="str">
        <x:v>Hi Air Solutions Heating and Cooling, Ryan here. I was looking at Air Solutions Heating and Cooling's public marketing and noticed: meta tracking detected; no embedded homepage video found. I mapped one private no-cool-call to same-day comfort ad as an example. Did I catch you with 30 seconds?</x:v>
      </x:c>
      <x:c r="AX28" s="60" t="str">
        <x:v>https://www.facebook.com/ads/library/?active_status=active&amp;ad_type=all&amp;country=US&amp;q=Air%20Solutions%20Heating%20and%20Cooling&amp;search_type=keyword_unordered</x:v>
      </x:c>
      <x:c r="AY28" s="60" t="str">
        <x:v>ok:200</x:v>
      </x:c>
      <x:c r="AZ28" s="60" t="n">
        <x:v>46232.722858796296</x:v>
      </x:c>
      <x:c r="BA28" s="60" t="str">
        <x:v>Google Maps home-services export</x:v>
      </x:c>
      <x:c r="BB28" s="60" t="str">
        <x:v>https://airsolutionssc.com | https://maps.google.com/?cid=7971838879598348295&amp;g_mp=Cidnb29nbGUubWFwcy5wbGFjZXMudjEuUGxhY2VzLlNlYXJjaFRleHQQAhgEIAA</x:v>
      </x:c>
      <x:c r="BC28" s="60" t="str"/>
    </x:row>
    <x:row r="29" ht="18" customHeight="1">
      <x:c r="A29" s="70" t="str">
        <x:v>28</x:v>
      </x:c>
      <x:c r="B29" s="70" t="str">
        <x:v>A - Layup</x:v>
      </x:c>
      <x:c r="C29" s="72" t="str">
        <x:v>79</x:v>
      </x:c>
      <x:c r="D29" s="60" t="str">
        <x:v>J&amp;S Flooring</x:v>
      </x:c>
      <x:c r="E29" s="60" t="str">
        <x:v>https://jsflooring.com</x:v>
      </x:c>
      <x:c r="F29" s="60" t="str">
        <x:v>https://www.jsflooring.com/</x:v>
      </x:c>
      <x:c r="G29" s="60" t="str">
        <x:v>Georgetown</x:v>
      </x:c>
      <x:c r="H29" s="60" t="str">
        <x:v>South Carolina</x:v>
      </x:c>
      <x:c r="I29" s="60" t="str">
        <x:v>Flooring</x:v>
      </x:c>
      <x:c r="J29" s="60" t="str">
        <x:v>Thomas</x:v>
      </x:c>
      <x:c r="K29" s="60" t="str">
        <x:v>Brown</x:v>
      </x:c>
      <x:c r="L29" s="60" t="str">
        <x:v>President/Owner</x:v>
      </x:c>
      <x:c r="M29" s="60" t="str">
        <x:v>tbrown@jsflooring.com</x:v>
      </x:c>
      <x:c r="N29" s="60" t="str">
        <x:v>Verified with BounceBan on 08 Jun 26 12:06</x:v>
      </x:c>
      <x:c r="O29" s="60" t="str"/>
      <x:c r="P29" s="60" t="str">
        <x:v>https://www.linkedin.com/in/thomas-brown-1415b271</x:v>
      </x:c>
      <x:c r="Q29" s="60" t="str">
        <x:v>2-10</x:v>
      </x:c>
      <x:c r="R29" s="60" t="str">
        <x:v>100000-499999</x:v>
      </x:c>
      <x:c r="S29" s="60" t="str"/>
      <x:c r="T29" s="74" t="str">
        <x:v>0</x:v>
      </x:c>
      <x:c r="U29" s="60" t="str"/>
      <x:c r="V29" s="74" t="str">
        <x:v>23</x:v>
      </x:c>
      <x:c r="W29" s="74" t="str">
        <x:v>25</x:v>
      </x:c>
      <x:c r="X29" s="74" t="str">
        <x:v>16</x:v>
      </x:c>
      <x:c r="Y29" s="74" t="str">
        <x:v>8</x:v>
      </x:c>
      <x:c r="Z29" s="74" t="str">
        <x:v>7</x:v>
      </x:c>
      <x:c r="AA29" s="74" t="str">
        <x:v>1</x:v>
      </x:c>
      <x:c r="AB29" s="74" t="str">
        <x:v>1</x:v>
      </x:c>
      <x:c r="AC29" s="74" t="str">
        <x:v>1</x:v>
      </x:c>
      <x:c r="AD29" s="74" t="str">
        <x:v>0</x:v>
      </x:c>
      <x:c r="AE29" s="74" t="str">
        <x:v>0</x:v>
      </x:c>
      <x:c r="AF29" s="74" t="str"/>
      <x:c r="AG29" s="74" t="str">
        <x:v>0</x:v>
      </x:c>
      <x:c r="AH29" s="74" t="str">
        <x:v>1</x:v>
      </x:c>
      <x:c r="AI29" s="74" t="str">
        <x:v>0</x:v>
      </x:c>
      <x:c r="AJ29" s="74" t="str">
        <x:v>1</x:v>
      </x:c>
      <x:c r="AK29" s="74" t="str">
        <x:v>0</x:v>
      </x:c>
      <x:c r="AL29" s="74" t="str">
        <x:v>0</x:v>
      </x:c>
      <x:c r="AM29" s="74" t="str">
        <x:v>1</x:v>
      </x:c>
      <x:c r="AN29" s="74" t="str">
        <x:v>0</x:v>
      </x:c>
      <x:c r="AO29" s="60" t="str">
        <x:v>2026</x:v>
      </x:c>
      <x:c r="AP29" s="76" t="str">
        <x:v>Meta tracking detected; no embedded homepage video found</x:v>
      </x:c>
      <x:c r="AQ29" s="76" t="str">
        <x:v>Meta Pixel; Google Ads tag; project/gallery proof; financing; no embedded homepage video detected</x:v>
      </x:c>
      <x:c r="AR29" s="76" t="str">
        <x:v>I noticed J&amp;S Flooring's site has Meta tracking installed, but I couldn't find an embedded video on the homepage.</x:v>
      </x:c>
      <x:c r="AS29" s="76" t="str">
        <x:v>room transformation before/after ad</x:v>
      </x:c>
      <x:c r="AT29" s="76" t="str">
        <x:v>J&amp;S Flooring ad concept</x:v>
      </x:c>
      <x:c r="AU29" s="76" t="str">
        <x:v>Hi Thomas — I noticed J&amp;S Flooring's site has Meta tracking installed, but I couldn't find an embedded video on the homepage. I mapped a private 15-second room transformation before/after ad for J&amp;S Flooring using only public brand context—not for publishing, just to show the angle. We build three client-approved video ad concepts in seven days, then turn the winners into fresh variations. No filming day required. Worth sending the private sample?</x:v>
      </x:c>
      <x:c r="AV29" s="76" t="str">
        <x:v>Quick follow-up: the sample angle is a room transformation before/after ad. If it misses the mark, no problem—I won't keep chasing. Should I send it?</x:v>
      </x:c>
      <x:c r="AW29" s="76" t="str">
        <x:v>Hi Thomas, Ryan here. I was looking at J&amp;S Flooring's public marketing and noticed: meta tracking detected; no embedded homepage video found. I mapped one private room transformation before/after ad as an example. Did I catch you with 30 seconds?</x:v>
      </x:c>
      <x:c r="AX29" s="60" t="str">
        <x:v>https://www.facebook.com/ads/library/?active_status=active&amp;ad_type=all&amp;country=US&amp;q=J%26S%20Flooring&amp;search_type=keyword_unordered</x:v>
      </x:c>
      <x:c r="AY29" s="60" t="str">
        <x:v>ok:200</x:v>
      </x:c>
      <x:c r="AZ29" s="60" t="n">
        <x:v>46232.722858796296</x:v>
      </x:c>
      <x:c r="BA29" s="60" t="str">
        <x:v>AI Ark SC trades export</x:v>
      </x:c>
      <x:c r="BB29" s="60" t="str">
        <x:v>https://jsflooring.com | https://www.linkedin.com/company/j-s-flooring</x:v>
      </x:c>
      <x:c r="BC29" s="60" t="str"/>
    </x:row>
    <x:row r="30" ht="18" customHeight="1">
      <x:c r="A30" s="70" t="str">
        <x:v>29</x:v>
      </x:c>
      <x:c r="B30" s="70" t="str">
        <x:v>A - Layup</x:v>
      </x:c>
      <x:c r="C30" s="72" t="str">
        <x:v>79</x:v>
      </x:c>
      <x:c r="D30" s="60" t="str">
        <x:v>Carolina Air, Inc</x:v>
      </x:c>
      <x:c r="E30" s="60" t="str">
        <x:v>https://carolina-air.com</x:v>
      </x:c>
      <x:c r="F30" s="60" t="str">
        <x:v>https://carolina-air.com</x:v>
      </x:c>
      <x:c r="G30" s="60" t="str">
        <x:v>Beaufort</x:v>
      </x:c>
      <x:c r="H30" s="60" t="str">
        <x:v>South Carolina</x:v>
      </x:c>
      <x:c r="I30" s="60" t="str">
        <x:v>HVAC</x:v>
      </x:c>
      <x:c r="J30" s="60" t="str">
        <x:v>Carolina Air, Inc</x:v>
      </x:c>
      <x:c r="K30" s="60" t="str"/>
      <x:c r="L30" s="60" t="str">
        <x:v>Owner / decision maker to verify</x:v>
      </x:c>
      <x:c r="M30" s="60" t="str"/>
      <x:c r="N30" s="60" t="str"/>
      <x:c r="O30" s="60" t="str">
        <x:v>(843) 524-2581</x:v>
      </x:c>
      <x:c r="P30" s="60" t="str"/>
      <x:c r="Q30" s="60" t="str"/>
      <x:c r="R30" s="60" t="str"/>
      <x:c r="S30" s="60" t="str">
        <x:v>4.8</x:v>
      </x:c>
      <x:c r="T30" s="74" t="str">
        <x:v>196</x:v>
      </x:c>
      <x:c r="U30" s="60" t="str"/>
      <x:c r="V30" s="74" t="str">
        <x:v>28</x:v>
      </x:c>
      <x:c r="W30" s="74" t="str">
        <x:v>16</x:v>
      </x:c>
      <x:c r="X30" s="74" t="str">
        <x:v>15</x:v>
      </x:c>
      <x:c r="Y30" s="74" t="str">
        <x:v>15</x:v>
      </x:c>
      <x:c r="Z30" s="74" t="str">
        <x:v>5</x:v>
      </x:c>
      <x:c r="AA30" s="74" t="str">
        <x:v>0</x:v>
      </x:c>
      <x:c r="AB30" s="74" t="str">
        <x:v>1</x:v>
      </x:c>
      <x:c r="AC30" s="74" t="str">
        <x:v>1</x:v>
      </x:c>
      <x:c r="AD30" s="74" t="str">
        <x:v>0</x:v>
      </x:c>
      <x:c r="AE30" s="74" t="str">
        <x:v>0</x:v>
      </x:c>
      <x:c r="AF30" s="74" t="str">
        <x:v>podium</x:v>
      </x:c>
      <x:c r="AG30" s="74" t="str">
        <x:v>0</x:v>
      </x:c>
      <x:c r="AH30" s="74" t="str">
        <x:v>1</x:v>
      </x:c>
      <x:c r="AI30" s="74" t="str">
        <x:v>1</x:v>
      </x:c>
      <x:c r="AJ30" s="74" t="str">
        <x:v>0</x:v>
      </x:c>
      <x:c r="AK30" s="74" t="str">
        <x:v>1</x:v>
      </x:c>
      <x:c r="AL30" s="74" t="str">
        <x:v>1</x:v>
      </x:c>
      <x:c r="AM30" s="74" t="str">
        <x:v>1</x:v>
      </x:c>
      <x:c r="AN30" s="74" t="str">
        <x:v>1</x:v>
      </x:c>
      <x:c r="AO30" s="60" t="str">
        <x:v>2020</x:v>
      </x:c>
      <x:c r="AP30" s="76" t="str">
        <x:v>Google Ads tag detected; no embedded homepage video found</x:v>
      </x:c>
      <x:c r="AQ30" s="76" t="str">
        <x:v>Google Ads tag; project/gallery proof; testimonials; visible service offer; no embedded homepage video detected</x:v>
      </x:c>
      <x:c r="AR30" s="76" t="str">
        <x:v>I noticed Carolina Air, Inc's site has a Google Ads tag installed, but I couldn't find an embedded video on the homepage.</x:v>
      </x:c>
      <x:c r="AS30" s="76" t="str">
        <x:v>no-cool-call to same-day comfort ad</x:v>
      </x:c>
      <x:c r="AT30" s="76" t="str">
        <x:v>Carolina Air, Inc ad concept</x:v>
      </x:c>
      <x:c r="AU30" s="76" t="str">
        <x:v>Hi Carolina Air, Inc — I noticed Carolina Air, Inc's site has a Google Ads tag installed, but I couldn't find an embedded video on the homepage. I mapped a private 15-second no-cool-call to same-day comfort ad for Carolina Air, Inc using only public brand context—not for publishing, just to show the angle. We build three client-approved video ad concepts in seven days, then turn the winners into fresh variations. No filming day required. Worth sending the private sample?</x:v>
      </x:c>
      <x:c r="AV30" s="76" t="str">
        <x:v>Quick follow-up: the sample angle is a no-cool-call to same-day comfort ad. If it misses the mark, no problem—I won't keep chasing. Should I send it?</x:v>
      </x:c>
      <x:c r="AW30" s="76" t="str">
        <x:v>Hi Carolina Air, Inc, Ryan here. I was looking at Carolina Air, Inc's public marketing and noticed: google ads tag detected; no embedded homepage video found. I mapped one private no-cool-call to same-day comfort ad as an example. Did I catch you with 30 seconds?</x:v>
      </x:c>
      <x:c r="AX30" s="60" t="str">
        <x:v>https://www.facebook.com/ads/library/?active_status=active&amp;ad_type=all&amp;country=US&amp;q=Carolina%20Air%2C%20Inc&amp;search_type=keyword_unordered</x:v>
      </x:c>
      <x:c r="AY30" s="60" t="str">
        <x:v>ok:200</x:v>
      </x:c>
      <x:c r="AZ30" s="60" t="n">
        <x:v>46232.722858796296</x:v>
      </x:c>
      <x:c r="BA30" s="60" t="str">
        <x:v>Google Maps home-services export</x:v>
      </x:c>
      <x:c r="BB30" s="60" t="str">
        <x:v>https://carolina-air.com | https://maps.google.com/?cid=14960300563692119148&amp;g_mp=Cidnb29nbGUubWFwcy5wbGFjZXMudjEuUGxhY2VzLlNlYXJjaFRleHQQAhgEIAA</x:v>
      </x:c>
      <x:c r="BC30" s="60" t="str"/>
    </x:row>
    <x:row r="31" ht="18" customHeight="1">
      <x:c r="A31" s="70" t="str">
        <x:v>30</x:v>
      </x:c>
      <x:c r="B31" s="70" t="str">
        <x:v>A - Layup</x:v>
      </x:c>
      <x:c r="C31" s="72" t="str">
        <x:v>79</x:v>
      </x:c>
      <x:c r="D31" s="60" t="str">
        <x:v>Blue Ridge Heating and Air</x:v>
      </x:c>
      <x:c r="E31" s="60" t="str">
        <x:v>https://blueridgeheatingair.com</x:v>
      </x:c>
      <x:c r="F31" s="60" t="str">
        <x:v>https://blueridgeheatingair.com</x:v>
      </x:c>
      <x:c r="G31" s="60" t="str">
        <x:v>Greenville</x:v>
      </x:c>
      <x:c r="H31" s="60" t="str">
        <x:v>South Carolina</x:v>
      </x:c>
      <x:c r="I31" s="60" t="str">
        <x:v>HVAC</x:v>
      </x:c>
      <x:c r="J31" s="60" t="str">
        <x:v>Blue Ridge Heating and Air</x:v>
      </x:c>
      <x:c r="K31" s="60" t="str"/>
      <x:c r="L31" s="60" t="str">
        <x:v>Owner / decision maker to verify</x:v>
      </x:c>
      <x:c r="M31" s="60" t="str"/>
      <x:c r="N31" s="60" t="str"/>
      <x:c r="O31" s="60" t="str">
        <x:v>(864) 485-6509</x:v>
      </x:c>
      <x:c r="P31" s="60" t="str"/>
      <x:c r="Q31" s="60" t="str"/>
      <x:c r="R31" s="60" t="str"/>
      <x:c r="S31" s="60" t="str">
        <x:v>5</x:v>
      </x:c>
      <x:c r="T31" s="74" t="str">
        <x:v>313</x:v>
      </x:c>
      <x:c r="U31" s="60" t="str"/>
      <x:c r="V31" s="74" t="str">
        <x:v>29</x:v>
      </x:c>
      <x:c r="W31" s="74" t="str">
        <x:v>16</x:v>
      </x:c>
      <x:c r="X31" s="74" t="str">
        <x:v>15</x:v>
      </x:c>
      <x:c r="Y31" s="74" t="str">
        <x:v>14</x:v>
      </x:c>
      <x:c r="Z31" s="74" t="str">
        <x:v>5</x:v>
      </x:c>
      <x:c r="AA31" s="74" t="str">
        <x:v>0</x:v>
      </x:c>
      <x:c r="AB31" s="74" t="str">
        <x:v>1</x:v>
      </x:c>
      <x:c r="AC31" s="74" t="str">
        <x:v>1</x:v>
      </x:c>
      <x:c r="AD31" s="74" t="str">
        <x:v>0</x:v>
      </x:c>
      <x:c r="AE31" s="74" t="str">
        <x:v>0</x:v>
      </x:c>
      <x:c r="AF31" s="74" t="str">
        <x:v>servicetitan</x:v>
      </x:c>
      <x:c r="AG31" s="74" t="str">
        <x:v>0</x:v>
      </x:c>
      <x:c r="AH31" s="74" t="str">
        <x:v>1</x:v>
      </x:c>
      <x:c r="AI31" s="74" t="str">
        <x:v>0</x:v>
      </x:c>
      <x:c r="AJ31" s="74" t="str">
        <x:v>1</x:v>
      </x:c>
      <x:c r="AK31" s="74" t="str">
        <x:v>1</x:v>
      </x:c>
      <x:c r="AL31" s="74" t="str">
        <x:v>1</x:v>
      </x:c>
      <x:c r="AM31" s="74" t="str">
        <x:v>1</x:v>
      </x:c>
      <x:c r="AN31" s="74" t="str">
        <x:v>1</x:v>
      </x:c>
      <x:c r="AO31" s="60" t="str">
        <x:v>2024</x:v>
      </x:c>
      <x:c r="AP31" s="76" t="str">
        <x:v>Google Ads tag detected; no embedded homepage video found</x:v>
      </x:c>
      <x:c r="AQ31" s="76" t="str">
        <x:v>Google Ads tag; project/gallery proof; financing; visible service offer; no embedded homepage video detected</x:v>
      </x:c>
      <x:c r="AR31" s="76" t="str">
        <x:v>I noticed Blue Ridge Heating and Air's site has a Google Ads tag installed, but I couldn't find an embedded video on the homepage.</x:v>
      </x:c>
      <x:c r="AS31" s="76" t="str">
        <x:v>no-cool-call to same-day comfort ad</x:v>
      </x:c>
      <x:c r="AT31" s="76" t="str">
        <x:v>Blue Ridge Heating and Air ad concept</x:v>
      </x:c>
      <x:c r="AU31" s="76" t="str">
        <x:v>Hi Blue Ridge Heating and Air — I noticed Blue Ridge Heating and Air's site has a Google Ads tag installed, but I couldn't find an embedded video on the homepage. I mapped a private 15-second no-cool-call to same-day comfort ad for Blue Ridge Heating and Air using only public brand context—not for publishing, just to show the angle. We build three client-approved video ad concepts in seven days, then turn the winners into fresh variations. No filming day required. Worth sending the private sample?</x:v>
      </x:c>
      <x:c r="AV31" s="76" t="str">
        <x:v>Quick follow-up: the sample angle is a no-cool-call to same-day comfort ad. If it misses the mark, no problem—I won't keep chasing. Should I send it?</x:v>
      </x:c>
      <x:c r="AW31" s="76" t="str">
        <x:v>Hi Blue Ridge Heating and Air, Ryan here. I was looking at Blue Ridge Heating and Air's public marketing and noticed: google ads tag detected; no embedded homepage video found. I mapped one private no-cool-call to same-day comfort ad as an example. Did I catch you with 30 seconds?</x:v>
      </x:c>
      <x:c r="AX31" s="60" t="str">
        <x:v>https://www.facebook.com/ads/library/?active_status=active&amp;ad_type=all&amp;country=US&amp;q=Blue%20Ridge%20Heating%20and%20Air&amp;search_type=keyword_unordered</x:v>
      </x:c>
      <x:c r="AY31" s="60" t="str">
        <x:v>ok:200</x:v>
      </x:c>
      <x:c r="AZ31" s="60" t="n">
        <x:v>46232.722858796296</x:v>
      </x:c>
      <x:c r="BA31" s="60" t="str">
        <x:v>Google Maps home-services export</x:v>
      </x:c>
      <x:c r="BB31" s="60" t="str">
        <x:v>https://blueridgeheatingair.com | https://maps.google.com/?cid=5802991259489075038&amp;g_mp=Cidnb29nbGUubWFwcy5wbGFjZXMudjEuUGxhY2VzLlNlYXJjaFRleHQQAhgEIAA</x:v>
      </x:c>
      <x:c r="BC31" s="60" t="str"/>
    </x:row>
    <x:row r="32" ht="18" customHeight="1">
      <x:c r="A32" s="70" t="str">
        <x:v>31</x:v>
      </x:c>
      <x:c r="B32" s="70" t="str">
        <x:v>A - Layup</x:v>
      </x:c>
      <x:c r="C32" s="72" t="str">
        <x:v>78</x:v>
      </x:c>
      <x:c r="D32" s="60" t="str">
        <x:v>South Point Roofing &amp; Gutters</x:v>
      </x:c>
      <x:c r="E32" s="60" t="str">
        <x:v>https://southpointconstruction.net</x:v>
      </x:c>
      <x:c r="F32" s="60" t="str">
        <x:v>https://southpointconstruction.net</x:v>
      </x:c>
      <x:c r="G32" s="60" t="str">
        <x:v>Aiken</x:v>
      </x:c>
      <x:c r="H32" s="60" t="str">
        <x:v>South Carolina</x:v>
      </x:c>
      <x:c r="I32" s="60" t="str">
        <x:v>Roofing</x:v>
      </x:c>
      <x:c r="J32" s="60" t="str">
        <x:v>South Point Roofing &amp; Gutters</x:v>
      </x:c>
      <x:c r="K32" s="60" t="str"/>
      <x:c r="L32" s="60" t="str">
        <x:v>Owner / decision maker to verify</x:v>
      </x:c>
      <x:c r="M32" s="60" t="str"/>
      <x:c r="N32" s="60" t="str"/>
      <x:c r="O32" s="60" t="str">
        <x:v>(803) 284-8020</x:v>
      </x:c>
      <x:c r="P32" s="60" t="str"/>
      <x:c r="Q32" s="60" t="str"/>
      <x:c r="R32" s="60" t="str"/>
      <x:c r="S32" s="60" t="str">
        <x:v>4.9</x:v>
      </x:c>
      <x:c r="T32" s="74" t="str">
        <x:v>196</x:v>
      </x:c>
      <x:c r="U32" s="60" t="str"/>
      <x:c r="V32" s="74" t="str">
        <x:v>29</x:v>
      </x:c>
      <x:c r="W32" s="74" t="str">
        <x:v>25</x:v>
      </x:c>
      <x:c r="X32" s="74" t="str">
        <x:v>12</x:v>
      </x:c>
      <x:c r="Y32" s="74" t="str">
        <x:v>7</x:v>
      </x:c>
      <x:c r="Z32" s="74" t="str">
        <x:v>5</x:v>
      </x:c>
      <x:c r="AA32" s="74" t="str">
        <x:v>1</x:v>
      </x:c>
      <x:c r="AB32" s="74" t="str">
        <x:v>1</x:v>
      </x:c>
      <x:c r="AC32" s="74" t="str">
        <x:v>1</x:v>
      </x:c>
      <x:c r="AD32" s="74" t="str">
        <x:v>0</x:v>
      </x:c>
      <x:c r="AE32" s="74" t="str">
        <x:v>0</x:v>
      </x:c>
      <x:c r="AF32" s="74" t="str"/>
      <x:c r="AG32" s="74" t="str">
        <x:v>0</x:v>
      </x:c>
      <x:c r="AH32" s="74" t="str">
        <x:v>0</x:v>
      </x:c>
      <x:c r="AI32" s="74" t="str">
        <x:v>1</x:v>
      </x:c>
      <x:c r="AJ32" s="74" t="str">
        <x:v>0</x:v>
      </x:c>
      <x:c r="AK32" s="74" t="str">
        <x:v>0</x:v>
      </x:c>
      <x:c r="AL32" s="74" t="str">
        <x:v>1</x:v>
      </x:c>
      <x:c r="AM32" s="74" t="str">
        <x:v>1</x:v>
      </x:c>
      <x:c r="AN32" s="74" t="str">
        <x:v>0</x:v>
      </x:c>
      <x:c r="AO32" s="60" t="str">
        <x:v>2025</x:v>
      </x:c>
      <x:c r="AP32" s="76" t="str">
        <x:v>Meta tracking detected; no embedded homepage video found</x:v>
      </x:c>
      <x:c r="AQ32" s="76" t="str">
        <x:v>Meta Pixel; Google Ads tag; testimonials; no embedded homepage video detected</x:v>
      </x:c>
      <x:c r="AR32" s="76" t="str">
        <x:v>I noticed South Point Roofing &amp; Gutters's site has Meta tracking installed, but I couldn't find an embedded video on the homepage.</x:v>
      </x:c>
      <x:c r="AS32" s="76" t="str">
        <x:v>storm-to-inspection before/after ad</x:v>
      </x:c>
      <x:c r="AT32" s="76" t="str">
        <x:v>South Point Roofing &amp; Gutters ad concept</x:v>
      </x:c>
      <x:c r="AU32" s="76" t="str">
        <x:v>Hi South Point Roofing &amp; Gutters — I noticed South Point Roofing &amp; Gutters's site has Meta tracking installed, but I couldn't find an embedded video on the homepage. I mapped a private 15-second storm-to-inspection before/after ad for South Point Roofing &amp; Gutters using only public brand context—not for publishing, just to show the angle. We build three client-approved video ad concepts in seven days, then turn the winners into fresh variations. No filming day required. Worth sending the private sample?</x:v>
      </x:c>
      <x:c r="AV32" s="76" t="str">
        <x:v>Quick follow-up: the sample angle is a storm-to-inspection before/after ad. If it misses the mark, no problem—I won't keep chasing. Should I send it?</x:v>
      </x:c>
      <x:c r="AW32" s="76" t="str">
        <x:v>Hi South Point Roofing &amp; Gutters, Ryan here. I was looking at South Point Roofing &amp; Gutters's public marketing and noticed: meta tracking detected; no embedded homepage video found. I mapped one private storm-to-inspection before/after ad as an example. Did I catch you with 30 seconds?</x:v>
      </x:c>
      <x:c r="AX32" s="60" t="str">
        <x:v>https://www.facebook.com/ads/library/?active_status=active&amp;ad_type=all&amp;country=US&amp;q=South%20Point%20Roofing%20%26%20Gutters&amp;search_type=keyword_unordered</x:v>
      </x:c>
      <x:c r="AY32" s="60" t="str">
        <x:v>ok:200</x:v>
      </x:c>
      <x:c r="AZ32" s="60" t="n">
        <x:v>46232.722858796296</x:v>
      </x:c>
      <x:c r="BA32" s="60" t="str">
        <x:v>Google Maps home-services export</x:v>
      </x:c>
      <x:c r="BB32" s="60" t="str">
        <x:v>https://maps.google.com/?cid=13726886117927817844&amp;g_mp=Cidnb29nbGUubWFwcy5wbGFjZXMudjEuUGxhY2VzLlNlYXJjaFRleHQQAhgEIAA | https://maps.google.com/?cid=6683841717493003953&amp;g_mp=Cidnb29nbGUubWFwcy5wbGFjZXMudjEuUGxhY2VzLlNlYXJjaFRleHQQAhgEIAA | https://southpointconstruction.net</x:v>
      </x:c>
      <x:c r="BC32" s="60" t="str"/>
    </x:row>
    <x:row r="33" ht="18" customHeight="1">
      <x:c r="A33" s="70" t="str">
        <x:v>32</x:v>
      </x:c>
      <x:c r="B33" s="70" t="str">
        <x:v>A - Layup</x:v>
      </x:c>
      <x:c r="C33" s="72" t="str">
        <x:v>78</x:v>
      </x:c>
      <x:c r="D33" s="60" t="str">
        <x:v>Windward Shutters, LLC</x:v>
      </x:c>
      <x:c r="E33" s="60" t="str">
        <x:v>https://windwardshutters.com</x:v>
      </x:c>
      <x:c r="F33" s="60" t="str">
        <x:v>https://windwardshutters.com</x:v>
      </x:c>
      <x:c r="G33" s="60" t="str">
        <x:v>North Charleston</x:v>
      </x:c>
      <x:c r="H33" s="60" t="str">
        <x:v>South Carolina</x:v>
      </x:c>
      <x:c r="I33" s="60" t="str">
        <x:v>General Contractor</x:v>
      </x:c>
      <x:c r="J33" s="60" t="str">
        <x:v>Tim</x:v>
      </x:c>
      <x:c r="K33" s="60" t="str">
        <x:v>Smith</x:v>
      </x:c>
      <x:c r="L33" s="60" t="str">
        <x:v>President/Founder/Owner/Landscaper/Janitor/Maintenance</x:v>
      </x:c>
      <x:c r="M33" s="60" t="str">
        <x:v>tims@windwardshutters.com</x:v>
      </x:c>
      <x:c r="N33" s="60" t="str">
        <x:v>Verified with BounceBan on 08 Jun 26 12:06</x:v>
      </x:c>
      <x:c r="O33" s="60" t="str">
        <x:v>+1 832 993 5426, +1 843 442 1160</x:v>
      </x:c>
      <x:c r="P33" s="60" t="str">
        <x:v>https://www.linkedin.com/in/tim-smith-a0518b20</x:v>
      </x:c>
      <x:c r="Q33" s="60" t="str">
        <x:v>11-50</x:v>
      </x:c>
      <x:c r="R33" s="60" t="str">
        <x:v>100000-499999</x:v>
      </x:c>
      <x:c r="S33" s="60" t="str"/>
      <x:c r="T33" s="74" t="str">
        <x:v>0</x:v>
      </x:c>
      <x:c r="U33" s="60" t="str"/>
      <x:c r="V33" s="74" t="str">
        <x:v>23</x:v>
      </x:c>
      <x:c r="W33" s="74" t="str">
        <x:v>25</x:v>
      </x:c>
      <x:c r="X33" s="74" t="str">
        <x:v>16</x:v>
      </x:c>
      <x:c r="Y33" s="74" t="str">
        <x:v>4</x:v>
      </x:c>
      <x:c r="Z33" s="74" t="str">
        <x:v>10</x:v>
      </x:c>
      <x:c r="AA33" s="74" t="str">
        <x:v>1</x:v>
      </x:c>
      <x:c r="AB33" s="74" t="str">
        <x:v>1</x:v>
      </x:c>
      <x:c r="AC33" s="74" t="str">
        <x:v>1</x:v>
      </x:c>
      <x:c r="AD33" s="74" t="str">
        <x:v>0</x:v>
      </x:c>
      <x:c r="AE33" s="74" t="str">
        <x:v>0</x:v>
      </x:c>
      <x:c r="AF33" s="74" t="str"/>
      <x:c r="AG33" s="74" t="str">
        <x:v>0</x:v>
      </x:c>
      <x:c r="AH33" s="74" t="str">
        <x:v>0</x:v>
      </x:c>
      <x:c r="AI33" s="74" t="str">
        <x:v>1</x:v>
      </x:c>
      <x:c r="AJ33" s="74" t="str">
        <x:v>0</x:v>
      </x:c>
      <x:c r="AK33" s="74" t="str">
        <x:v>0</x:v>
      </x:c>
      <x:c r="AL33" s="74" t="str">
        <x:v>0</x:v>
      </x:c>
      <x:c r="AM33" s="74" t="str">
        <x:v>1</x:v>
      </x:c>
      <x:c r="AN33" s="74" t="str">
        <x:v>0</x:v>
      </x:c>
      <x:c r="AO33" s="60" t="str">
        <x:v>2025</x:v>
      </x:c>
      <x:c r="AP33" s="76" t="str">
        <x:v>Meta tracking detected; no embedded homepage video found</x:v>
      </x:c>
      <x:c r="AQ33" s="76" t="str">
        <x:v>Meta Pixel; Google Ads tag; testimonials; no embedded homepage video detected</x:v>
      </x:c>
      <x:c r="AR33" s="76" t="str">
        <x:v>I noticed Windward Shutters, LLC's site has Meta tracking installed, but I couldn't find an embedded video on the homepage.</x:v>
      </x:c>
      <x:c r="AS33" s="76" t="str">
        <x:v>project walkthrough with proof milestones</x:v>
      </x:c>
      <x:c r="AT33" s="76" t="str">
        <x:v>Windward Shutters, LLC ad concept</x:v>
      </x:c>
      <x:c r="AU33" s="76" t="str">
        <x:v>Hi Tim — I noticed Windward Shutters, LLC's site has Meta tracking installed, but I couldn't find an embedded video on the homepage. I mapped a private 15-second project walkthrough with proof milestones for Windward Shutters, LLC using only public brand context—not for publishing, just to show the angle. We build three client-approved video ad concepts in seven days, then turn the winners into fresh variations. No filming day required. Worth sending the private sample?</x:v>
      </x:c>
      <x:c r="AV33" s="76" t="str">
        <x:v>Quick follow-up: the sample angle is a project walkthrough with proof milestones. If it misses the mark, no problem—I won't keep chasing. Should I send it?</x:v>
      </x:c>
      <x:c r="AW33" s="76" t="str">
        <x:v>Hi Tim, Ryan here. I was looking at Windward Shutters, LLC's public marketing and noticed: meta tracking detected; no embedded homepage video found. I mapped one private project walkthrough with proof milestones as an example. Did I catch you with 30 seconds?</x:v>
      </x:c>
      <x:c r="AX33" s="60" t="str">
        <x:v>https://www.facebook.com/ads/library/?active_status=active&amp;ad_type=all&amp;country=US&amp;q=Windward%20Shutters%2C%20LLC&amp;search_type=keyword_unordered</x:v>
      </x:c>
      <x:c r="AY33" s="60" t="str">
        <x:v>ok:200</x:v>
      </x:c>
      <x:c r="AZ33" s="60" t="n">
        <x:v>46232.722858796296</x:v>
      </x:c>
      <x:c r="BA33" s="60" t="str">
        <x:v>AI Ark SC trades export</x:v>
      </x:c>
      <x:c r="BB33" s="60" t="str">
        <x:v>https://windwardshutters.com | https://www.linkedin.com/company/windward-shutters-llc</x:v>
      </x:c>
      <x:c r="BC33" s="60" t="str"/>
    </x:row>
    <x:row r="34" ht="18" customHeight="1">
      <x:c r="A34" s="70" t="str">
        <x:v>33</x:v>
      </x:c>
      <x:c r="B34" s="70" t="str">
        <x:v>A - Layup</x:v>
      </x:c>
      <x:c r="C34" s="72" t="str">
        <x:v>78</x:v>
      </x:c>
      <x:c r="D34" s="60" t="str">
        <x:v>Purpose Plumbing</x:v>
      </x:c>
      <x:c r="E34" s="60" t="str">
        <x:v>https://purposeplumbingsc.com</x:v>
      </x:c>
      <x:c r="F34" s="60" t="str">
        <x:v>https://www.purposeplumbingsc.com/</x:v>
      </x:c>
      <x:c r="G34" s="60" t="str">
        <x:v>Charleston</x:v>
      </x:c>
      <x:c r="H34" s="60" t="str">
        <x:v>South Carolina</x:v>
      </x:c>
      <x:c r="I34" s="60" t="str">
        <x:v>Windows &amp; Doors</x:v>
      </x:c>
      <x:c r="J34" s="60" t="str">
        <x:v>Purpose Plumbing</x:v>
      </x:c>
      <x:c r="K34" s="60" t="str"/>
      <x:c r="L34" s="60" t="str">
        <x:v>Owner / decision maker to verify</x:v>
      </x:c>
      <x:c r="M34" s="60" t="str"/>
      <x:c r="N34" s="60" t="str"/>
      <x:c r="O34" s="60" t="str">
        <x:v>(843) 793-0461</x:v>
      </x:c>
      <x:c r="P34" s="60" t="str"/>
      <x:c r="Q34" s="60" t="str"/>
      <x:c r="R34" s="60" t="str"/>
      <x:c r="S34" s="60" t="str">
        <x:v>4.4</x:v>
      </x:c>
      <x:c r="T34" s="74" t="str">
        <x:v>332</x:v>
      </x:c>
      <x:c r="U34" s="60" t="str">
        <x:v>scheduling, no_show, communication</x:v>
      </x:c>
      <x:c r="V34" s="74" t="str">
        <x:v>28</x:v>
      </x:c>
      <x:c r="W34" s="74" t="str">
        <x:v>18</x:v>
      </x:c>
      <x:c r="X34" s="74" t="str">
        <x:v>14</x:v>
      </x:c>
      <x:c r="Y34" s="74" t="str">
        <x:v>13</x:v>
      </x:c>
      <x:c r="Z34" s="74" t="str">
        <x:v>5</x:v>
      </x:c>
      <x:c r="AA34" s="74" t="str">
        <x:v>1</x:v>
      </x:c>
      <x:c r="AB34" s="74" t="str">
        <x:v>0</x:v>
      </x:c>
      <x:c r="AC34" s="74" t="str">
        <x:v>1</x:v>
      </x:c>
      <x:c r="AD34" s="74" t="str">
        <x:v>0</x:v>
      </x:c>
      <x:c r="AE34" s="74" t="str">
        <x:v>0</x:v>
      </x:c>
      <x:c r="AF34" s="74" t="str">
        <x:v>housecallpro</x:v>
      </x:c>
      <x:c r="AG34" s="74" t="str">
        <x:v>0</x:v>
      </x:c>
      <x:c r="AH34" s="74" t="str">
        <x:v>0</x:v>
      </x:c>
      <x:c r="AI34" s="74" t="str">
        <x:v>1</x:v>
      </x:c>
      <x:c r="AJ34" s="74" t="str">
        <x:v>1</x:v>
      </x:c>
      <x:c r="AK34" s="74" t="str">
        <x:v>1</x:v>
      </x:c>
      <x:c r="AL34" s="74" t="str">
        <x:v>1</x:v>
      </x:c>
      <x:c r="AM34" s="74" t="str">
        <x:v>1</x:v>
      </x:c>
      <x:c r="AN34" s="74" t="str">
        <x:v>0</x:v>
      </x:c>
      <x:c r="AO34" s="60" t="str">
        <x:v>2026</x:v>
      </x:c>
      <x:c r="AP34" s="76" t="str">
        <x:v>Meta tracking detected; no embedded homepage video found</x:v>
      </x:c>
      <x:c r="AQ34" s="76" t="str">
        <x:v>Meta Pixel; testimonials; financing; visible service offer; no embedded homepage video detected</x:v>
      </x:c>
      <x:c r="AR34" s="76" t="str">
        <x:v>I noticed Purpose Plumbing's site has Meta tracking installed, but I couldn't find an embedded video on the homepage.</x:v>
      </x:c>
      <x:c r="AS34" s="76" t="str">
        <x:v>energy-loss to installed-window transformation ad</x:v>
      </x:c>
      <x:c r="AT34" s="76" t="str">
        <x:v>Purpose Plumbing ad concept</x:v>
      </x:c>
      <x:c r="AU34" s="76" t="str">
        <x:v>Hi Purpose Plumbing — I noticed Purpose Plumbing's site has Meta tracking installed, but I couldn't find an embedded video on the homepage. I mapped a private 15-second energy-loss to installed-window transformation ad for Purpose Plumbing using only public brand context—not for publishing, just to show the angle. We build three client-approved video ad concepts in seven days, then turn the winners into fresh variations. No filming day required. Worth sending the private sample?</x:v>
      </x:c>
      <x:c r="AV34" s="76" t="str">
        <x:v>Quick follow-up: the sample angle is a energy-loss to installed-window transformation ad. If it misses the mark, no problem—I won't keep chasing. Should I send it?</x:v>
      </x:c>
      <x:c r="AW34" s="76" t="str">
        <x:v>Hi Purpose Plumbing, Ryan here. I was looking at Purpose Plumbing's public marketing and noticed: meta tracking detected; no embedded homepage video found. I mapped one private energy-loss to installed-window transformation ad as an example. Did I catch you with 30 seconds?</x:v>
      </x:c>
      <x:c r="AX34" s="60" t="str">
        <x:v>https://www.facebook.com/ads/library/?active_status=active&amp;ad_type=all&amp;country=US&amp;q=Purpose%20Plumbing&amp;search_type=keyword_unordered</x:v>
      </x:c>
      <x:c r="AY34" s="60" t="str">
        <x:v>ok:200</x:v>
      </x:c>
      <x:c r="AZ34" s="60" t="n">
        <x:v>46232.722858796296</x:v>
      </x:c>
      <x:c r="BA34" s="60" t="str">
        <x:v>Google Maps home-services export</x:v>
      </x:c>
      <x:c r="BB34" s="60" t="str">
        <x:v>https://maps.google.com/?cid=16758412696004701366&amp;g_mp=Cidnb29nbGUubWFwcy5wbGFjZXMudjEuUGxhY2VzLlNlYXJjaFRleHQQAhgEIAA | https://purposeplumbingsc.com</x:v>
      </x:c>
      <x:c r="BC34" s="60" t="str"/>
    </x:row>
    <x:row r="35" ht="18" customHeight="1">
      <x:c r="A35" s="70" t="str">
        <x:v>34</x:v>
      </x:c>
      <x:c r="B35" s="70" t="str">
        <x:v>A - Layup</x:v>
      </x:c>
      <x:c r="C35" s="72" t="str">
        <x:v>78</x:v>
      </x:c>
      <x:c r="D35" s="60" t="str">
        <x:v>Virtue Concrete SC</x:v>
      </x:c>
      <x:c r="E35" s="60" t="str">
        <x:v>https://virtueconcretesc.com</x:v>
      </x:c>
      <x:c r="F35" s="60" t="str">
        <x:v>https://virtueconcretesc.com</x:v>
      </x:c>
      <x:c r="G35" s="60" t="str">
        <x:v>Greenville</x:v>
      </x:c>
      <x:c r="H35" s="60" t="str">
        <x:v>South Carolina</x:v>
      </x:c>
      <x:c r="I35" s="60" t="str">
        <x:v>Foundation &amp; Waterproofing</x:v>
      </x:c>
      <x:c r="J35" s="60" t="str">
        <x:v>Matt</x:v>
      </x:c>
      <x:c r="K35" s="60" t="str">
        <x:v>Tollison</x:v>
      </x:c>
      <x:c r="L35" s="60" t="str">
        <x:v>Owner</x:v>
      </x:c>
      <x:c r="M35" s="60" t="str">
        <x:v>matt@virtueconcretesc.com</x:v>
      </x:c>
      <x:c r="N35" s="60" t="str">
        <x:v>Verified with BounceBan on 08 Jun 26 12:06</x:v>
      </x:c>
      <x:c r="O35" s="60" t="str"/>
      <x:c r="P35" s="60" t="str">
        <x:v>https://www.linkedin.com/in/matt-tollison-7b7b28126</x:v>
      </x:c>
      <x:c r="Q35" s="60" t="str">
        <x:v>2-10</x:v>
      </x:c>
      <x:c r="R35" s="60" t="str">
        <x:v>0-99999</x:v>
      </x:c>
      <x:c r="S35" s="60" t="str"/>
      <x:c r="T35" s="74" t="str">
        <x:v>0</x:v>
      </x:c>
      <x:c r="U35" s="60" t="str"/>
      <x:c r="V35" s="74" t="str">
        <x:v>26</x:v>
      </x:c>
      <x:c r="W35" s="74" t="str">
        <x:v>18</x:v>
      </x:c>
      <x:c r="X35" s="74" t="str">
        <x:v>16</x:v>
      </x:c>
      <x:c r="Y35" s="74" t="str">
        <x:v>11</x:v>
      </x:c>
      <x:c r="Z35" s="74" t="str">
        <x:v>7</x:v>
      </x:c>
      <x:c r="AA35" s="74" t="str">
        <x:v>1</x:v>
      </x:c>
      <x:c r="AB35" s="74" t="str">
        <x:v>0</x:v>
      </x:c>
      <x:c r="AC35" s="74" t="str">
        <x:v>1</x:v>
      </x:c>
      <x:c r="AD35" s="74" t="str">
        <x:v>0</x:v>
      </x:c>
      <x:c r="AE35" s="74" t="str">
        <x:v>0</x:v>
      </x:c>
      <x:c r="AF35" s="74" t="str">
        <x:v>housecallpro</x:v>
      </x:c>
      <x:c r="AG35" s="74" t="str">
        <x:v>0</x:v>
      </x:c>
      <x:c r="AH35" s="74" t="str">
        <x:v>1</x:v>
      </x:c>
      <x:c r="AI35" s="74" t="str">
        <x:v>0</x:v>
      </x:c>
      <x:c r="AJ35" s="74" t="str">
        <x:v>1</x:v>
      </x:c>
      <x:c r="AK35" s="74" t="str">
        <x:v>1</x:v>
      </x:c>
      <x:c r="AL35" s="74" t="str">
        <x:v>0</x:v>
      </x:c>
      <x:c r="AM35" s="74" t="str">
        <x:v>1</x:v>
      </x:c>
      <x:c r="AN35" s="74" t="str">
        <x:v>0</x:v>
      </x:c>
      <x:c r="AO35" s="60" t="str">
        <x:v>2026</x:v>
      </x:c>
      <x:c r="AP35" s="76" t="str">
        <x:v>Meta tracking detected; no embedded homepage video found</x:v>
      </x:c>
      <x:c r="AQ35" s="76" t="str">
        <x:v>Meta Pixel; project/gallery proof; financing; visible service offer; no embedded homepage video detected</x:v>
      </x:c>
      <x:c r="AR35" s="76" t="str">
        <x:v>I noticed Virtue Concrete SC's site has Meta tracking installed, but I couldn't find an embedded video on the homepage.</x:v>
      </x:c>
      <x:c r="AS35" s="76" t="str">
        <x:v>visible-warning-signs inspection ad</x:v>
      </x:c>
      <x:c r="AT35" s="76" t="str">
        <x:v>Virtue Concrete SC ad concept</x:v>
      </x:c>
      <x:c r="AU35" s="76" t="str">
        <x:v>Hi Matt — I noticed Virtue Concrete SC's site has Meta tracking installed, but I couldn't find an embedded video on the homepage. I mapped a private 15-second visible-warning-signs inspection ad for Virtue Concrete SC using only public brand context—not for publishing, just to show the angle. We build three client-approved video ad concepts in seven days, then turn the winners into fresh variations. No filming day required. Worth sending the private sample?</x:v>
      </x:c>
      <x:c r="AV35" s="76" t="str">
        <x:v>Quick follow-up: the sample angle is a visible-warning-signs inspection ad. If it misses the mark, no problem—I won't keep chasing. Should I send it?</x:v>
      </x:c>
      <x:c r="AW35" s="76" t="str">
        <x:v>Hi Matt, Ryan here. I was looking at Virtue Concrete SC's public marketing and noticed: meta tracking detected; no embedded homepage video found. I mapped one private visible-warning-signs inspection ad as an example. Did I catch you with 30 seconds?</x:v>
      </x:c>
      <x:c r="AX35" s="60" t="str">
        <x:v>https://www.facebook.com/ads/library/?active_status=active&amp;ad_type=all&amp;country=US&amp;q=Virtue%20Concrete%20SC&amp;search_type=keyword_unordered</x:v>
      </x:c>
      <x:c r="AY35" s="60" t="str">
        <x:v>ok:200</x:v>
      </x:c>
      <x:c r="AZ35" s="60" t="n">
        <x:v>46232.722858796296</x:v>
      </x:c>
      <x:c r="BA35" s="60" t="str">
        <x:v>AI Ark SC trades export</x:v>
      </x:c>
      <x:c r="BB35" s="60" t="str">
        <x:v>https://virtueconcretesc.com | https://www.linkedin.com/company/virtue-concrete-sc</x:v>
      </x:c>
      <x:c r="BC35" s="60" t="str"/>
    </x:row>
    <x:row r="36" ht="18" customHeight="1">
      <x:c r="A36" s="70" t="str">
        <x:v>35</x:v>
      </x:c>
      <x:c r="B36" s="70" t="str">
        <x:v>A - Layup</x:v>
      </x:c>
      <x:c r="C36" s="72" t="str">
        <x:v>77</x:v>
      </x:c>
      <x:c r="D36" s="60" t="str">
        <x:v>J &amp; J Air</x:v>
      </x:c>
      <x:c r="E36" s="60" t="str">
        <x:v>https://jandjair.com</x:v>
      </x:c>
      <x:c r="F36" s="60" t="str">
        <x:v>https://www.jandjair.com/</x:v>
      </x:c>
      <x:c r="G36" s="60" t="str">
        <x:v>Myrtle Beach</x:v>
      </x:c>
      <x:c r="H36" s="60" t="str">
        <x:v>South Carolina</x:v>
      </x:c>
      <x:c r="I36" s="60" t="str">
        <x:v>HVAC</x:v>
      </x:c>
      <x:c r="J36" s="60" t="str">
        <x:v>Jeremy</x:v>
      </x:c>
      <x:c r="K36" s="60" t="str">
        <x:v>H.</x:v>
      </x:c>
      <x:c r="L36" s="60" t="str">
        <x:v>Owner</x:v>
      </x:c>
      <x:c r="M36" s="60" t="str">
        <x:v>jeremyh@jandjair.com</x:v>
      </x:c>
      <x:c r="N36" s="60" t="str">
        <x:v>Verified with BounceBan on 08 Jun 26 12:06</x:v>
      </x:c>
      <x:c r="O36" s="60" t="str"/>
      <x:c r="P36" s="60" t="str">
        <x:v>https://www.linkedin.com/in/jeremy-h-a758068</x:v>
      </x:c>
      <x:c r="Q36" s="60" t="str">
        <x:v>11-50</x:v>
      </x:c>
      <x:c r="R36" s="60" t="str">
        <x:v>500000-999999</x:v>
      </x:c>
      <x:c r="S36" s="60" t="str"/>
      <x:c r="T36" s="74" t="str">
        <x:v>0</x:v>
      </x:c>
      <x:c r="U36" s="60" t="str"/>
      <x:c r="V36" s="74" t="str">
        <x:v>30</x:v>
      </x:c>
      <x:c r="W36" s="74" t="str">
        <x:v>28</x:v>
      </x:c>
      <x:c r="X36" s="74" t="str">
        <x:v>12</x:v>
      </x:c>
      <x:c r="Y36" s="74" t="str">
        <x:v>0</x:v>
      </x:c>
      <x:c r="Z36" s="74" t="str">
        <x:v>7</x:v>
      </x:c>
      <x:c r="AA36" s="74" t="str">
        <x:v>1</x:v>
      </x:c>
      <x:c r="AB36" s="74" t="str">
        <x:v>1</x:v>
      </x:c>
      <x:c r="AC36" s="74" t="str">
        <x:v>1</x:v>
      </x:c>
      <x:c r="AD36" s="74" t="str">
        <x:v>0</x:v>
      </x:c>
      <x:c r="AE36" s="74" t="str">
        <x:v>0</x:v>
      </x:c>
      <x:c r="AF36" s="74" t="str">
        <x:v>podium</x:v>
      </x:c>
      <x:c r="AG36" s="74" t="str">
        <x:v>0</x:v>
      </x:c>
      <x:c r="AH36" s="74" t="str">
        <x:v>0</x:v>
      </x:c>
      <x:c r="AI36" s="74" t="str">
        <x:v>0</x:v>
      </x:c>
      <x:c r="AJ36" s="74" t="str">
        <x:v>0</x:v>
      </x:c>
      <x:c r="AK36" s="74" t="str">
        <x:v>0</x:v>
      </x:c>
      <x:c r="AL36" s="74" t="str">
        <x:v>1</x:v>
      </x:c>
      <x:c r="AM36" s="74" t="str">
        <x:v>1</x:v>
      </x:c>
      <x:c r="AN36" s="74" t="str">
        <x:v>0</x:v>
      </x:c>
      <x:c r="AO36" s="60" t="str">
        <x:v>2026</x:v>
      </x:c>
      <x:c r="AP36" s="76" t="str">
        <x:v>Meta tracking detected; no embedded homepage video found</x:v>
      </x:c>
      <x:c r="AQ36" s="76" t="str">
        <x:v>Meta Pixel; Google Ads tag; no embedded homepage video detected</x:v>
      </x:c>
      <x:c r="AR36" s="76" t="str">
        <x:v>I noticed J &amp; J Air's site has Meta tracking installed, but I couldn't find an embedded video on the homepage.</x:v>
      </x:c>
      <x:c r="AS36" s="76" t="str">
        <x:v>no-cool-call to same-day comfort ad</x:v>
      </x:c>
      <x:c r="AT36" s="76" t="str">
        <x:v>J &amp; J Air ad concept</x:v>
      </x:c>
      <x:c r="AU36" s="76" t="str">
        <x:v>Hi Jeremy — I noticed J &amp; J Air's site has Meta tracking installed, but I couldn't find an embedded video on the homepage. I mapped a private 15-second no-cool-call to same-day comfort ad for J &amp; J Air using only public brand context—not for publishing, just to show the angle. We build three client-approved video ad concepts in seven days, then turn the winners into fresh variations. No filming day required. Worth sending the private sample?</x:v>
      </x:c>
      <x:c r="AV36" s="76" t="str">
        <x:v>Quick follow-up: the sample angle is a no-cool-call to same-day comfort ad. If it misses the mark, no problem—I won't keep chasing. Should I send it?</x:v>
      </x:c>
      <x:c r="AW36" s="76" t="str">
        <x:v>Hi Jeremy, Ryan here. I was looking at J &amp; J Air's public marketing and noticed: meta tracking detected; no embedded homepage video found. I mapped one private no-cool-call to same-day comfort ad as an example. Did I catch you with 30 seconds?</x:v>
      </x:c>
      <x:c r="AX36" s="60" t="str">
        <x:v>https://www.facebook.com/ads/library/?active_status=active&amp;ad_type=all&amp;country=US&amp;q=J%20%26%20J%20Air&amp;search_type=keyword_unordered</x:v>
      </x:c>
      <x:c r="AY36" s="60" t="str">
        <x:v>ok:200</x:v>
      </x:c>
      <x:c r="AZ36" s="60" t="n">
        <x:v>46232.722858796296</x:v>
      </x:c>
      <x:c r="BA36" s="60" t="str">
        <x:v>AI Ark SC trades export</x:v>
      </x:c>
      <x:c r="BB36" s="60" t="str">
        <x:v>https://jandjair.com | https://www.linkedin.com/company/j-&amp;-j-air</x:v>
      </x:c>
      <x:c r="BC36" s="60" t="str"/>
    </x:row>
    <x:row r="37" ht="18" customHeight="1">
      <x:c r="A37" s="70" t="str">
        <x:v>36</x:v>
      </x:c>
      <x:c r="B37" s="70" t="str">
        <x:v>A - Layup</x:v>
      </x:c>
      <x:c r="C37" s="72" t="str">
        <x:v>77</x:v>
      </x:c>
      <x:c r="D37" s="60" t="str">
        <x:v>Integrity Wood Care</x:v>
      </x:c>
      <x:c r="E37" s="60" t="str">
        <x:v>https://integritywoodcare.com</x:v>
      </x:c>
      <x:c r="F37" s="60" t="str">
        <x:v>https://integritywoodcare.com</x:v>
      </x:c>
      <x:c r="G37" s="60" t="str">
        <x:v>Greer</x:v>
      </x:c>
      <x:c r="H37" s="60" t="str">
        <x:v>South Carolina</x:v>
      </x:c>
      <x:c r="I37" s="60" t="str">
        <x:v>Fence &amp; Deck</x:v>
      </x:c>
      <x:c r="J37" s="60" t="str">
        <x:v>Michael</x:v>
      </x:c>
      <x:c r="K37" s="60" t="str">
        <x:v>Griffin</x:v>
      </x:c>
      <x:c r="L37" s="60" t="str">
        <x:v>Business Owner</x:v>
      </x:c>
      <x:c r="M37" s="60" t="str">
        <x:v>michael@integritywoodcare.com</x:v>
      </x:c>
      <x:c r="N37" s="60" t="str">
        <x:v>Verified with BounceBan on 08 Jun 26 12:06</x:v>
      </x:c>
      <x:c r="O37" s="60" t="str">
        <x:v>+1 843 618 1751</x:v>
      </x:c>
      <x:c r="P37" s="60" t="str">
        <x:v>https://www.linkedin.com/in/michaelgriffin86</x:v>
      </x:c>
      <x:c r="Q37" s="60" t="str">
        <x:v>0-1</x:v>
      </x:c>
      <x:c r="R37" s="60" t="str">
        <x:v>0-99999</x:v>
      </x:c>
      <x:c r="S37" s="60" t="str"/>
      <x:c r="T37" s="74" t="str">
        <x:v>0</x:v>
      </x:c>
      <x:c r="U37" s="60" t="str"/>
      <x:c r="V37" s="74" t="str">
        <x:v>18</x:v>
      </x:c>
      <x:c r="W37" s="74" t="str">
        <x:v>25</x:v>
      </x:c>
      <x:c r="X37" s="74" t="str">
        <x:v>12</x:v>
      </x:c>
      <x:c r="Y37" s="74" t="str">
        <x:v>12</x:v>
      </x:c>
      <x:c r="Z37" s="74" t="str">
        <x:v>10</x:v>
      </x:c>
      <x:c r="AA37" s="74" t="str">
        <x:v>1</x:v>
      </x:c>
      <x:c r="AB37" s="74" t="str">
        <x:v>1</x:v>
      </x:c>
      <x:c r="AC37" s="74" t="str">
        <x:v>1</x:v>
      </x:c>
      <x:c r="AD37" s="74" t="str">
        <x:v>0</x:v>
      </x:c>
      <x:c r="AE37" s="74" t="str">
        <x:v>0</x:v>
      </x:c>
      <x:c r="AF37" s="74" t="str"/>
      <x:c r="AG37" s="74" t="str">
        <x:v>0</x:v>
      </x:c>
      <x:c r="AH37" s="74" t="str">
        <x:v>1</x:v>
      </x:c>
      <x:c r="AI37" s="74" t="str">
        <x:v>1</x:v>
      </x:c>
      <x:c r="AJ37" s="74" t="str">
        <x:v>0</x:v>
      </x:c>
      <x:c r="AK37" s="74" t="str">
        <x:v>1</x:v>
      </x:c>
      <x:c r="AL37" s="74" t="str">
        <x:v>1</x:v>
      </x:c>
      <x:c r="AM37" s="74" t="str">
        <x:v>1</x:v>
      </x:c>
      <x:c r="AN37" s="74" t="str">
        <x:v>0</x:v>
      </x:c>
      <x:c r="AO37" s="60" t="str">
        <x:v>2026</x:v>
      </x:c>
      <x:c r="AP37" s="76" t="str">
        <x:v>Meta tracking detected; no embedded homepage video found</x:v>
      </x:c>
      <x:c r="AQ37" s="76" t="str">
        <x:v>Meta Pixel; Google Ads tag; project/gallery proof; testimonials; visible service offer; no embedded homepage video detected</x:v>
      </x:c>
      <x:c r="AR37" s="76" t="str">
        <x:v>I noticed Integrity Wood Care's site has Meta tracking installed, but I couldn't find an embedded video on the homepage.</x:v>
      </x:c>
      <x:c r="AS37" s="76" t="str">
        <x:v>yard privacy transformation ad</x:v>
      </x:c>
      <x:c r="AT37" s="76" t="str">
        <x:v>Integrity Wood Care ad concept</x:v>
      </x:c>
      <x:c r="AU37" s="76" t="str">
        <x:v>Hi Michael — I noticed Integrity Wood Care's site has Meta tracking installed, but I couldn't find an embedded video on the homepage. I mapped a private 15-second yard privacy transformation ad for Integrity Wood Care using only public brand context—not for publishing, just to show the angle. We build three client-approved video ad concepts in seven days, then turn the winners into fresh variations. No filming day required. Worth sending the private sample?</x:v>
      </x:c>
      <x:c r="AV37" s="76" t="str">
        <x:v>Quick follow-up: the sample angle is a yard privacy transformation ad. If it misses the mark, no problem—I won't keep chasing. Should I send it?</x:v>
      </x:c>
      <x:c r="AW37" s="76" t="str">
        <x:v>Hi Michael, Ryan here. I was looking at Integrity Wood Care's public marketing and noticed: meta tracking detected; no embedded homepage video found. I mapped one private yard privacy transformation ad as an example. Did I catch you with 30 seconds?</x:v>
      </x:c>
      <x:c r="AX37" s="60" t="str">
        <x:v>https://www.facebook.com/ads/library/?active_status=active&amp;ad_type=all&amp;country=US&amp;q=Integrity%20Wood%20Care&amp;search_type=keyword_unordered</x:v>
      </x:c>
      <x:c r="AY37" s="60" t="str">
        <x:v>ok:200</x:v>
      </x:c>
      <x:c r="AZ37" s="60" t="n">
        <x:v>46232.722858796296</x:v>
      </x:c>
      <x:c r="BA37" s="60" t="str">
        <x:v>AI Ark SC trades export</x:v>
      </x:c>
      <x:c r="BB37" s="60" t="str">
        <x:v>https://integritywoodcare.com | https://www.linkedin.com/company/integrity-wood-care</x:v>
      </x:c>
      <x:c r="BC37" s="60" t="str"/>
    </x:row>
    <x:row r="38" ht="18" customHeight="1">
      <x:c r="A38" s="70" t="str">
        <x:v>37</x:v>
      </x:c>
      <x:c r="B38" s="70" t="str">
        <x:v>A - Layup</x:v>
      </x:c>
      <x:c r="C38" s="72" t="str">
        <x:v>77</x:v>
      </x:c>
      <x:c r="D38" s="60" t="str">
        <x:v>Flooring Contractor</x:v>
      </x:c>
      <x:c r="E38" s="60" t="str">
        <x:v>https://floors4lesstx.com</x:v>
      </x:c>
      <x:c r="F38" s="60" t="str">
        <x:v>https://floors4lesstx.com</x:v>
      </x:c>
      <x:c r="G38" s="60" t="str">
        <x:v>Greater Myrtle Beach Area</x:v>
      </x:c>
      <x:c r="H38" s="60" t="str"/>
      <x:c r="I38" s="60" t="str">
        <x:v>Flooring</x:v>
      </x:c>
      <x:c r="J38" s="60" t="str">
        <x:v>Edward</x:v>
      </x:c>
      <x:c r="K38" s="60" t="str">
        <x:v>mills</x:v>
      </x:c>
      <x:c r="L38" s="60" t="str">
        <x:v>Owner</x:v>
      </x:c>
      <x:c r="M38" s="60" t="str"/>
      <x:c r="N38" s="60" t="str"/>
      <x:c r="O38" s="60" t="str">
        <x:v>+1 214 872 4422</x:v>
      </x:c>
      <x:c r="P38" s="60" t="str">
        <x:v>https://www.linkedin.com/in/edward-mills-5b8b51181</x:v>
      </x:c>
      <x:c r="Q38" s="60" t="str">
        <x:v>51-200</x:v>
      </x:c>
      <x:c r="R38" s="60" t="str">
        <x:v>1000000-4999999</x:v>
      </x:c>
      <x:c r="S38" s="60" t="str"/>
      <x:c r="T38" s="74" t="str">
        <x:v>0</x:v>
      </x:c>
      <x:c r="U38" s="60" t="str"/>
      <x:c r="V38" s="74" t="str">
        <x:v>30</x:v>
      </x:c>
      <x:c r="W38" s="74" t="str">
        <x:v>15</x:v>
      </x:c>
      <x:c r="X38" s="74" t="str">
        <x:v>16</x:v>
      </x:c>
      <x:c r="Y38" s="74" t="str">
        <x:v>11</x:v>
      </x:c>
      <x:c r="Z38" s="74" t="str">
        <x:v>5</x:v>
      </x:c>
      <x:c r="AA38" s="74" t="str">
        <x:v>1</x:v>
      </x:c>
      <x:c r="AB38" s="74" t="str">
        <x:v>0</x:v>
      </x:c>
      <x:c r="AC38" s="74" t="str">
        <x:v>1</x:v>
      </x:c>
      <x:c r="AD38" s="74" t="str">
        <x:v>0</x:v>
      </x:c>
      <x:c r="AE38" s="74" t="str">
        <x:v>0</x:v>
      </x:c>
      <x:c r="AF38" s="74" t="str"/>
      <x:c r="AG38" s="74" t="str">
        <x:v>0</x:v>
      </x:c>
      <x:c r="AH38" s="74" t="str">
        <x:v>1</x:v>
      </x:c>
      <x:c r="AI38" s="74" t="str">
        <x:v>0</x:v>
      </x:c>
      <x:c r="AJ38" s="74" t="str">
        <x:v>1</x:v>
      </x:c>
      <x:c r="AK38" s="74" t="str">
        <x:v>1</x:v>
      </x:c>
      <x:c r="AL38" s="74" t="str">
        <x:v>0</x:v>
      </x:c>
      <x:c r="AM38" s="74" t="str">
        <x:v>1</x:v>
      </x:c>
      <x:c r="AN38" s="74" t="str">
        <x:v>0</x:v>
      </x:c>
      <x:c r="AO38" s="60" t="str">
        <x:v>2026</x:v>
      </x:c>
      <x:c r="AP38" s="76" t="str">
        <x:v>Meta tracking detected; no embedded homepage video found</x:v>
      </x:c>
      <x:c r="AQ38" s="76" t="str">
        <x:v>Meta Pixel; project/gallery proof; financing; visible service offer; no embedded homepage video detected</x:v>
      </x:c>
      <x:c r="AR38" s="76" t="str">
        <x:v>I noticed Flooring Contractor's site has Meta tracking installed, but I couldn't find an embedded video on the homepage.</x:v>
      </x:c>
      <x:c r="AS38" s="76" t="str">
        <x:v>room transformation before/after ad</x:v>
      </x:c>
      <x:c r="AT38" s="76" t="str">
        <x:v>Flooring Contractor ad concept</x:v>
      </x:c>
      <x:c r="AU38" s="76" t="str">
        <x:v>Hi Edward — I noticed Flooring Contractor's site has Meta tracking installed, but I couldn't find an embedded video on the homepage. I mapped a private 15-second room transformation before/after ad for Flooring Contractor using only public brand context—not for publishing, just to show the angle. We build three client-approved video ad concepts in seven days, then turn the winners into fresh variations. No filming day required. Worth sending the private sample?</x:v>
      </x:c>
      <x:c r="AV38" s="76" t="str">
        <x:v>Quick follow-up: the sample angle is a room transformation before/after ad. If it misses the mark, no problem—I won't keep chasing. Should I send it?</x:v>
      </x:c>
      <x:c r="AW38" s="76" t="str">
        <x:v>Hi Edward, Ryan here. I was looking at Flooring Contractor's public marketing and noticed: meta tracking detected; no embedded homepage video found. I mapped one private room transformation before/after ad as an example. Did I catch you with 30 seconds?</x:v>
      </x:c>
      <x:c r="AX38" s="60" t="str">
        <x:v>https://www.facebook.com/ads/library/?active_status=active&amp;ad_type=all&amp;country=US&amp;q=Flooring%20Contractor&amp;search_type=keyword_unordered</x:v>
      </x:c>
      <x:c r="AY38" s="60" t="str">
        <x:v>ok:200</x:v>
      </x:c>
      <x:c r="AZ38" s="60" t="n">
        <x:v>46232.722858796296</x:v>
      </x:c>
      <x:c r="BA38" s="60" t="str">
        <x:v>AI Ark SC trades export</x:v>
      </x:c>
      <x:c r="BB38" s="60" t="str">
        <x:v>https://floors4lesstx.com | https://www.linkedin.com/company/flooring-contractor</x:v>
      </x:c>
      <x:c r="BC38" s="60" t="str"/>
    </x:row>
    <x:row r="39" ht="18" customHeight="1">
      <x:c r="A39" s="70" t="str">
        <x:v>38</x:v>
      </x:c>
      <x:c r="B39" s="70" t="str">
        <x:v>A - Layup</x:v>
      </x:c>
      <x:c r="C39" s="72" t="str">
        <x:v>77</x:v>
      </x:c>
      <x:c r="D39" s="60" t="str">
        <x:v>First Class Heating &amp; Air</x:v>
      </x:c>
      <x:c r="E39" s="60" t="str">
        <x:v>https://firstclasshomeservices.com</x:v>
      </x:c>
      <x:c r="F39" s="60" t="str">
        <x:v>https://www.firstclasshomeservices.com/</x:v>
      </x:c>
      <x:c r="G39" s="60" t="str">
        <x:v>Greenville</x:v>
      </x:c>
      <x:c r="H39" s="60" t="str">
        <x:v>South Carolina</x:v>
      </x:c>
      <x:c r="I39" s="60" t="str">
        <x:v>HVAC</x:v>
      </x:c>
      <x:c r="J39" s="60" t="str">
        <x:v>First Class Heating &amp; Air</x:v>
      </x:c>
      <x:c r="K39" s="60" t="str"/>
      <x:c r="L39" s="60" t="str">
        <x:v>Owner / decision maker to verify</x:v>
      </x:c>
      <x:c r="M39" s="60" t="str"/>
      <x:c r="N39" s="60" t="str"/>
      <x:c r="O39" s="60" t="str">
        <x:v>(864) 210-4504</x:v>
      </x:c>
      <x:c r="P39" s="60" t="str"/>
      <x:c r="Q39" s="60" t="str"/>
      <x:c r="R39" s="60" t="str"/>
      <x:c r="S39" s="60" t="str">
        <x:v>5</x:v>
      </x:c>
      <x:c r="T39" s="74" t="str">
        <x:v>136</x:v>
      </x:c>
      <x:c r="U39" s="60" t="str"/>
      <x:c r="V39" s="74" t="str">
        <x:v>28</x:v>
      </x:c>
      <x:c r="W39" s="74" t="str">
        <x:v>13</x:v>
      </x:c>
      <x:c r="X39" s="74" t="str">
        <x:v>16</x:v>
      </x:c>
      <x:c r="Y39" s="74" t="str">
        <x:v>15</x:v>
      </x:c>
      <x:c r="Z39" s="74" t="str">
        <x:v>5</x:v>
      </x:c>
      <x:c r="AA39" s="74" t="str">
        <x:v>0</x:v>
      </x:c>
      <x:c r="AB39" s="74" t="str">
        <x:v>1</x:v>
      </x:c>
      <x:c r="AC39" s="74" t="str">
        <x:v>1</x:v>
      </x:c>
      <x:c r="AD39" s="74" t="str">
        <x:v>0</x:v>
      </x:c>
      <x:c r="AE39" s="74" t="str">
        <x:v>0</x:v>
      </x:c>
      <x:c r="AF39" s="74" t="str"/>
      <x:c r="AG39" s="74" t="str">
        <x:v>0</x:v>
      </x:c>
      <x:c r="AH39" s="74" t="str">
        <x:v>1</x:v>
      </x:c>
      <x:c r="AI39" s="74" t="str">
        <x:v>1</x:v>
      </x:c>
      <x:c r="AJ39" s="74" t="str">
        <x:v>1</x:v>
      </x:c>
      <x:c r="AK39" s="74" t="str">
        <x:v>1</x:v>
      </x:c>
      <x:c r="AL39" s="74" t="str">
        <x:v>0</x:v>
      </x:c>
      <x:c r="AM39" s="74" t="str">
        <x:v>1</x:v>
      </x:c>
      <x:c r="AN39" s="74" t="str">
        <x:v>0</x:v>
      </x:c>
      <x:c r="AO39" s="60" t="str">
        <x:v>2026</x:v>
      </x:c>
      <x:c r="AP39" s="76" t="str">
        <x:v>Google Ads tag detected; no embedded homepage video found</x:v>
      </x:c>
      <x:c r="AQ39" s="76" t="str">
        <x:v>Google Ads tag; project/gallery proof; testimonials; financing; visible service offer; no embedded homepage video detected</x:v>
      </x:c>
      <x:c r="AR39" s="76" t="str">
        <x:v>I noticed First Class Heating &amp; Air's site has a Google Ads tag installed, but I couldn't find an embedded video on the homepage.</x:v>
      </x:c>
      <x:c r="AS39" s="76" t="str">
        <x:v>no-cool-call to same-day comfort ad</x:v>
      </x:c>
      <x:c r="AT39" s="76" t="str">
        <x:v>First Class Heating &amp; Air ad concept</x:v>
      </x:c>
      <x:c r="AU39" s="76" t="str">
        <x:v>Hi First Class Heating &amp; Air — I noticed First Class Heating &amp; Air's site has a Google Ads tag installed, but I couldn't find an embedded video on the homepage. I mapped a private 15-second no-cool-call to same-day comfort ad for First Class Heating &amp; Air using only public brand context—not for publishing, just to show the angle. We build three client-approved video ad concepts in seven days, then turn the winners into fresh variations. No filming day required. Worth sending the private sample?</x:v>
      </x:c>
      <x:c r="AV39" s="76" t="str">
        <x:v>Quick follow-up: the sample angle is a no-cool-call to same-day comfort ad. If it misses the mark, no problem—I won't keep chasing. Should I send it?</x:v>
      </x:c>
      <x:c r="AW39" s="76" t="str">
        <x:v>Hi First Class Heating &amp; Air, Ryan here. I was looking at First Class Heating &amp; Air's public marketing and noticed: google ads tag detected; no embedded homepage video found. I mapped one private no-cool-call to same-day comfort ad as an example. Did I catch you with 30 seconds?</x:v>
      </x:c>
      <x:c r="AX39" s="60" t="str">
        <x:v>https://www.facebook.com/ads/library/?active_status=active&amp;ad_type=all&amp;country=US&amp;q=First%20Class%20Heating%20%26%20Air&amp;search_type=keyword_unordered</x:v>
      </x:c>
      <x:c r="AY39" s="60" t="str">
        <x:v>ok:200</x:v>
      </x:c>
      <x:c r="AZ39" s="60" t="n">
        <x:v>46232.722858796296</x:v>
      </x:c>
      <x:c r="BA39" s="60" t="str">
        <x:v>Google Maps home-services export</x:v>
      </x:c>
      <x:c r="BB39" s="60" t="str">
        <x:v>https://firstclasshomeservices.com | https://maps.google.com/?cid=1351412183466083061&amp;g_mp=Cidnb29nbGUubWFwcy5wbGFjZXMudjEuUGxhY2VzLlNlYXJjaFRleHQQAhgEIAA</x:v>
      </x:c>
      <x:c r="BC39" s="60" t="str"/>
    </x:row>
    <x:row r="40" ht="18" customHeight="1">
      <x:c r="A40" s="70" t="str">
        <x:v>39</x:v>
      </x:c>
      <x:c r="B40" s="70" t="str">
        <x:v>A - Layup</x:v>
      </x:c>
      <x:c r="C40" s="72" t="str">
        <x:v>77</x:v>
      </x:c>
      <x:c r="D40" s="60" t="str">
        <x:v>Cola City Roofing</x:v>
      </x:c>
      <x:c r="E40" s="60" t="str">
        <x:v>https://colacityroofing.com</x:v>
      </x:c>
      <x:c r="F40" s="60" t="str">
        <x:v>https://colacityroofing.com</x:v>
      </x:c>
      <x:c r="G40" s="60" t="str">
        <x:v>Columbia</x:v>
      </x:c>
      <x:c r="H40" s="60" t="str">
        <x:v>South Carolina</x:v>
      </x:c>
      <x:c r="I40" s="60" t="str">
        <x:v>Roofing</x:v>
      </x:c>
      <x:c r="J40" s="60" t="str">
        <x:v>Cola City Roofing</x:v>
      </x:c>
      <x:c r="K40" s="60" t="str"/>
      <x:c r="L40" s="60" t="str">
        <x:v>Owner / decision maker to verify</x:v>
      </x:c>
      <x:c r="M40" s="60" t="str"/>
      <x:c r="N40" s="60" t="str"/>
      <x:c r="O40" s="60" t="str">
        <x:v>(803) 734-3700</x:v>
      </x:c>
      <x:c r="P40" s="60" t="str"/>
      <x:c r="Q40" s="60" t="str"/>
      <x:c r="R40" s="60" t="str"/>
      <x:c r="S40" s="60" t="str">
        <x:v>5</x:v>
      </x:c>
      <x:c r="T40" s="74" t="str">
        <x:v>120</x:v>
      </x:c>
      <x:c r="U40" s="60" t="str"/>
      <x:c r="V40" s="74" t="str">
        <x:v>29</x:v>
      </x:c>
      <x:c r="W40" s="74" t="str">
        <x:v>13</x:v>
      </x:c>
      <x:c r="X40" s="74" t="str">
        <x:v>16</x:v>
      </x:c>
      <x:c r="Y40" s="74" t="str">
        <x:v>14</x:v>
      </x:c>
      <x:c r="Z40" s="74" t="str">
        <x:v>5</x:v>
      </x:c>
      <x:c r="AA40" s="74" t="str">
        <x:v>0</x:v>
      </x:c>
      <x:c r="AB40" s="74" t="str">
        <x:v>1</x:v>
      </x:c>
      <x:c r="AC40" s="74" t="str">
        <x:v>1</x:v>
      </x:c>
      <x:c r="AD40" s="74" t="str">
        <x:v>0</x:v>
      </x:c>
      <x:c r="AE40" s="74" t="str">
        <x:v>0</x:v>
      </x:c>
      <x:c r="AF40" s="74" t="str"/>
      <x:c r="AG40" s="74" t="str">
        <x:v>0</x:v>
      </x:c>
      <x:c r="AH40" s="74" t="str">
        <x:v>1</x:v>
      </x:c>
      <x:c r="AI40" s="74" t="str">
        <x:v>0</x:v>
      </x:c>
      <x:c r="AJ40" s="74" t="str">
        <x:v>1</x:v>
      </x:c>
      <x:c r="AK40" s="74" t="str">
        <x:v>1</x:v>
      </x:c>
      <x:c r="AL40" s="74" t="str">
        <x:v>0</x:v>
      </x:c>
      <x:c r="AM40" s="74" t="str">
        <x:v>0</x:v>
      </x:c>
      <x:c r="AN40" s="74" t="str">
        <x:v>0</x:v>
      </x:c>
      <x:c r="AO40" s="60" t="str">
        <x:v>2026</x:v>
      </x:c>
      <x:c r="AP40" s="76" t="str">
        <x:v>Google Ads tag detected; no embedded homepage video found</x:v>
      </x:c>
      <x:c r="AQ40" s="76" t="str">
        <x:v>Google Ads tag; project/gallery proof; financing; visible service offer; no embedded homepage video detected</x:v>
      </x:c>
      <x:c r="AR40" s="76" t="str">
        <x:v>I noticed Cola City Roofing's site has a Google Ads tag installed, but I couldn't find an embedded video on the homepage.</x:v>
      </x:c>
      <x:c r="AS40" s="76" t="str">
        <x:v>storm-to-inspection before/after ad</x:v>
      </x:c>
      <x:c r="AT40" s="76" t="str">
        <x:v>Cola City Roofing ad concept</x:v>
      </x:c>
      <x:c r="AU40" s="76" t="str">
        <x:v>Hi Cola City Roofing — I noticed Cola City Roofing's site has a Google Ads tag installed, but I couldn't find an embedded video on the homepage. I mapped a private 15-second storm-to-inspection before/after ad for Cola City Roofing using only public brand context—not for publishing, just to show the angle. We build three client-approved video ad concepts in seven days, then turn the winners into fresh variations. No filming day required. Worth sending the private sample?</x:v>
      </x:c>
      <x:c r="AV40" s="76" t="str">
        <x:v>Quick follow-up: the sample angle is a storm-to-inspection before/after ad. If it misses the mark, no problem—I won't keep chasing. Should I send it?</x:v>
      </x:c>
      <x:c r="AW40" s="76" t="str">
        <x:v>Hi Cola City Roofing, Ryan here. I was looking at Cola City Roofing's public marketing and noticed: google ads tag detected; no embedded homepage video found. I mapped one private storm-to-inspection before/after ad as an example. Did I catch you with 30 seconds?</x:v>
      </x:c>
      <x:c r="AX40" s="60" t="str">
        <x:v>https://www.facebook.com/ads/library/?active_status=active&amp;ad_type=all&amp;country=US&amp;q=Cola%20City%20Roofing&amp;search_type=keyword_unordered</x:v>
      </x:c>
      <x:c r="AY40" s="60" t="str">
        <x:v>ok:200</x:v>
      </x:c>
      <x:c r="AZ40" s="60" t="n">
        <x:v>46232.722858796296</x:v>
      </x:c>
      <x:c r="BA40" s="60" t="str">
        <x:v>Google Maps home-services export</x:v>
      </x:c>
      <x:c r="BB40" s="60" t="str">
        <x:v>https://colacityroofing.com | https://maps.google.com/?cid=6787216878190199219&amp;g_mp=Cidnb29nbGUubWFwcy5wbGFjZXMudjEuUGxhY2VzLlNlYXJjaFRleHQQAhgEIAA</x:v>
      </x:c>
      <x:c r="BC40" s="60" t="str"/>
    </x:row>
    <x:row r="41" ht="18" customHeight="1">
      <x:c r="A41" s="70" t="str">
        <x:v>40</x:v>
      </x:c>
      <x:c r="B41" s="70" t="str">
        <x:v>A - Layup</x:v>
      </x:c>
      <x:c r="C41" s="72" t="str">
        <x:v>77</x:v>
      </x:c>
      <x:c r="D41" s="60" t="str">
        <x:v>Slab Science</x:v>
      </x:c>
      <x:c r="E41" s="60" t="str">
        <x:v>https://slabscience.com</x:v>
      </x:c>
      <x:c r="F41" s="60" t="str">
        <x:v>https://slabscience.com</x:v>
      </x:c>
      <x:c r="G41" s="60" t="str">
        <x:v>Greenville-spartanburg-anderson</x:v>
      </x:c>
      <x:c r="H41" s="60" t="str">
        <x:v>South Carolina Area</x:v>
      </x:c>
      <x:c r="I41" s="60" t="str">
        <x:v>Foundation &amp; Waterproofing</x:v>
      </x:c>
      <x:c r="J41" s="60" t="str">
        <x:v>Caleb</x:v>
      </x:c>
      <x:c r="K41" s="60" t="str">
        <x:v>Childers</x:v>
      </x:c>
      <x:c r="L41" s="60" t="str">
        <x:v>Managing Owner</x:v>
      </x:c>
      <x:c r="M41" s="60" t="str">
        <x:v>caleb@slabscience.com</x:v>
      </x:c>
      <x:c r="N41" s="60" t="str">
        <x:v>Verified with BounceBan on 08 Jun 26 12:06</x:v>
      </x:c>
      <x:c r="O41" s="60" t="str"/>
      <x:c r="P41" s="60" t="str">
        <x:v>https://www.linkedin.com/in/caleb-childers-657944266</x:v>
      </x:c>
      <x:c r="Q41" s="60" t="str">
        <x:v>2-10</x:v>
      </x:c>
      <x:c r="R41" s="60" t="str">
        <x:v>0-99999</x:v>
      </x:c>
      <x:c r="S41" s="60" t="str"/>
      <x:c r="T41" s="74" t="str">
        <x:v>0</x:v>
      </x:c>
      <x:c r="U41" s="60" t="str"/>
      <x:c r="V41" s="74" t="str">
        <x:v>26</x:v>
      </x:c>
      <x:c r="W41" s="74" t="str">
        <x:v>13</x:v>
      </x:c>
      <x:c r="X41" s="74" t="str">
        <x:v>19</x:v>
      </x:c>
      <x:c r="Y41" s="74" t="str">
        <x:v>12</x:v>
      </x:c>
      <x:c r="Z41" s="74" t="str">
        <x:v>7</x:v>
      </x:c>
      <x:c r="AA41" s="74" t="str">
        <x:v>0</x:v>
      </x:c>
      <x:c r="AB41" s="74" t="str">
        <x:v>1</x:v>
      </x:c>
      <x:c r="AC41" s="74" t="str">
        <x:v>1</x:v>
      </x:c>
      <x:c r="AD41" s="74" t="str">
        <x:v>0</x:v>
      </x:c>
      <x:c r="AE41" s="74" t="str">
        <x:v>0</x:v>
      </x:c>
      <x:c r="AF41" s="74" t="str"/>
      <x:c r="AG41" s="74" t="str">
        <x:v>0</x:v>
      </x:c>
      <x:c r="AH41" s="74" t="str">
        <x:v>1</x:v>
      </x:c>
      <x:c r="AI41" s="74" t="str">
        <x:v>1</x:v>
      </x:c>
      <x:c r="AJ41" s="74" t="str">
        <x:v>0</x:v>
      </x:c>
      <x:c r="AK41" s="74" t="str">
        <x:v>1</x:v>
      </x:c>
      <x:c r="AL41" s="74" t="str">
        <x:v>0</x:v>
      </x:c>
      <x:c r="AM41" s="74" t="str">
        <x:v>1</x:v>
      </x:c>
      <x:c r="AN41" s="74" t="str">
        <x:v>0</x:v>
      </x:c>
      <x:c r="AO41" s="60" t="str">
        <x:v>2015</x:v>
      </x:c>
      <x:c r="AP41" s="76" t="str">
        <x:v>Google Ads tag detected; no embedded homepage video found</x:v>
      </x:c>
      <x:c r="AQ41" s="76" t="str">
        <x:v>Google Ads tag; project/gallery proof; testimonials; visible service offer; no embedded homepage video detected</x:v>
      </x:c>
      <x:c r="AR41" s="76" t="str">
        <x:v>I noticed Slab Science's site has a Google Ads tag installed, but I couldn't find an embedded video on the homepage.</x:v>
      </x:c>
      <x:c r="AS41" s="76" t="str">
        <x:v>visible-warning-signs inspection ad</x:v>
      </x:c>
      <x:c r="AT41" s="76" t="str">
        <x:v>Slab Science ad concept</x:v>
      </x:c>
      <x:c r="AU41" s="76" t="str">
        <x:v>Hi Caleb — I noticed Slab Science's site has a Google Ads tag installed, but I couldn't find an embedded video on the homepage. I mapped a private 15-second visible-warning-signs inspection ad for Slab Science using only public brand context—not for publishing, just to show the angle. We build three client-approved video ad concepts in seven days, then turn the winners into fresh variations. No filming day required. Worth sending the private sample?</x:v>
      </x:c>
      <x:c r="AV41" s="76" t="str">
        <x:v>Quick follow-up: the sample angle is a visible-warning-signs inspection ad. If it misses the mark, no problem—I won't keep chasing. Should I send it?</x:v>
      </x:c>
      <x:c r="AW41" s="76" t="str">
        <x:v>Hi Caleb, Ryan here. I was looking at Slab Science's public marketing and noticed: google ads tag detected; no embedded homepage video found. I mapped one private visible-warning-signs inspection ad as an example. Did I catch you with 30 seconds?</x:v>
      </x:c>
      <x:c r="AX41" s="60" t="str">
        <x:v>https://www.facebook.com/ads/library/?active_status=active&amp;ad_type=all&amp;country=US&amp;q=Slab%20Science&amp;search_type=keyword_unordered</x:v>
      </x:c>
      <x:c r="AY41" s="60" t="str">
        <x:v>ok:200</x:v>
      </x:c>
      <x:c r="AZ41" s="60" t="n">
        <x:v>46232.722858796296</x:v>
      </x:c>
      <x:c r="BA41" s="60" t="str">
        <x:v>AI Ark SC trades export</x:v>
      </x:c>
      <x:c r="BB41" s="60" t="str">
        <x:v>https://slabscience.com | https://www.linkedin.com/company/slab-science</x:v>
      </x:c>
      <x:c r="BC41" s="60" t="str"/>
    </x:row>
    <x:row r="42" ht="18" customHeight="1">
      <x:c r="A42" s="70" t="str">
        <x:v>41</x:v>
      </x:c>
      <x:c r="B42" s="70" t="str">
        <x:v>A - Layup</x:v>
      </x:c>
      <x:c r="C42" s="72" t="str">
        <x:v>76</x:v>
      </x:c>
      <x:c r="D42" s="60" t="str">
        <x:v>Alliance Roofing</x:v>
      </x:c>
      <x:c r="E42" s="60" t="str">
        <x:v>https://allianceroofingpros.com</x:v>
      </x:c>
      <x:c r="F42" s="60" t="str">
        <x:v>https://allianceroofingpros.com</x:v>
      </x:c>
      <x:c r="G42" s="60" t="str">
        <x:v>Hilton Head</x:v>
      </x:c>
      <x:c r="H42" s="60" t="str">
        <x:v>South Carolina</x:v>
      </x:c>
      <x:c r="I42" s="60" t="str">
        <x:v>Roofing</x:v>
      </x:c>
      <x:c r="J42" s="60" t="str">
        <x:v>Alliance Roofing</x:v>
      </x:c>
      <x:c r="K42" s="60" t="str"/>
      <x:c r="L42" s="60" t="str">
        <x:v>Owner / decision maker to verify</x:v>
      </x:c>
      <x:c r="M42" s="60" t="str"/>
      <x:c r="N42" s="60" t="str"/>
      <x:c r="O42" s="60" t="str">
        <x:v>(843) 689-9400</x:v>
      </x:c>
      <x:c r="P42" s="60" t="str"/>
      <x:c r="Q42" s="60" t="str"/>
      <x:c r="R42" s="60" t="str"/>
      <x:c r="S42" s="60" t="str">
        <x:v>4.9</x:v>
      </x:c>
      <x:c r="T42" s="74" t="str">
        <x:v>103</x:v>
      </x:c>
      <x:c r="U42" s="60" t="str"/>
      <x:c r="V42" s="74" t="str">
        <x:v>29</x:v>
      </x:c>
      <x:c r="W42" s="74" t="str">
        <x:v>30</x:v>
      </x:c>
      <x:c r="X42" s="74" t="str">
        <x:v>0</x:v>
      </x:c>
      <x:c r="Y42" s="74" t="str">
        <x:v>12</x:v>
      </x:c>
      <x:c r="Z42" s="74" t="str">
        <x:v>5</x:v>
      </x:c>
      <x:c r="AA42" s="74" t="str">
        <x:v>1</x:v>
      </x:c>
      <x:c r="AB42" s="74" t="str">
        <x:v>1</x:v>
      </x:c>
      <x:c r="AC42" s="74" t="str">
        <x:v>1</x:v>
      </x:c>
      <x:c r="AD42" s="74" t="str">
        <x:v>0</x:v>
      </x:c>
      <x:c r="AE42" s="74" t="str">
        <x:v>1</x:v>
      </x:c>
      <x:c r="AF42" s="74" t="str">
        <x:v>jobber</x:v>
      </x:c>
      <x:c r="AG42" s="74" t="str">
        <x:v>1</x:v>
      </x:c>
      <x:c r="AH42" s="74" t="str">
        <x:v>1</x:v>
      </x:c>
      <x:c r="AI42" s="74" t="str">
        <x:v>1</x:v>
      </x:c>
      <x:c r="AJ42" s="74" t="str">
        <x:v>0</x:v>
      </x:c>
      <x:c r="AK42" s="74" t="str">
        <x:v>0</x:v>
      </x:c>
      <x:c r="AL42" s="74" t="str">
        <x:v>1</x:v>
      </x:c>
      <x:c r="AM42" s="74" t="str">
        <x:v>1</x:v>
      </x:c>
      <x:c r="AN42" s="74" t="str">
        <x:v>1</x:v>
      </x:c>
      <x:c r="AO42" s="60" t="str">
        <x:v>2025</x:v>
      </x:c>
      <x:c r="AP42" s="76" t="str">
        <x:v>Paid-demand technology detected; creative refresh hypothesis</x:v>
      </x:c>
      <x:c r="AQ42" s="76" t="str">
        <x:v>Meta Pixel; Google Ads tag; call tracking; project/gallery proof; testimonials</x:v>
      </x:c>
      <x:c r="AR42" s="76" t="str">
        <x:v>I was reviewing roofing companies in Hilton Head, South Carolina and Alliance Roofing looked like a strong fit for a creative test.</x:v>
      </x:c>
      <x:c r="AS42" s="76" t="str">
        <x:v>storm-to-inspection before/after ad</x:v>
      </x:c>
      <x:c r="AT42" s="76" t="str">
        <x:v>Alliance Roofing ad concept</x:v>
      </x:c>
      <x:c r="AU42" s="76" t="str">
        <x:v>Hi Alliance Roofing — I was reviewing roofing companies in Hilton Head, South Carolina and Alliance Roofing looked like a strong fit for a creative test. I mapped a private 15-second storm-to-inspection before/after ad for Alliance Roofing using only public brand context—not for publishing, just to show the angle. We build three client-approved video ad concepts in seven days, then turn the winners into fresh variations. No filming day required. Worth sending the private sample?</x:v>
      </x:c>
      <x:c r="AV42" s="76" t="str">
        <x:v>Quick follow-up: the sample angle is a storm-to-inspection before/after ad. If it misses the mark, no problem—I won't keep chasing. Should I send it?</x:v>
      </x:c>
      <x:c r="AW42" s="76" t="str">
        <x:v>Hi Alliance Roofing, Ryan here. I was looking at Alliance Roofing's public marketing and noticed: paid-demand technology detected; creative refresh hypothesis. I mapped one private storm-to-inspection before/after ad as an example. Did I catch you with 30 seconds?</x:v>
      </x:c>
      <x:c r="AX42" s="60" t="str">
        <x:v>https://www.facebook.com/ads/library/?active_status=active&amp;ad_type=all&amp;country=US&amp;q=Alliance%20Roofing&amp;search_type=keyword_unordered</x:v>
      </x:c>
      <x:c r="AY42" s="60" t="str">
        <x:v>ok:200</x:v>
      </x:c>
      <x:c r="AZ42" s="60" t="n">
        <x:v>46232.722858796296</x:v>
      </x:c>
      <x:c r="BA42" s="60" t="str">
        <x:v>Google Maps home-services export</x:v>
      </x:c>
      <x:c r="BB42" s="60" t="str">
        <x:v>https://allianceroofingpros.com | https://maps.google.com/?cid=9280864986104949233&amp;g_mp=Cidnb29nbGUubWFwcy5wbGFjZXMudjEuUGxhY2VzLlNlYXJjaFRleHQQAhgEIAA</x:v>
      </x:c>
      <x:c r="BC42" s="60" t="str"/>
    </x:row>
    <x:row r="43" ht="18" customHeight="1">
      <x:c r="A43" s="70" t="str">
        <x:v>42</x:v>
      </x:c>
      <x:c r="B43" s="70" t="str">
        <x:v>A - Layup</x:v>
      </x:c>
      <x:c r="C43" s="72" t="str">
        <x:v>76</x:v>
      </x:c>
      <x:c r="D43" s="60" t="str">
        <x:v>Access Garage Door Sales and Service</x:v>
      </x:c>
      <x:c r="E43" s="60" t="str">
        <x:v>https://garagedooraid.com</x:v>
      </x:c>
      <x:c r="F43" s="60" t="str">
        <x:v>https://garagedooraid.com</x:v>
      </x:c>
      <x:c r="G43" s="60" t="str">
        <x:v>Spartanburg</x:v>
      </x:c>
      <x:c r="H43" s="60" t="str">
        <x:v>South Carolina</x:v>
      </x:c>
      <x:c r="I43" s="60" t="str">
        <x:v>Garage Doors</x:v>
      </x:c>
      <x:c r="J43" s="60" t="str">
        <x:v>Access Garage Door Sales and Service</x:v>
      </x:c>
      <x:c r="K43" s="60" t="str"/>
      <x:c r="L43" s="60" t="str">
        <x:v>Owner / decision maker to verify</x:v>
      </x:c>
      <x:c r="M43" s="60" t="str"/>
      <x:c r="N43" s="60" t="str"/>
      <x:c r="O43" s="60" t="str">
        <x:v>(864) 585-8722</x:v>
      </x:c>
      <x:c r="P43" s="60" t="str"/>
      <x:c r="Q43" s="60" t="str"/>
      <x:c r="R43" s="60" t="str"/>
      <x:c r="S43" s="60" t="str">
        <x:v>4.7</x:v>
      </x:c>
      <x:c r="T43" s="74" t="str">
        <x:v>54</x:v>
      </x:c>
      <x:c r="U43" s="60" t="str"/>
      <x:c r="V43" s="74" t="str">
        <x:v>22</x:v>
      </x:c>
      <x:c r="W43" s="74" t="str">
        <x:v>28</x:v>
      </x:c>
      <x:c r="X43" s="74" t="str">
        <x:v>12</x:v>
      </x:c>
      <x:c r="Y43" s="74" t="str">
        <x:v>9</x:v>
      </x:c>
      <x:c r="Z43" s="74" t="str">
        <x:v>5</x:v>
      </x:c>
      <x:c r="AA43" s="74" t="str">
        <x:v>1</x:v>
      </x:c>
      <x:c r="AB43" s="74" t="str">
        <x:v>1</x:v>
      </x:c>
      <x:c r="AC43" s="74" t="str">
        <x:v>1</x:v>
      </x:c>
      <x:c r="AD43" s="74" t="str">
        <x:v>0</x:v>
      </x:c>
      <x:c r="AE43" s="74" t="str">
        <x:v>0</x:v>
      </x:c>
      <x:c r="AF43" s="74" t="str">
        <x:v>housecallpro</x:v>
      </x:c>
      <x:c r="AG43" s="74" t="str">
        <x:v>0</x:v>
      </x:c>
      <x:c r="AH43" s="74" t="str">
        <x:v>0</x:v>
      </x:c>
      <x:c r="AI43" s="74" t="str">
        <x:v>1</x:v>
      </x:c>
      <x:c r="AJ43" s="74" t="str">
        <x:v>0</x:v>
      </x:c>
      <x:c r="AK43" s="74" t="str">
        <x:v>1</x:v>
      </x:c>
      <x:c r="AL43" s="74" t="str">
        <x:v>1</x:v>
      </x:c>
      <x:c r="AM43" s="74" t="str">
        <x:v>1</x:v>
      </x:c>
      <x:c r="AN43" s="74" t="str">
        <x:v>1</x:v>
      </x:c>
      <x:c r="AO43" s="60" t="str">
        <x:v>2025</x:v>
      </x:c>
      <x:c r="AP43" s="76" t="str">
        <x:v>Meta tracking detected; no embedded homepage video found</x:v>
      </x:c>
      <x:c r="AQ43" s="76" t="str">
        <x:v>Meta Pixel; Google Ads tag; testimonials; visible service offer; no embedded homepage video detected</x:v>
      </x:c>
      <x:c r="AR43" s="76" t="str">
        <x:v>I noticed Access Garage Door Sales and Service's site has Meta tracking installed, but I couldn't find an embedded video on the homepage.</x:v>
      </x:c>
      <x:c r="AS43" s="76" t="str">
        <x:v>curb-appeal transformation ad</x:v>
      </x:c>
      <x:c r="AT43" s="76" t="str">
        <x:v>Access Garage Door Sales and Service ad concept</x:v>
      </x:c>
      <x:c r="AU43" s="76" t="str">
        <x:v>Hi Access Garage Door Sales and Service — I noticed Access Garage Door Sales and Service's site has Meta tracking installed, but I couldn't find an embedded video on the homepage. I mapped a private 15-second curb-appeal transformation ad for Access Garage Door Sales and Service using only public brand context—not for publishing, just to show the angle. We build three client-approved video ad concepts in seven days, then turn the winners into fresh variations. No filming day required. Worth sending the private sample?</x:v>
      </x:c>
      <x:c r="AV43" s="76" t="str">
        <x:v>Quick follow-up: the sample angle is a curb-appeal transformation ad. If it misses the mark, no problem—I won't keep chasing. Should I send it?</x:v>
      </x:c>
      <x:c r="AW43" s="76" t="str">
        <x:v>Hi Access Garage Door Sales and Service, Ryan here. I was looking at Access Garage Door Sales and Service's public marketing and noticed: meta tracking detected; no embedded homepage video found. I mapped one private curb-appeal transformation ad as an example. Did I catch you with 30 seconds?</x:v>
      </x:c>
      <x:c r="AX43" s="60" t="str">
        <x:v>https://www.facebook.com/ads/library/?active_status=active&amp;ad_type=all&amp;country=US&amp;q=Access%20Garage%20Door%20Sales%20and%20Service&amp;search_type=keyword_unordered</x:v>
      </x:c>
      <x:c r="AY43" s="60" t="str">
        <x:v>ok:200</x:v>
      </x:c>
      <x:c r="AZ43" s="60" t="n">
        <x:v>46232.722858796296</x:v>
      </x:c>
      <x:c r="BA43" s="60" t="str">
        <x:v>Google Maps home-services export</x:v>
      </x:c>
      <x:c r="BB43" s="60" t="str">
        <x:v>https://garagedooraid.com | https://maps.google.com/?cid=12316016742132275971&amp;g_mp=Cidnb29nbGUubWFwcy5wbGFjZXMudjEuUGxhY2VzLlNlYXJjaFRleHQQAhgEIAA</x:v>
      </x:c>
      <x:c r="BC43" s="60" t="str"/>
    </x:row>
    <x:row r="44" ht="18" customHeight="1">
      <x:c r="A44" s="70" t="str">
        <x:v>43</x:v>
      </x:c>
      <x:c r="B44" s="70" t="str">
        <x:v>A - Layup</x:v>
      </x:c>
      <x:c r="C44" s="72" t="str">
        <x:v>76</x:v>
      </x:c>
      <x:c r="D44" s="60" t="str">
        <x:v>KT Plumbing</x:v>
      </x:c>
      <x:c r="E44" s="60" t="str">
        <x:v>https://ktplumbinginc.com</x:v>
      </x:c>
      <x:c r="F44" s="60" t="str">
        <x:v>https://www.ktplumbinginc.com/</x:v>
      </x:c>
      <x:c r="G44" s="60" t="str">
        <x:v>Spartanburg</x:v>
      </x:c>
      <x:c r="H44" s="60" t="str">
        <x:v>South Carolina</x:v>
      </x:c>
      <x:c r="I44" s="60" t="str">
        <x:v>Plumbing</x:v>
      </x:c>
      <x:c r="J44" s="60" t="str">
        <x:v>KT Plumbing</x:v>
      </x:c>
      <x:c r="K44" s="60" t="str"/>
      <x:c r="L44" s="60" t="str">
        <x:v>Owner / decision maker to verify</x:v>
      </x:c>
      <x:c r="M44" s="60" t="str"/>
      <x:c r="N44" s="60" t="str"/>
      <x:c r="O44" s="60" t="str">
        <x:v>(864) 301-6281</x:v>
      </x:c>
      <x:c r="P44" s="60" t="str"/>
      <x:c r="Q44" s="60" t="str"/>
      <x:c r="R44" s="60" t="str"/>
      <x:c r="S44" s="60" t="str">
        <x:v>4.9</x:v>
      </x:c>
      <x:c r="T44" s="74" t="str">
        <x:v>91</x:v>
      </x:c>
      <x:c r="U44" s="60" t="str"/>
      <x:c r="V44" s="74" t="str">
        <x:v>22</x:v>
      </x:c>
      <x:c r="W44" s="74" t="str">
        <x:v>28</x:v>
      </x:c>
      <x:c r="X44" s="74" t="str">
        <x:v>16</x:v>
      </x:c>
      <x:c r="Y44" s="74" t="str">
        <x:v>5</x:v>
      </x:c>
      <x:c r="Z44" s="74" t="str">
        <x:v>5</x:v>
      </x:c>
      <x:c r="AA44" s="74" t="str">
        <x:v>1</x:v>
      </x:c>
      <x:c r="AB44" s="74" t="str">
        <x:v>1</x:v>
      </x:c>
      <x:c r="AC44" s="74" t="str">
        <x:v>1</x:v>
      </x:c>
      <x:c r="AD44" s="74" t="str">
        <x:v>0</x:v>
      </x:c>
      <x:c r="AE44" s="74" t="str">
        <x:v>0</x:v>
      </x:c>
      <x:c r="AF44" s="74" t="str">
        <x:v>housecallpro</x:v>
      </x:c>
      <x:c r="AG44" s="74" t="str">
        <x:v>0</x:v>
      </x:c>
      <x:c r="AH44" s="74" t="str">
        <x:v>0</x:v>
      </x:c>
      <x:c r="AI44" s="74" t="str">
        <x:v>0</x:v>
      </x:c>
      <x:c r="AJ44" s="74" t="str">
        <x:v>0</x:v>
      </x:c>
      <x:c r="AK44" s="74" t="str">
        <x:v>1</x:v>
      </x:c>
      <x:c r="AL44" s="74" t="str">
        <x:v>0</x:v>
      </x:c>
      <x:c r="AM44" s="74" t="str">
        <x:v>1</x:v>
      </x:c>
      <x:c r="AN44" s="74" t="str">
        <x:v>0</x:v>
      </x:c>
      <x:c r="AO44" s="60" t="str">
        <x:v>2026</x:v>
      </x:c>
      <x:c r="AP44" s="76" t="str">
        <x:v>Meta tracking detected; no embedded homepage video found</x:v>
      </x:c>
      <x:c r="AQ44" s="76" t="str">
        <x:v>Meta Pixel; Google Ads tag; visible service offer; no embedded homepage video detected</x:v>
      </x:c>
      <x:c r="AR44" s="76" t="str">
        <x:v>I noticed KT Plumbing's site has Meta tracking installed, but I couldn't find an embedded video on the homepage.</x:v>
      </x:c>
      <x:c r="AS44" s="76" t="str">
        <x:v>small symptom to prevented-emergency ad</x:v>
      </x:c>
      <x:c r="AT44" s="76" t="str">
        <x:v>KT Plumbing ad concept</x:v>
      </x:c>
      <x:c r="AU44" s="76" t="str">
        <x:v>Hi KT Plumbing — I noticed KT Plumbing's site has Meta tracking installed, but I couldn't find an embedded video on the homepage. I mapped a private 15-second small symptom to prevented-emergency ad for KT Plumbing using only public brand context—not for publishing, just to show the angle. We build three client-approved video ad concepts in seven days, then turn the winners into fresh variations. No filming day required. Worth sending the private sample?</x:v>
      </x:c>
      <x:c r="AV44" s="76" t="str">
        <x:v>Quick follow-up: the sample angle is a small symptom to prevented-emergency ad. If it misses the mark, no problem—I won't keep chasing. Should I send it?</x:v>
      </x:c>
      <x:c r="AW44" s="76" t="str">
        <x:v>Hi KT Plumbing, Ryan here. I was looking at KT Plumbing's public marketing and noticed: meta tracking detected; no embedded homepage video found. I mapped one private small symptom to prevented-emergency ad as an example. Did I catch you with 30 seconds?</x:v>
      </x:c>
      <x:c r="AX44" s="60" t="str">
        <x:v>https://www.facebook.com/ads/library/?active_status=active&amp;ad_type=all&amp;country=US&amp;q=KT%20Plumbing&amp;search_type=keyword_unordered</x:v>
      </x:c>
      <x:c r="AY44" s="60" t="str">
        <x:v>ok:200</x:v>
      </x:c>
      <x:c r="AZ44" s="60" t="n">
        <x:v>46232.722858796296</x:v>
      </x:c>
      <x:c r="BA44" s="60" t="str">
        <x:v>Google Maps home-services export</x:v>
      </x:c>
      <x:c r="BB44" s="60" t="str">
        <x:v>https://ktplumbinginc.com | https://maps.google.com/?cid=17334228860970716108&amp;g_mp=Cidnb29nbGUubWFwcy5wbGFjZXMudjEuUGxhY2VzLlNlYXJjaFRleHQQAhgEIAA</x:v>
      </x:c>
      <x:c r="BC44" s="60" t="str"/>
    </x:row>
    <x:row r="45" ht="18" customHeight="1">
      <x:c r="A45" s="70" t="str">
        <x:v>44</x:v>
      </x:c>
      <x:c r="B45" s="70" t="str">
        <x:v>B - Strong</x:v>
      </x:c>
      <x:c r="C45" s="72" t="str">
        <x:v>76</x:v>
      </x:c>
      <x:c r="D45" s="60" t="str">
        <x:v>C&amp;M Home Builders</x:v>
      </x:c>
      <x:c r="E45" s="60" t="str">
        <x:v>https://candmhomebuilders.com</x:v>
      </x:c>
      <x:c r="F45" s="60" t="str">
        <x:v>https://www.candmhomebuilders.com/</x:v>
      </x:c>
      <x:c r="G45" s="60" t="str">
        <x:v>Landrum</x:v>
      </x:c>
      <x:c r="H45" s="60" t="str">
        <x:v>South Carolina</x:v>
      </x:c>
      <x:c r="I45" s="60" t="str">
        <x:v>Foundation &amp; Waterproofing</x:v>
      </x:c>
      <x:c r="J45" s="60" t="str">
        <x:v>Carrol</x:v>
      </x:c>
      <x:c r="K45" s="60" t="str">
        <x:v>Bishop</x:v>
      </x:c>
      <x:c r="L45" s="60" t="str">
        <x:v>Business Owner</x:v>
      </x:c>
      <x:c r="M45" s="60" t="str"/>
      <x:c r="N45" s="60" t="str"/>
      <x:c r="O45" s="60" t="str"/>
      <x:c r="P45" s="60" t="str">
        <x:v>https://www.linkedin.com/in/carrol-bishop-5b8bb7143</x:v>
      </x:c>
      <x:c r="Q45" s="60" t="str">
        <x:v>2-10</x:v>
      </x:c>
      <x:c r="R45" s="60" t="str">
        <x:v>500000-999999</x:v>
      </x:c>
      <x:c r="S45" s="60" t="str"/>
      <x:c r="T45" s="74" t="str">
        <x:v>0</x:v>
      </x:c>
      <x:c r="U45" s="60" t="str"/>
      <x:c r="V45" s="74" t="str">
        <x:v>28</x:v>
      </x:c>
      <x:c r="W45" s="74" t="str">
        <x:v>25</x:v>
      </x:c>
      <x:c r="X45" s="74" t="str">
        <x:v>12</x:v>
      </x:c>
      <x:c r="Y45" s="74" t="str">
        <x:v>9</x:v>
      </x:c>
      <x:c r="Z45" s="74" t="str">
        <x:v>2</x:v>
      </x:c>
      <x:c r="AA45" s="74" t="str">
        <x:v>1</x:v>
      </x:c>
      <x:c r="AB45" s="74" t="str">
        <x:v>1</x:v>
      </x:c>
      <x:c r="AC45" s="74" t="str">
        <x:v>1</x:v>
      </x:c>
      <x:c r="AD45" s="74" t="str">
        <x:v>0</x:v>
      </x:c>
      <x:c r="AE45" s="74" t="str">
        <x:v>0</x:v>
      </x:c>
      <x:c r="AF45" s="74" t="str"/>
      <x:c r="AG45" s="74" t="str">
        <x:v>0</x:v>
      </x:c>
      <x:c r="AH45" s="74" t="str">
        <x:v>1</x:v>
      </x:c>
      <x:c r="AI45" s="74" t="str">
        <x:v>1</x:v>
      </x:c>
      <x:c r="AJ45" s="74" t="str">
        <x:v>0</x:v>
      </x:c>
      <x:c r="AK45" s="74" t="str">
        <x:v>0</x:v>
      </x:c>
      <x:c r="AL45" s="74" t="str">
        <x:v>1</x:v>
      </x:c>
      <x:c r="AM45" s="74" t="str">
        <x:v>1</x:v>
      </x:c>
      <x:c r="AN45" s="74" t="str">
        <x:v>1</x:v>
      </x:c>
      <x:c r="AO45" s="60" t="str">
        <x:v>0</x:v>
      </x:c>
      <x:c r="AP45" s="76" t="str">
        <x:v>Meta tracking detected; no embedded homepage video found</x:v>
      </x:c>
      <x:c r="AQ45" s="76" t="str">
        <x:v>Meta Pixel; Google Ads tag; project/gallery proof; testimonials; no embedded homepage video detected</x:v>
      </x:c>
      <x:c r="AR45" s="76" t="str">
        <x:v>I noticed C&amp;M Home Builders's site has Meta tracking installed, but I couldn't find an embedded video on the homepage.</x:v>
      </x:c>
      <x:c r="AS45" s="76" t="str">
        <x:v>visible-warning-signs inspection ad</x:v>
      </x:c>
      <x:c r="AT45" s="76" t="str">
        <x:v>C&amp;M Home Builders ad concept</x:v>
      </x:c>
      <x:c r="AU45" s="76" t="str">
        <x:v>Hi Carrol — I noticed C&amp;M Home Builders's site has Meta tracking installed, but I couldn't find an embedded video on the homepage. I mapped a private 15-second visible-warning-signs inspection ad for C&amp;M Home Builders using only public brand context—not for publishing, just to show the angle. We build three client-approved video ad concepts in seven days, then turn the winners into fresh variations. No filming day required. Worth sending the private sample?</x:v>
      </x:c>
      <x:c r="AV45" s="76" t="str">
        <x:v>Quick follow-up: the sample angle is a visible-warning-signs inspection ad. If it misses the mark, no problem—I won't keep chasing. Should I send it?</x:v>
      </x:c>
      <x:c r="AW45" s="76" t="str">
        <x:v>Hi Carrol, Ryan here. I was looking at C&amp;M Home Builders's public marketing and noticed: meta tracking detected; no embedded homepage video found. I mapped one private visible-warning-signs inspection ad as an example. Did I catch you with 30 seconds?</x:v>
      </x:c>
      <x:c r="AX45" s="60" t="str">
        <x:v>https://www.facebook.com/ads/library/?active_status=active&amp;ad_type=all&amp;country=US&amp;q=C%26M%20Home%20Builders&amp;search_type=keyword_unordered</x:v>
      </x:c>
      <x:c r="AY45" s="60" t="str">
        <x:v>ok:200</x:v>
      </x:c>
      <x:c r="AZ45" s="60" t="n">
        <x:v>46232.722858796296</x:v>
      </x:c>
      <x:c r="BA45" s="60" t="str">
        <x:v>AI Ark SC trades export</x:v>
      </x:c>
      <x:c r="BB45" s="60" t="str">
        <x:v>https://candmhomebuilders.com | https://www.linkedin.com/company/c&amp;m-custom-homes</x:v>
      </x:c>
      <x:c r="BC45" s="60" t="str"/>
    </x:row>
    <x:row r="46" ht="18" customHeight="1">
      <x:c r="A46" s="70" t="str">
        <x:v>45</x:v>
      </x:c>
      <x:c r="B46" s="70" t="str">
        <x:v>A - Layup</x:v>
      </x:c>
      <x:c r="C46" s="72" t="str">
        <x:v>76</x:v>
      </x:c>
      <x:c r="D46" s="60" t="str">
        <x:v>Coastal Carolina Comfort</x:v>
      </x:c>
      <x:c r="E46" s="60" t="str">
        <x:v>https://coastalcarolinahvac.com</x:v>
      </x:c>
      <x:c r="F46" s="60" t="str">
        <x:v>https://coastalcarolinahvac.com</x:v>
      </x:c>
      <x:c r="G46" s="60" t="str">
        <x:v>Summerville</x:v>
      </x:c>
      <x:c r="H46" s="60" t="str">
        <x:v>South Carolina</x:v>
      </x:c>
      <x:c r="I46" s="60" t="str">
        <x:v>HVAC</x:v>
      </x:c>
      <x:c r="J46" s="60" t="str">
        <x:v>Coastal Carolina Comfort</x:v>
      </x:c>
      <x:c r="K46" s="60" t="str"/>
      <x:c r="L46" s="60" t="str">
        <x:v>Owner / decision maker to verify</x:v>
      </x:c>
      <x:c r="M46" s="60" t="str"/>
      <x:c r="N46" s="60" t="str"/>
      <x:c r="O46" s="60" t="str">
        <x:v>(843) 474-4562</x:v>
      </x:c>
      <x:c r="P46" s="60" t="str"/>
      <x:c r="Q46" s="60" t="str"/>
      <x:c r="R46" s="60" t="str"/>
      <x:c r="S46" s="60" t="str">
        <x:v>4.9</x:v>
      </x:c>
      <x:c r="T46" s="74" t="str">
        <x:v>165</x:v>
      </x:c>
      <x:c r="U46" s="60" t="str"/>
      <x:c r="V46" s="74" t="str">
        <x:v>28</x:v>
      </x:c>
      <x:c r="W46" s="74" t="str">
        <x:v>25</x:v>
      </x:c>
      <x:c r="X46" s="74" t="str">
        <x:v>12</x:v>
      </x:c>
      <x:c r="Y46" s="74" t="str">
        <x:v>6</x:v>
      </x:c>
      <x:c r="Z46" s="74" t="str">
        <x:v>5</x:v>
      </x:c>
      <x:c r="AA46" s="74" t="str">
        <x:v>1</x:v>
      </x:c>
      <x:c r="AB46" s="74" t="str">
        <x:v>1</x:v>
      </x:c>
      <x:c r="AC46" s="74" t="str">
        <x:v>1</x:v>
      </x:c>
      <x:c r="AD46" s="74" t="str">
        <x:v>0</x:v>
      </x:c>
      <x:c r="AE46" s="74" t="str">
        <x:v>0</x:v>
      </x:c>
      <x:c r="AF46" s="74" t="str"/>
      <x:c r="AG46" s="74" t="str">
        <x:v>0</x:v>
      </x:c>
      <x:c r="AH46" s="74" t="str">
        <x:v>0</x:v>
      </x:c>
      <x:c r="AI46" s="74" t="str">
        <x:v>0</x:v>
      </x:c>
      <x:c r="AJ46" s="74" t="str">
        <x:v>0</x:v>
      </x:c>
      <x:c r="AK46" s="74" t="str">
        <x:v>1</x:v>
      </x:c>
      <x:c r="AL46" s="74" t="str">
        <x:v>1</x:v>
      </x:c>
      <x:c r="AM46" s="74" t="str">
        <x:v>1</x:v>
      </x:c>
      <x:c r="AN46" s="74" t="str">
        <x:v>0</x:v>
      </x:c>
      <x:c r="AO46" s="60" t="str">
        <x:v>2026</x:v>
      </x:c>
      <x:c r="AP46" s="76" t="str">
        <x:v>Meta tracking detected; no embedded homepage video found</x:v>
      </x:c>
      <x:c r="AQ46" s="76" t="str">
        <x:v>Meta Pixel; Google Ads tag; visible service offer; no embedded homepage video detected</x:v>
      </x:c>
      <x:c r="AR46" s="76" t="str">
        <x:v>I noticed Coastal Carolina Comfort's site has Meta tracking installed, but I couldn't find an embedded video on the homepage.</x:v>
      </x:c>
      <x:c r="AS46" s="76" t="str">
        <x:v>no-cool-call to same-day comfort ad</x:v>
      </x:c>
      <x:c r="AT46" s="76" t="str">
        <x:v>Coastal Carolina Comfort ad concept</x:v>
      </x:c>
      <x:c r="AU46" s="76" t="str">
        <x:v>Hi Coastal Carolina Comfort — I noticed Coastal Carolina Comfort's site has Meta tracking installed, but I couldn't find an embedded video on the homepage. I mapped a private 15-second no-cool-call to same-day comfort ad for Coastal Carolina Comfort using only public brand context—not for publishing, just to show the angle. We build three client-approved video ad concepts in seven days, then turn the winners into fresh variations. No filming day required. Worth sending the private sample?</x:v>
      </x:c>
      <x:c r="AV46" s="76" t="str">
        <x:v>Quick follow-up: the sample angle is a no-cool-call to same-day comfort ad. If it misses the mark, no problem—I won't keep chasing. Should I send it?</x:v>
      </x:c>
      <x:c r="AW46" s="76" t="str">
        <x:v>Hi Coastal Carolina Comfort, Ryan here. I was looking at Coastal Carolina Comfort's public marketing and noticed: meta tracking detected; no embedded homepage video found. I mapped one private no-cool-call to same-day comfort ad as an example. Did I catch you with 30 seconds?</x:v>
      </x:c>
      <x:c r="AX46" s="60" t="str">
        <x:v>https://www.facebook.com/ads/library/?active_status=active&amp;ad_type=all&amp;country=US&amp;q=Coastal%20Carolina%20Comfort&amp;search_type=keyword_unordered</x:v>
      </x:c>
      <x:c r="AY46" s="60" t="str">
        <x:v>ok:200</x:v>
      </x:c>
      <x:c r="AZ46" s="60" t="n">
        <x:v>46232.722858796296</x:v>
      </x:c>
      <x:c r="BA46" s="60" t="str">
        <x:v>Google Maps home-services export</x:v>
      </x:c>
      <x:c r="BB46" s="60" t="str">
        <x:v>https://coastalcarolinahvac.com | https://maps.google.com/?cid=6024560526431315823&amp;g_mp=Cidnb29nbGUubWFwcy5wbGFjZXMudjEuUGxhY2VzLlNlYXJjaFRleHQQAhgEIAA</x:v>
      </x:c>
      <x:c r="BC46" s="60" t="str"/>
    </x:row>
    <x:row r="47" ht="18" customHeight="1">
      <x:c r="A47" s="70" t="str">
        <x:v>46</x:v>
      </x:c>
      <x:c r="B47" s="70" t="str">
        <x:v>A - Layup</x:v>
      </x:c>
      <x:c r="C47" s="72" t="str">
        <x:v>76</x:v>
      </x:c>
      <x:c r="D47" s="60" t="str">
        <x:v>Spring Aire Heating &amp; Air Conditioning, LLC</x:v>
      </x:c>
      <x:c r="E47" s="60" t="str">
        <x:v>https://springairemechanical.com</x:v>
      </x:c>
      <x:c r="F47" s="60" t="str">
        <x:v>https://springairemechanical.com</x:v>
      </x:c>
      <x:c r="G47" s="60" t="str">
        <x:v>Spartanburg</x:v>
      </x:c>
      <x:c r="H47" s="60" t="str">
        <x:v>South Carolina</x:v>
      </x:c>
      <x:c r="I47" s="60" t="str">
        <x:v>HVAC</x:v>
      </x:c>
      <x:c r="J47" s="60" t="str">
        <x:v>Spring Aire Heating &amp; Air Conditioning, LLC</x:v>
      </x:c>
      <x:c r="K47" s="60" t="str"/>
      <x:c r="L47" s="60" t="str">
        <x:v>Owner / decision maker to verify</x:v>
      </x:c>
      <x:c r="M47" s="60" t="str"/>
      <x:c r="N47" s="60" t="str"/>
      <x:c r="O47" s="60" t="str">
        <x:v>(864) 657-4212</x:v>
      </x:c>
      <x:c r="P47" s="60" t="str"/>
      <x:c r="Q47" s="60" t="str"/>
      <x:c r="R47" s="60" t="str"/>
      <x:c r="S47" s="60" t="str">
        <x:v>5</x:v>
      </x:c>
      <x:c r="T47" s="74" t="str">
        <x:v>356</x:v>
      </x:c>
      <x:c r="U47" s="60" t="str"/>
      <x:c r="V47" s="74" t="str">
        <x:v>29</x:v>
      </x:c>
      <x:c r="W47" s="74" t="str">
        <x:v>24</x:v>
      </x:c>
      <x:c r="X47" s="74" t="str">
        <x:v>12</x:v>
      </x:c>
      <x:c r="Y47" s="74" t="str">
        <x:v>6</x:v>
      </x:c>
      <x:c r="Z47" s="74" t="str">
        <x:v>5</x:v>
      </x:c>
      <x:c r="AA47" s="74" t="str">
        <x:v>0</x:v>
      </x:c>
      <x:c r="AB47" s="74" t="str">
        <x:v>1</x:v>
      </x:c>
      <x:c r="AC47" s="74" t="str">
        <x:v>1</x:v>
      </x:c>
      <x:c r="AD47" s="74" t="str">
        <x:v>0</x:v>
      </x:c>
      <x:c r="AE47" s="74" t="str">
        <x:v>1</x:v>
      </x:c>
      <x:c r="AF47" s="74" t="str">
        <x:v>housecallpro</x:v>
      </x:c>
      <x:c r="AG47" s="74" t="str">
        <x:v>0</x:v>
      </x:c>
      <x:c r="AH47" s="74" t="str">
        <x:v>0</x:v>
      </x:c>
      <x:c r="AI47" s="74" t="str">
        <x:v>0</x:v>
      </x:c>
      <x:c r="AJ47" s="74" t="str">
        <x:v>0</x:v>
      </x:c>
      <x:c r="AK47" s="74" t="str">
        <x:v>1</x:v>
      </x:c>
      <x:c r="AL47" s="74" t="str">
        <x:v>1</x:v>
      </x:c>
      <x:c r="AM47" s="74" t="str">
        <x:v>1</x:v>
      </x:c>
      <x:c r="AN47" s="74" t="str">
        <x:v>0</x:v>
      </x:c>
      <x:c r="AO47" s="60" t="str">
        <x:v>0</x:v>
      </x:c>
      <x:c r="AP47" s="76" t="str">
        <x:v>Google Ads tag detected; no embedded homepage video found</x:v>
      </x:c>
      <x:c r="AQ47" s="76" t="str">
        <x:v>Google Ads tag; call tracking; visible service offer; no embedded homepage video detected</x:v>
      </x:c>
      <x:c r="AR47" s="76" t="str">
        <x:v>I noticed Spring Aire Heating &amp; Air Conditioning, LLC's site has a Google Ads tag installed, but I couldn't find an embedded video on the homepage.</x:v>
      </x:c>
      <x:c r="AS47" s="76" t="str">
        <x:v>no-cool-call to same-day comfort ad</x:v>
      </x:c>
      <x:c r="AT47" s="76" t="str">
        <x:v>Spring Aire Heating &amp; Air Conditioning, LLC ad concept</x:v>
      </x:c>
      <x:c r="AU47" s="76" t="str">
        <x:v>Hi Spring Aire Heating &amp; Air Conditioning, LLC — I noticed Spring Aire Heating &amp; Air Conditioning, LLC's site has a Google Ads tag installed, but I couldn't find an embedded video on the homepage. I mapped a private 15-second no-cool-call to same-day comfort ad for Spring Aire Heating &amp; Air Conditioning, LLC using only public brand context—not for publishing, just to show the angle. We build three client-approved video ad concepts in seven days, then turn the winners into fresh variations. No filming day required. Worth sending the private sample?</x:v>
      </x:c>
      <x:c r="AV47" s="76" t="str">
        <x:v>Quick follow-up: the sample angle is a no-cool-call to same-day comfort ad. If it misses the mark, no problem—I won't keep chasing. Should I send it?</x:v>
      </x:c>
      <x:c r="AW47" s="76" t="str">
        <x:v>Hi Spring Aire Heating &amp; Air Conditioning, LLC, Ryan here. I was looking at Spring Aire Heating &amp; Air Conditioning, LLC's public marketing and noticed: google ads tag detected; no embedded homepage video found. I mapped one private no-cool-call to same-day comfort ad as an example. Did I catch you with 30 seconds?</x:v>
      </x:c>
      <x:c r="AX47" s="60" t="str">
        <x:v>https://www.facebook.com/ads/library/?active_status=active&amp;ad_type=all&amp;country=US&amp;q=Spring%20Aire%20Heating%20%26%20Air%20Conditioning%2C%20LLC&amp;search_type=keyword_unordered</x:v>
      </x:c>
      <x:c r="AY47" s="60" t="str">
        <x:v>ok:200</x:v>
      </x:c>
      <x:c r="AZ47" s="60" t="n">
        <x:v>46232.722858796296</x:v>
      </x:c>
      <x:c r="BA47" s="60" t="str">
        <x:v>Google Maps home-services export</x:v>
      </x:c>
      <x:c r="BB47" s="60" t="str">
        <x:v>https://maps.google.com/?cid=1003635931315476867&amp;g_mp=Cidnb29nbGUubWFwcy5wbGFjZXMudjEuUGxhY2VzLlNlYXJjaFRleHQQAhgEIAA | https://springairemechanical.com</x:v>
      </x:c>
      <x:c r="BC47" s="60" t="str"/>
    </x:row>
    <x:row r="48" ht="18" customHeight="1">
      <x:c r="A48" s="70" t="str">
        <x:v>47</x:v>
      </x:c>
      <x:c r="B48" s="70" t="str">
        <x:v>A - Layup</x:v>
      </x:c>
      <x:c r="C48" s="72" t="str">
        <x:v>76</x:v>
      </x:c>
      <x:c r="D48" s="60" t="str">
        <x:v>Tuck &amp; Howell Plumbing, Heating &amp; Air</x:v>
      </x:c>
      <x:c r="E48" s="60" t="str">
        <x:v>https://tuckandhowell.com</x:v>
      </x:c>
      <x:c r="F48" s="60" t="str">
        <x:v>https://tuckandhowell.com</x:v>
      </x:c>
      <x:c r="G48" s="60" t="str">
        <x:v>Greenville</x:v>
      </x:c>
      <x:c r="H48" s="60" t="str">
        <x:v>South Carolina</x:v>
      </x:c>
      <x:c r="I48" s="60" t="str">
        <x:v>HVAC</x:v>
      </x:c>
      <x:c r="J48" s="60" t="str">
        <x:v>Tuck &amp; Howell Plumbing, Heating &amp; Air</x:v>
      </x:c>
      <x:c r="K48" s="60" t="str"/>
      <x:c r="L48" s="60" t="str">
        <x:v>Owner / decision maker to verify</x:v>
      </x:c>
      <x:c r="M48" s="60" t="str"/>
      <x:c r="N48" s="60" t="str"/>
      <x:c r="O48" s="60" t="str">
        <x:v>(864) 365-2279</x:v>
      </x:c>
      <x:c r="P48" s="60" t="str"/>
      <x:c r="Q48" s="60" t="str"/>
      <x:c r="R48" s="60" t="str"/>
      <x:c r="S48" s="60" t="str">
        <x:v>5</x:v>
      </x:c>
      <x:c r="T48" s="74" t="str">
        <x:v>117</x:v>
      </x:c>
      <x:c r="U48" s="60" t="str"/>
      <x:c r="V48" s="74" t="str">
        <x:v>28</x:v>
      </x:c>
      <x:c r="W48" s="74" t="str">
        <x:v>18</x:v>
      </x:c>
      <x:c r="X48" s="74" t="str">
        <x:v>16</x:v>
      </x:c>
      <x:c r="Y48" s="74" t="str">
        <x:v>9</x:v>
      </x:c>
      <x:c r="Z48" s="74" t="str">
        <x:v>5</x:v>
      </x:c>
      <x:c r="AA48" s="74" t="str">
        <x:v>1</x:v>
      </x:c>
      <x:c r="AB48" s="74" t="str">
        <x:v>0</x:v>
      </x:c>
      <x:c r="AC48" s="74" t="str">
        <x:v>1</x:v>
      </x:c>
      <x:c r="AD48" s="74" t="str">
        <x:v>0</x:v>
      </x:c>
      <x:c r="AE48" s="74" t="str">
        <x:v>0</x:v>
      </x:c>
      <x:c r="AF48" s="74" t="str">
        <x:v>servicetitan</x:v>
      </x:c>
      <x:c r="AG48" s="74" t="str">
        <x:v>0</x:v>
      </x:c>
      <x:c r="AH48" s="74" t="str">
        <x:v>0</x:v>
      </x:c>
      <x:c r="AI48" s="74" t="str">
        <x:v>0</x:v>
      </x:c>
      <x:c r="AJ48" s="74" t="str">
        <x:v>1</x:v>
      </x:c>
      <x:c r="AK48" s="74" t="str">
        <x:v>1</x:v>
      </x:c>
      <x:c r="AL48" s="74" t="str">
        <x:v>0</x:v>
      </x:c>
      <x:c r="AM48" s="74" t="str">
        <x:v>1</x:v>
      </x:c>
      <x:c r="AN48" s="74" t="str">
        <x:v>0</x:v>
      </x:c>
      <x:c r="AO48" s="60" t="str">
        <x:v>0</x:v>
      </x:c>
      <x:c r="AP48" s="76" t="str">
        <x:v>Meta tracking detected; no embedded homepage video found</x:v>
      </x:c>
      <x:c r="AQ48" s="76" t="str">
        <x:v>Meta Pixel; financing; visible service offer; no embedded homepage video detected</x:v>
      </x:c>
      <x:c r="AR48" s="76" t="str">
        <x:v>I noticed Tuck &amp; Howell Plumbing, Heating &amp; Air's site has Meta tracking installed, but I couldn't find an embedded video on the homepage.</x:v>
      </x:c>
      <x:c r="AS48" s="76" t="str">
        <x:v>no-cool-call to same-day comfort ad</x:v>
      </x:c>
      <x:c r="AT48" s="76" t="str">
        <x:v>Tuck &amp; Howell Plumbing, Heating &amp; Air ad concept</x:v>
      </x:c>
      <x:c r="AU48" s="76" t="str">
        <x:v>Hi Tuck &amp; Howell Plumbing, Heating &amp; Air — I noticed Tuck &amp; Howell Plumbing, Heating &amp; Air's site has Meta tracking installed, but I couldn't find an embedded video on the homepage. I mapped a private 15-second no-cool-call to same-day comfort ad for Tuck &amp; Howell Plumbing, Heating &amp; Air using only public brand context—not for publishing, just to show the angle. We build three client-approved video ad concepts in seven days, then turn the winners into fresh variations. No filming day required. Worth sending the private sample?</x:v>
      </x:c>
      <x:c r="AV48" s="76" t="str">
        <x:v>Quick follow-up: the sample angle is a no-cool-call to same-day comfort ad. If it misses the mark, no problem—I won't keep chasing. Should I send it?</x:v>
      </x:c>
      <x:c r="AW48" s="76" t="str">
        <x:v>Hi Tuck &amp; Howell Plumbing, Heating &amp; Air, Ryan here. I was looking at Tuck &amp; Howell Plumbing, Heating &amp; Air's public marketing and noticed: meta tracking detected; no embedded homepage video found. I mapped one private no-cool-call to same-day comfort ad as an example. Did I catch you with 30 seconds?</x:v>
      </x:c>
      <x:c r="AX48" s="60" t="str">
        <x:v>https://www.facebook.com/ads/library/?active_status=active&amp;ad_type=all&amp;country=US&amp;q=Tuck%20%26%20Howell%20Plumbing%2C%20Heating%20%26%20Air&amp;search_type=keyword_unordered</x:v>
      </x:c>
      <x:c r="AY48" s="60" t="str">
        <x:v>ok:200</x:v>
      </x:c>
      <x:c r="AZ48" s="60" t="n">
        <x:v>46232.722858796296</x:v>
      </x:c>
      <x:c r="BA48" s="60" t="str">
        <x:v>Google Maps home-services export</x:v>
      </x:c>
      <x:c r="BB48" s="60" t="str">
        <x:v>https://maps.google.com/?cid=9540672078557796471&amp;g_mp=Cidnb29nbGUubWFwcy5wbGFjZXMudjEuUGxhY2VzLlNlYXJjaFRleHQQAhgEIAA | https://tuckandhowell.com</x:v>
      </x:c>
      <x:c r="BC48" s="60" t="str"/>
    </x:row>
    <x:row r="49" ht="18" customHeight="1">
      <x:c r="A49" s="70" t="str">
        <x:v>48</x:v>
      </x:c>
      <x:c r="B49" s="70" t="str">
        <x:v>A - Layup</x:v>
      </x:c>
      <x:c r="C49" s="72" t="str">
        <x:v>76</x:v>
      </x:c>
      <x:c r="D49" s="60" t="str">
        <x:v>Mighty Dog Roofing Greenville</x:v>
      </x:c>
      <x:c r="E49" s="60" t="str">
        <x:v>https://mightydogroofing.com</x:v>
      </x:c>
      <x:c r="F49" s="60" t="str">
        <x:v>https://www.mightydogroofing.com/</x:v>
      </x:c>
      <x:c r="G49" s="60" t="str">
        <x:v>Greenville</x:v>
      </x:c>
      <x:c r="H49" s="60" t="str">
        <x:v>South Carolina</x:v>
      </x:c>
      <x:c r="I49" s="60" t="str">
        <x:v>Roofing</x:v>
      </x:c>
      <x:c r="J49" s="60" t="str">
        <x:v>Mighty Dog Roofing Greenville</x:v>
      </x:c>
      <x:c r="K49" s="60" t="str"/>
      <x:c r="L49" s="60" t="str">
        <x:v>Owner / decision maker to verify</x:v>
      </x:c>
      <x:c r="M49" s="60" t="str"/>
      <x:c r="N49" s="60" t="str"/>
      <x:c r="O49" s="60" t="str">
        <x:v>(864) 551-4253</x:v>
      </x:c>
      <x:c r="P49" s="60" t="str"/>
      <x:c r="Q49" s="60" t="str"/>
      <x:c r="R49" s="60" t="str"/>
      <x:c r="S49" s="60" t="str">
        <x:v>5</x:v>
      </x:c>
      <x:c r="T49" s="74" t="str">
        <x:v>143</x:v>
      </x:c>
      <x:c r="U49" s="60" t="str"/>
      <x:c r="V49" s="74" t="str">
        <x:v>29</x:v>
      </x:c>
      <x:c r="W49" s="74" t="str">
        <x:v>15</x:v>
      </x:c>
      <x:c r="X49" s="74" t="str">
        <x:v>12</x:v>
      </x:c>
      <x:c r="Y49" s="74" t="str">
        <x:v>15</x:v>
      </x:c>
      <x:c r="Z49" s="74" t="str">
        <x:v>5</x:v>
      </x:c>
      <x:c r="AA49" s="74" t="str">
        <x:v>1</x:v>
      </x:c>
      <x:c r="AB49" s="74" t="str">
        <x:v>0</x:v>
      </x:c>
      <x:c r="AC49" s="74" t="str">
        <x:v>1</x:v>
      </x:c>
      <x:c r="AD49" s="74" t="str">
        <x:v>0</x:v>
      </x:c>
      <x:c r="AE49" s="74" t="str">
        <x:v>0</x:v>
      </x:c>
      <x:c r="AF49" s="74" t="str"/>
      <x:c r="AG49" s="74" t="str">
        <x:v>0</x:v>
      </x:c>
      <x:c r="AH49" s="74" t="str">
        <x:v>1</x:v>
      </x:c>
      <x:c r="AI49" s="74" t="str">
        <x:v>1</x:v>
      </x:c>
      <x:c r="AJ49" s="74" t="str">
        <x:v>1</x:v>
      </x:c>
      <x:c r="AK49" s="74" t="str">
        <x:v>1</x:v>
      </x:c>
      <x:c r="AL49" s="74" t="str">
        <x:v>1</x:v>
      </x:c>
      <x:c r="AM49" s="74" t="str">
        <x:v>1</x:v>
      </x:c>
      <x:c r="AN49" s="74" t="str">
        <x:v>1</x:v>
      </x:c>
      <x:c r="AO49" s="60" t="str">
        <x:v>2026</x:v>
      </x:c>
      <x:c r="AP49" s="76" t="str">
        <x:v>Meta tracking detected; no embedded homepage video found</x:v>
      </x:c>
      <x:c r="AQ49" s="76" t="str">
        <x:v>Meta Pixel; project/gallery proof; testimonials; financing; visible service offer; no embedded homepage video detected</x:v>
      </x:c>
      <x:c r="AR49" s="76" t="str">
        <x:v>I noticed Mighty Dog Roofing Greenville's site has Meta tracking installed, but I couldn't find an embedded video on the homepage.</x:v>
      </x:c>
      <x:c r="AS49" s="76" t="str">
        <x:v>storm-to-inspection before/after ad</x:v>
      </x:c>
      <x:c r="AT49" s="76" t="str">
        <x:v>Mighty Dog Roofing Greenville ad concept</x:v>
      </x:c>
      <x:c r="AU49" s="76" t="str">
        <x:v>Hi Mighty Dog Roofing Greenville — I noticed Mighty Dog Roofing Greenville's site has Meta tracking installed, but I couldn't find an embedded video on the homepage. I mapped a private 15-second storm-to-inspection before/after ad for Mighty Dog Roofing Greenville using only public brand context—not for publishing, just to show the angle. We build three client-approved video ad concepts in seven days, then turn the winners into fresh variations. No filming day required. Worth sending the private sample?</x:v>
      </x:c>
      <x:c r="AV49" s="76" t="str">
        <x:v>Quick follow-up: the sample angle is a storm-to-inspection before/after ad. If it misses the mark, no problem—I won't keep chasing. Should I send it?</x:v>
      </x:c>
      <x:c r="AW49" s="76" t="str">
        <x:v>Hi Mighty Dog Roofing Greenville, Ryan here. I was looking at Mighty Dog Roofing Greenville's public marketing and noticed: meta tracking detected; no embedded homepage video found. I mapped one private storm-to-inspection before/after ad as an example. Did I catch you with 30 seconds?</x:v>
      </x:c>
      <x:c r="AX49" s="60" t="str">
        <x:v>https://www.facebook.com/ads/library/?active_status=active&amp;ad_type=all&amp;country=US&amp;q=Mighty%20Dog%20Roofing%20Greenville&amp;search_type=keyword_unordered</x:v>
      </x:c>
      <x:c r="AY49" s="60" t="str">
        <x:v>ok:200</x:v>
      </x:c>
      <x:c r="AZ49" s="60" t="n">
        <x:v>46232.722858796296</x:v>
      </x:c>
      <x:c r="BA49" s="60" t="str">
        <x:v>Google Maps home-services export</x:v>
      </x:c>
      <x:c r="BB49" s="60" t="str">
        <x:v>https://maps.google.com/?cid=13056534659486697934&amp;g_mp=Cidnb29nbGUubWFwcy5wbGFjZXMudjEuUGxhY2VzLlNlYXJjaFRleHQQAhgEIAA | https://maps.google.com/?cid=17977489306044873942&amp;g_mp=Cidnb29nbGUubWFwcy5wbGFjZXMudjEuUGxhY2VzLlNlYXJjaFRleHQQAhgEIAA | https://maps.google.com/?cid=2322483188037739007&amp;g_mp=Cidnb29nbGUubWFwcy5wbGFjZXMudjEuUGxhY2VzLlNlYXJjaFRleHQQAhgEIAA | https://mightydogroofing.com</x:v>
      </x:c>
      <x:c r="BC49" s="60" t="str"/>
    </x:row>
    <x:row r="50" ht="18" customHeight="1">
      <x:c r="A50" s="70" t="str">
        <x:v>49</x:v>
      </x:c>
      <x:c r="B50" s="70" t="str">
        <x:v>A - Layup</x:v>
      </x:c>
      <x:c r="C50" s="72" t="str">
        <x:v>76</x:v>
      </x:c>
      <x:c r="D50" s="60" t="str">
        <x:v>CB Smith Plumbing</x:v>
      </x:c>
      <x:c r="E50" s="60" t="str">
        <x:v>https://cbsmithplumb.com</x:v>
      </x:c>
      <x:c r="F50" s="60" t="str">
        <x:v>https://cbsmithplumb.com</x:v>
      </x:c>
      <x:c r="G50" s="60" t="str">
        <x:v>Spartanburg</x:v>
      </x:c>
      <x:c r="H50" s="60" t="str">
        <x:v>South Carolina</x:v>
      </x:c>
      <x:c r="I50" s="60" t="str">
        <x:v>Plumbing</x:v>
      </x:c>
      <x:c r="J50" s="60" t="str">
        <x:v>CB Smith Plumbing</x:v>
      </x:c>
      <x:c r="K50" s="60" t="str"/>
      <x:c r="L50" s="60" t="str">
        <x:v>Owner / decision maker to verify</x:v>
      </x:c>
      <x:c r="M50" s="60" t="str"/>
      <x:c r="N50" s="60" t="str"/>
      <x:c r="O50" s="60" t="str">
        <x:v>(864) 574-4275</x:v>
      </x:c>
      <x:c r="P50" s="60" t="str"/>
      <x:c r="Q50" s="60" t="str"/>
      <x:c r="R50" s="60" t="str"/>
      <x:c r="S50" s="60" t="str">
        <x:v>5</x:v>
      </x:c>
      <x:c r="T50" s="74" t="str">
        <x:v>381</x:v>
      </x:c>
      <x:c r="U50" s="60" t="str"/>
      <x:c r="V50" s="74" t="str">
        <x:v>25</x:v>
      </x:c>
      <x:c r="W50" s="74" t="str">
        <x:v>15</x:v>
      </x:c>
      <x:c r="X50" s="74" t="str">
        <x:v>16</x:v>
      </x:c>
      <x:c r="Y50" s="74" t="str">
        <x:v>15</x:v>
      </x:c>
      <x:c r="Z50" s="74" t="str">
        <x:v>5</x:v>
      </x:c>
      <x:c r="AA50" s="74" t="str">
        <x:v>1</x:v>
      </x:c>
      <x:c r="AB50" s="74" t="str">
        <x:v>0</x:v>
      </x:c>
      <x:c r="AC50" s="74" t="str">
        <x:v>1</x:v>
      </x:c>
      <x:c r="AD50" s="74" t="str">
        <x:v>0</x:v>
      </x:c>
      <x:c r="AE50" s="74" t="str">
        <x:v>0</x:v>
      </x:c>
      <x:c r="AF50" s="74" t="str"/>
      <x:c r="AG50" s="74" t="str">
        <x:v>0</x:v>
      </x:c>
      <x:c r="AH50" s="74" t="str">
        <x:v>1</x:v>
      </x:c>
      <x:c r="AI50" s="74" t="str">
        <x:v>1</x:v>
      </x:c>
      <x:c r="AJ50" s="74" t="str">
        <x:v>0</x:v>
      </x:c>
      <x:c r="AK50" s="74" t="str">
        <x:v>1</x:v>
      </x:c>
      <x:c r="AL50" s="74" t="str">
        <x:v>0</x:v>
      </x:c>
      <x:c r="AM50" s="74" t="str">
        <x:v>1</x:v>
      </x:c>
      <x:c r="AN50" s="74" t="str">
        <x:v>0</x:v>
      </x:c>
      <x:c r="AO50" s="60" t="str">
        <x:v>0</x:v>
      </x:c>
      <x:c r="AP50" s="76" t="str">
        <x:v>Meta tracking detected; no embedded homepage video found</x:v>
      </x:c>
      <x:c r="AQ50" s="76" t="str">
        <x:v>Meta Pixel; project/gallery proof; testimonials; visible service offer; no embedded homepage video detected</x:v>
      </x:c>
      <x:c r="AR50" s="76" t="str">
        <x:v>I noticed CB Smith Plumbing's site has Meta tracking installed, but I couldn't find an embedded video on the homepage.</x:v>
      </x:c>
      <x:c r="AS50" s="76" t="str">
        <x:v>small symptom to prevented-emergency ad</x:v>
      </x:c>
      <x:c r="AT50" s="76" t="str">
        <x:v>CB Smith Plumbing ad concept</x:v>
      </x:c>
      <x:c r="AU50" s="76" t="str">
        <x:v>Hi CB Smith Plumbing — I noticed CB Smith Plumbing's site has Meta tracking installed, but I couldn't find an embedded video on the homepage. I mapped a private 15-second small symptom to prevented-emergency ad for CB Smith Plumbing using only public brand context—not for publishing, just to show the angle. We build three client-approved video ad concepts in seven days, then turn the winners into fresh variations. No filming day required. Worth sending the private sample?</x:v>
      </x:c>
      <x:c r="AV50" s="76" t="str">
        <x:v>Quick follow-up: the sample angle is a small symptom to prevented-emergency ad. If it misses the mark, no problem—I won't keep chasing. Should I send it?</x:v>
      </x:c>
      <x:c r="AW50" s="76" t="str">
        <x:v>Hi CB Smith Plumbing, Ryan here. I was looking at CB Smith Plumbing's public marketing and noticed: meta tracking detected; no embedded homepage video found. I mapped one private small symptom to prevented-emergency ad as an example. Did I catch you with 30 seconds?</x:v>
      </x:c>
      <x:c r="AX50" s="60" t="str">
        <x:v>https://www.facebook.com/ads/library/?active_status=active&amp;ad_type=all&amp;country=US&amp;q=CB%20Smith%20Plumbing&amp;search_type=keyword_unordered</x:v>
      </x:c>
      <x:c r="AY50" s="60" t="str">
        <x:v>ok:200</x:v>
      </x:c>
      <x:c r="AZ50" s="60" t="n">
        <x:v>46232.722858796296</x:v>
      </x:c>
      <x:c r="BA50" s="60" t="str">
        <x:v>Google Maps home-services export</x:v>
      </x:c>
      <x:c r="BB50" s="60" t="str">
        <x:v>https://cbsmithplumb.com | https://maps.google.com/?cid=10007972083708119232&amp;g_mp=Cidnb29nbGUubWFwcy5wbGFjZXMudjEuUGxhY2VzLlNlYXJjaFRleHQQAhgEIAA</x:v>
      </x:c>
      <x:c r="BC50" s="60" t="str"/>
    </x:row>
    <x:row r="51" ht="18" customHeight="1">
      <x:c r="A51" s="70" t="str">
        <x:v>50</x:v>
      </x:c>
      <x:c r="B51" s="70" t="str">
        <x:v>A - Layup</x:v>
      </x:c>
      <x:c r="C51" s="72" t="str">
        <x:v>76</x:v>
      </x:c>
      <x:c r="D51" s="60" t="str">
        <x:v>Lowcountry Roof Repairs, LLC</x:v>
      </x:c>
      <x:c r="E51" s="60" t="str">
        <x:v>https://lowcountryroofrepair.com</x:v>
      </x:c>
      <x:c r="F51" s="60" t="str">
        <x:v>https://lowcountryroofrepair.com</x:v>
      </x:c>
      <x:c r="G51" s="60" t="str">
        <x:v>Hilton Head</x:v>
      </x:c>
      <x:c r="H51" s="60" t="str">
        <x:v>South Carolina</x:v>
      </x:c>
      <x:c r="I51" s="60" t="str">
        <x:v>Roofing</x:v>
      </x:c>
      <x:c r="J51" s="60" t="str">
        <x:v>Lowcountry Roof Repairs, LLC</x:v>
      </x:c>
      <x:c r="K51" s="60" t="str"/>
      <x:c r="L51" s="60" t="str">
        <x:v>Owner / decision maker to verify</x:v>
      </x:c>
      <x:c r="M51" s="60" t="str"/>
      <x:c r="N51" s="60" t="str"/>
      <x:c r="O51" s="60" t="str">
        <x:v>(843) 258-2716</x:v>
      </x:c>
      <x:c r="P51" s="60" t="str"/>
      <x:c r="Q51" s="60" t="str"/>
      <x:c r="R51" s="60" t="str"/>
      <x:c r="S51" s="60" t="str">
        <x:v>4.9</x:v>
      </x:c>
      <x:c r="T51" s="74" t="str">
        <x:v>73</x:v>
      </x:c>
      <x:c r="U51" s="60" t="str"/>
      <x:c r="V51" s="74" t="str">
        <x:v>27</x:v>
      </x:c>
      <x:c r="W51" s="74" t="str">
        <x:v>15</x:v>
      </x:c>
      <x:c r="X51" s="74" t="str">
        <x:v>19</x:v>
      </x:c>
      <x:c r="Y51" s="74" t="str">
        <x:v>10</x:v>
      </x:c>
      <x:c r="Z51" s="74" t="str">
        <x:v>5</x:v>
      </x:c>
      <x:c r="AA51" s="74" t="str">
        <x:v>1</x:v>
      </x:c>
      <x:c r="AB51" s="74" t="str">
        <x:v>0</x:v>
      </x:c>
      <x:c r="AC51" s="74" t="str">
        <x:v>1</x:v>
      </x:c>
      <x:c r="AD51" s="74" t="str">
        <x:v>0</x:v>
      </x:c>
      <x:c r="AE51" s="74" t="str">
        <x:v>0</x:v>
      </x:c>
      <x:c r="AF51" s="74" t="str"/>
      <x:c r="AG51" s="74" t="str">
        <x:v>0</x:v>
      </x:c>
      <x:c r="AH51" s="74" t="str">
        <x:v>1</x:v>
      </x:c>
      <x:c r="AI51" s="74" t="str">
        <x:v>0</x:v>
      </x:c>
      <x:c r="AJ51" s="74" t="str">
        <x:v>0</x:v>
      </x:c>
      <x:c r="AK51" s="74" t="str">
        <x:v>1</x:v>
      </x:c>
      <x:c r="AL51" s="74" t="str">
        <x:v>0</x:v>
      </x:c>
      <x:c r="AM51" s="74" t="str">
        <x:v>1</x:v>
      </x:c>
      <x:c r="AN51" s="74" t="str">
        <x:v>0</x:v>
      </x:c>
      <x:c r="AO51" s="60" t="str">
        <x:v>2022</x:v>
      </x:c>
      <x:c r="AP51" s="76" t="str">
        <x:v>Meta tracking detected; no embedded homepage video found</x:v>
      </x:c>
      <x:c r="AQ51" s="76" t="str">
        <x:v>Meta Pixel; project/gallery proof; visible service offer; no embedded homepage video detected</x:v>
      </x:c>
      <x:c r="AR51" s="76" t="str">
        <x:v>I noticed Lowcountry Roof Repairs, LLC's site has Meta tracking installed, but I couldn't find an embedded video on the homepage.</x:v>
      </x:c>
      <x:c r="AS51" s="76" t="str">
        <x:v>storm-to-inspection before/after ad</x:v>
      </x:c>
      <x:c r="AT51" s="76" t="str">
        <x:v>Lowcountry Roof Repairs, LLC ad concept</x:v>
      </x:c>
      <x:c r="AU51" s="76" t="str">
        <x:v>Hi Lowcountry Roof Repairs, LLC — I noticed Lowcountry Roof Repairs, LLC's site has Meta tracking installed, but I couldn't find an embedded video on the homepage. I mapped a private 15-second storm-to-inspection before/after ad for Lowcountry Roof Repairs, LLC using only public brand context—not for publishing, just to show the angle. We build three client-approved video ad concepts in seven days, then turn the winners into fresh variations. No filming day required. Worth sending the private sample?</x:v>
      </x:c>
      <x:c r="AV51" s="76" t="str">
        <x:v>Quick follow-up: the sample angle is a storm-to-inspection before/after ad. If it misses the mark, no problem—I won't keep chasing. Should I send it?</x:v>
      </x:c>
      <x:c r="AW51" s="76" t="str">
        <x:v>Hi Lowcountry Roof Repairs, LLC, Ryan here. I was looking at Lowcountry Roof Repairs, LLC's public marketing and noticed: meta tracking detected; no embedded homepage video found. I mapped one private storm-to-inspection before/after ad as an example. Did I catch you with 30 seconds?</x:v>
      </x:c>
      <x:c r="AX51" s="60" t="str">
        <x:v>https://www.facebook.com/ads/library/?active_status=active&amp;ad_type=all&amp;country=US&amp;q=Lowcountry%20Roof%20Repairs%2C%20LLC&amp;search_type=keyword_unordered</x:v>
      </x:c>
      <x:c r="AY51" s="60" t="str">
        <x:v>ok:200</x:v>
      </x:c>
      <x:c r="AZ51" s="60" t="n">
        <x:v>46232.722858796296</x:v>
      </x:c>
      <x:c r="BA51" s="60" t="str">
        <x:v>Google Maps home-services export</x:v>
      </x:c>
      <x:c r="BB51" s="60" t="str">
        <x:v>https://lowcountryroofrepair.com | https://maps.google.com/?cid=89133559722054477&amp;g_mp=Cidnb29nbGUubWFwcy5wbGFjZXMudjEuUGxhY2VzLlNlYXJjaFRleHQQAhgEIAA</x:v>
      </x:c>
      <x:c r="BC51" s="60" t="str"/>
    </x:row>
  </x:sheetData>
  <x:conditionalFormatting sqref="B2:B51">
    <x:cfRule type="containsText" dxfId="3" priority="1" operator="containsText" text="A - Layup"/>
    <x:cfRule type="containsText" dxfId="4" priority="2" operator="containsText" text="B - Strong"/>
    <x:cfRule type="containsText" dxfId="5" priority="3" operator="containsText" text="D - Nurture"/>
  </x:conditionalFormatting>
  <x:conditionalFormatting sqref="C2:C51">
    <x:cfRule type="dataBar" priority="4">
      <x:dataBar>
        <x:cfvo type="min"/>
        <x:cfvo type="max"/>
        <x:color rgb="FF2563EB"/>
      </x:dataBar>
      <x:extLst>
        <x:ext xmlns:x14="http://schemas.microsoft.com/office/spreadsheetml/2009/9/main" uri="{B025F937-C7B1-47D3-B67F-A62EFF666E3E}">
          <x14:id>{81793A76-F8AB-EEE0-DACE-01D37D97B9C1}</x14:id>
        </x:ext>
      </x:extLst>
    </x:cfRule>
  </x:conditionalFormatting>
  <x:pageMargins left="0.7" right="0.7" top="0.75" bottom="0.75" header="0.3" footer="0.3"/>
  <x:tableParts count="1">
    <x:tablePart xmlns:r="http://schemas.openxmlformats.org/officeDocument/2006/relationships" r:id="Raabde0a6139b4d3f"/>
  </x:tableParts>
  <x:extLst>
    <x:ext xmlns:x14="http://schemas.microsoft.com/office/spreadsheetml/2009/9/main" xmlns:xm="http://schemas.microsoft.com/office/excel/2006/main" uri="{78C0D931-6437-407d-A8EE-F0AAD7539E65}">
      <x14:conditionalFormattings>
        <x14:conditionalFormatting>
          <x14:cfRule type="dataBar" priority="4" id="{81793A76-F8AB-EEE0-DACE-01D37D97B9C1}">
            <x14:dataBar gradient="1">
              <x14:cfvo type="min"/>
              <x14:cfvo type="max"/>
              <x14:fillColor rgb="FF2563EB"/>
            </x14:dataBar>
          </x14:cfRule>
          <xm:sqref>C2:C51</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27" hidden="0" customWidth="1"/>
    <x:col min="3" max="3" width="42" hidden="0" customWidth="1"/>
    <x:col min="4" max="4" width="42" hidden="0" customWidth="1"/>
  </x:cols>
  <x:sheetData>
    <x:row r="1" ht="22" customHeight="1">
      <x:c r="A1" s="6" t="str">
        <x:v>Buying-Signal Model</x:v>
      </x:c>
    </x:row>
    <x:row r="2" ht="22" customHeight="1">
      <x:c r="A2" s="10" t="str">
        <x:v>Scores need and readiness; does not claim a prospect is actively buying today</x:v>
      </x:c>
    </x:row>
    <x:row r="3" ht="22" customHeight="1"/>
    <x:row r="4" ht="22" customHeight="1">
      <x:c r="A4" s="34" t="str">
        <x:v>Dimension</x:v>
      </x:c>
      <x:c r="B4" s="34" t="str">
        <x:v>Max points</x:v>
      </x:c>
      <x:c r="C4" s="34" t="str">
        <x:v>Observed inputs</x:v>
      </x:c>
      <x:c r="D4" s="34" t="str">
        <x:v>How to use</x:v>
      </x:c>
    </x:row>
    <x:row r="5" ht="34" customHeight="1">
      <x:c r="A5" s="78" t="str">
        <x:v>Vertical and capacity fit</x:v>
      </x:c>
      <x:c r="B5" s="78" t="n">
        <x:v>30</x:v>
      </x:c>
      <x:c r="C5" s="78" t="str">
        <x:v>Trade, employee/revenue bands, review volume</x:v>
      </x:c>
      <x:c r="D5" s="78" t="str">
        <x:v>Confirms economics and service fit</x:v>
      </x:c>
    </x:row>
    <x:row r="6" ht="34" customHeight="1">
      <x:c r="A6" s="78" t="str">
        <x:v>Paid-demand infrastructure</x:v>
      </x:c>
      <x:c r="B6" s="78" t="n">
        <x:v>30</x:v>
      </x:c>
      <x:c r="C6" s="78" t="str">
        <x:v>Meta/Google/TikTok tags, call tracking, lead platform</x:v>
      </x:c>
      <x:c r="D6" s="78" t="str">
        <x:v>Prioritizes likely distribution maturity</x:v>
      </x:c>
    </x:row>
    <x:row r="7" ht="34" customHeight="1">
      <x:c r="A7" s="78" t="str">
        <x:v>Creative gap</x:v>
      </x:c>
      <x:c r="B7" s="78" t="n">
        <x:v>20</x:v>
      </x:c>
      <x:c r="C7" s="78" t="str">
        <x:v>No homepage video, weak video/social links, dated site</x:v>
      </x:c>
      <x:c r="D7" s="78" t="str">
        <x:v>Identifies a plausible production need</x:v>
      </x:c>
    </x:row>
    <x:row r="8" ht="34" customHeight="1">
      <x:c r="A8" s="78" t="str">
        <x:v>Proof/raw material</x:v>
      </x:c>
      <x:c r="B8" s="78" t="n">
        <x:v>15</x:v>
      </x:c>
      <x:c r="C8" s="78" t="str">
        <x:v>Gallery, testimonials, financing, offer, reviews</x:v>
      </x:c>
      <x:c r="D8" s="78" t="str">
        <x:v>Shows source material for credible concepts</x:v>
      </x:c>
    </x:row>
    <x:row r="9" ht="34" customHeight="1">
      <x:c r="A9" s="78" t="str">
        <x:v>Reachability</x:v>
      </x:c>
      <x:c r="B9" s="78" t="n">
        <x:v>10</x:v>
      </x:c>
      <x:c r="C9" s="78" t="str">
        <x:v>Email, phone, decision-maker title</x:v>
      </x:c>
      <x:c r="D9" s="78" t="str">
        <x:v>Measures ability to reach an accountable buyer</x:v>
      </x:c>
    </x:row>
    <x:row r="10" ht="34" customHeight="1">
      <x:c r="A10" s="78" t="str">
        <x:v>Penalties</x:v>
      </x:c>
      <x:c r="B10" s="78" t="n">
        <x:v>-15</x:v>
      </x:c>
      <x:c r="C10" s="78" t="str">
        <x:v>Supplier/manufacturer match or failed scan</x:v>
      </x:c>
      <x:c r="D10" s="78" t="str">
        <x:v>Suppresses weak or ambiguous fits</x:v>
      </x:c>
    </x:row>
    <x:row r="11" ht="22" customHeight="1"/>
    <x:row r="12" ht="22" customHeight="1"/>
    <x:row r="13" ht="22" customHeight="1">
      <x:c r="A13" s="34" t="str">
        <x:v>Evidence class</x:v>
      </x:c>
      <x:c r="B13" s="34" t="str">
        <x:v>Examples</x:v>
      </x:c>
      <x:c r="C13" s="34" t="str">
        <x:v>Safe claim</x:v>
      </x:c>
      <x:c r="D13" s="34" t="str">
        <x:v>Required action</x:v>
      </x:c>
    </x:row>
    <x:row r="14" ht="44" customHeight="1">
      <x:c r="A14" s="78" t="str">
        <x:v>Observable</x:v>
      </x:c>
      <x:c r="B14" s="78" t="str">
        <x:v>Tag in HTML; public gallery; review count; phone</x:v>
      </x:c>
      <x:c r="C14" s="78" t="str">
        <x:v>“I noticed…” with exact evidence</x:v>
      </x:c>
      <x:c r="D14" s="78" t="str">
        <x:v>Recheck immediately before outreach</x:v>
      </x:c>
    </x:row>
    <x:row r="15" ht="44" customHeight="1">
      <x:c r="A15" s="78" t="str">
        <x:v>Hypothesis</x:v>
      </x:c>
      <x:c r="B15" s="78" t="str">
        <x:v>Active spend; budget; urgency; no video anywhere</x:v>
      </x:c>
      <x:c r="C15" s="78" t="str">
        <x:v>Use as internal prioritization only</x:v>
      </x:c>
      <x:c r="D15" s="78" t="str">
        <x:v>Verify via Ad Library, social feed, contact research</x:v>
      </x:c>
    </x:row>
    <x:row r="16" ht="22" customHeight="1"/>
    <x:row r="17" ht="22" customHeight="1"/>
    <x:row r="18" ht="22" customHeight="1">
      <x:c r="A18" s="82" t="str">
        <x:v>A-tier rule: score ≥70, paid-demand score ≥8, and reachability ≥3.</x:v>
      </x:c>
      <x:c r="B18" s="82"/>
      <x:c r="C18" s="82"/>
      <x:c r="D18" s="82"/>
    </x:row>
    <x:row r="19" ht="22" customHeight="1">
      <x:c r="A19" s="82" t="str">
        <x:v>Human gate: verify current ads, current contact, current creative, and exact observation before sending.</x:v>
      </x:c>
      <x:c r="B19" s="82"/>
      <x:c r="C19" s="82"/>
      <x:c r="D19" s="82"/>
    </x:row>
    <x:row r="20" ht="22" customHeight="1"/>
    <x:row r="21" ht="22" customHeight="1"/>
    <x:row r="22" ht="22" customHeight="1"/>
  </x:sheetData>
  <x:mergeCells>
    <x:mergeCell ref="A1:H1"/>
    <x:mergeCell ref="A2:H2"/>
    <x:mergeCell ref="A18:D18"/>
    <x:mergeCell ref="A19:D19"/>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ht="24" customHeight="1">
      <x:c r="A1" s="6" t="str">
        <x:v>Offer &amp; Outreach</x:v>
      </x:c>
    </x:row>
    <x:row r="2" ht="24" customHeight="1">
      <x:c r="A2" s="10" t="str">
        <x:v>Concrete entry offer, scalable retainer, and evidence-led outreach copy</x:v>
      </x:c>
    </x:row>
    <x:row r="3" ht="24" customHeight="1"/>
    <x:row r="4" ht="24" customHeight="1">
      <x:c r="A4" s="84" t="str">
        <x:v>Offer</x:v>
      </x:c>
      <x:c r="B4" s="84" t="str">
        <x:v>Details</x:v>
      </x:c>
    </x:row>
    <x:row r="5" ht="24" customHeight="1">
      <x:c r="A5" s="78" t="str">
        <x:v>Seven-Day Creative Pilot</x:v>
      </x:c>
      <x:c r="B5" s="78" t="str">
        <x:v>$750 • 3 client-approved 15–30 second concepts • one revision • fee credited to first retainer month</x:v>
      </x:c>
    </x:row>
    <x:row r="6" ht="24" customHeight="1">
      <x:c r="A6" s="78" t="str">
        <x:v>Monthly Creative Testing</x:v>
      </x:c>
      <x:c r="B6" s="78" t="str">
        <x:v>$2,000/month starting • 12 variants • 4 themes • human QA • monthly creative scorecard</x:v>
      </x:c>
    </x:row>
    <x:row r="7" ht="24" customHeight="1">
      <x:c r="A7" s="85"/>
      <x:c r="B7" s="85"/>
    </x:row>
    <x:row r="8" ht="24" customHeight="1">
      <x:c r="A8" s="85"/>
      <x:c r="B8" s="85"/>
    </x:row>
    <x:row r="9" ht="24" customHeight="1">
      <x:c r="A9" s="84" t="str">
        <x:v>Asset</x:v>
      </x:c>
      <x:c r="B9" s="84" t="str">
        <x:v>Template</x:v>
      </x:c>
    </x:row>
    <x:row r="10" ht="24" customHeight="1">
      <x:c r="A10" s="78" t="str">
        <x:v>Positioning</x:v>
      </x:c>
      <x:c r="B10" s="78" t="str">
        <x:v>We turn existing projects, reviews, offers, and brand assets into ready-to-test short-form ads—without another filming day.</x:v>
      </x:c>
    </x:row>
    <x:row r="11" ht="24" customHeight="1">
      <x:c r="A11" s="78" t="str">
        <x:v>Email</x:v>
      </x:c>
      <x:c r="B11" s="78" t="str">
        <x:v>I noticed [factual signal]. I mapped a private 15-second [concept] for [Company]. Worth sending the private sample?</x:v>
      </x:c>
    </x:row>
    <x:row r="12" ht="24" customHeight="1">
      <x:c r="A12" s="78" t="str">
        <x:v>Follow-up</x:v>
      </x:c>
      <x:c r="B12" s="78" t="str">
        <x:v>The sample angle is [concept]. If it misses the mark, no problem—I won't keep chasing. Should I send it?</x:v>
      </x:c>
    </x:row>
    <x:row r="13" ht="24" customHeight="1">
      <x:c r="A13" s="78" t="str">
        <x:v>Call opener</x:v>
      </x:c>
      <x:c r="B13" s="78" t="str">
        <x:v>I noticed [primary need signal] and mapped one private [concept]. Did I catch you with 30 seconds?</x:v>
      </x:c>
    </x:row>
    <x:row r="14" ht="24" customHeight="1">
      <x:c r="A14" s="85"/>
      <x:c r="B14" s="85"/>
    </x:row>
    <x:row r="15" ht="24" customHeight="1">
      <x:c r="A15" s="85"/>
      <x:c r="B15" s="85"/>
    </x:row>
    <x:row r="16" ht="24" customHeight="1">
      <x:c r="A16" s="84" t="str">
        <x:v>Guardrail</x:v>
      </x:c>
      <x:c r="B16" s="84" t="str">
        <x:v>Rule</x:v>
      </x:c>
    </x:row>
    <x:row r="17" ht="24" customHeight="1">
      <x:c r="A17" s="78" t="str">
        <x:v>Claims</x:v>
      </x:c>
      <x:c r="B17" s="78" t="str">
        <x:v>Never invent reviews, outcomes, customers, certifications, offers, or current ad activity.</x:v>
      </x:c>
    </x:row>
    <x:row r="18" ht="24" customHeight="1">
      <x:c r="A18" s="78" t="str">
        <x:v>Assets</x:v>
      </x:c>
      <x:c r="B18" s="78" t="str">
        <x:v>Private, watermarked samples only until the company approves use.</x:v>
      </x:c>
    </x:row>
    <x:row r="19" ht="24" customHeight="1">
      <x:c r="A19" s="78" t="str">
        <x:v>Automation</x:v>
      </x:c>
      <x:c r="B19" s="78" t="str">
        <x:v>Generated personalization is a draft; a human verifies every observation and contact.</x:v>
      </x:c>
    </x:row>
    <x:row r="20" ht="24" customHeight="1">
      <x:c r="A20" s="78" t="str">
        <x:v>Performance</x:v>
      </x:c>
      <x:c r="B20" s="78" t="str">
        <x:v>Guarantee deliverables only—not leads, appointments, or revenue.</x:v>
      </x:c>
    </x:row>
    <x:row r="21" ht="24" customHeight="1"/>
    <x:row r="22" ht="24" customHeight="1"/>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48" hidden="0" customWidth="1"/>
    <x:col min="4" max="4" width="48" hidden="0" customWidth="1"/>
  </x:cols>
  <x:sheetData>
    <x:row r="1" ht="24" customHeight="1">
      <x:c r="A1" s="6" t="str">
        <x:v>Sources &amp; Coverage</x:v>
      </x:c>
    </x:row>
    <x:row r="2" ht="24" customHeight="1">
      <x:c r="A2" s="10" t="str">
        <x:v>Coverage statement, scan provenance, and known gaps</x:v>
      </x:c>
    </x:row>
    <x:row r="3" ht="24" customHeight="1"/>
    <x:row r="4" ht="24" customHeight="1">
      <x:c r="A4" s="34" t="str">
        <x:v>Source</x:v>
      </x:c>
      <x:c r="B4" s="34" t="str">
        <x:v>Coverage</x:v>
      </x:c>
      <x:c r="C4" s="34" t="str">
        <x:v>Fields used</x:v>
      </x:c>
      <x:c r="D4" s="34" t="str">
        <x:v>Limitation</x:v>
      </x:c>
    </x:row>
    <x:row r="5" ht="46" customHeight="1">
      <x:c r="A5" s="78" t="str">
        <x:v>AI Ark SC trades export</x:v>
      </x:c>
      <x:c r="B5" s="78" t="str">
        <x:v>1,015 parsed contact records; 999 unique companies before merging</x:v>
      </x:c>
      <x:c r="C5" s="78" t="str">
        <x:v>Company, website, contact, title, email, phone, LinkedIn, employee/revenue ranges, description</x:v>
      </x:c>
      <x:c r="D5" s="78" t="str">
        <x:v>Export freshness and email validity require verification</x:v>
      </x:c>
    </x:row>
    <x:row r="6" ht="46" customHeight="1">
      <x:c r="A6" s="78" t="str">
        <x:v>Google Maps home-services export</x:v>
      </x:c>
      <x:c r="B6" s="78" t="str">
        <x:v>731 local business records</x:v>
      </x:c>
      <x:c r="C6" s="78" t="str">
        <x:v>Company, website, phone, location, rating, review count, complaint themes, Maps URL</x:v>
      </x:c>
      <x:c r="D6" s="78" t="str">
        <x:v>Predominantly South Carolina and adjacent market coverage</x:v>
      </x:c>
    </x:row>
    <x:row r="7" ht="46" customHeight="1">
      <x:c r="A7" s="78" t="str">
        <x:v>Public homepage scan</x:v>
      </x:c>
      <x:c r="B7" s="78" t="str">
        <x:v>1,414 eligible domains scanned; 1,000 ranked output accounts</x:v>
      </x:c>
      <x:c r="C7" s="78" t="str">
        <x:v>Ad tags, call tracking, lead platform, video, gallery, testimonials, financing, offer, social links</x:v>
      </x:c>
      <x:c r="D7" s="78" t="str">
        <x:v>Homepage HTML only; tags are proxies and may be stale</x:v>
      </x:c>
    </x:row>
    <x:row r="8" ht="24" customHeight="1"/>
    <x:row r="9" ht="24" customHeight="1"/>
    <x:row r="10" ht="24" customHeight="1">
      <x:c r="A10" s="34" t="str">
        <x:v>Output metric</x:v>
      </x:c>
      <x:c r="B10" s="34" t="str">
        <x:v>Value</x:v>
      </x:c>
    </x:row>
    <x:row r="11" ht="24" customHeight="1">
      <x:c r="A11" s="35" t="str">
        <x:v>Ranked unique domains</x:v>
      </x:c>
      <x:c r="B11" s="35" t="n">
        <x:v>1000</x:v>
      </x:c>
    </x:row>
    <x:row r="12" ht="24" customHeight="1">
      <x:c r="A12" s="35" t="str">
        <x:v>Successful homepage scans</x:v>
      </x:c>
      <x:c r="B12" s="35" t="n">
        <x:v>967</x:v>
      </x:c>
    </x:row>
    <x:row r="13" ht="24" customHeight="1">
      <x:c r="A13" s="35" t="str">
        <x:v>A-tier layups</x:v>
      </x:c>
      <x:c r="B13" s="35" t="n">
        <x:v>97</x:v>
      </x:c>
    </x:row>
    <x:row r="14" ht="24" customHeight="1">
      <x:c r="A14" s="35" t="str">
        <x:v>B-tier strong</x:v>
      </x:c>
      <x:c r="B14" s="35" t="n">
        <x:v>240</x:v>
      </x:c>
    </x:row>
    <x:row r="15" ht="24" customHeight="1">
      <x:c r="A15" s="35" t="str">
        <x:v>Accounts with paid-demand score ≥8</x:v>
      </x:c>
      <x:c r="B15" s="35" t="n">
        <x:v>284</x:v>
      </x:c>
    </x:row>
    <x:row r="16" ht="24" customHeight="1">
      <x:c r="A16" s="35" t="str">
        <x:v>Reachable accounts</x:v>
      </x:c>
      <x:c r="B16" s="35" t="n">
        <x:v>940</x:v>
      </x:c>
    </x:row>
    <x:row r="17" ht="24" customHeight="1">
      <x:c r="A17" s="35" t="str">
        <x:v>No embedded homepage video detected</x:v>
      </x:c>
      <x:c r="B17" s="35" t="n">
        <x:v>736</x:v>
      </x:c>
    </x:row>
    <x:row r="18" ht="24" customHeight="1"/>
    <x:row r="19" ht="24" customHeight="1"/>
    <x:row r="20" ht="24" customHeight="1">
      <x:c r="A20" s="90" t="str">
        <x:v>Coverage note: this is a 1,000-account operational universe built from existing project sources, not a census of the U.S. home-services market.</x:v>
      </x:c>
      <x:c r="B20" s="90"/>
      <x:c r="C20" s="90"/>
      <x:c r="D20" s="90"/>
    </x:row>
    <x:row r="21" ht="24" customHeight="1">
      <x:c r="A21" s="90" t="str">
        <x:v>Privacy note: contact data remains in the workbook for authorized business prospecting. Validate relevance, suppress opt-outs, and follow applicable channel rules.</x:v>
      </x:c>
      <x:c r="B21" s="90"/>
      <x:c r="C21" s="90"/>
      <x:c r="D21" s="90"/>
    </x:row>
    <x:row r="22" ht="24" customHeight="1">
      <x:c r="A22" s="90" t="str">
        <x:v>No outreach was sent during this build.</x:v>
      </x:c>
      <x:c r="B22" s="90"/>
      <x:c r="C22" s="90"/>
      <x:c r="D22" s="90"/>
    </x:row>
    <x:row r="23" ht="24" customHeight="1"/>
    <x:row r="24" ht="24" customHeight="1"/>
  </x:sheetData>
  <x:mergeCells>
    <x:mergeCell ref="A1:H1"/>
    <x:mergeCell ref="A2:H2"/>
    <x:mergeCell ref="A20:D20"/>
    <x:mergeCell ref="A21:D21"/>
    <x:mergeCell ref="A22:D22"/>
  </x:mergeCells>
  <x:pageMargins left="0.7" right="0.7" top="0.75" bottom="0.75" header="0.3" footer="0.3"/>
</x:worksheet>
</file>