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9299b035a64a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mand Center" sheetId="1" r:id="Rc359ecb92e45490c"/>
    <x:sheet xmlns:r="http://schemas.openxmlformats.org/officeDocument/2006/relationships" name="Target List" sheetId="2" r:id="R5b3f14941e714100"/>
    <x:sheet xmlns:r="http://schemas.openxmlformats.org/officeDocument/2006/relationships" name="Teardown Tracker" sheetId="3" r:id="Rd56bbf14034a4af0"/>
    <x:sheet xmlns:r="http://schemas.openxmlformats.org/officeDocument/2006/relationships" name="Profile Examples" sheetId="4" r:id="Re1c48768c68e4ee1"/>
    <x:sheet xmlns:r="http://schemas.openxmlformats.org/officeDocument/2006/relationships" name="Beta Intake" sheetId="5" r:id="R8a7baa8b0b8c4f8c"/>
    <x:sheet xmlns:r="http://schemas.openxmlformats.org/officeDocument/2006/relationships" name="HubSpot Setup" sheetId="6" r:id="R0bc5cc39d0514f87"/>
    <x:sheet xmlns:r="http://schemas.openxmlformats.org/officeDocument/2006/relationships" name="Install Tracker" sheetId="7" r:id="R9547e541a4ee47eb"/>
    <x:sheet xmlns:r="http://schemas.openxmlformats.org/officeDocument/2006/relationships" name="Proof Log" sheetId="8" r:id="R34dfe0d9db504ab2"/>
    <x:sheet xmlns:r="http://schemas.openxmlformats.org/officeDocument/2006/relationships" name="Objections" sheetId="9" r:id="Rfe8c580f16534788"/>
    <x:sheet xmlns:r="http://schemas.openxmlformats.org/officeDocument/2006/relationships" name="Weekly Review" sheetId="10" r:id="R41c5b971b34847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.0%"/>
    <x:numFmt numFmtId="202" formatCode="0"/>
    <x:numFmt numFmtId="203" formatCode="@"/>
  </x:numFmts>
  <x:fonts count="1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92400E"/>
      <x:name val="Carlito"/>
    </x:font>
    <x:font>
      <x:b/>
      <x:sz val="10"/>
      <x:color rgb="FF5B6770"/>
      <x:name val="Carlito"/>
    </x:font>
    <x:font>
      <x:b/>
      <x:sz val="14"/>
      <x:color rgb="FF12242E"/>
      <x:name val="Carlito"/>
    </x:font>
    <x:font>
      <x:sz val="11"/>
      <x:color rgb="FF172026"/>
      <x:name val="Carlito"/>
    </x:font>
    <x:font>
      <x:sz val="11"/>
      <x:color rgb="FFFFFFFF"/>
      <x:name val="Carlito"/>
    </x:font>
    <x:font>
      <x:b/>
      <x:sz val="16"/>
      <x:color rgb="FFFFFFFF"/>
      <x:name val="Aptos"/>
    </x:font>
    <x:font>
      <x:sz val="11"/>
      <x:name val="Aptos"/>
    </x:font>
    <x:font>
      <x:b/>
      <x:sz val="11"/>
      <x:color rgb="FFFFFFFF"/>
      <x:name val="Aptos"/>
    </x:font>
    <x:font>
      <x:sz val="11"/>
      <x:color rgb="FFFFFFFF"/>
      <x:name val="Aptos"/>
    </x:font>
    <x:font>
      <x:b/>
      <x:sz val="10"/>
      <x:color rgb="FF5B6770"/>
      <x:name val="Aptos"/>
    </x:font>
    <x:font>
      <x:b/>
      <x:sz val="14"/>
      <x:color rgb="FF12242E"/>
      <x:name val="Aptos"/>
    </x:font>
    <x:font>
      <x:sz val="11"/>
      <x:color rgb="FF172026"/>
      <x:name val="Aptos"/>
    </x:font>
    <x:font>
      <x:b/>
      <x:sz val="11"/>
      <x:color rgb="FF92400E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2242E"/>
      </x:patternFill>
    </x:fill>
    <x:fill>
      <x:patternFill patternType="solid">
        <x:fgColor rgb="FF0F766E"/>
      </x:patternFill>
    </x:fill>
    <x:fill>
      <x:patternFill patternType="solid">
        <x:fgColor rgb="FFFFF1CC"/>
      </x:patternFill>
    </x:fill>
    <x:fill>
      <x:patternFill patternType="solid">
        <x:fgColor rgb="FFEAF3F8"/>
      </x:patternFill>
    </x:fill>
    <x:fill>
      <x:patternFill patternType="solid">
        <x:fgColor rgb="FFFFFFFF"/>
      </x:patternFill>
    </x:fill>
    <x:fill>
      <x:patternFill patternType="solid">
        <x:fgColor rgb="FFF4F6F8"/>
      </x:patternFill>
    </x:fill>
  </x:fills>
  <x:borders count="11">
    <x:border/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  <x:border>
      <x:bottom/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200" fontId="0" fillId="0" borderId="5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200" fontId="0" fillId="0" borderId="8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0" fontId="0" fillId="4" borderId="5" xfId="0" applyNumberFormat="1" applyFont="1" applyFill="1" applyBorder="1"/>
    <x:xf numFmtId="0" fontId="0" fillId="4" borderId="8" xfId="0" applyNumberFormat="1" applyFont="1" applyFill="1" applyBorder="1"/>
    <x:xf numFmtId="0" fontId="3" fillId="4" borderId="5" xfId="0" applyNumberFormat="1" applyFont="1" applyFill="1" applyBorder="1"/>
    <x:xf numFmtId="0" fontId="3" fillId="4" borderId="8" xfId="0" applyNumberFormat="1" applyFont="1" applyFill="1" applyBorder="1"/>
    <x:xf numFmtId="0" fontId="3" fillId="4" borderId="5" xfId="0" applyNumberFormat="1" applyFont="1" applyFill="1" applyBorder="1" applyAlignment="1">
      <x:alignment horizontal="center"/>
    </x:xf>
    <x:xf numFmtId="0" fontId="3" fillId="4" borderId="8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5" xfId="0" applyNumberFormat="1" applyFont="1" applyFill="1" applyBorder="1"/>
    <x:xf numFmtId="201" fontId="0" fillId="0" borderId="8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0" xfId="0" applyNumberFormat="1" applyFont="1" applyFill="1" applyBorder="1"/>
    <x:xf numFmtId="0" fontId="5" fillId="6" borderId="10" xfId="0" applyNumberFormat="1" applyFont="1" applyFill="1" applyBorder="1" applyAlignment="1">
      <x:alignment horizontal="center"/>
    </x:xf>
    <x:xf numFmtId="0" fontId="5" fillId="6" borderId="10" xfId="0" applyNumberFormat="1" applyFont="1" applyFill="1" applyBorder="1" applyAlignment="1">
      <x:alignment horizontal="center" vertical="center"/>
    </x:xf>
    <x:xf numFmtId="202" fontId="5" fillId="6" borderId="10" xfId="0" applyNumberFormat="1" applyFont="1" applyFill="1" applyBorder="1" applyAlignment="1">
      <x:alignment horizontal="center" vertical="center"/>
    </x:xf>
    <x:xf numFmtId="201" fontId="5" fillId="6" borderId="10" xfId="0" applyNumberFormat="1" applyFont="1" applyFill="1" applyBorder="1" applyAlignment="1">
      <x:alignment horizontal="center" vertical="center"/>
    </x:xf>
    <x:xf numFmtId="203" fontId="5" fillId="6" borderId="1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top" wrapText="1"/>
    </x:xf>
    <x:xf numFmtId="0" fontId="7" fillId="6" borderId="0" xfId="0" applyNumberFormat="1" applyFont="1" applyFill="1" applyBorder="1"/>
    <x:xf numFmtId="0" fontId="8" fillId="2" borderId="0" xfId="0" applyNumberFormat="1" applyFont="1" applyFill="1" applyBorder="1" applyAlignment="1">
      <x:alignment horizontal="left" vertical="center" wrapText="1"/>
    </x:xf>
    <x:xf numFmtId="0" fontId="9" fillId="0" borderId="0" xfId="0" applyNumberFormat="1" applyFont="1" applyFill="1" applyBorder="1"/>
    <x:xf numFmtId="0" fontId="10" fillId="3" borderId="0" xfId="0" applyNumberFormat="1" applyFont="1" applyFill="1" applyBorder="1" applyAlignment="1">
      <x:alignment horizontal="left"/>
    </x:xf>
    <x:xf numFmtId="0" fontId="11" fillId="6" borderId="0" xfId="0" applyNumberFormat="1" applyFont="1" applyFill="1" applyBorder="1"/>
    <x:xf numFmtId="0" fontId="12" fillId="5" borderId="0" xfId="0" applyNumberFormat="1" applyFont="1" applyFill="1" applyBorder="1" applyAlignment="1">
      <x:alignment horizontal="center" vertical="center"/>
    </x:xf>
    <x:xf numFmtId="202" fontId="13" fillId="6" borderId="10" xfId="0" applyNumberFormat="1" applyFont="1" applyFill="1" applyBorder="1" applyAlignment="1">
      <x:alignment horizontal="center" vertical="center"/>
    </x:xf>
    <x:xf numFmtId="201" fontId="13" fillId="6" borderId="10" xfId="0" applyNumberFormat="1" applyFont="1" applyFill="1" applyBorder="1" applyAlignment="1">
      <x:alignment horizontal="center" vertical="center"/>
    </x:xf>
    <x:xf numFmtId="203" fontId="13" fillId="6" borderId="10" xfId="0" applyNumberFormat="1" applyFont="1" applyFill="1" applyBorder="1" applyAlignment="1">
      <x:alignment horizontal="center" vertical="center"/>
    </x:xf>
    <x:xf numFmtId="0" fontId="10" fillId="2" borderId="1" xfId="0" applyNumberFormat="1" applyFont="1" applyFill="1" applyBorder="1" applyAlignment="1">
      <x:alignment horizontal="center" vertical="center" wrapText="1"/>
    </x:xf>
    <x:xf numFmtId="0" fontId="10" fillId="2" borderId="2" xfId="0" applyNumberFormat="1" applyFont="1" applyFill="1" applyBorder="1" applyAlignment="1">
      <x:alignment horizontal="center" vertical="center" wrapText="1"/>
    </x:xf>
    <x:xf numFmtId="0" fontId="10" fillId="2" borderId="3" xfId="0" applyNumberFormat="1" applyFont="1" applyFill="1" applyBorder="1" applyAlignment="1">
      <x:alignment horizontal="center" vertical="center" wrapText="1"/>
    </x:xf>
    <x:xf numFmtId="0" fontId="9" fillId="0" borderId="4" xfId="0" applyNumberFormat="1" applyFont="1" applyFill="1" applyBorder="1" applyAlignment="1">
      <x:alignment wrapText="1"/>
    </x:xf>
    <x:xf numFmtId="0" fontId="9" fillId="0" borderId="5" xfId="0" applyNumberFormat="1" applyFont="1" applyFill="1" applyBorder="1" applyAlignment="1">
      <x:alignment wrapText="1"/>
    </x:xf>
    <x:xf numFmtId="0" fontId="9" fillId="0" borderId="6" xfId="0" applyNumberFormat="1" applyFont="1" applyFill="1" applyBorder="1" applyAlignment="1">
      <x:alignment wrapText="1"/>
    </x:xf>
    <x:xf numFmtId="201" fontId="9" fillId="0" borderId="5" xfId="0" applyNumberFormat="1" applyFont="1" applyFill="1" applyBorder="1" applyAlignment="1">
      <x:alignment wrapText="1"/>
    </x:xf>
    <x:xf numFmtId="0" fontId="9" fillId="0" borderId="7" xfId="0" applyNumberFormat="1" applyFont="1" applyFill="1" applyBorder="1" applyAlignment="1">
      <x:alignment wrapText="1"/>
    </x:xf>
    <x:xf numFmtId="0" fontId="9" fillId="0" borderId="8" xfId="0" applyNumberFormat="1" applyFont="1" applyFill="1" applyBorder="1" applyAlignment="1">
      <x:alignment wrapText="1"/>
    </x:xf>
    <x:xf numFmtId="0" fontId="9" fillId="0" borderId="9" xfId="0" applyNumberFormat="1" applyFont="1" applyFill="1" applyBorder="1" applyAlignment="1">
      <x:alignment wrapText="1"/>
    </x:xf>
    <x:xf numFmtId="0" fontId="14" fillId="7" borderId="0" xfId="0" applyNumberFormat="1" applyFont="1" applyFill="1" applyBorder="1" applyAlignment="1">
      <x:alignment vertical="top" wrapText="1"/>
    </x:xf>
    <x:xf numFmtId="0" fontId="10" fillId="3" borderId="1" xfId="0" applyNumberFormat="1" applyFont="1" applyFill="1" applyBorder="1" applyAlignment="1">
      <x:alignment horizontal="center" vertical="center" wrapText="1"/>
    </x:xf>
    <x:xf numFmtId="0" fontId="10" fillId="3" borderId="2" xfId="0" applyNumberFormat="1" applyFont="1" applyFill="1" applyBorder="1" applyAlignment="1">
      <x:alignment horizontal="center" vertical="center" wrapText="1"/>
    </x:xf>
    <x:xf numFmtId="0" fontId="10" fillId="3" borderId="3" xfId="0" applyNumberFormat="1" applyFont="1" applyFill="1" applyBorder="1" applyAlignment="1">
      <x:alignment horizontal="center" vertical="center" wrapText="1"/>
    </x:xf>
    <x:xf numFmtId="0" fontId="9" fillId="0" borderId="4" xfId="0" applyNumberFormat="1" applyFont="1" applyFill="1" applyBorder="1"/>
    <x:xf numFmtId="0" fontId="9" fillId="0" borderId="5" xfId="0" applyNumberFormat="1" applyFont="1" applyFill="1" applyBorder="1"/>
    <x:xf numFmtId="0" fontId="15" fillId="4" borderId="5" xfId="0" applyNumberFormat="1" applyFont="1" applyFill="1" applyBorder="1" applyAlignment="1">
      <x:alignment horizontal="center"/>
    </x:xf>
    <x:xf numFmtId="200" fontId="9" fillId="0" borderId="5" xfId="0" applyNumberFormat="1" applyFont="1" applyFill="1" applyBorder="1"/>
    <x:xf numFmtId="0" fontId="9" fillId="0" borderId="7" xfId="0" applyNumberFormat="1" applyFont="1" applyFill="1" applyBorder="1"/>
    <x:xf numFmtId="0" fontId="9" fillId="0" borderId="8" xfId="0" applyNumberFormat="1" applyFont="1" applyFill="1" applyBorder="1"/>
    <x:xf numFmtId="0" fontId="15" fillId="4" borderId="8" xfId="0" applyNumberFormat="1" applyFont="1" applyFill="1" applyBorder="1" applyAlignment="1">
      <x:alignment horizontal="center"/>
    </x:xf>
    <x:xf numFmtId="200" fontId="9" fillId="0" borderId="8" xfId="0" applyNumberFormat="1" applyFont="1" applyFill="1" applyBorder="1"/>
    <x:xf numFmtId="201" fontId="9" fillId="0" borderId="5" xfId="0" applyNumberFormat="1" applyFont="1" applyFill="1" applyBorder="1"/>
    <x:xf numFmtId="201" fontId="9" fillId="0" borderId="8" xfId="0" applyNumberFormat="1" applyFont="1" applyFill="1" applyBorder="1"/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FF1CC"/>
        </x:patternFill>
      </x:fill>
    </x:dxf>
    <x:dxf>
      <x:font>
        <x:b/>
        <x:color rgb="FF991B1B"/>
      </x:font>
      <x:fill>
        <x:patternFill patternType="solid">
          <x:bgColor rgb="FFFDE2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8434025cb74a50" /><Relationship Type="http://schemas.openxmlformats.org/officeDocument/2006/relationships/theme" Target="/xl/theme/theme1.xml" Id="R479b3c58eaf44e02" /><Relationship Type="http://schemas.openxmlformats.org/officeDocument/2006/relationships/sharedStrings" Target="/xl/sharedStrings.xml" Id="Re425bcf345ae4095" /><Relationship Type="http://schemas.openxmlformats.org/officeDocument/2006/relationships/worksheet" Target="/xl/worksheets/sheet1.xml" Id="Rc359ecb92e45490c" /><Relationship Type="http://schemas.openxmlformats.org/officeDocument/2006/relationships/worksheet" Target="/xl/worksheets/sheet2.xml" Id="R5b3f14941e714100" /><Relationship Type="http://schemas.openxmlformats.org/officeDocument/2006/relationships/worksheet" Target="/xl/worksheets/sheet3.xml" Id="Rd56bbf14034a4af0" /><Relationship Type="http://schemas.openxmlformats.org/officeDocument/2006/relationships/worksheet" Target="/xl/worksheets/sheet4.xml" Id="Re1c48768c68e4ee1" /><Relationship Type="http://schemas.openxmlformats.org/officeDocument/2006/relationships/worksheet" Target="/xl/worksheets/sheet5.xml" Id="R8a7baa8b0b8c4f8c" /><Relationship Type="http://schemas.openxmlformats.org/officeDocument/2006/relationships/worksheet" Target="/xl/worksheets/sheet6.xml" Id="R0bc5cc39d0514f87" /><Relationship Type="http://schemas.openxmlformats.org/officeDocument/2006/relationships/worksheet" Target="/xl/worksheets/sheet7.xml" Id="R9547e541a4ee47eb" /><Relationship Type="http://schemas.openxmlformats.org/officeDocument/2006/relationships/worksheet" Target="/xl/worksheets/sheet8.xml" Id="R34dfe0d9db504ab2" /><Relationship Type="http://schemas.openxmlformats.org/officeDocument/2006/relationships/worksheet" Target="/xl/worksheets/sheet9.xml" Id="Rfe8c580f16534788" /><Relationship Type="http://schemas.openxmlformats.org/officeDocument/2006/relationships/worksheet" Target="/xl/worksheets/sheet10.xml" Id="R41c5b971b348477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c382963550349e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Beta Readiness vs Goal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'Command Center'!$L$5:$L$12</c:f>
              <c:strCache>
                <c:ptCount val="0"/>
              </c:strCache>
            </c:strRef>
          </c:cat>
          <c:val>
            <c:numRef>
              <c:f>'Command Center'!$M$5:$M$12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Goal</c:v>
          </c:tx>
          <c:cat>
            <c:strRef>
              <c:f>'Command Center'!$L$5:$L$12</c:f>
              <c:strCache>
                <c:ptCount val="0"/>
              </c:strCache>
            </c:strRef>
          </c:cat>
          <c:val>
            <c:numRef>
              <c:f>'Command Center'!$N$5:$N$12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0</xdr:row>
      <xdr:rowOff>0</xdr:rowOff>
    </xdr:from>
    <xdr:to>
      <xdr:col>17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c382963550349e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rgetListTable" displayName="TargetListTable" ref="A4:T54" headerRowCount="1">
  <x:tableColumns count="20">
    <x:tableColumn id="1" name="Company"/>
    <x:tableColumn id="2" name="Website"/>
    <x:tableColumn id="3" name="Form URL"/>
    <x:tableColumn id="4" name="Buyer Name"/>
    <x:tableColumn id="5" name="Buyer Role"/>
    <x:tableColumn id="6" name="LinkedIn URL"/>
    <x:tableColumn id="7" name="Segment"/>
    <x:tableColumn id="8" name="Company Size"/>
    <x:tableColumn id="9" name="Deal Value Guess"/>
    <x:tableColumn id="10" name="CRM Guess"/>
    <x:tableColumn id="11" name="Weak Form Observation"/>
    <x:tableColumn id="12" name="Sales Research Hypothesis"/>
    <x:tableColumn id="13" name="Reason Now"/>
    <x:tableColumn id="14" name="Fit Score"/>
    <x:tableColumn id="15" name="Teardown Priority"/>
    <x:tableColumn id="16" name="Outreach Status"/>
    <x:tableColumn id="17" name="Teardown Status"/>
    <x:tableColumn id="18" name="Next Action"/>
    <x:tableColumn id="19" name="Next Action Date"/>
    <x:tableColumn id="20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TeardownTrackerTable" displayName="TeardownTrackerTable" ref="A4:S29" headerRowCount="1">
  <x:tableColumns count="19">
    <x:tableColumn id="1" name="Company"/>
    <x:tableColumn id="2" name="Form URL"/>
    <x:tableColumn id="3" name="Page Type"/>
    <x:tableColumn id="4" name="Current CTA"/>
    <x:tableColumn id="5" name="Current Fields"/>
    <x:tableColumn id="6" name="Form Score"/>
    <x:tableColumn id="7" name="Biggest Missing Context"/>
    <x:tableColumn id="8" name="Three Better Questions"/>
    <x:tableColumn id="9" name="Enrichment Fields"/>
    <x:tableColumn id="10" name="CRM Note Preview"/>
    <x:tableColumn id="11" name="Loom/Doc Link"/>
    <x:tableColumn id="12" name="Delivery Status"/>
    <x:tableColumn id="13" name="Install CTA Sent?"/>
    <x:tableColumn id="14" name="Install Call Date"/>
    <x:tableColumn id="15" name="Outcome"/>
    <x:tableColumn id="16" name="Follow-Up Owner"/>
    <x:tableColumn id="17" name="Follow-Up Date"/>
    <x:tableColumn id="18" name="Related Target"/>
    <x:tableColumn id="19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ProfileExamplesTable" displayName="ProfileExamplesTable" ref="A4:N29" headerRowCount="1">
  <x:tableColumns count="14">
    <x:tableColumn id="1" name="Example Name"/>
    <x:tableColumn id="2" name="Segment"/>
    <x:tableColumn id="3" name="Raw Submission"/>
    <x:tableColumn id="4" name="Business Need"/>
    <x:tableColumn id="5" name="Company Context"/>
    <x:tableColumn id="6" name="Timeline"/>
    <x:tableColumn id="7" name="Budget Signal"/>
    <x:tableColumn id="8" name="ICP Score"/>
    <x:tableColumn id="9" name="Priority"/>
    <x:tableColumn id="10" name="Unknowns"/>
    <x:tableColumn id="11" name="Recommended Rep Opener"/>
    <x:tableColumn id="12" name="CRM Note"/>
    <x:tableColumn id="13" name="Use Case"/>
    <x:tableColumn id="14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BetaIntakeTable" displayName="BetaIntakeTable" ref="A4:G26" headerRowCount="1">
  <x:tableColumns count="7">
    <x:tableColumn id="1" name="Field"/>
    <x:tableColumn id="2" name="Question"/>
    <x:tableColumn id="3" name="Required?"/>
    <x:tableColumn id="4" name="Owner"/>
    <x:tableColumn id="5" name="Status"/>
    <x:tableColumn id="6" name="Response"/>
    <x:tableColumn id="7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HubSpotSetupTable" displayName="HubSpotSetupTable" ref="A4:H24" headerRowCount="1">
  <x:tableColumns count="8">
    <x:tableColumn id="1" name="Step"/>
    <x:tableColumn id="2" name="Definition"/>
    <x:tableColumn id="3" name="Required?"/>
    <x:tableColumn id="4" name="Owner"/>
    <x:tableColumn id="5" name="Status"/>
    <x:tableColumn id="6" name="Test Record / Link"/>
    <x:tableColumn id="7" name="Completion Date"/>
    <x:tableColumn id="8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InstallTrackerTable" displayName="InstallTrackerTable" ref="A4:L19" headerRowCount="1">
  <x:tableColumns count="12">
    <x:tableColumn id="1" name="Client"/>
    <x:tableColumn id="2" name="Website/Page"/>
    <x:tableColumn id="3" name="CRM"/>
    <x:tableColumn id="4" name="Install Contact"/>
    <x:tableColumn id="5" name="Stage"/>
    <x:tableColumn id="6" name="Script Tag Sent"/>
    <x:tableColumn id="7" name="Script Installed"/>
    <x:tableColumn id="8" name="CRM Connected"/>
    <x:tableColumn id="9" name="Smoke Test Done"/>
    <x:tableColumn id="10" name="Go-Live Date"/>
    <x:tableColumn id="11" name="Week 1 Review"/>
    <x:tableColumn id="12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ProofLogTable" displayName="ProofLogTable" ref="A4:S34" headerRowCount="1">
  <x:tableColumns count="19">
    <x:tableColumn id="1" name="Client"/>
    <x:tableColumn id="2" name="Week Start"/>
    <x:tableColumn id="3" name="Widget Sessions"/>
    <x:tableColumn id="4" name="Completed Conversations"/>
    <x:tableColumn id="5" name="Completion Rate"/>
    <x:tableColumn id="6" name="Profiles Created"/>
    <x:tableColumn id="7" name="CRM Sync Success"/>
    <x:tableColumn id="8" name="Sync Rate"/>
    <x:tableColumn id="9" name="High-Priority Leads"/>
    <x:tableColumn id="10" name="Profiles Reviewed"/>
    <x:tableColumn id="11" name="Useful Profiles"/>
    <x:tableColumn id="12" name="Useful Profile Rate"/>
    <x:tableColumn id="13" name="Median Submit-to-Profile Min"/>
    <x:tableColumn id="14" name="Research Min Saved"/>
    <x:tableColumn id="15" name="Meetings Influenced"/>
    <x:tableColumn id="16" name="Best Profile / Quote"/>
    <x:tableColumn id="17" name="Decision"/>
    <x:tableColumn id="18" name="Proof Strength"/>
    <x:tableColumn id="19" name="Next Change"/>
  </x:tableColumns>
  <x:tableStyleInfo name="TableStyleMedium2" showRowStripes="1"/>
</x:table>
</file>

<file path=xl/tables/table8.xml><?xml version="1.0" encoding="utf-8"?>
<x:table xmlns:x="http://schemas.openxmlformats.org/spreadsheetml/2006/main" id="8" name="ObjectionsTable" displayName="ObjectionsTable" ref="A4:F15" headerRowCount="1">
  <x:tableColumns count="6">
    <x:tableColumn id="1" name="Objection"/>
    <x:tableColumn id="2" name="Short Response"/>
    <x:tableColumn id="3" name="Proof Asset To Use"/>
    <x:tableColumn id="4" name="Follow-Up Question"/>
    <x:tableColumn id="5" name="Risk Level"/>
    <x:tableColumn id="6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WeeklyReviewTable" displayName="WeeklyReviewTable" ref="A4:H18" headerRowCount="1">
  <x:tableColumns count="8">
    <x:tableColumn id="1" name="Review Area"/>
    <x:tableColumn id="2" name="Question"/>
    <x:tableColumn id="3" name="Owner"/>
    <x:tableColumn id="4" name="Metric / Evidence"/>
    <x:tableColumn id="5" name="Status"/>
    <x:tableColumn id="6" name="Decision"/>
    <x:tableColumn id="7" name="Due Date"/>
    <x:tableColumn id="8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fd391590e1c4c9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852151d792d4b8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501712957284e8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ab42f7c61504de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11bbaae7391458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4bd33fd526c4fc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a36efa29c154d0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889a31f025f4ac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01b2cd3a46e45a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f1996516fdb4c7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14.4399995803833" hidden="0" customWidth="1"/>
    <x:col min="3" max="3" width="12.779999732971191" hidden="0" customWidth="1"/>
    <x:col min="4" max="4" width="12.779999732971191" hidden="0" customWidth="1"/>
    <x:col min="5" max="5" width="28.889999389648438" hidden="0" customWidth="1"/>
    <x:col min="6" max="6" width="14.4399995803833" hidden="0" customWidth="1"/>
    <x:col min="7" max="7" width="15.5600004196167" hidden="0" customWidth="1"/>
    <x:col min="8" max="8" width="37.779998779296875" hidden="0" customWidth="1"/>
    <x:col min="9" max="9" width="14.4399995803833" hidden="0" customWidth="1"/>
    <x:col min="10" max="10" width="17.780000686645508" hidden="0" customWidth="1"/>
    <x:col min="11" max="11" width="3.890000104904175" hidden="0" customWidth="1"/>
    <x:col min="12" max="12" width="14.4399995803833" hidden="0" customWidth="1"/>
    <x:col min="13" max="13" width="16.110000610351562" hidden="0" customWidth="1"/>
    <x:col min="14" max="14" width="16.110000610351562" hidden="0" customWidth="1"/>
  </x:cols>
  <x:sheetData>
    <x:row r="1" ht="24" customHeight="1">
      <x:c r="A1" s="64" t="str">
        <x:v>Deal Threads Beta Readiness Command Center
Run this first: fill Target List, send teardowns, install five betas, then capture proof.</x:v>
      </x:c>
      <x:c r="B1" s="64" t="str">
        <x:v>Deal Threads Beta Readiness Command Center
Run this first: fill Target List, send teardowns, install five betas, then capture proof.</x:v>
      </x:c>
      <x:c r="C1" s="64" t="str">
        <x:v>Deal Threads Beta Readiness Command Center
Run this first: fill Target List, send teardowns, install five betas, then capture proof.</x:v>
      </x:c>
      <x:c r="D1" s="64" t="str">
        <x:v>Deal Threads Beta Readiness Command Center
Run this first: fill Target List, send teardowns, install five betas, then capture proof.</x:v>
      </x:c>
      <x:c r="E1" s="64" t="str">
        <x:v>Deal Threads Beta Readiness Command Center
Run this first: fill Target List, send teardowns, install five betas, then capture proof.</x:v>
      </x:c>
      <x:c r="F1" s="64" t="str">
        <x:v>Deal Threads Beta Readiness Command Center
Run this first: fill Target List, send teardowns, install five betas, then capture proof.</x:v>
      </x:c>
      <x:c r="G1" s="64" t="str">
        <x:v>Deal Threads Beta Readiness Command Center
Run this first: fill Target List, send teardowns, install five betas, then capture proof.</x:v>
      </x:c>
      <x:c r="H1" s="64" t="str">
        <x:v>Deal Threads Beta Readiness Command Center
Run this first: fill Target List, send teardowns, install five betas, then capture proof.</x:v>
      </x:c>
      <x:c r="I1" s="64" t="str">
        <x:v>Deal Threads Beta Readiness Command Center
Run this first: fill Target List, send teardowns, install five betas, then capture proof.</x:v>
      </x:c>
      <x:c r="J1" s="64" t="str">
        <x:v>Deal Threads Beta Readiness Command Center
Run this first: fill Target List, send teardowns, install five betas, then capture proof.</x:v>
      </x:c>
      <x:c r="K1" s="65"/>
      <x:c r="L1" s="65"/>
      <x:c r="M1" s="65"/>
      <x:c r="N1" s="65"/>
    </x:row>
    <x:row r="2" ht="24" customHeight="1">
      <x:c r="A2" s="64" t="str">
        <x:v>Deal Threads Beta Readiness Command Center
Run this first: fill Target List, send teardowns, install five betas, then capture proof.</x:v>
      </x:c>
      <x:c r="B2" s="64" t="str">
        <x:v>Deal Threads Beta Readiness Command Center
Run this first: fill Target List, send teardowns, install five betas, then capture proof.</x:v>
      </x:c>
      <x:c r="C2" s="64" t="str">
        <x:v>Deal Threads Beta Readiness Command Center
Run this first: fill Target List, send teardowns, install five betas, then capture proof.</x:v>
      </x:c>
      <x:c r="D2" s="64" t="str">
        <x:v>Deal Threads Beta Readiness Command Center
Run this first: fill Target List, send teardowns, install five betas, then capture proof.</x:v>
      </x:c>
      <x:c r="E2" s="64" t="str">
        <x:v>Deal Threads Beta Readiness Command Center
Run this first: fill Target List, send teardowns, install five betas, then capture proof.</x:v>
      </x:c>
      <x:c r="F2" s="64" t="str">
        <x:v>Deal Threads Beta Readiness Command Center
Run this first: fill Target List, send teardowns, install five betas, then capture proof.</x:v>
      </x:c>
      <x:c r="G2" s="64" t="str">
        <x:v>Deal Threads Beta Readiness Command Center
Run this first: fill Target List, send teardowns, install five betas, then capture proof.</x:v>
      </x:c>
      <x:c r="H2" s="64" t="str">
        <x:v>Deal Threads Beta Readiness Command Center
Run this first: fill Target List, send teardowns, install five betas, then capture proof.</x:v>
      </x:c>
      <x:c r="I2" s="64" t="str">
        <x:v>Deal Threads Beta Readiness Command Center
Run this first: fill Target List, send teardowns, install five betas, then capture proof.</x:v>
      </x:c>
      <x:c r="J2" s="64" t="str">
        <x:v>Deal Threads Beta Readiness Command Center
Run this first: fill Target List, send teardowns, install five betas, then capture proof.</x:v>
      </x:c>
      <x:c r="K2" s="65"/>
      <x:c r="L2" s="65"/>
      <x:c r="M2" s="65"/>
      <x:c r="N2" s="65"/>
    </x:row>
    <x:row r="3">
      <x:c r="A3" s="65"/>
      <x:c r="B3" s="65"/>
      <x:c r="C3" s="65"/>
      <x:c r="D3" s="65"/>
      <x:c r="E3" s="65"/>
      <x:c r="F3" s="65"/>
      <x:c r="G3" s="65"/>
      <x:c r="H3" s="65"/>
      <x:c r="I3" s="65"/>
      <x:c r="J3" s="65"/>
      <x:c r="K3" s="65"/>
      <x:c r="L3" s="65"/>
      <x:c r="M3" s="65"/>
      <x:c r="N3" s="65"/>
    </x:row>
    <x:row r="4">
      <x:c r="A4" s="66" t="str">
        <x:v>Beta Readiness Snapshot</x:v>
      </x:c>
      <x:c r="B4" s="66" t="str">
        <x:v>Beta Readiness Snapshot</x:v>
      </x:c>
      <x:c r="C4" s="66" t="str">
        <x:v>Beta Readiness Snapshot</x:v>
      </x:c>
      <x:c r="D4" s="66" t="str">
        <x:v>Beta Readiness Snapshot</x:v>
      </x:c>
      <x:c r="E4" s="66" t="str">
        <x:v>Beta Readiness Snapshot</x:v>
      </x:c>
      <x:c r="F4" s="66" t="str">
        <x:v>Beta Readiness Snapshot</x:v>
      </x:c>
      <x:c r="G4" s="66" t="str">
        <x:v>Beta Readiness Snapshot</x:v>
      </x:c>
      <x:c r="H4" s="66" t="str">
        <x:v>Beta Readiness Snapshot</x:v>
      </x:c>
      <x:c r="I4" s="66" t="str">
        <x:v>Beta Readiness Snapshot</x:v>
      </x:c>
      <x:c r="J4" s="66" t="str">
        <x:v>Beta Readiness Snapshot</x:v>
      </x:c>
      <x:c r="K4" s="65"/>
      <x:c r="L4" s="67" t="str">
        <x:v>Stage</x:v>
      </x:c>
      <x:c r="M4" s="67" t="str">
        <x:v>Count</x:v>
      </x:c>
      <x:c r="N4" s="67" t="str">
        <x:v>Goal</x:v>
      </x:c>
    </x:row>
    <x:row r="5">
      <x:c r="A5" s="68" t="str">
        <x:v>Targets Logged</x:v>
      </x:c>
      <x:c r="B5" s="68" t="str">
        <x:v>High-Fit Targets</x:v>
      </x:c>
      <x:c r="C5" s="68" t="str">
        <x:v>Teardowns Sent</x:v>
      </x:c>
      <x:c r="D5" s="68" t="str">
        <x:v>Install Calls</x:v>
      </x:c>
      <x:c r="E5" s="68" t="str">
        <x:v>Live Betas</x:v>
      </x:c>
      <x:c r="F5" s="68" t="str">
        <x:v>Profiles Created</x:v>
      </x:c>
      <x:c r="G5" s="68" t="str">
        <x:v>Useful Profile Rate</x:v>
      </x:c>
      <x:c r="H5" s="68" t="str">
        <x:v>Minutes Saved</x:v>
      </x:c>
      <x:c r="I5" s="68" t="str">
        <x:v>Meetings Influenced</x:v>
      </x:c>
      <x:c r="J5" s="68" t="str">
        <x:v>Next Bottleneck</x:v>
      </x:c>
      <x:c r="K5" s="65"/>
      <x:c r="L5" s="67" t="str">
        <x:f>"Targets Logged"</x:f>
        <x:v>Targets Logged</x:v>
      </x:c>
      <x:c r="M5" s="67" t="n">
        <x:f>A6</x:f>
        <x:v>0</x:v>
      </x:c>
      <x:c r="N5" s="67" t="n">
        <x:f>50</x:f>
        <x:v>50</x:v>
      </x:c>
    </x:row>
    <x:row r="6">
      <x:c r="A6" s="69" t="n">
        <x:f>COUNTIF('Target List'!$A$5:$A$54,"?*")</x:f>
        <x:v>0</x:v>
      </x:c>
      <x:c r="B6" s="69" t="n">
        <x:f>COUNTIFS('Target List'!$A$5:$A$54,"?*",'Target List'!$N$5:$N$54,"&gt;=4")</x:f>
        <x:v>0</x:v>
      </x:c>
      <x:c r="C6" s="69" t="n">
        <x:f>COUNTIFS('Teardown Tracker'!$L$5:$L$29,"Sent")+COUNTIFS('Teardown Tracker'!$L$5:$L$29,"Replied")+COUNTIFS('Teardown Tracker'!$L$5:$L$29,"Call booked")+COUNTIFS('Teardown Tracker'!$L$5:$L$29,"Closed")</x:f>
        <x:v>0</x:v>
      </x:c>
      <x:c r="D6" s="69" t="n">
        <x:f>COUNTIFS('Teardown Tracker'!$O$5:$O$29,"Call booked")+COUNTIFS('Install Tracker'!$E$5:$E$19,"Intake")+COUNTIFS('Install Tracker'!$E$5:$E$19,"Setup")</x:f>
        <x:v>0</x:v>
      </x:c>
      <x:c r="E6" s="69" t="n">
        <x:f>COUNTIFS('Install Tracker'!$E$5:$E$19,"Live")+COUNTIFS('Install Tracker'!$E$5:$E$19,"Paid")</x:f>
        <x:v>0</x:v>
      </x:c>
      <x:c r="F6" s="69" t="n">
        <x:f>SUM('Proof Log'!$F$5:$F$34)</x:f>
        <x:v>0</x:v>
      </x:c>
      <x:c r="G6" s="70" t="n">
        <x:f>IFERROR(SUM('Proof Log'!$K$5:$K$34)/SUM('Proof Log'!$J$5:$J$34),0)</x:f>
        <x:v>0</x:v>
      </x:c>
      <x:c r="H6" s="69" t="n">
        <x:f>SUM('Proof Log'!$N$5:$N$34)</x:f>
        <x:v>0</x:v>
      </x:c>
      <x:c r="I6" s="69" t="n">
        <x:f>SUM('Proof Log'!$O$5:$O$34)</x:f>
        <x:v>0</x:v>
      </x:c>
      <x:c r="J6" s="71" t="str">
        <x:f>IF(B6&lt;20,"Build target list",IF(C6&lt;5,"Send teardowns",IF(E6&lt;1,"Get first install live",IF(G6&lt;0.5,"Improve profile usefulness","Scale proof"))))</x:f>
        <x:v>Build target list</x:v>
      </x:c>
      <x:c r="K6" s="65"/>
      <x:c r="L6" s="67" t="str">
        <x:f>"High-Fit Targets"</x:f>
        <x:v>High-Fit Targets</x:v>
      </x:c>
      <x:c r="M6" s="67" t="n">
        <x:f>B6</x:f>
        <x:v>0</x:v>
      </x:c>
      <x:c r="N6" s="67" t="n">
        <x:f>20</x:f>
        <x:v>20</x:v>
      </x:c>
    </x:row>
    <x:row r="7">
      <x:c r="A7" s="65"/>
      <x:c r="B7" s="65"/>
      <x:c r="C7" s="65"/>
      <x:c r="D7" s="65"/>
      <x:c r="E7" s="65"/>
      <x:c r="F7" s="65"/>
      <x:c r="G7" s="65"/>
      <x:c r="H7" s="65"/>
      <x:c r="I7" s="65"/>
      <x:c r="J7" s="65"/>
      <x:c r="K7" s="65"/>
      <x:c r="L7" s="67" t="str">
        <x:f>"Teardowns Sent"</x:f>
        <x:v>Teardowns Sent</x:v>
      </x:c>
      <x:c r="M7" s="67" t="n">
        <x:f>C6</x:f>
        <x:v>0</x:v>
      </x:c>
      <x:c r="N7" s="67" t="n">
        <x:f>5</x:f>
        <x:v>5</x:v>
      </x:c>
    </x:row>
    <x:row r="8">
      <x:c r="A8" s="65"/>
      <x:c r="B8" s="65"/>
      <x:c r="C8" s="65"/>
      <x:c r="D8" s="65"/>
      <x:c r="E8" s="65"/>
      <x:c r="F8" s="65"/>
      <x:c r="G8" s="65"/>
      <x:c r="H8" s="65"/>
      <x:c r="I8" s="65"/>
      <x:c r="J8" s="65"/>
      <x:c r="K8" s="65"/>
      <x:c r="L8" s="67" t="str">
        <x:f>"Install Calls"</x:f>
        <x:v>Install Calls</x:v>
      </x:c>
      <x:c r="M8" s="67" t="n">
        <x:f>D6</x:f>
        <x:v>0</x:v>
      </x:c>
      <x:c r="N8" s="67" t="n">
        <x:f>3</x:f>
        <x:v>3</x:v>
      </x:c>
    </x:row>
    <x:row r="9">
      <x:c r="A9" s="66" t="str">
        <x:v>Operating Checklist</x:v>
      </x:c>
      <x:c r="B9" s="66" t="str">
        <x:v>Operating Checklist</x:v>
      </x:c>
      <x:c r="C9" s="66" t="str">
        <x:v>Operating Checklist</x:v>
      </x:c>
      <x:c r="D9" s="66" t="str">
        <x:v>Operating Checklist</x:v>
      </x:c>
      <x:c r="E9" s="66" t="str">
        <x:v>Operating Checklist</x:v>
      </x:c>
      <x:c r="F9" s="65"/>
      <x:c r="G9" s="66" t="str">
        <x:v>This Week</x:v>
      </x:c>
      <x:c r="H9" s="66" t="str">
        <x:v>This Week</x:v>
      </x:c>
      <x:c r="I9" s="66" t="str">
        <x:v>This Week</x:v>
      </x:c>
      <x:c r="J9" s="66" t="str">
        <x:v>This Week</x:v>
      </x:c>
      <x:c r="K9" s="65"/>
      <x:c r="L9" s="67" t="str">
        <x:f>"Live Betas"</x:f>
        <x:v>Live Betas</x:v>
      </x:c>
      <x:c r="M9" s="67" t="n">
        <x:f>E6</x:f>
        <x:v>0</x:v>
      </x:c>
      <x:c r="N9" s="67" t="n">
        <x:f>1</x:f>
        <x:v>1</x:v>
      </x:c>
    </x:row>
    <x:row r="10" ht="24" customHeight="1">
      <x:c r="A10" s="72" t="str">
        <x:v>Step</x:v>
      </x:c>
      <x:c r="B10" s="73" t="str">
        <x:v>Goal</x:v>
      </x:c>
      <x:c r="C10" s="73" t="str">
        <x:v>Current</x:v>
      </x:c>
      <x:c r="D10" s="73" t="str">
        <x:v>Status</x:v>
      </x:c>
      <x:c r="E10" s="74" t="str">
        <x:v>Next Action</x:v>
      </x:c>
      <x:c r="F10" s="65"/>
      <x:c r="G10" s="72" t="str">
        <x:v>Priority</x:v>
      </x:c>
      <x:c r="H10" s="73" t="str">
        <x:v>Action</x:v>
      </x:c>
      <x:c r="I10" s="73" t="str">
        <x:v>Owner</x:v>
      </x:c>
      <x:c r="J10" s="74" t="str">
        <x:v>Done?</x:v>
      </x:c>
      <x:c r="K10" s="65"/>
      <x:c r="L10" s="67" t="str">
        <x:f>"Profiles Created"</x:f>
        <x:v>Profiles Created</x:v>
      </x:c>
      <x:c r="M10" s="67" t="n">
        <x:f>F6</x:f>
        <x:v>0</x:v>
      </x:c>
      <x:c r="N10" s="67" t="n">
        <x:f>10</x:f>
        <x:v>10</x:v>
      </x:c>
    </x:row>
    <x:row r="11" ht="24" customHeight="1">
      <x:c r="A11" s="75" t="str">
        <x:v>1. Build target universe</x:v>
      </x:c>
      <x:c r="B11" s="76" t="str">
        <x:v>50 targets, 20 high-fit</x:v>
      </x:c>
      <x:c r="C11" s="76" t="n">
        <x:f>A6</x:f>
        <x:v>0</x:v>
      </x:c>
      <x:c r="D11" s="76" t="str">
        <x:f>IF(C11&gt;=50,"Green",IF(C11&gt;=20,"Yellow","Red"))</x:f>
        <x:v>Red</x:v>
      </x:c>
      <x:c r="E11" s="77" t="str">
        <x:v>Add 5 companies today from LinkedIn/search.</x:v>
      </x:c>
      <x:c r="F11" s="65"/>
      <x:c r="G11" s="75" t="str">
        <x:v>1</x:v>
      </x:c>
      <x:c r="H11" s="76" t="str">
        <x:v>Add 25 target accounts and score fit.</x:v>
      </x:c>
      <x:c r="I11" s="76" t="str">
        <x:v>Ryan</x:v>
      </x:c>
      <x:c r="J11" s="77" t="str">
        <x:v>No</x:v>
      </x:c>
      <x:c r="K11" s="65"/>
      <x:c r="L11" s="67" t="str">
        <x:f>"Meetings Influenced"</x:f>
        <x:v>Meetings Influenced</x:v>
      </x:c>
      <x:c r="M11" s="67" t="n">
        <x:f>I6</x:f>
        <x:v>0</x:v>
      </x:c>
      <x:c r="N11" s="67" t="n">
        <x:f>1</x:f>
        <x:v>1</x:v>
      </x:c>
    </x:row>
    <x:row r="12" ht="24" customHeight="1">
      <x:c r="A12" s="75" t="str">
        <x:v>2. Send teardowns</x:v>
      </x:c>
      <x:c r="B12" s="76" t="str">
        <x:v>5 teardowns sent</x:v>
      </x:c>
      <x:c r="C12" s="76" t="n">
        <x:f>C6</x:f>
        <x:v>0</x:v>
      </x:c>
      <x:c r="D12" s="76" t="str">
        <x:f>IF(C12&gt;=5,"Green",IF(C12&gt;=2,"Yellow","Red"))</x:f>
        <x:v>Red</x:v>
      </x:c>
      <x:c r="E12" s="77" t="str">
        <x:v>Record or write one 15-minute teardown.</x:v>
      </x:c>
      <x:c r="F12" s="65"/>
      <x:c r="G12" s="75" t="str">
        <x:v>2</x:v>
      </x:c>
      <x:c r="H12" s="76" t="str">
        <x:v>Create and send 5 dead-form teardowns.</x:v>
      </x:c>
      <x:c r="I12" s="76" t="str">
        <x:v>Ryan</x:v>
      </x:c>
      <x:c r="J12" s="77" t="str">
        <x:v>No</x:v>
      </x:c>
      <x:c r="K12" s="65"/>
      <x:c r="L12" s="67" t="str">
        <x:f>"Paid Installs"</x:f>
        <x:v>Paid Installs</x:v>
      </x:c>
      <x:c r="M12" s="67" t="n">
        <x:f>COUNTIFS('Install Tracker'!$E$5:$E$19,"Paid")</x:f>
        <x:v>0</x:v>
      </x:c>
      <x:c r="N12" s="67" t="n">
        <x:f>1</x:f>
        <x:v>1</x:v>
      </x:c>
    </x:row>
    <x:row r="13" ht="24" customHeight="1">
      <x:c r="A13" s="75" t="str">
        <x:v>3. Book install calls</x:v>
      </x:c>
      <x:c r="B13" s="76" t="str">
        <x:v>3 install calls</x:v>
      </x:c>
      <x:c r="C13" s="76" t="n">
        <x:f>D6</x:f>
        <x:v>0</x:v>
      </x:c>
      <x:c r="D13" s="76" t="str">
        <x:f>IF(C13&gt;=3,"Green",IF(C13&gt;=1,"Yellow","Red"))</x:f>
        <x:v>Red</x:v>
      </x:c>
      <x:c r="E13" s="77" t="str">
        <x:v>Send install CTA to teardown replies.</x:v>
      </x:c>
      <x:c r="F13" s="65"/>
      <x:c r="G13" s="75" t="str">
        <x:v>3</x:v>
      </x:c>
      <x:c r="H13" s="76" t="str">
        <x:v>Book 3 install conversations.</x:v>
      </x:c>
      <x:c r="I13" s="76" t="str">
        <x:v>Ryan</x:v>
      </x:c>
      <x:c r="J13" s="77" t="str">
        <x:v>No</x:v>
      </x:c>
      <x:c r="K13" s="65"/>
      <x:c r="L13" s="65"/>
      <x:c r="M13" s="65"/>
      <x:c r="N13" s="65"/>
    </x:row>
    <x:row r="14" ht="24" customHeight="1">
      <x:c r="A14" s="75" t="str">
        <x:v>4. Launch beta</x:v>
      </x:c>
      <x:c r="B14" s="76" t="str">
        <x:v>1 live beta</x:v>
      </x:c>
      <x:c r="C14" s="76" t="n">
        <x:f>E6</x:f>
        <x:v>0</x:v>
      </x:c>
      <x:c r="D14" s="76" t="str">
        <x:f>IF(C14&gt;=1,"Green","Red")</x:f>
        <x:v>Red</x:v>
      </x:c>
      <x:c r="E14" s="77" t="str">
        <x:v>Complete intake and HubSpot setup.</x:v>
      </x:c>
      <x:c r="F14" s="65"/>
      <x:c r="G14" s="75" t="str">
        <x:v>4</x:v>
      </x:c>
      <x:c r="H14" s="76" t="str">
        <x:v>Complete HubSpot sandbox mapping.</x:v>
      </x:c>
      <x:c r="I14" s="76" t="str">
        <x:v>Ryan</x:v>
      </x:c>
      <x:c r="J14" s="77" t="str">
        <x:v>No</x:v>
      </x:c>
      <x:c r="K14" s="65"/>
      <x:c r="L14" s="65"/>
      <x:c r="M14" s="65"/>
      <x:c r="N14" s="65"/>
    </x:row>
    <x:row r="15" ht="24" customHeight="1">
      <x:c r="A15" s="75" t="str">
        <x:v>5. Create profiles</x:v>
      </x:c>
      <x:c r="B15" s="76" t="str">
        <x:v>10 profiles created</x:v>
      </x:c>
      <x:c r="C15" s="76" t="n">
        <x:f>F6</x:f>
        <x:v>0</x:v>
      </x:c>
      <x:c r="D15" s="76" t="str">
        <x:f>IF(C15&gt;=10,"Green",IF(C15&gt;=5,"Yellow","Red"))</x:f>
        <x:v>Red</x:v>
      </x:c>
      <x:c r="E15" s="77" t="str">
        <x:v>Run traffic through widget and QA first profiles.</x:v>
      </x:c>
      <x:c r="F15" s="65"/>
      <x:c r="G15" s="75" t="str">
        <x:v>5</x:v>
      </x:c>
      <x:c r="H15" s="76" t="str">
        <x:v>Get one beta script tag live.</x:v>
      </x:c>
      <x:c r="I15" s="76" t="str">
        <x:v>Ryan</x:v>
      </x:c>
      <x:c r="J15" s="77" t="str">
        <x:v>No</x:v>
      </x:c>
      <x:c r="K15" s="65"/>
      <x:c r="L15" s="65"/>
      <x:c r="M15" s="65"/>
      <x:c r="N15" s="65"/>
    </x:row>
    <x:row r="16" ht="24" customHeight="1">
      <x:c r="A16" s="75" t="str">
        <x:v>6. Prove usefulness</x:v>
      </x:c>
      <x:c r="B16" s="76" t="str">
        <x:v>70% useful profile rate</x:v>
      </x:c>
      <x:c r="C16" s="78" t="n">
        <x:f>G6</x:f>
        <x:v>0</x:v>
      </x:c>
      <x:c r="D16" s="76" t="str">
        <x:f>IF(C16&gt;=0.7,"Green",IF(C16&gt;=0.5,"Yellow","Red"))</x:f>
        <x:v>Red</x:v>
      </x:c>
      <x:c r="E16" s="77" t="str">
        <x:v>Ask rep/founder to rate every profile.</x:v>
      </x:c>
      <x:c r="F16" s="65"/>
      <x:c r="G16" s="79" t="str">
        <x:v>6</x:v>
      </x:c>
      <x:c r="H16" s="80" t="str">
        <x:v>Capture first proof quote or product-learning note.</x:v>
      </x:c>
      <x:c r="I16" s="80" t="str">
        <x:v>Ryan</x:v>
      </x:c>
      <x:c r="J16" s="81" t="str">
        <x:v>No</x:v>
      </x:c>
      <x:c r="K16" s="65"/>
      <x:c r="L16" s="65"/>
      <x:c r="M16" s="65"/>
      <x:c r="N16" s="65"/>
    </x:row>
    <x:row r="17" ht="28.5" customHeight="1">
      <x:c r="A17" s="75" t="str">
        <x:v>7. Capture proof</x:v>
      </x:c>
      <x:c r="B17" s="76" t="str">
        <x:v>1 quote + screenshot</x:v>
      </x:c>
      <x:c r="C17" s="76" t="n">
        <x:f>COUNTIFS('Proof Log'!$R$5:$R$34,"Strong")+COUNTIFS('Proof Log'!$R$5:$R$34,"Good")</x:f>
        <x:v>0</x:v>
      </x:c>
      <x:c r="D17" s="76" t="str">
        <x:f>IF(C17&gt;=1,"Green","Yellow")</x:f>
        <x:v>Yellow</x:v>
      </x:c>
      <x:c r="E17" s="77" t="str">
        <x:v>Ask for quote after a useful profile changes follow-up.</x:v>
      </x:c>
      <x:c r="F17" s="65"/>
      <x:c r="G17" s="65"/>
      <x:c r="H17" s="65"/>
      <x:c r="I17" s="65"/>
      <x:c r="J17" s="65"/>
      <x:c r="K17" s="65"/>
      <x:c r="L17" s="65"/>
      <x:c r="M17" s="65"/>
      <x:c r="N17" s="65"/>
    </x:row>
    <x:row r="18" ht="28.5" customHeight="1">
      <x:c r="A18" s="79" t="str">
        <x:v>8. Convert or adjust</x:v>
      </x:c>
      <x:c r="B18" s="80" t="str">
        <x:v>$2.5K/mo or clear learning</x:v>
      </x:c>
      <x:c r="C18" s="80" t="n">
        <x:f>COUNTIFS('Install Tracker'!$E$5:$E$19,"Paid")</x:f>
        <x:v>0</x:v>
      </x:c>
      <x:c r="D18" s="80" t="str">
        <x:f>IF(C18&gt;=1,"Green",IF(E6&gt;=1,"Yellow","Red"))</x:f>
        <x:v>Red</x:v>
      </x:c>
      <x:c r="E18" s="81" t="str">
        <x:v>Use proof review to ask for paid continuation.</x:v>
      </x:c>
      <x:c r="F18" s="65"/>
      <x:c r="G18" s="65"/>
      <x:c r="H18" s="65"/>
      <x:c r="I18" s="65"/>
      <x:c r="J18" s="65"/>
      <x:c r="K18" s="65"/>
      <x:c r="L18" s="65"/>
      <x:c r="M18" s="65"/>
      <x:c r="N18" s="65"/>
    </x:row>
    <x:row r="19">
      <x:c r="A19" s="65"/>
      <x:c r="B19" s="65"/>
      <x:c r="C19" s="65"/>
      <x:c r="D19" s="65"/>
      <x:c r="E19" s="65"/>
      <x:c r="F19" s="65"/>
      <x:c r="G19" s="65"/>
      <x:c r="H19" s="65"/>
      <x:c r="I19" s="65"/>
      <x:c r="J19" s="65"/>
      <x:c r="K19" s="65"/>
      <x:c r="L19" s="65"/>
      <x:c r="M19" s="65"/>
      <x:c r="N19" s="65"/>
    </x:row>
    <x:row r="20">
      <x:c r="A20" s="65"/>
      <x:c r="B20" s="65"/>
      <x:c r="C20" s="65"/>
      <x:c r="D20" s="65"/>
      <x:c r="E20" s="65"/>
      <x:c r="F20" s="65"/>
      <x:c r="G20" s="65"/>
      <x:c r="H20" s="65"/>
      <x:c r="I20" s="65"/>
      <x:c r="J20" s="65"/>
      <x:c r="K20" s="65"/>
      <x:c r="L20" s="65"/>
      <x:c r="M20" s="65"/>
      <x:c r="N20" s="65"/>
    </x:row>
    <x:row r="21">
      <x:c r="A21" s="66" t="str">
        <x:v>Decision Rule</x:v>
      </x:c>
      <x:c r="B21" s="66" t="str">
        <x:v>Decision Rule</x:v>
      </x:c>
      <x:c r="C21" s="66" t="str">
        <x:v>Decision Rule</x:v>
      </x:c>
      <x:c r="D21" s="66" t="str">
        <x:v>Decision Rule</x:v>
      </x:c>
      <x:c r="E21" s="66" t="str">
        <x:v>Decision Rule</x:v>
      </x:c>
      <x:c r="F21" s="66" t="str">
        <x:v>Decision Rule</x:v>
      </x:c>
      <x:c r="G21" s="66" t="str">
        <x:v>Decision Rule</x:v>
      </x:c>
      <x:c r="H21" s="66" t="str">
        <x:v>Decision Rule</x:v>
      </x:c>
      <x:c r="I21" s="66" t="str">
        <x:v>Decision Rule</x:v>
      </x:c>
      <x:c r="J21" s="66" t="str">
        <x:v>Decision Rule</x:v>
      </x:c>
      <x:c r="K21" s="65"/>
      <x:c r="L21" s="65"/>
      <x:c r="M21" s="65"/>
      <x:c r="N21" s="65"/>
    </x:row>
    <x:row r="22">
      <x:c r="A22" s="82" t="str">
        <x:v>Do not add more features until one beta creates at least 10 buyer profiles, 70% useful profile rate, and one clear sales quote. If profile usefulness is below 50%, change questions before changing enrichment. If CRM sync is below 90%, fix implementation before selling broader.</x:v>
      </x:c>
      <x:c r="B22" s="82" t="str"/>
      <x:c r="C22" s="82" t="str"/>
      <x:c r="D22" s="82" t="str"/>
      <x:c r="E22" s="82" t="str"/>
      <x:c r="F22" s="82" t="str"/>
      <x:c r="G22" s="82" t="str"/>
      <x:c r="H22" s="82" t="str"/>
      <x:c r="I22" s="82" t="str"/>
      <x:c r="J22" s="82" t="str"/>
      <x:c r="K22" s="65"/>
      <x:c r="L22" s="65"/>
      <x:c r="M22" s="65"/>
      <x:c r="N22" s="65"/>
    </x:row>
    <x:row r="23">
      <x:c r="A23" s="82" t="str"/>
      <x:c r="B23" s="82" t="str"/>
      <x:c r="C23" s="82" t="str"/>
      <x:c r="D23" s="82" t="str"/>
      <x:c r="E23" s="82" t="str"/>
      <x:c r="F23" s="82" t="str"/>
      <x:c r="G23" s="82" t="str"/>
      <x:c r="H23" s="82" t="str"/>
      <x:c r="I23" s="82" t="str"/>
      <x:c r="J23" s="82" t="str"/>
      <x:c r="K23" s="65"/>
      <x:c r="L23" s="65"/>
      <x:c r="M23" s="65"/>
      <x:c r="N23" s="65"/>
    </x:row>
    <x:row r="24">
      <x:c r="A24" s="82" t="str">
        <x:v>Workbook tabs to update daily: Target List, Teardown Tracker, Install Tracker. Tabs to update weekly: Proof Log, Weekly Review.</x:v>
      </x:c>
      <x:c r="B24" s="82" t="str"/>
      <x:c r="C24" s="82" t="str"/>
      <x:c r="D24" s="82" t="str"/>
      <x:c r="E24" s="82" t="str"/>
      <x:c r="F24" s="82" t="str"/>
      <x:c r="G24" s="82" t="str"/>
      <x:c r="H24" s="82" t="str"/>
      <x:c r="I24" s="82" t="str"/>
      <x:c r="J24" s="82" t="str"/>
      <x:c r="K24" s="65"/>
      <x:c r="L24" s="65"/>
      <x:c r="M24" s="65"/>
      <x:c r="N24" s="65"/>
    </x:row>
    <x:row r="25">
      <x:c r="A25" s="82" t="str"/>
      <x:c r="B25" s="82" t="str"/>
      <x:c r="C25" s="82" t="str"/>
      <x:c r="D25" s="82" t="str"/>
      <x:c r="E25" s="82" t="str"/>
      <x:c r="F25" s="82" t="str"/>
      <x:c r="G25" s="82" t="str"/>
      <x:c r="H25" s="82" t="str"/>
      <x:c r="I25" s="82" t="str"/>
      <x:c r="J25" s="82" t="str"/>
      <x:c r="K25" s="65"/>
      <x:c r="L25" s="65"/>
      <x:c r="M25" s="65"/>
      <x:c r="N25" s="65"/>
    </x:row>
  </x:sheetData>
  <x:mergeCells>
    <x:mergeCell ref="A1:J2"/>
    <x:mergeCell ref="A4:J4"/>
    <x:mergeCell ref="A9:E9"/>
    <x:mergeCell ref="G9:J9"/>
    <x:mergeCell ref="A21:J21"/>
    <x:mergeCell ref="A22:J23"/>
    <x:mergeCell ref="A24:J25"/>
  </x:mergeCells>
  <x:conditionalFormatting sqref="D11:D18">
    <x:cfRule type="containsText" dxfId="0" priority="1" operator="containsText" text="Green"/>
    <x:cfRule type="containsText" dxfId="1" priority="2" operator="containsText" text="Yellow"/>
    <x:cfRule type="containsText" dxfId="2" priority="3" operator="containsText" text="Red"/>
  </x:conditionalFormatting>
  <x:dataValidations count="1">
    <x:dataValidation type="list" sqref="J11:J16">
      <x:formula1>"Yes,No"</x:formula1>
    </x:dataValidation>
  </x:dataValidations>
  <x:pageMargins left="0.7" right="0.7" top="0.75" bottom="0.75" header="0.3" footer="0.3"/>
  <x:drawing xmlns:r="http://schemas.openxmlformats.org/officeDocument/2006/relationships" r:id="R2fd391590e1c4c99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80000686645508" hidden="0" customWidth="1"/>
    <x:col min="2" max="2" width="20" hidden="0" customWidth="1"/>
    <x:col min="3" max="3" width="23.329999923706055" hidden="0" customWidth="1"/>
    <x:col min="4" max="4" width="16.670000076293945" hidden="0" customWidth="1"/>
    <x:col min="5" max="5" width="15.5600004196167" hidden="0" customWidth="1"/>
    <x:col min="6" max="6" width="21.110000610351562" hidden="0" customWidth="1"/>
    <x:col min="7" max="7" width="16.670000076293945" hidden="0" customWidth="1"/>
    <x:col min="8" max="8" width="12.779999732971191" hidden="0" customWidth="1"/>
    <x:col min="9" max="9" width="12.779999732971191" hidden="0" customWidth="1"/>
    <x:col min="10" max="10" width="12.220000267028809" hidden="0" customWidth="1"/>
    <x:col min="11" max="11" width="26.670000076293945" hidden="0" customWidth="1"/>
    <x:col min="12" max="12" width="27.780000686645508" hidden="0" customWidth="1"/>
    <x:col min="13" max="13" width="20" hidden="0" customWidth="1"/>
    <x:col min="14" max="14" width="8.890000343322754" hidden="0" customWidth="1"/>
    <x:col min="15" max="15" width="15" hidden="0" customWidth="1"/>
    <x:col min="16" max="16" width="15" hidden="0" customWidth="1"/>
    <x:col min="17" max="17" width="16.110000610351562" hidden="0" customWidth="1"/>
    <x:col min="18" max="18" width="15" hidden="0" customWidth="1"/>
    <x:col min="19" max="19" width="18.889999389648438" hidden="0" customWidth="1"/>
    <x:col min="20" max="20" width="28.889999389648438" hidden="0" customWidth="1"/>
  </x:cols>
  <x:sheetData>
    <x:row r="1" ht="24" customHeight="1">
      <x:c r="A1" s="64" t="str">
        <x:v>Deal Threads Beta Target List
Build the first 50-account universe. Prioritize weak forms attached to high-value B2B sales motions.</x:v>
      </x:c>
      <x:c r="B1" s="64" t="str">
        <x:v>Deal Threads Beta Target List
Build the first 50-account universe. Prioritize weak forms attached to high-value B2B sales motions.</x:v>
      </x:c>
      <x:c r="C1" s="64" t="str">
        <x:v>Deal Threads Beta Target List
Build the first 50-account universe. Prioritize weak forms attached to high-value B2B sales motions.</x:v>
      </x:c>
      <x:c r="D1" s="64" t="str">
        <x:v>Deal Threads Beta Target List
Build the first 50-account universe. Prioritize weak forms attached to high-value B2B sales motions.</x:v>
      </x:c>
      <x:c r="E1" s="64" t="str">
        <x:v>Deal Threads Beta Target List
Build the first 50-account universe. Prioritize weak forms attached to high-value B2B sales motions.</x:v>
      </x:c>
      <x:c r="F1" s="64" t="str">
        <x:v>Deal Threads Beta Target List
Build the first 50-account universe. Prioritize weak forms attached to high-value B2B sales motions.</x:v>
      </x:c>
      <x:c r="G1" s="64" t="str">
        <x:v>Deal Threads Beta Target List
Build the first 50-account universe. Prioritize weak forms attached to high-value B2B sales motions.</x:v>
      </x:c>
      <x:c r="H1" s="64" t="str">
        <x:v>Deal Threads Beta Target List
Build the first 50-account universe. Prioritize weak forms attached to high-value B2B sales motions.</x:v>
      </x:c>
      <x:c r="I1" s="64" t="str">
        <x:v>Deal Threads Beta Target List
Build the first 50-account universe. Prioritize weak forms attached to high-value B2B sales motions.</x:v>
      </x:c>
      <x:c r="J1" s="64" t="str">
        <x:v>Deal Threads Beta Target List
Build the first 50-account universe. Prioritize weak forms attached to high-value B2B sales motions.</x:v>
      </x:c>
      <x:c r="K1" s="64" t="str">
        <x:v>Deal Threads Beta Target List
Build the first 50-account universe. Prioritize weak forms attached to high-value B2B sales motions.</x:v>
      </x:c>
      <x:c r="L1" s="64" t="str">
        <x:v>Deal Threads Beta Target List
Build the first 50-account universe. Prioritize weak forms attached to high-value B2B sales motions.</x:v>
      </x:c>
      <x:c r="M1" s="64" t="str">
        <x:v>Deal Threads Beta Target List
Build the first 50-account universe. Prioritize weak forms attached to high-value B2B sales motions.</x:v>
      </x:c>
      <x:c r="N1" s="64" t="str">
        <x:v>Deal Threads Beta Target List
Build the first 50-account universe. Prioritize weak forms attached to high-value B2B sales motions.</x:v>
      </x:c>
      <x:c r="O1" s="64" t="str">
        <x:v>Deal Threads Beta Target List
Build the first 50-account universe. Prioritize weak forms attached to high-value B2B sales motions.</x:v>
      </x:c>
      <x:c r="P1" s="64" t="str">
        <x:v>Deal Threads Beta Target List
Build the first 50-account universe. Prioritize weak forms attached to high-value B2B sales motions.</x:v>
      </x:c>
      <x:c r="Q1" s="64" t="str">
        <x:v>Deal Threads Beta Target List
Build the first 50-account universe. Prioritize weak forms attached to high-value B2B sales motions.</x:v>
      </x:c>
      <x:c r="R1" s="64" t="str">
        <x:v>Deal Threads Beta Target List
Build the first 50-account universe. Prioritize weak forms attached to high-value B2B sales motions.</x:v>
      </x:c>
      <x:c r="S1" s="64" t="str">
        <x:v>Deal Threads Beta Target List
Build the first 50-account universe. Prioritize weak forms attached to high-value B2B sales motions.</x:v>
      </x:c>
      <x:c r="T1" s="64" t="str">
        <x:v>Deal Threads Beta Target List
Build the first 50-account universe. Prioritize weak forms attached to high-value B2B sales motions.</x:v>
      </x:c>
    </x:row>
    <x:row r="2" ht="24" customHeight="1">
      <x:c r="A2" s="64" t="str">
        <x:v>Deal Threads Beta Target List
Build the first 50-account universe. Prioritize weak forms attached to high-value B2B sales motions.</x:v>
      </x:c>
      <x:c r="B2" s="64" t="str">
        <x:v>Deal Threads Beta Target List
Build the first 50-account universe. Prioritize weak forms attached to high-value B2B sales motions.</x:v>
      </x:c>
      <x:c r="C2" s="64" t="str">
        <x:v>Deal Threads Beta Target List
Build the first 50-account universe. Prioritize weak forms attached to high-value B2B sales motions.</x:v>
      </x:c>
      <x:c r="D2" s="64" t="str">
        <x:v>Deal Threads Beta Target List
Build the first 50-account universe. Prioritize weak forms attached to high-value B2B sales motions.</x:v>
      </x:c>
      <x:c r="E2" s="64" t="str">
        <x:v>Deal Threads Beta Target List
Build the first 50-account universe. Prioritize weak forms attached to high-value B2B sales motions.</x:v>
      </x:c>
      <x:c r="F2" s="64" t="str">
        <x:v>Deal Threads Beta Target List
Build the first 50-account universe. Prioritize weak forms attached to high-value B2B sales motions.</x:v>
      </x:c>
      <x:c r="G2" s="64" t="str">
        <x:v>Deal Threads Beta Target List
Build the first 50-account universe. Prioritize weak forms attached to high-value B2B sales motions.</x:v>
      </x:c>
      <x:c r="H2" s="64" t="str">
        <x:v>Deal Threads Beta Target List
Build the first 50-account universe. Prioritize weak forms attached to high-value B2B sales motions.</x:v>
      </x:c>
      <x:c r="I2" s="64" t="str">
        <x:v>Deal Threads Beta Target List
Build the first 50-account universe. Prioritize weak forms attached to high-value B2B sales motions.</x:v>
      </x:c>
      <x:c r="J2" s="64" t="str">
        <x:v>Deal Threads Beta Target List
Build the first 50-account universe. Prioritize weak forms attached to high-value B2B sales motions.</x:v>
      </x:c>
      <x:c r="K2" s="64" t="str">
        <x:v>Deal Threads Beta Target List
Build the first 50-account universe. Prioritize weak forms attached to high-value B2B sales motions.</x:v>
      </x:c>
      <x:c r="L2" s="64" t="str">
        <x:v>Deal Threads Beta Target List
Build the first 50-account universe. Prioritize weak forms attached to high-value B2B sales motions.</x:v>
      </x:c>
      <x:c r="M2" s="64" t="str">
        <x:v>Deal Threads Beta Target List
Build the first 50-account universe. Prioritize weak forms attached to high-value B2B sales motions.</x:v>
      </x:c>
      <x:c r="N2" s="64" t="str">
        <x:v>Deal Threads Beta Target List
Build the first 50-account universe. Prioritize weak forms attached to high-value B2B sales motions.</x:v>
      </x:c>
      <x:c r="O2" s="64" t="str">
        <x:v>Deal Threads Beta Target List
Build the first 50-account universe. Prioritize weak forms attached to high-value B2B sales motions.</x:v>
      </x:c>
      <x:c r="P2" s="64" t="str">
        <x:v>Deal Threads Beta Target List
Build the first 50-account universe. Prioritize weak forms attached to high-value B2B sales motions.</x:v>
      </x:c>
      <x:c r="Q2" s="64" t="str">
        <x:v>Deal Threads Beta Target List
Build the first 50-account universe. Prioritize weak forms attached to high-value B2B sales motions.</x:v>
      </x:c>
      <x:c r="R2" s="64" t="str">
        <x:v>Deal Threads Beta Target List
Build the first 50-account universe. Prioritize weak forms attached to high-value B2B sales motions.</x:v>
      </x:c>
      <x:c r="S2" s="64" t="str">
        <x:v>Deal Threads Beta Target List
Build the first 50-account universe. Prioritize weak forms attached to high-value B2B sales motions.</x:v>
      </x:c>
      <x:c r="T2" s="64" t="str">
        <x:v>Deal Threads Beta Target List
Build the first 50-account universe. Prioritize weak forms attached to high-value B2B sales motions.</x:v>
      </x:c>
    </x:row>
    <x:row r="3">
      <x:c r="A3" s="65"/>
      <x:c r="B3" s="65"/>
      <x:c r="C3" s="65"/>
      <x:c r="D3" s="65"/>
      <x:c r="E3" s="65"/>
      <x:c r="F3" s="65"/>
      <x:c r="G3" s="65"/>
      <x:c r="H3" s="65"/>
      <x:c r="I3" s="65"/>
      <x:c r="J3" s="65"/>
      <x:c r="K3" s="65"/>
      <x:c r="L3" s="65"/>
      <x:c r="M3" s="65"/>
      <x:c r="N3" s="65"/>
      <x:c r="O3" s="65"/>
      <x:c r="P3" s="65"/>
      <x:c r="Q3" s="65"/>
      <x:c r="R3" s="65"/>
      <x:c r="S3" s="65"/>
      <x:c r="T3" s="65"/>
    </x:row>
    <x:row r="4">
      <x:c r="A4" s="83" t="str">
        <x:v>Company</x:v>
      </x:c>
      <x:c r="B4" s="84" t="str">
        <x:v>Website</x:v>
      </x:c>
      <x:c r="C4" s="84" t="str">
        <x:v>Form URL</x:v>
      </x:c>
      <x:c r="D4" s="84" t="str">
        <x:v>Buyer Name</x:v>
      </x:c>
      <x:c r="E4" s="84" t="str">
        <x:v>Buyer Role</x:v>
      </x:c>
      <x:c r="F4" s="84" t="str">
        <x:v>LinkedIn URL</x:v>
      </x:c>
      <x:c r="G4" s="84" t="str">
        <x:v>Segment</x:v>
      </x:c>
      <x:c r="H4" s="84" t="str">
        <x:v>Company Size</x:v>
      </x:c>
      <x:c r="I4" s="84" t="str">
        <x:v>Deal Value Guess</x:v>
      </x:c>
      <x:c r="J4" s="84" t="str">
        <x:v>CRM Guess</x:v>
      </x:c>
      <x:c r="K4" s="84" t="str">
        <x:v>Weak Form Observation</x:v>
      </x:c>
      <x:c r="L4" s="84" t="str">
        <x:v>Sales Research Hypothesis</x:v>
      </x:c>
      <x:c r="M4" s="84" t="str">
        <x:v>Reason Now</x:v>
      </x:c>
      <x:c r="N4" s="84" t="str">
        <x:v>Fit Score</x:v>
      </x:c>
      <x:c r="O4" s="84" t="str">
        <x:v>Teardown Priority</x:v>
      </x:c>
      <x:c r="P4" s="84" t="str">
        <x:v>Outreach Status</x:v>
      </x:c>
      <x:c r="Q4" s="84" t="str">
        <x:v>Teardown Status</x:v>
      </x:c>
      <x:c r="R4" s="84" t="str">
        <x:v>Next Action</x:v>
      </x:c>
      <x:c r="S4" s="84" t="str">
        <x:v>Next Action Date</x:v>
      </x:c>
      <x:c r="T4" s="85" t="str">
        <x:v>Notes</x:v>
      </x:c>
    </x:row>
    <x:row r="5">
      <x:c r="A5" s="86" t="str"/>
      <x:c r="B5" s="87" t="str"/>
      <x:c r="C5" s="87" t="str"/>
      <x:c r="D5" s="87" t="str"/>
      <x:c r="E5" s="87" t="str"/>
      <x:c r="F5" s="87" t="str"/>
      <x:c r="G5" s="87" t="str">
        <x:v>Vertical SaaS</x:v>
      </x:c>
      <x:c r="H5" s="87" t="str"/>
      <x:c r="I5" s="87" t="str">
        <x:v>High</x:v>
      </x:c>
      <x:c r="J5" s="87" t="str">
        <x:v>HubSpot</x:v>
      </x:c>
      <x:c r="K5" s="76" t="str"/>
      <x:c r="L5" s="76" t="str"/>
      <x:c r="M5" s="76" t="str"/>
      <x:c r="N5" s="88" t="n">
        <x:v>0</x:v>
      </x:c>
      <x:c r="O5" s="87" t="str">
        <x:v>Later</x:v>
      </x:c>
      <x:c r="P5" s="87" t="str">
        <x:v>Not started</x:v>
      </x:c>
      <x:c r="Q5" s="87" t="str">
        <x:v>Not started</x:v>
      </x:c>
      <x:c r="R5" s="87" t="str"/>
      <x:c r="S5" s="89" t="str"/>
      <x:c r="T5" s="77" t="str"/>
    </x:row>
    <x:row r="6">
      <x:c r="A6" s="86" t="str"/>
      <x:c r="B6" s="87" t="str"/>
      <x:c r="C6" s="87" t="str"/>
      <x:c r="D6" s="87" t="str"/>
      <x:c r="E6" s="87" t="str"/>
      <x:c r="F6" s="87" t="str"/>
      <x:c r="G6" s="87" t="str">
        <x:v>Vertical SaaS</x:v>
      </x:c>
      <x:c r="H6" s="87" t="str"/>
      <x:c r="I6" s="87" t="str">
        <x:v>High</x:v>
      </x:c>
      <x:c r="J6" s="87" t="str">
        <x:v>HubSpot</x:v>
      </x:c>
      <x:c r="K6" s="76" t="str"/>
      <x:c r="L6" s="76" t="str"/>
      <x:c r="M6" s="76" t="str"/>
      <x:c r="N6" s="88" t="n">
        <x:v>0</x:v>
      </x:c>
      <x:c r="O6" s="87" t="str">
        <x:v>Later</x:v>
      </x:c>
      <x:c r="P6" s="87" t="str">
        <x:v>Not started</x:v>
      </x:c>
      <x:c r="Q6" s="87" t="str">
        <x:v>Not started</x:v>
      </x:c>
      <x:c r="R6" s="87" t="str"/>
      <x:c r="S6" s="89" t="str"/>
      <x:c r="T6" s="77" t="str"/>
    </x:row>
    <x:row r="7">
      <x:c r="A7" s="86" t="str"/>
      <x:c r="B7" s="87" t="str"/>
      <x:c r="C7" s="87" t="str"/>
      <x:c r="D7" s="87" t="str"/>
      <x:c r="E7" s="87" t="str"/>
      <x:c r="F7" s="87" t="str"/>
      <x:c r="G7" s="87" t="str">
        <x:v>Vertical SaaS</x:v>
      </x:c>
      <x:c r="H7" s="87" t="str"/>
      <x:c r="I7" s="87" t="str">
        <x:v>High</x:v>
      </x:c>
      <x:c r="J7" s="87" t="str">
        <x:v>HubSpot</x:v>
      </x:c>
      <x:c r="K7" s="76" t="str"/>
      <x:c r="L7" s="76" t="str"/>
      <x:c r="M7" s="76" t="str"/>
      <x:c r="N7" s="88" t="n">
        <x:v>0</x:v>
      </x:c>
      <x:c r="O7" s="87" t="str">
        <x:v>Later</x:v>
      </x:c>
      <x:c r="P7" s="87" t="str">
        <x:v>Not started</x:v>
      </x:c>
      <x:c r="Q7" s="87" t="str">
        <x:v>Not started</x:v>
      </x:c>
      <x:c r="R7" s="87" t="str"/>
      <x:c r="S7" s="89" t="str"/>
      <x:c r="T7" s="77" t="str"/>
    </x:row>
    <x:row r="8">
      <x:c r="A8" s="86" t="str"/>
      <x:c r="B8" s="87" t="str"/>
      <x:c r="C8" s="87" t="str"/>
      <x:c r="D8" s="87" t="str"/>
      <x:c r="E8" s="87" t="str"/>
      <x:c r="F8" s="87" t="str"/>
      <x:c r="G8" s="87" t="str">
        <x:v>Vertical SaaS</x:v>
      </x:c>
      <x:c r="H8" s="87" t="str"/>
      <x:c r="I8" s="87" t="str">
        <x:v>High</x:v>
      </x:c>
      <x:c r="J8" s="87" t="str">
        <x:v>HubSpot</x:v>
      </x:c>
      <x:c r="K8" s="76" t="str"/>
      <x:c r="L8" s="76" t="str"/>
      <x:c r="M8" s="76" t="str"/>
      <x:c r="N8" s="88" t="n">
        <x:v>0</x:v>
      </x:c>
      <x:c r="O8" s="87" t="str">
        <x:v>Later</x:v>
      </x:c>
      <x:c r="P8" s="87" t="str">
        <x:v>Not started</x:v>
      </x:c>
      <x:c r="Q8" s="87" t="str">
        <x:v>Not started</x:v>
      </x:c>
      <x:c r="R8" s="87" t="str"/>
      <x:c r="S8" s="89" t="str"/>
      <x:c r="T8" s="77" t="str"/>
    </x:row>
    <x:row r="9">
      <x:c r="A9" s="86" t="str"/>
      <x:c r="B9" s="87" t="str"/>
      <x:c r="C9" s="87" t="str"/>
      <x:c r="D9" s="87" t="str"/>
      <x:c r="E9" s="87" t="str"/>
      <x:c r="F9" s="87" t="str"/>
      <x:c r="G9" s="87" t="str">
        <x:v>Vertical SaaS</x:v>
      </x:c>
      <x:c r="H9" s="87" t="str"/>
      <x:c r="I9" s="87" t="str">
        <x:v>High</x:v>
      </x:c>
      <x:c r="J9" s="87" t="str">
        <x:v>HubSpot</x:v>
      </x:c>
      <x:c r="K9" s="76" t="str"/>
      <x:c r="L9" s="76" t="str"/>
      <x:c r="M9" s="76" t="str"/>
      <x:c r="N9" s="88" t="n">
        <x:v>0</x:v>
      </x:c>
      <x:c r="O9" s="87" t="str">
        <x:v>Later</x:v>
      </x:c>
      <x:c r="P9" s="87" t="str">
        <x:v>Not started</x:v>
      </x:c>
      <x:c r="Q9" s="87" t="str">
        <x:v>Not started</x:v>
      </x:c>
      <x:c r="R9" s="87" t="str"/>
      <x:c r="S9" s="89" t="str"/>
      <x:c r="T9" s="77" t="str"/>
    </x:row>
    <x:row r="10">
      <x:c r="A10" s="86" t="str"/>
      <x:c r="B10" s="87" t="str"/>
      <x:c r="C10" s="87" t="str"/>
      <x:c r="D10" s="87" t="str"/>
      <x:c r="E10" s="87" t="str"/>
      <x:c r="F10" s="87" t="str"/>
      <x:c r="G10" s="87" t="str">
        <x:v>Vertical SaaS</x:v>
      </x:c>
      <x:c r="H10" s="87" t="str"/>
      <x:c r="I10" s="87" t="str">
        <x:v>High</x:v>
      </x:c>
      <x:c r="J10" s="87" t="str">
        <x:v>HubSpot</x:v>
      </x:c>
      <x:c r="K10" s="76" t="str"/>
      <x:c r="L10" s="76" t="str"/>
      <x:c r="M10" s="76" t="str"/>
      <x:c r="N10" s="88" t="n">
        <x:v>0</x:v>
      </x:c>
      <x:c r="O10" s="87" t="str">
        <x:v>Later</x:v>
      </x:c>
      <x:c r="P10" s="87" t="str">
        <x:v>Not started</x:v>
      </x:c>
      <x:c r="Q10" s="87" t="str">
        <x:v>Not started</x:v>
      </x:c>
      <x:c r="R10" s="87" t="str"/>
      <x:c r="S10" s="89" t="str"/>
      <x:c r="T10" s="77" t="str"/>
    </x:row>
    <x:row r="11">
      <x:c r="A11" s="86" t="str"/>
      <x:c r="B11" s="87" t="str"/>
      <x:c r="C11" s="87" t="str"/>
      <x:c r="D11" s="87" t="str"/>
      <x:c r="E11" s="87" t="str"/>
      <x:c r="F11" s="87" t="str"/>
      <x:c r="G11" s="87" t="str">
        <x:v>Vertical SaaS</x:v>
      </x:c>
      <x:c r="H11" s="87" t="str"/>
      <x:c r="I11" s="87" t="str">
        <x:v>High</x:v>
      </x:c>
      <x:c r="J11" s="87" t="str">
        <x:v>HubSpot</x:v>
      </x:c>
      <x:c r="K11" s="76" t="str"/>
      <x:c r="L11" s="76" t="str"/>
      <x:c r="M11" s="76" t="str"/>
      <x:c r="N11" s="88" t="n">
        <x:v>0</x:v>
      </x:c>
      <x:c r="O11" s="87" t="str">
        <x:v>Later</x:v>
      </x:c>
      <x:c r="P11" s="87" t="str">
        <x:v>Not started</x:v>
      </x:c>
      <x:c r="Q11" s="87" t="str">
        <x:v>Not started</x:v>
      </x:c>
      <x:c r="R11" s="87" t="str"/>
      <x:c r="S11" s="89" t="str"/>
      <x:c r="T11" s="77" t="str"/>
    </x:row>
    <x:row r="12">
      <x:c r="A12" s="86" t="str"/>
      <x:c r="B12" s="87" t="str"/>
      <x:c r="C12" s="87" t="str"/>
      <x:c r="D12" s="87" t="str"/>
      <x:c r="E12" s="87" t="str"/>
      <x:c r="F12" s="87" t="str"/>
      <x:c r="G12" s="87" t="str">
        <x:v>Vertical SaaS</x:v>
      </x:c>
      <x:c r="H12" s="87" t="str"/>
      <x:c r="I12" s="87" t="str">
        <x:v>High</x:v>
      </x:c>
      <x:c r="J12" s="87" t="str">
        <x:v>HubSpot</x:v>
      </x:c>
      <x:c r="K12" s="76" t="str"/>
      <x:c r="L12" s="76" t="str"/>
      <x:c r="M12" s="76" t="str"/>
      <x:c r="N12" s="88" t="n">
        <x:v>0</x:v>
      </x:c>
      <x:c r="O12" s="87" t="str">
        <x:v>Later</x:v>
      </x:c>
      <x:c r="P12" s="87" t="str">
        <x:v>Not started</x:v>
      </x:c>
      <x:c r="Q12" s="87" t="str">
        <x:v>Not started</x:v>
      </x:c>
      <x:c r="R12" s="87" t="str"/>
      <x:c r="S12" s="89" t="str"/>
      <x:c r="T12" s="77" t="str"/>
    </x:row>
    <x:row r="13">
      <x:c r="A13" s="86" t="str"/>
      <x:c r="B13" s="87" t="str"/>
      <x:c r="C13" s="87" t="str"/>
      <x:c r="D13" s="87" t="str"/>
      <x:c r="E13" s="87" t="str"/>
      <x:c r="F13" s="87" t="str"/>
      <x:c r="G13" s="87" t="str">
        <x:v>Vertical SaaS</x:v>
      </x:c>
      <x:c r="H13" s="87" t="str"/>
      <x:c r="I13" s="87" t="str">
        <x:v>High</x:v>
      </x:c>
      <x:c r="J13" s="87" t="str">
        <x:v>HubSpot</x:v>
      </x:c>
      <x:c r="K13" s="76" t="str"/>
      <x:c r="L13" s="76" t="str"/>
      <x:c r="M13" s="76" t="str"/>
      <x:c r="N13" s="88" t="n">
        <x:v>0</x:v>
      </x:c>
      <x:c r="O13" s="87" t="str">
        <x:v>Later</x:v>
      </x:c>
      <x:c r="P13" s="87" t="str">
        <x:v>Not started</x:v>
      </x:c>
      <x:c r="Q13" s="87" t="str">
        <x:v>Not started</x:v>
      </x:c>
      <x:c r="R13" s="87" t="str"/>
      <x:c r="S13" s="89" t="str"/>
      <x:c r="T13" s="77" t="str"/>
    </x:row>
    <x:row r="14">
      <x:c r="A14" s="86" t="str"/>
      <x:c r="B14" s="87" t="str"/>
      <x:c r="C14" s="87" t="str"/>
      <x:c r="D14" s="87" t="str"/>
      <x:c r="E14" s="87" t="str"/>
      <x:c r="F14" s="87" t="str"/>
      <x:c r="G14" s="87" t="str">
        <x:v>Vertical SaaS</x:v>
      </x:c>
      <x:c r="H14" s="87" t="str"/>
      <x:c r="I14" s="87" t="str">
        <x:v>High</x:v>
      </x:c>
      <x:c r="J14" s="87" t="str">
        <x:v>HubSpot</x:v>
      </x:c>
      <x:c r="K14" s="76" t="str"/>
      <x:c r="L14" s="76" t="str"/>
      <x:c r="M14" s="76" t="str"/>
      <x:c r="N14" s="88" t="n">
        <x:v>0</x:v>
      </x:c>
      <x:c r="O14" s="87" t="str">
        <x:v>Later</x:v>
      </x:c>
      <x:c r="P14" s="87" t="str">
        <x:v>Not started</x:v>
      </x:c>
      <x:c r="Q14" s="87" t="str">
        <x:v>Not started</x:v>
      </x:c>
      <x:c r="R14" s="87" t="str"/>
      <x:c r="S14" s="89" t="str"/>
      <x:c r="T14" s="77" t="str"/>
    </x:row>
    <x:row r="15">
      <x:c r="A15" s="86" t="str"/>
      <x:c r="B15" s="87" t="str"/>
      <x:c r="C15" s="87" t="str"/>
      <x:c r="D15" s="87" t="str"/>
      <x:c r="E15" s="87" t="str"/>
      <x:c r="F15" s="87" t="str"/>
      <x:c r="G15" s="87" t="str">
        <x:v>Vertical SaaS</x:v>
      </x:c>
      <x:c r="H15" s="87" t="str"/>
      <x:c r="I15" s="87" t="str">
        <x:v>High</x:v>
      </x:c>
      <x:c r="J15" s="87" t="str">
        <x:v>HubSpot</x:v>
      </x:c>
      <x:c r="K15" s="76" t="str"/>
      <x:c r="L15" s="76" t="str"/>
      <x:c r="M15" s="76" t="str"/>
      <x:c r="N15" s="88" t="n">
        <x:v>0</x:v>
      </x:c>
      <x:c r="O15" s="87" t="str">
        <x:v>Later</x:v>
      </x:c>
      <x:c r="P15" s="87" t="str">
        <x:v>Not started</x:v>
      </x:c>
      <x:c r="Q15" s="87" t="str">
        <x:v>Not started</x:v>
      </x:c>
      <x:c r="R15" s="87" t="str"/>
      <x:c r="S15" s="89" t="str"/>
      <x:c r="T15" s="77" t="str"/>
    </x:row>
    <x:row r="16">
      <x:c r="A16" s="86" t="str"/>
      <x:c r="B16" s="87" t="str"/>
      <x:c r="C16" s="87" t="str"/>
      <x:c r="D16" s="87" t="str"/>
      <x:c r="E16" s="87" t="str"/>
      <x:c r="F16" s="87" t="str"/>
      <x:c r="G16" s="87" t="str">
        <x:v>Vertical SaaS</x:v>
      </x:c>
      <x:c r="H16" s="87" t="str"/>
      <x:c r="I16" s="87" t="str">
        <x:v>High</x:v>
      </x:c>
      <x:c r="J16" s="87" t="str">
        <x:v>HubSpot</x:v>
      </x:c>
      <x:c r="K16" s="76" t="str"/>
      <x:c r="L16" s="76" t="str"/>
      <x:c r="M16" s="76" t="str"/>
      <x:c r="N16" s="88" t="n">
        <x:v>0</x:v>
      </x:c>
      <x:c r="O16" s="87" t="str">
        <x:v>Later</x:v>
      </x:c>
      <x:c r="P16" s="87" t="str">
        <x:v>Not started</x:v>
      </x:c>
      <x:c r="Q16" s="87" t="str">
        <x:v>Not started</x:v>
      </x:c>
      <x:c r="R16" s="87" t="str"/>
      <x:c r="S16" s="89" t="str"/>
      <x:c r="T16" s="77" t="str"/>
    </x:row>
    <x:row r="17">
      <x:c r="A17" s="86" t="str"/>
      <x:c r="B17" s="87" t="str"/>
      <x:c r="C17" s="87" t="str"/>
      <x:c r="D17" s="87" t="str"/>
      <x:c r="E17" s="87" t="str"/>
      <x:c r="F17" s="87" t="str"/>
      <x:c r="G17" s="87" t="str">
        <x:v>Vertical SaaS</x:v>
      </x:c>
      <x:c r="H17" s="87" t="str"/>
      <x:c r="I17" s="87" t="str">
        <x:v>High</x:v>
      </x:c>
      <x:c r="J17" s="87" t="str">
        <x:v>HubSpot</x:v>
      </x:c>
      <x:c r="K17" s="76" t="str"/>
      <x:c r="L17" s="76" t="str"/>
      <x:c r="M17" s="76" t="str"/>
      <x:c r="N17" s="88" t="n">
        <x:v>0</x:v>
      </x:c>
      <x:c r="O17" s="87" t="str">
        <x:v>Later</x:v>
      </x:c>
      <x:c r="P17" s="87" t="str">
        <x:v>Not started</x:v>
      </x:c>
      <x:c r="Q17" s="87" t="str">
        <x:v>Not started</x:v>
      </x:c>
      <x:c r="R17" s="87" t="str"/>
      <x:c r="S17" s="89" t="str"/>
      <x:c r="T17" s="77" t="str"/>
    </x:row>
    <x:row r="18">
      <x:c r="A18" s="86" t="str"/>
      <x:c r="B18" s="87" t="str"/>
      <x:c r="C18" s="87" t="str"/>
      <x:c r="D18" s="87" t="str"/>
      <x:c r="E18" s="87" t="str"/>
      <x:c r="F18" s="87" t="str"/>
      <x:c r="G18" s="87" t="str">
        <x:v>Vertical SaaS</x:v>
      </x:c>
      <x:c r="H18" s="87" t="str"/>
      <x:c r="I18" s="87" t="str">
        <x:v>High</x:v>
      </x:c>
      <x:c r="J18" s="87" t="str">
        <x:v>HubSpot</x:v>
      </x:c>
      <x:c r="K18" s="76" t="str"/>
      <x:c r="L18" s="76" t="str"/>
      <x:c r="M18" s="76" t="str"/>
      <x:c r="N18" s="88" t="n">
        <x:v>0</x:v>
      </x:c>
      <x:c r="O18" s="87" t="str">
        <x:v>Later</x:v>
      </x:c>
      <x:c r="P18" s="87" t="str">
        <x:v>Not started</x:v>
      </x:c>
      <x:c r="Q18" s="87" t="str">
        <x:v>Not started</x:v>
      </x:c>
      <x:c r="R18" s="87" t="str"/>
      <x:c r="S18" s="89" t="str"/>
      <x:c r="T18" s="77" t="str"/>
    </x:row>
    <x:row r="19">
      <x:c r="A19" s="86" t="str"/>
      <x:c r="B19" s="87" t="str"/>
      <x:c r="C19" s="87" t="str"/>
      <x:c r="D19" s="87" t="str"/>
      <x:c r="E19" s="87" t="str"/>
      <x:c r="F19" s="87" t="str"/>
      <x:c r="G19" s="87" t="str">
        <x:v>Vertical SaaS</x:v>
      </x:c>
      <x:c r="H19" s="87" t="str"/>
      <x:c r="I19" s="87" t="str">
        <x:v>High</x:v>
      </x:c>
      <x:c r="J19" s="87" t="str">
        <x:v>HubSpot</x:v>
      </x:c>
      <x:c r="K19" s="76" t="str"/>
      <x:c r="L19" s="76" t="str"/>
      <x:c r="M19" s="76" t="str"/>
      <x:c r="N19" s="88" t="n">
        <x:v>0</x:v>
      </x:c>
      <x:c r="O19" s="87" t="str">
        <x:v>Later</x:v>
      </x:c>
      <x:c r="P19" s="87" t="str">
        <x:v>Not started</x:v>
      </x:c>
      <x:c r="Q19" s="87" t="str">
        <x:v>Not started</x:v>
      </x:c>
      <x:c r="R19" s="87" t="str"/>
      <x:c r="S19" s="89" t="str"/>
      <x:c r="T19" s="77" t="str"/>
    </x:row>
    <x:row r="20">
      <x:c r="A20" s="86" t="str"/>
      <x:c r="B20" s="87" t="str"/>
      <x:c r="C20" s="87" t="str"/>
      <x:c r="D20" s="87" t="str"/>
      <x:c r="E20" s="87" t="str"/>
      <x:c r="F20" s="87" t="str"/>
      <x:c r="G20" s="87" t="str">
        <x:v>Vertical SaaS</x:v>
      </x:c>
      <x:c r="H20" s="87" t="str"/>
      <x:c r="I20" s="87" t="str">
        <x:v>High</x:v>
      </x:c>
      <x:c r="J20" s="87" t="str">
        <x:v>HubSpot</x:v>
      </x:c>
      <x:c r="K20" s="76" t="str"/>
      <x:c r="L20" s="76" t="str"/>
      <x:c r="M20" s="76" t="str"/>
      <x:c r="N20" s="88" t="n">
        <x:v>0</x:v>
      </x:c>
      <x:c r="O20" s="87" t="str">
        <x:v>Later</x:v>
      </x:c>
      <x:c r="P20" s="87" t="str">
        <x:v>Not started</x:v>
      </x:c>
      <x:c r="Q20" s="87" t="str">
        <x:v>Not started</x:v>
      </x:c>
      <x:c r="R20" s="87" t="str"/>
      <x:c r="S20" s="89" t="str"/>
      <x:c r="T20" s="77" t="str"/>
    </x:row>
    <x:row r="21">
      <x:c r="A21" s="86" t="str"/>
      <x:c r="B21" s="87" t="str"/>
      <x:c r="C21" s="87" t="str"/>
      <x:c r="D21" s="87" t="str"/>
      <x:c r="E21" s="87" t="str"/>
      <x:c r="F21" s="87" t="str"/>
      <x:c r="G21" s="87" t="str">
        <x:v>Vertical SaaS</x:v>
      </x:c>
      <x:c r="H21" s="87" t="str"/>
      <x:c r="I21" s="87" t="str">
        <x:v>High</x:v>
      </x:c>
      <x:c r="J21" s="87" t="str">
        <x:v>HubSpot</x:v>
      </x:c>
      <x:c r="K21" s="76" t="str"/>
      <x:c r="L21" s="76" t="str"/>
      <x:c r="M21" s="76" t="str"/>
      <x:c r="N21" s="88" t="n">
        <x:v>0</x:v>
      </x:c>
      <x:c r="O21" s="87" t="str">
        <x:v>Later</x:v>
      </x:c>
      <x:c r="P21" s="87" t="str">
        <x:v>Not started</x:v>
      </x:c>
      <x:c r="Q21" s="87" t="str">
        <x:v>Not started</x:v>
      </x:c>
      <x:c r="R21" s="87" t="str"/>
      <x:c r="S21" s="89" t="str"/>
      <x:c r="T21" s="77" t="str"/>
    </x:row>
    <x:row r="22">
      <x:c r="A22" s="86" t="str"/>
      <x:c r="B22" s="87" t="str"/>
      <x:c r="C22" s="87" t="str"/>
      <x:c r="D22" s="87" t="str"/>
      <x:c r="E22" s="87" t="str"/>
      <x:c r="F22" s="87" t="str"/>
      <x:c r="G22" s="87" t="str">
        <x:v>Vertical SaaS</x:v>
      </x:c>
      <x:c r="H22" s="87" t="str"/>
      <x:c r="I22" s="87" t="str">
        <x:v>High</x:v>
      </x:c>
      <x:c r="J22" s="87" t="str">
        <x:v>HubSpot</x:v>
      </x:c>
      <x:c r="K22" s="76" t="str"/>
      <x:c r="L22" s="76" t="str"/>
      <x:c r="M22" s="76" t="str"/>
      <x:c r="N22" s="88" t="n">
        <x:v>0</x:v>
      </x:c>
      <x:c r="O22" s="87" t="str">
        <x:v>Later</x:v>
      </x:c>
      <x:c r="P22" s="87" t="str">
        <x:v>Not started</x:v>
      </x:c>
      <x:c r="Q22" s="87" t="str">
        <x:v>Not started</x:v>
      </x:c>
      <x:c r="R22" s="87" t="str"/>
      <x:c r="S22" s="89" t="str"/>
      <x:c r="T22" s="77" t="str"/>
    </x:row>
    <x:row r="23">
      <x:c r="A23" s="86" t="str"/>
      <x:c r="B23" s="87" t="str"/>
      <x:c r="C23" s="87" t="str"/>
      <x:c r="D23" s="87" t="str"/>
      <x:c r="E23" s="87" t="str"/>
      <x:c r="F23" s="87" t="str"/>
      <x:c r="G23" s="87" t="str">
        <x:v>Vertical SaaS</x:v>
      </x:c>
      <x:c r="H23" s="87" t="str"/>
      <x:c r="I23" s="87" t="str">
        <x:v>High</x:v>
      </x:c>
      <x:c r="J23" s="87" t="str">
        <x:v>HubSpot</x:v>
      </x:c>
      <x:c r="K23" s="76" t="str"/>
      <x:c r="L23" s="76" t="str"/>
      <x:c r="M23" s="76" t="str"/>
      <x:c r="N23" s="88" t="n">
        <x:v>0</x:v>
      </x:c>
      <x:c r="O23" s="87" t="str">
        <x:v>Later</x:v>
      </x:c>
      <x:c r="P23" s="87" t="str">
        <x:v>Not started</x:v>
      </x:c>
      <x:c r="Q23" s="87" t="str">
        <x:v>Not started</x:v>
      </x:c>
      <x:c r="R23" s="87" t="str"/>
      <x:c r="S23" s="89" t="str"/>
      <x:c r="T23" s="77" t="str"/>
    </x:row>
    <x:row r="24">
      <x:c r="A24" s="86" t="str"/>
      <x:c r="B24" s="87" t="str"/>
      <x:c r="C24" s="87" t="str"/>
      <x:c r="D24" s="87" t="str"/>
      <x:c r="E24" s="87" t="str"/>
      <x:c r="F24" s="87" t="str"/>
      <x:c r="G24" s="87" t="str">
        <x:v>Vertical SaaS</x:v>
      </x:c>
      <x:c r="H24" s="87" t="str"/>
      <x:c r="I24" s="87" t="str">
        <x:v>High</x:v>
      </x:c>
      <x:c r="J24" s="87" t="str">
        <x:v>HubSpot</x:v>
      </x:c>
      <x:c r="K24" s="76" t="str"/>
      <x:c r="L24" s="76" t="str"/>
      <x:c r="M24" s="76" t="str"/>
      <x:c r="N24" s="88" t="n">
        <x:v>0</x:v>
      </x:c>
      <x:c r="O24" s="87" t="str">
        <x:v>Later</x:v>
      </x:c>
      <x:c r="P24" s="87" t="str">
        <x:v>Not started</x:v>
      </x:c>
      <x:c r="Q24" s="87" t="str">
        <x:v>Not started</x:v>
      </x:c>
      <x:c r="R24" s="87" t="str"/>
      <x:c r="S24" s="89" t="str"/>
      <x:c r="T24" s="77" t="str"/>
    </x:row>
    <x:row r="25">
      <x:c r="A25" s="86" t="str"/>
      <x:c r="B25" s="87" t="str"/>
      <x:c r="C25" s="87" t="str"/>
      <x:c r="D25" s="87" t="str"/>
      <x:c r="E25" s="87" t="str"/>
      <x:c r="F25" s="87" t="str"/>
      <x:c r="G25" s="87" t="str">
        <x:v>Vertical SaaS</x:v>
      </x:c>
      <x:c r="H25" s="87" t="str"/>
      <x:c r="I25" s="87" t="str">
        <x:v>High</x:v>
      </x:c>
      <x:c r="J25" s="87" t="str">
        <x:v>HubSpot</x:v>
      </x:c>
      <x:c r="K25" s="76" t="str"/>
      <x:c r="L25" s="76" t="str"/>
      <x:c r="M25" s="76" t="str"/>
      <x:c r="N25" s="88" t="n">
        <x:v>0</x:v>
      </x:c>
      <x:c r="O25" s="87" t="str">
        <x:v>Later</x:v>
      </x:c>
      <x:c r="P25" s="87" t="str">
        <x:v>Not started</x:v>
      </x:c>
      <x:c r="Q25" s="87" t="str">
        <x:v>Not started</x:v>
      </x:c>
      <x:c r="R25" s="87" t="str"/>
      <x:c r="S25" s="89" t="str"/>
      <x:c r="T25" s="77" t="str"/>
    </x:row>
    <x:row r="26">
      <x:c r="A26" s="86" t="str"/>
      <x:c r="B26" s="87" t="str"/>
      <x:c r="C26" s="87" t="str"/>
      <x:c r="D26" s="87" t="str"/>
      <x:c r="E26" s="87" t="str"/>
      <x:c r="F26" s="87" t="str"/>
      <x:c r="G26" s="87" t="str">
        <x:v>Vertical SaaS</x:v>
      </x:c>
      <x:c r="H26" s="87" t="str"/>
      <x:c r="I26" s="87" t="str">
        <x:v>High</x:v>
      </x:c>
      <x:c r="J26" s="87" t="str">
        <x:v>HubSpot</x:v>
      </x:c>
      <x:c r="K26" s="76" t="str"/>
      <x:c r="L26" s="76" t="str"/>
      <x:c r="M26" s="76" t="str"/>
      <x:c r="N26" s="88" t="n">
        <x:v>0</x:v>
      </x:c>
      <x:c r="O26" s="87" t="str">
        <x:v>Later</x:v>
      </x:c>
      <x:c r="P26" s="87" t="str">
        <x:v>Not started</x:v>
      </x:c>
      <x:c r="Q26" s="87" t="str">
        <x:v>Not started</x:v>
      </x:c>
      <x:c r="R26" s="87" t="str"/>
      <x:c r="S26" s="89" t="str"/>
      <x:c r="T26" s="77" t="str"/>
    </x:row>
    <x:row r="27">
      <x:c r="A27" s="86" t="str"/>
      <x:c r="B27" s="87" t="str"/>
      <x:c r="C27" s="87" t="str"/>
      <x:c r="D27" s="87" t="str"/>
      <x:c r="E27" s="87" t="str"/>
      <x:c r="F27" s="87" t="str"/>
      <x:c r="G27" s="87" t="str">
        <x:v>Vertical SaaS</x:v>
      </x:c>
      <x:c r="H27" s="87" t="str"/>
      <x:c r="I27" s="87" t="str">
        <x:v>High</x:v>
      </x:c>
      <x:c r="J27" s="87" t="str">
        <x:v>HubSpot</x:v>
      </x:c>
      <x:c r="K27" s="76" t="str"/>
      <x:c r="L27" s="76" t="str"/>
      <x:c r="M27" s="76" t="str"/>
      <x:c r="N27" s="88" t="n">
        <x:v>0</x:v>
      </x:c>
      <x:c r="O27" s="87" t="str">
        <x:v>Later</x:v>
      </x:c>
      <x:c r="P27" s="87" t="str">
        <x:v>Not started</x:v>
      </x:c>
      <x:c r="Q27" s="87" t="str">
        <x:v>Not started</x:v>
      </x:c>
      <x:c r="R27" s="87" t="str"/>
      <x:c r="S27" s="89" t="str"/>
      <x:c r="T27" s="77" t="str"/>
    </x:row>
    <x:row r="28">
      <x:c r="A28" s="86" t="str"/>
      <x:c r="B28" s="87" t="str"/>
      <x:c r="C28" s="87" t="str"/>
      <x:c r="D28" s="87" t="str"/>
      <x:c r="E28" s="87" t="str"/>
      <x:c r="F28" s="87" t="str"/>
      <x:c r="G28" s="87" t="str">
        <x:v>Vertical SaaS</x:v>
      </x:c>
      <x:c r="H28" s="87" t="str"/>
      <x:c r="I28" s="87" t="str">
        <x:v>High</x:v>
      </x:c>
      <x:c r="J28" s="87" t="str">
        <x:v>HubSpot</x:v>
      </x:c>
      <x:c r="K28" s="76" t="str"/>
      <x:c r="L28" s="76" t="str"/>
      <x:c r="M28" s="76" t="str"/>
      <x:c r="N28" s="88" t="n">
        <x:v>0</x:v>
      </x:c>
      <x:c r="O28" s="87" t="str">
        <x:v>Later</x:v>
      </x:c>
      <x:c r="P28" s="87" t="str">
        <x:v>Not started</x:v>
      </x:c>
      <x:c r="Q28" s="87" t="str">
        <x:v>Not started</x:v>
      </x:c>
      <x:c r="R28" s="87" t="str"/>
      <x:c r="S28" s="89" t="str"/>
      <x:c r="T28" s="77" t="str"/>
    </x:row>
    <x:row r="29">
      <x:c r="A29" s="86" t="str"/>
      <x:c r="B29" s="87" t="str"/>
      <x:c r="C29" s="87" t="str"/>
      <x:c r="D29" s="87" t="str"/>
      <x:c r="E29" s="87" t="str"/>
      <x:c r="F29" s="87" t="str"/>
      <x:c r="G29" s="87" t="str">
        <x:v>Vertical SaaS</x:v>
      </x:c>
      <x:c r="H29" s="87" t="str"/>
      <x:c r="I29" s="87" t="str">
        <x:v>High</x:v>
      </x:c>
      <x:c r="J29" s="87" t="str">
        <x:v>HubSpot</x:v>
      </x:c>
      <x:c r="K29" s="76" t="str"/>
      <x:c r="L29" s="76" t="str"/>
      <x:c r="M29" s="76" t="str"/>
      <x:c r="N29" s="88" t="n">
        <x:v>0</x:v>
      </x:c>
      <x:c r="O29" s="87" t="str">
        <x:v>Later</x:v>
      </x:c>
      <x:c r="P29" s="87" t="str">
        <x:v>Not started</x:v>
      </x:c>
      <x:c r="Q29" s="87" t="str">
        <x:v>Not started</x:v>
      </x:c>
      <x:c r="R29" s="87" t="str"/>
      <x:c r="S29" s="89" t="str"/>
      <x:c r="T29" s="77" t="str"/>
    </x:row>
    <x:row r="30">
      <x:c r="A30" s="86" t="str"/>
      <x:c r="B30" s="87" t="str"/>
      <x:c r="C30" s="87" t="str"/>
      <x:c r="D30" s="87" t="str"/>
      <x:c r="E30" s="87" t="str"/>
      <x:c r="F30" s="87" t="str"/>
      <x:c r="G30" s="87" t="str">
        <x:v>Vertical SaaS</x:v>
      </x:c>
      <x:c r="H30" s="87" t="str"/>
      <x:c r="I30" s="87" t="str">
        <x:v>High</x:v>
      </x:c>
      <x:c r="J30" s="87" t="str">
        <x:v>HubSpot</x:v>
      </x:c>
      <x:c r="K30" s="76" t="str"/>
      <x:c r="L30" s="76" t="str"/>
      <x:c r="M30" s="76" t="str"/>
      <x:c r="N30" s="88" t="n">
        <x:v>0</x:v>
      </x:c>
      <x:c r="O30" s="87" t="str">
        <x:v>Later</x:v>
      </x:c>
      <x:c r="P30" s="87" t="str">
        <x:v>Not started</x:v>
      </x:c>
      <x:c r="Q30" s="87" t="str">
        <x:v>Not started</x:v>
      </x:c>
      <x:c r="R30" s="87" t="str"/>
      <x:c r="S30" s="89" t="str"/>
      <x:c r="T30" s="77" t="str"/>
    </x:row>
    <x:row r="31">
      <x:c r="A31" s="86" t="str"/>
      <x:c r="B31" s="87" t="str"/>
      <x:c r="C31" s="87" t="str"/>
      <x:c r="D31" s="87" t="str"/>
      <x:c r="E31" s="87" t="str"/>
      <x:c r="F31" s="87" t="str"/>
      <x:c r="G31" s="87" t="str">
        <x:v>Vertical SaaS</x:v>
      </x:c>
      <x:c r="H31" s="87" t="str"/>
      <x:c r="I31" s="87" t="str">
        <x:v>High</x:v>
      </x:c>
      <x:c r="J31" s="87" t="str">
        <x:v>HubSpot</x:v>
      </x:c>
      <x:c r="K31" s="76" t="str"/>
      <x:c r="L31" s="76" t="str"/>
      <x:c r="M31" s="76" t="str"/>
      <x:c r="N31" s="88" t="n">
        <x:v>0</x:v>
      </x:c>
      <x:c r="O31" s="87" t="str">
        <x:v>Later</x:v>
      </x:c>
      <x:c r="P31" s="87" t="str">
        <x:v>Not started</x:v>
      </x:c>
      <x:c r="Q31" s="87" t="str">
        <x:v>Not started</x:v>
      </x:c>
      <x:c r="R31" s="87" t="str"/>
      <x:c r="S31" s="89" t="str"/>
      <x:c r="T31" s="77" t="str"/>
    </x:row>
    <x:row r="32">
      <x:c r="A32" s="86" t="str"/>
      <x:c r="B32" s="87" t="str"/>
      <x:c r="C32" s="87" t="str"/>
      <x:c r="D32" s="87" t="str"/>
      <x:c r="E32" s="87" t="str"/>
      <x:c r="F32" s="87" t="str"/>
      <x:c r="G32" s="87" t="str">
        <x:v>Vertical SaaS</x:v>
      </x:c>
      <x:c r="H32" s="87" t="str"/>
      <x:c r="I32" s="87" t="str">
        <x:v>High</x:v>
      </x:c>
      <x:c r="J32" s="87" t="str">
        <x:v>HubSpot</x:v>
      </x:c>
      <x:c r="K32" s="76" t="str"/>
      <x:c r="L32" s="76" t="str"/>
      <x:c r="M32" s="76" t="str"/>
      <x:c r="N32" s="88" t="n">
        <x:v>0</x:v>
      </x:c>
      <x:c r="O32" s="87" t="str">
        <x:v>Later</x:v>
      </x:c>
      <x:c r="P32" s="87" t="str">
        <x:v>Not started</x:v>
      </x:c>
      <x:c r="Q32" s="87" t="str">
        <x:v>Not started</x:v>
      </x:c>
      <x:c r="R32" s="87" t="str"/>
      <x:c r="S32" s="89" t="str"/>
      <x:c r="T32" s="77" t="str"/>
    </x:row>
    <x:row r="33">
      <x:c r="A33" s="86" t="str"/>
      <x:c r="B33" s="87" t="str"/>
      <x:c r="C33" s="87" t="str"/>
      <x:c r="D33" s="87" t="str"/>
      <x:c r="E33" s="87" t="str"/>
      <x:c r="F33" s="87" t="str"/>
      <x:c r="G33" s="87" t="str">
        <x:v>Vertical SaaS</x:v>
      </x:c>
      <x:c r="H33" s="87" t="str"/>
      <x:c r="I33" s="87" t="str">
        <x:v>High</x:v>
      </x:c>
      <x:c r="J33" s="87" t="str">
        <x:v>HubSpot</x:v>
      </x:c>
      <x:c r="K33" s="76" t="str"/>
      <x:c r="L33" s="76" t="str"/>
      <x:c r="M33" s="76" t="str"/>
      <x:c r="N33" s="88" t="n">
        <x:v>0</x:v>
      </x:c>
      <x:c r="O33" s="87" t="str">
        <x:v>Later</x:v>
      </x:c>
      <x:c r="P33" s="87" t="str">
        <x:v>Not started</x:v>
      </x:c>
      <x:c r="Q33" s="87" t="str">
        <x:v>Not started</x:v>
      </x:c>
      <x:c r="R33" s="87" t="str"/>
      <x:c r="S33" s="89" t="str"/>
      <x:c r="T33" s="77" t="str"/>
    </x:row>
    <x:row r="34">
      <x:c r="A34" s="86" t="str"/>
      <x:c r="B34" s="87" t="str"/>
      <x:c r="C34" s="87" t="str"/>
      <x:c r="D34" s="87" t="str"/>
      <x:c r="E34" s="87" t="str"/>
      <x:c r="F34" s="87" t="str"/>
      <x:c r="G34" s="87" t="str">
        <x:v>Vertical SaaS</x:v>
      </x:c>
      <x:c r="H34" s="87" t="str"/>
      <x:c r="I34" s="87" t="str">
        <x:v>High</x:v>
      </x:c>
      <x:c r="J34" s="87" t="str">
        <x:v>HubSpot</x:v>
      </x:c>
      <x:c r="K34" s="76" t="str"/>
      <x:c r="L34" s="76" t="str"/>
      <x:c r="M34" s="76" t="str"/>
      <x:c r="N34" s="88" t="n">
        <x:v>0</x:v>
      </x:c>
      <x:c r="O34" s="87" t="str">
        <x:v>Later</x:v>
      </x:c>
      <x:c r="P34" s="87" t="str">
        <x:v>Not started</x:v>
      </x:c>
      <x:c r="Q34" s="87" t="str">
        <x:v>Not started</x:v>
      </x:c>
      <x:c r="R34" s="87" t="str"/>
      <x:c r="S34" s="89" t="str"/>
      <x:c r="T34" s="77" t="str"/>
    </x:row>
    <x:row r="35">
      <x:c r="A35" s="86" t="str"/>
      <x:c r="B35" s="87" t="str"/>
      <x:c r="C35" s="87" t="str"/>
      <x:c r="D35" s="87" t="str"/>
      <x:c r="E35" s="87" t="str"/>
      <x:c r="F35" s="87" t="str"/>
      <x:c r="G35" s="87" t="str">
        <x:v>Vertical SaaS</x:v>
      </x:c>
      <x:c r="H35" s="87" t="str"/>
      <x:c r="I35" s="87" t="str">
        <x:v>High</x:v>
      </x:c>
      <x:c r="J35" s="87" t="str">
        <x:v>HubSpot</x:v>
      </x:c>
      <x:c r="K35" s="76" t="str"/>
      <x:c r="L35" s="76" t="str"/>
      <x:c r="M35" s="76" t="str"/>
      <x:c r="N35" s="88" t="n">
        <x:v>0</x:v>
      </x:c>
      <x:c r="O35" s="87" t="str">
        <x:v>Later</x:v>
      </x:c>
      <x:c r="P35" s="87" t="str">
        <x:v>Not started</x:v>
      </x:c>
      <x:c r="Q35" s="87" t="str">
        <x:v>Not started</x:v>
      </x:c>
      <x:c r="R35" s="87" t="str"/>
      <x:c r="S35" s="89" t="str"/>
      <x:c r="T35" s="77" t="str"/>
    </x:row>
    <x:row r="36">
      <x:c r="A36" s="86" t="str"/>
      <x:c r="B36" s="87" t="str"/>
      <x:c r="C36" s="87" t="str"/>
      <x:c r="D36" s="87" t="str"/>
      <x:c r="E36" s="87" t="str"/>
      <x:c r="F36" s="87" t="str"/>
      <x:c r="G36" s="87" t="str">
        <x:v>Vertical SaaS</x:v>
      </x:c>
      <x:c r="H36" s="87" t="str"/>
      <x:c r="I36" s="87" t="str">
        <x:v>High</x:v>
      </x:c>
      <x:c r="J36" s="87" t="str">
        <x:v>HubSpot</x:v>
      </x:c>
      <x:c r="K36" s="76" t="str"/>
      <x:c r="L36" s="76" t="str"/>
      <x:c r="M36" s="76" t="str"/>
      <x:c r="N36" s="88" t="n">
        <x:v>0</x:v>
      </x:c>
      <x:c r="O36" s="87" t="str">
        <x:v>Later</x:v>
      </x:c>
      <x:c r="P36" s="87" t="str">
        <x:v>Not started</x:v>
      </x:c>
      <x:c r="Q36" s="87" t="str">
        <x:v>Not started</x:v>
      </x:c>
      <x:c r="R36" s="87" t="str"/>
      <x:c r="S36" s="89" t="str"/>
      <x:c r="T36" s="77" t="str"/>
    </x:row>
    <x:row r="37">
      <x:c r="A37" s="86" t="str"/>
      <x:c r="B37" s="87" t="str"/>
      <x:c r="C37" s="87" t="str"/>
      <x:c r="D37" s="87" t="str"/>
      <x:c r="E37" s="87" t="str"/>
      <x:c r="F37" s="87" t="str"/>
      <x:c r="G37" s="87" t="str">
        <x:v>Vertical SaaS</x:v>
      </x:c>
      <x:c r="H37" s="87" t="str"/>
      <x:c r="I37" s="87" t="str">
        <x:v>High</x:v>
      </x:c>
      <x:c r="J37" s="87" t="str">
        <x:v>HubSpot</x:v>
      </x:c>
      <x:c r="K37" s="76" t="str"/>
      <x:c r="L37" s="76" t="str"/>
      <x:c r="M37" s="76" t="str"/>
      <x:c r="N37" s="88" t="n">
        <x:v>0</x:v>
      </x:c>
      <x:c r="O37" s="87" t="str">
        <x:v>Later</x:v>
      </x:c>
      <x:c r="P37" s="87" t="str">
        <x:v>Not started</x:v>
      </x:c>
      <x:c r="Q37" s="87" t="str">
        <x:v>Not started</x:v>
      </x:c>
      <x:c r="R37" s="87" t="str"/>
      <x:c r="S37" s="89" t="str"/>
      <x:c r="T37" s="77" t="str"/>
    </x:row>
    <x:row r="38">
      <x:c r="A38" s="86" t="str"/>
      <x:c r="B38" s="87" t="str"/>
      <x:c r="C38" s="87" t="str"/>
      <x:c r="D38" s="87" t="str"/>
      <x:c r="E38" s="87" t="str"/>
      <x:c r="F38" s="87" t="str"/>
      <x:c r="G38" s="87" t="str">
        <x:v>Vertical SaaS</x:v>
      </x:c>
      <x:c r="H38" s="87" t="str"/>
      <x:c r="I38" s="87" t="str">
        <x:v>High</x:v>
      </x:c>
      <x:c r="J38" s="87" t="str">
        <x:v>HubSpot</x:v>
      </x:c>
      <x:c r="K38" s="76" t="str"/>
      <x:c r="L38" s="76" t="str"/>
      <x:c r="M38" s="76" t="str"/>
      <x:c r="N38" s="88" t="n">
        <x:v>0</x:v>
      </x:c>
      <x:c r="O38" s="87" t="str">
        <x:v>Later</x:v>
      </x:c>
      <x:c r="P38" s="87" t="str">
        <x:v>Not started</x:v>
      </x:c>
      <x:c r="Q38" s="87" t="str">
        <x:v>Not started</x:v>
      </x:c>
      <x:c r="R38" s="87" t="str"/>
      <x:c r="S38" s="89" t="str"/>
      <x:c r="T38" s="77" t="str"/>
    </x:row>
    <x:row r="39">
      <x:c r="A39" s="86" t="str"/>
      <x:c r="B39" s="87" t="str"/>
      <x:c r="C39" s="87" t="str"/>
      <x:c r="D39" s="87" t="str"/>
      <x:c r="E39" s="87" t="str"/>
      <x:c r="F39" s="87" t="str"/>
      <x:c r="G39" s="87" t="str">
        <x:v>Vertical SaaS</x:v>
      </x:c>
      <x:c r="H39" s="87" t="str"/>
      <x:c r="I39" s="87" t="str">
        <x:v>High</x:v>
      </x:c>
      <x:c r="J39" s="87" t="str">
        <x:v>HubSpot</x:v>
      </x:c>
      <x:c r="K39" s="76" t="str"/>
      <x:c r="L39" s="76" t="str"/>
      <x:c r="M39" s="76" t="str"/>
      <x:c r="N39" s="88" t="n">
        <x:v>0</x:v>
      </x:c>
      <x:c r="O39" s="87" t="str">
        <x:v>Later</x:v>
      </x:c>
      <x:c r="P39" s="87" t="str">
        <x:v>Not started</x:v>
      </x:c>
      <x:c r="Q39" s="87" t="str">
        <x:v>Not started</x:v>
      </x:c>
      <x:c r="R39" s="87" t="str"/>
      <x:c r="S39" s="89" t="str"/>
      <x:c r="T39" s="77" t="str"/>
    </x:row>
    <x:row r="40">
      <x:c r="A40" s="86" t="str"/>
      <x:c r="B40" s="87" t="str"/>
      <x:c r="C40" s="87" t="str"/>
      <x:c r="D40" s="87" t="str"/>
      <x:c r="E40" s="87" t="str"/>
      <x:c r="F40" s="87" t="str"/>
      <x:c r="G40" s="87" t="str">
        <x:v>Vertical SaaS</x:v>
      </x:c>
      <x:c r="H40" s="87" t="str"/>
      <x:c r="I40" s="87" t="str">
        <x:v>High</x:v>
      </x:c>
      <x:c r="J40" s="87" t="str">
        <x:v>HubSpot</x:v>
      </x:c>
      <x:c r="K40" s="76" t="str"/>
      <x:c r="L40" s="76" t="str"/>
      <x:c r="M40" s="76" t="str"/>
      <x:c r="N40" s="88" t="n">
        <x:v>0</x:v>
      </x:c>
      <x:c r="O40" s="87" t="str">
        <x:v>Later</x:v>
      </x:c>
      <x:c r="P40" s="87" t="str">
        <x:v>Not started</x:v>
      </x:c>
      <x:c r="Q40" s="87" t="str">
        <x:v>Not started</x:v>
      </x:c>
      <x:c r="R40" s="87" t="str"/>
      <x:c r="S40" s="89" t="str"/>
      <x:c r="T40" s="77" t="str"/>
    </x:row>
    <x:row r="41">
      <x:c r="A41" s="86" t="str"/>
      <x:c r="B41" s="87" t="str"/>
      <x:c r="C41" s="87" t="str"/>
      <x:c r="D41" s="87" t="str"/>
      <x:c r="E41" s="87" t="str"/>
      <x:c r="F41" s="87" t="str"/>
      <x:c r="G41" s="87" t="str">
        <x:v>Vertical SaaS</x:v>
      </x:c>
      <x:c r="H41" s="87" t="str"/>
      <x:c r="I41" s="87" t="str">
        <x:v>High</x:v>
      </x:c>
      <x:c r="J41" s="87" t="str">
        <x:v>HubSpot</x:v>
      </x:c>
      <x:c r="K41" s="76" t="str"/>
      <x:c r="L41" s="76" t="str"/>
      <x:c r="M41" s="76" t="str"/>
      <x:c r="N41" s="88" t="n">
        <x:v>0</x:v>
      </x:c>
      <x:c r="O41" s="87" t="str">
        <x:v>Later</x:v>
      </x:c>
      <x:c r="P41" s="87" t="str">
        <x:v>Not started</x:v>
      </x:c>
      <x:c r="Q41" s="87" t="str">
        <x:v>Not started</x:v>
      </x:c>
      <x:c r="R41" s="87" t="str"/>
      <x:c r="S41" s="89" t="str"/>
      <x:c r="T41" s="77" t="str"/>
    </x:row>
    <x:row r="42">
      <x:c r="A42" s="86" t="str"/>
      <x:c r="B42" s="87" t="str"/>
      <x:c r="C42" s="87" t="str"/>
      <x:c r="D42" s="87" t="str"/>
      <x:c r="E42" s="87" t="str"/>
      <x:c r="F42" s="87" t="str"/>
      <x:c r="G42" s="87" t="str">
        <x:v>Vertical SaaS</x:v>
      </x:c>
      <x:c r="H42" s="87" t="str"/>
      <x:c r="I42" s="87" t="str">
        <x:v>High</x:v>
      </x:c>
      <x:c r="J42" s="87" t="str">
        <x:v>HubSpot</x:v>
      </x:c>
      <x:c r="K42" s="76" t="str"/>
      <x:c r="L42" s="76" t="str"/>
      <x:c r="M42" s="76" t="str"/>
      <x:c r="N42" s="88" t="n">
        <x:v>0</x:v>
      </x:c>
      <x:c r="O42" s="87" t="str">
        <x:v>Later</x:v>
      </x:c>
      <x:c r="P42" s="87" t="str">
        <x:v>Not started</x:v>
      </x:c>
      <x:c r="Q42" s="87" t="str">
        <x:v>Not started</x:v>
      </x:c>
      <x:c r="R42" s="87" t="str"/>
      <x:c r="S42" s="89" t="str"/>
      <x:c r="T42" s="77" t="str"/>
    </x:row>
    <x:row r="43">
      <x:c r="A43" s="86" t="str"/>
      <x:c r="B43" s="87" t="str"/>
      <x:c r="C43" s="87" t="str"/>
      <x:c r="D43" s="87" t="str"/>
      <x:c r="E43" s="87" t="str"/>
      <x:c r="F43" s="87" t="str"/>
      <x:c r="G43" s="87" t="str">
        <x:v>Vertical SaaS</x:v>
      </x:c>
      <x:c r="H43" s="87" t="str"/>
      <x:c r="I43" s="87" t="str">
        <x:v>High</x:v>
      </x:c>
      <x:c r="J43" s="87" t="str">
        <x:v>HubSpot</x:v>
      </x:c>
      <x:c r="K43" s="76" t="str"/>
      <x:c r="L43" s="76" t="str"/>
      <x:c r="M43" s="76" t="str"/>
      <x:c r="N43" s="88" t="n">
        <x:v>0</x:v>
      </x:c>
      <x:c r="O43" s="87" t="str">
        <x:v>Later</x:v>
      </x:c>
      <x:c r="P43" s="87" t="str">
        <x:v>Not started</x:v>
      </x:c>
      <x:c r="Q43" s="87" t="str">
        <x:v>Not started</x:v>
      </x:c>
      <x:c r="R43" s="87" t="str"/>
      <x:c r="S43" s="89" t="str"/>
      <x:c r="T43" s="77" t="str"/>
    </x:row>
    <x:row r="44">
      <x:c r="A44" s="86" t="str"/>
      <x:c r="B44" s="87" t="str"/>
      <x:c r="C44" s="87" t="str"/>
      <x:c r="D44" s="87" t="str"/>
      <x:c r="E44" s="87" t="str"/>
      <x:c r="F44" s="87" t="str"/>
      <x:c r="G44" s="87" t="str">
        <x:v>Vertical SaaS</x:v>
      </x:c>
      <x:c r="H44" s="87" t="str"/>
      <x:c r="I44" s="87" t="str">
        <x:v>High</x:v>
      </x:c>
      <x:c r="J44" s="87" t="str">
        <x:v>HubSpot</x:v>
      </x:c>
      <x:c r="K44" s="76" t="str"/>
      <x:c r="L44" s="76" t="str"/>
      <x:c r="M44" s="76" t="str"/>
      <x:c r="N44" s="88" t="n">
        <x:v>0</x:v>
      </x:c>
      <x:c r="O44" s="87" t="str">
        <x:v>Later</x:v>
      </x:c>
      <x:c r="P44" s="87" t="str">
        <x:v>Not started</x:v>
      </x:c>
      <x:c r="Q44" s="87" t="str">
        <x:v>Not started</x:v>
      </x:c>
      <x:c r="R44" s="87" t="str"/>
      <x:c r="S44" s="89" t="str"/>
      <x:c r="T44" s="77" t="str"/>
    </x:row>
    <x:row r="45">
      <x:c r="A45" s="86" t="str"/>
      <x:c r="B45" s="87" t="str"/>
      <x:c r="C45" s="87" t="str"/>
      <x:c r="D45" s="87" t="str"/>
      <x:c r="E45" s="87" t="str"/>
      <x:c r="F45" s="87" t="str"/>
      <x:c r="G45" s="87" t="str">
        <x:v>Vertical SaaS</x:v>
      </x:c>
      <x:c r="H45" s="87" t="str"/>
      <x:c r="I45" s="87" t="str">
        <x:v>High</x:v>
      </x:c>
      <x:c r="J45" s="87" t="str">
        <x:v>HubSpot</x:v>
      </x:c>
      <x:c r="K45" s="76" t="str"/>
      <x:c r="L45" s="76" t="str"/>
      <x:c r="M45" s="76" t="str"/>
      <x:c r="N45" s="88" t="n">
        <x:v>0</x:v>
      </x:c>
      <x:c r="O45" s="87" t="str">
        <x:v>Later</x:v>
      </x:c>
      <x:c r="P45" s="87" t="str">
        <x:v>Not started</x:v>
      </x:c>
      <x:c r="Q45" s="87" t="str">
        <x:v>Not started</x:v>
      </x:c>
      <x:c r="R45" s="87" t="str"/>
      <x:c r="S45" s="89" t="str"/>
      <x:c r="T45" s="77" t="str"/>
    </x:row>
    <x:row r="46">
      <x:c r="A46" s="86" t="str"/>
      <x:c r="B46" s="87" t="str"/>
      <x:c r="C46" s="87" t="str"/>
      <x:c r="D46" s="87" t="str"/>
      <x:c r="E46" s="87" t="str"/>
      <x:c r="F46" s="87" t="str"/>
      <x:c r="G46" s="87" t="str">
        <x:v>Vertical SaaS</x:v>
      </x:c>
      <x:c r="H46" s="87" t="str"/>
      <x:c r="I46" s="87" t="str">
        <x:v>High</x:v>
      </x:c>
      <x:c r="J46" s="87" t="str">
        <x:v>HubSpot</x:v>
      </x:c>
      <x:c r="K46" s="76" t="str"/>
      <x:c r="L46" s="76" t="str"/>
      <x:c r="M46" s="76" t="str"/>
      <x:c r="N46" s="88" t="n">
        <x:v>0</x:v>
      </x:c>
      <x:c r="O46" s="87" t="str">
        <x:v>Later</x:v>
      </x:c>
      <x:c r="P46" s="87" t="str">
        <x:v>Not started</x:v>
      </x:c>
      <x:c r="Q46" s="87" t="str">
        <x:v>Not started</x:v>
      </x:c>
      <x:c r="R46" s="87" t="str"/>
      <x:c r="S46" s="89" t="str"/>
      <x:c r="T46" s="77" t="str"/>
    </x:row>
    <x:row r="47">
      <x:c r="A47" s="86" t="str"/>
      <x:c r="B47" s="87" t="str"/>
      <x:c r="C47" s="87" t="str"/>
      <x:c r="D47" s="87" t="str"/>
      <x:c r="E47" s="87" t="str"/>
      <x:c r="F47" s="87" t="str"/>
      <x:c r="G47" s="87" t="str">
        <x:v>Vertical SaaS</x:v>
      </x:c>
      <x:c r="H47" s="87" t="str"/>
      <x:c r="I47" s="87" t="str">
        <x:v>High</x:v>
      </x:c>
      <x:c r="J47" s="87" t="str">
        <x:v>HubSpot</x:v>
      </x:c>
      <x:c r="K47" s="76" t="str"/>
      <x:c r="L47" s="76" t="str"/>
      <x:c r="M47" s="76" t="str"/>
      <x:c r="N47" s="88" t="n">
        <x:v>0</x:v>
      </x:c>
      <x:c r="O47" s="87" t="str">
        <x:v>Later</x:v>
      </x:c>
      <x:c r="P47" s="87" t="str">
        <x:v>Not started</x:v>
      </x:c>
      <x:c r="Q47" s="87" t="str">
        <x:v>Not started</x:v>
      </x:c>
      <x:c r="R47" s="87" t="str"/>
      <x:c r="S47" s="89" t="str"/>
      <x:c r="T47" s="77" t="str"/>
    </x:row>
    <x:row r="48">
      <x:c r="A48" s="86" t="str"/>
      <x:c r="B48" s="87" t="str"/>
      <x:c r="C48" s="87" t="str"/>
      <x:c r="D48" s="87" t="str"/>
      <x:c r="E48" s="87" t="str"/>
      <x:c r="F48" s="87" t="str"/>
      <x:c r="G48" s="87" t="str">
        <x:v>Vertical SaaS</x:v>
      </x:c>
      <x:c r="H48" s="87" t="str"/>
      <x:c r="I48" s="87" t="str">
        <x:v>High</x:v>
      </x:c>
      <x:c r="J48" s="87" t="str">
        <x:v>HubSpot</x:v>
      </x:c>
      <x:c r="K48" s="76" t="str"/>
      <x:c r="L48" s="76" t="str"/>
      <x:c r="M48" s="76" t="str"/>
      <x:c r="N48" s="88" t="n">
        <x:v>0</x:v>
      </x:c>
      <x:c r="O48" s="87" t="str">
        <x:v>Later</x:v>
      </x:c>
      <x:c r="P48" s="87" t="str">
        <x:v>Not started</x:v>
      </x:c>
      <x:c r="Q48" s="87" t="str">
        <x:v>Not started</x:v>
      </x:c>
      <x:c r="R48" s="87" t="str"/>
      <x:c r="S48" s="89" t="str"/>
      <x:c r="T48" s="77" t="str"/>
    </x:row>
    <x:row r="49">
      <x:c r="A49" s="86" t="str"/>
      <x:c r="B49" s="87" t="str"/>
      <x:c r="C49" s="87" t="str"/>
      <x:c r="D49" s="87" t="str"/>
      <x:c r="E49" s="87" t="str"/>
      <x:c r="F49" s="87" t="str"/>
      <x:c r="G49" s="87" t="str">
        <x:v>Vertical SaaS</x:v>
      </x:c>
      <x:c r="H49" s="87" t="str"/>
      <x:c r="I49" s="87" t="str">
        <x:v>High</x:v>
      </x:c>
      <x:c r="J49" s="87" t="str">
        <x:v>HubSpot</x:v>
      </x:c>
      <x:c r="K49" s="76" t="str"/>
      <x:c r="L49" s="76" t="str"/>
      <x:c r="M49" s="76" t="str"/>
      <x:c r="N49" s="88" t="n">
        <x:v>0</x:v>
      </x:c>
      <x:c r="O49" s="87" t="str">
        <x:v>Later</x:v>
      </x:c>
      <x:c r="P49" s="87" t="str">
        <x:v>Not started</x:v>
      </x:c>
      <x:c r="Q49" s="87" t="str">
        <x:v>Not started</x:v>
      </x:c>
      <x:c r="R49" s="87" t="str"/>
      <x:c r="S49" s="89" t="str"/>
      <x:c r="T49" s="77" t="str"/>
    </x:row>
    <x:row r="50">
      <x:c r="A50" s="86" t="str"/>
      <x:c r="B50" s="87" t="str"/>
      <x:c r="C50" s="87" t="str"/>
      <x:c r="D50" s="87" t="str"/>
      <x:c r="E50" s="87" t="str"/>
      <x:c r="F50" s="87" t="str"/>
      <x:c r="G50" s="87" t="str">
        <x:v>Vertical SaaS</x:v>
      </x:c>
      <x:c r="H50" s="87" t="str"/>
      <x:c r="I50" s="87" t="str">
        <x:v>High</x:v>
      </x:c>
      <x:c r="J50" s="87" t="str">
        <x:v>HubSpot</x:v>
      </x:c>
      <x:c r="K50" s="76" t="str"/>
      <x:c r="L50" s="76" t="str"/>
      <x:c r="M50" s="76" t="str"/>
      <x:c r="N50" s="88" t="n">
        <x:v>0</x:v>
      </x:c>
      <x:c r="O50" s="87" t="str">
        <x:v>Later</x:v>
      </x:c>
      <x:c r="P50" s="87" t="str">
        <x:v>Not started</x:v>
      </x:c>
      <x:c r="Q50" s="87" t="str">
        <x:v>Not started</x:v>
      </x:c>
      <x:c r="R50" s="87" t="str"/>
      <x:c r="S50" s="89" t="str"/>
      <x:c r="T50" s="77" t="str"/>
    </x:row>
    <x:row r="51">
      <x:c r="A51" s="86" t="str"/>
      <x:c r="B51" s="87" t="str"/>
      <x:c r="C51" s="87" t="str"/>
      <x:c r="D51" s="87" t="str"/>
      <x:c r="E51" s="87" t="str"/>
      <x:c r="F51" s="87" t="str"/>
      <x:c r="G51" s="87" t="str">
        <x:v>Vertical SaaS</x:v>
      </x:c>
      <x:c r="H51" s="87" t="str"/>
      <x:c r="I51" s="87" t="str">
        <x:v>High</x:v>
      </x:c>
      <x:c r="J51" s="87" t="str">
        <x:v>HubSpot</x:v>
      </x:c>
      <x:c r="K51" s="76" t="str"/>
      <x:c r="L51" s="76" t="str"/>
      <x:c r="M51" s="76" t="str"/>
      <x:c r="N51" s="88" t="n">
        <x:v>0</x:v>
      </x:c>
      <x:c r="O51" s="87" t="str">
        <x:v>Later</x:v>
      </x:c>
      <x:c r="P51" s="87" t="str">
        <x:v>Not started</x:v>
      </x:c>
      <x:c r="Q51" s="87" t="str">
        <x:v>Not started</x:v>
      </x:c>
      <x:c r="R51" s="87" t="str"/>
      <x:c r="S51" s="89" t="str"/>
      <x:c r="T51" s="77" t="str"/>
    </x:row>
    <x:row r="52">
      <x:c r="A52" s="86" t="str"/>
      <x:c r="B52" s="87" t="str"/>
      <x:c r="C52" s="87" t="str"/>
      <x:c r="D52" s="87" t="str"/>
      <x:c r="E52" s="87" t="str"/>
      <x:c r="F52" s="87" t="str"/>
      <x:c r="G52" s="87" t="str">
        <x:v>Vertical SaaS</x:v>
      </x:c>
      <x:c r="H52" s="87" t="str"/>
      <x:c r="I52" s="87" t="str">
        <x:v>High</x:v>
      </x:c>
      <x:c r="J52" s="87" t="str">
        <x:v>HubSpot</x:v>
      </x:c>
      <x:c r="K52" s="76" t="str"/>
      <x:c r="L52" s="76" t="str"/>
      <x:c r="M52" s="76" t="str"/>
      <x:c r="N52" s="88" t="n">
        <x:v>0</x:v>
      </x:c>
      <x:c r="O52" s="87" t="str">
        <x:v>Later</x:v>
      </x:c>
      <x:c r="P52" s="87" t="str">
        <x:v>Not started</x:v>
      </x:c>
      <x:c r="Q52" s="87" t="str">
        <x:v>Not started</x:v>
      </x:c>
      <x:c r="R52" s="87" t="str"/>
      <x:c r="S52" s="89" t="str"/>
      <x:c r="T52" s="77" t="str"/>
    </x:row>
    <x:row r="53">
      <x:c r="A53" s="86" t="str"/>
      <x:c r="B53" s="87" t="str"/>
      <x:c r="C53" s="87" t="str"/>
      <x:c r="D53" s="87" t="str"/>
      <x:c r="E53" s="87" t="str"/>
      <x:c r="F53" s="87" t="str"/>
      <x:c r="G53" s="87" t="str">
        <x:v>Vertical SaaS</x:v>
      </x:c>
      <x:c r="H53" s="87" t="str"/>
      <x:c r="I53" s="87" t="str">
        <x:v>High</x:v>
      </x:c>
      <x:c r="J53" s="87" t="str">
        <x:v>HubSpot</x:v>
      </x:c>
      <x:c r="K53" s="76" t="str"/>
      <x:c r="L53" s="76" t="str"/>
      <x:c r="M53" s="76" t="str"/>
      <x:c r="N53" s="88" t="n">
        <x:v>0</x:v>
      </x:c>
      <x:c r="O53" s="87" t="str">
        <x:v>Later</x:v>
      </x:c>
      <x:c r="P53" s="87" t="str">
        <x:v>Not started</x:v>
      </x:c>
      <x:c r="Q53" s="87" t="str">
        <x:v>Not started</x:v>
      </x:c>
      <x:c r="R53" s="87" t="str"/>
      <x:c r="S53" s="89" t="str"/>
      <x:c r="T53" s="77" t="str"/>
    </x:row>
    <x:row r="54">
      <x:c r="A54" s="90" t="str"/>
      <x:c r="B54" s="91" t="str"/>
      <x:c r="C54" s="91" t="str"/>
      <x:c r="D54" s="91" t="str"/>
      <x:c r="E54" s="91" t="str"/>
      <x:c r="F54" s="91" t="str"/>
      <x:c r="G54" s="91" t="str">
        <x:v>Vertical SaaS</x:v>
      </x:c>
      <x:c r="H54" s="91" t="str"/>
      <x:c r="I54" s="91" t="str">
        <x:v>High</x:v>
      </x:c>
      <x:c r="J54" s="91" t="str">
        <x:v>HubSpot</x:v>
      </x:c>
      <x:c r="K54" s="80" t="str"/>
      <x:c r="L54" s="80" t="str"/>
      <x:c r="M54" s="80" t="str"/>
      <x:c r="N54" s="92" t="n">
        <x:v>0</x:v>
      </x:c>
      <x:c r="O54" s="91" t="str">
        <x:v>Later</x:v>
      </x:c>
      <x:c r="P54" s="91" t="str">
        <x:v>Not started</x:v>
      </x:c>
      <x:c r="Q54" s="91" t="str">
        <x:v>Not started</x:v>
      </x:c>
      <x:c r="R54" s="91" t="str"/>
      <x:c r="S54" s="93" t="str"/>
      <x:c r="T54" s="81" t="str"/>
    </x:row>
  </x:sheetData>
  <x:mergeCells>
    <x:mergeCell ref="A1:T2"/>
  </x:mergeCells>
  <x:dataValidations count="7">
    <x:dataValidation type="list" sqref="G5:G54">
      <x:formula1>"Founder-led B2B,RevOps-light,Vertical SaaS,Agency,Cybersecurity,Compliance,Fintech,Managed IT/MSP,Data/Analytics,Other"</x:formula1>
    </x:dataValidation>
    <x:dataValidation type="list" sqref="I5:I54">
      <x:formula1>"Low,Medium,High,$8K+,$25K+,$50K+,Unknown"</x:formula1>
    </x:dataValidation>
    <x:dataValidation type="list" sqref="J5:J54">
      <x:formula1>"HubSpot,Salesforce,Pipedrive,Marketo,Unknown"</x:formula1>
    </x:dataValidation>
    <x:dataValidation type="list" sqref="N5:N54">
      <x:formula1>"0,1,2,3,4,5"</x:formula1>
    </x:dataValidation>
    <x:dataValidation type="list" sqref="O5:O54">
      <x:formula1>"Teardown first,Later,Avoid"</x:formula1>
    </x:dataValidation>
    <x:dataValidation type="list" sqref="P5:P54">
      <x:formula1>"Not started,Asked,Replied,Teardown sent,Call booked,Closed,Passed"</x:formula1>
    </x:dataValidation>
    <x:dataValidation type="list" sqref="Q5:Q54">
      <x:formula1>"Not started,Drafted,Sent,Install CTA sent,Won,Lost"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852151d792d4b8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80000686645508" hidden="0" customWidth="1"/>
    <x:col min="2" max="2" width="23.329999923706055" hidden="0" customWidth="1"/>
    <x:col min="3" max="3" width="13.329999923706055" hidden="0" customWidth="1"/>
    <x:col min="4" max="4" width="18.889999389648438" hidden="0" customWidth="1"/>
    <x:col min="5" max="5" width="18.889999389648438" hidden="0" customWidth="1"/>
    <x:col min="6" max="6" width="10" hidden="0" customWidth="1"/>
    <x:col min="7" max="7" width="24.440000534057617" hidden="0" customWidth="1"/>
    <x:col min="8" max="8" width="25.559999465942383" hidden="0" customWidth="1"/>
    <x:col min="9" max="9" width="25.559999465942383" hidden="0" customWidth="1"/>
    <x:col min="10" max="10" width="25.559999465942383" hidden="0" customWidth="1"/>
    <x:col min="11" max="11" width="23.329999923706055" hidden="0" customWidth="1"/>
    <x:col min="12" max="12" width="13.890000343322754" hidden="0" customWidth="1"/>
    <x:col min="13" max="13" width="18.889999389648438" hidden="0" customWidth="1"/>
    <x:col min="14" max="14" width="15" hidden="0" customWidth="1"/>
    <x:col min="15" max="15" width="14.4399995803833" hidden="0" customWidth="1"/>
    <x:col min="16" max="16" width="14.4399995803833" hidden="0" customWidth="1"/>
    <x:col min="17" max="17" width="17.780000686645508" hidden="0" customWidth="1"/>
    <x:col min="18" max="18" width="17.780000686645508" hidden="0" customWidth="1"/>
    <x:col min="19" max="19" width="28.889999389648438" hidden="0" customWidth="1"/>
  </x:cols>
  <x:sheetData>
    <x:row r="1" ht="24" customHeight="1">
      <x:c r="A1" s="64" t="str">
        <x:v>Deal Threads Dead Form Teardown Tracker
Turn weak demo/contact forms into install conversations.</x:v>
      </x:c>
      <x:c r="B1" s="64" t="str">
        <x:v>Deal Threads Dead Form Teardown Tracker
Turn weak demo/contact forms into install conversations.</x:v>
      </x:c>
      <x:c r="C1" s="64" t="str">
        <x:v>Deal Threads Dead Form Teardown Tracker
Turn weak demo/contact forms into install conversations.</x:v>
      </x:c>
      <x:c r="D1" s="64" t="str">
        <x:v>Deal Threads Dead Form Teardown Tracker
Turn weak demo/contact forms into install conversations.</x:v>
      </x:c>
      <x:c r="E1" s="64" t="str">
        <x:v>Deal Threads Dead Form Teardown Tracker
Turn weak demo/contact forms into install conversations.</x:v>
      </x:c>
      <x:c r="F1" s="64" t="str">
        <x:v>Deal Threads Dead Form Teardown Tracker
Turn weak demo/contact forms into install conversations.</x:v>
      </x:c>
      <x:c r="G1" s="64" t="str">
        <x:v>Deal Threads Dead Form Teardown Tracker
Turn weak demo/contact forms into install conversations.</x:v>
      </x:c>
      <x:c r="H1" s="64" t="str">
        <x:v>Deal Threads Dead Form Teardown Tracker
Turn weak demo/contact forms into install conversations.</x:v>
      </x:c>
      <x:c r="I1" s="64" t="str">
        <x:v>Deal Threads Dead Form Teardown Tracker
Turn weak demo/contact forms into install conversations.</x:v>
      </x:c>
      <x:c r="J1" s="64" t="str">
        <x:v>Deal Threads Dead Form Teardown Tracker
Turn weak demo/contact forms into install conversations.</x:v>
      </x:c>
      <x:c r="K1" s="64" t="str">
        <x:v>Deal Threads Dead Form Teardown Tracker
Turn weak demo/contact forms into install conversations.</x:v>
      </x:c>
      <x:c r="L1" s="64" t="str">
        <x:v>Deal Threads Dead Form Teardown Tracker
Turn weak demo/contact forms into install conversations.</x:v>
      </x:c>
      <x:c r="M1" s="64" t="str">
        <x:v>Deal Threads Dead Form Teardown Tracker
Turn weak demo/contact forms into install conversations.</x:v>
      </x:c>
      <x:c r="N1" s="64" t="str">
        <x:v>Deal Threads Dead Form Teardown Tracker
Turn weak demo/contact forms into install conversations.</x:v>
      </x:c>
      <x:c r="O1" s="64" t="str">
        <x:v>Deal Threads Dead Form Teardown Tracker
Turn weak demo/contact forms into install conversations.</x:v>
      </x:c>
      <x:c r="P1" s="64" t="str">
        <x:v>Deal Threads Dead Form Teardown Tracker
Turn weak demo/contact forms into install conversations.</x:v>
      </x:c>
      <x:c r="Q1" s="64" t="str">
        <x:v>Deal Threads Dead Form Teardown Tracker
Turn weak demo/contact forms into install conversations.</x:v>
      </x:c>
      <x:c r="R1" s="64" t="str">
        <x:v>Deal Threads Dead Form Teardown Tracker
Turn weak demo/contact forms into install conversations.</x:v>
      </x:c>
      <x:c r="S1" s="64" t="str">
        <x:v>Deal Threads Dead Form Teardown Tracker
Turn weak demo/contact forms into install conversations.</x:v>
      </x:c>
    </x:row>
    <x:row r="2" ht="24" customHeight="1">
      <x:c r="A2" s="64" t="str">
        <x:v>Deal Threads Dead Form Teardown Tracker
Turn weak demo/contact forms into install conversations.</x:v>
      </x:c>
      <x:c r="B2" s="64" t="str">
        <x:v>Deal Threads Dead Form Teardown Tracker
Turn weak demo/contact forms into install conversations.</x:v>
      </x:c>
      <x:c r="C2" s="64" t="str">
        <x:v>Deal Threads Dead Form Teardown Tracker
Turn weak demo/contact forms into install conversations.</x:v>
      </x:c>
      <x:c r="D2" s="64" t="str">
        <x:v>Deal Threads Dead Form Teardown Tracker
Turn weak demo/contact forms into install conversations.</x:v>
      </x:c>
      <x:c r="E2" s="64" t="str">
        <x:v>Deal Threads Dead Form Teardown Tracker
Turn weak demo/contact forms into install conversations.</x:v>
      </x:c>
      <x:c r="F2" s="64" t="str">
        <x:v>Deal Threads Dead Form Teardown Tracker
Turn weak demo/contact forms into install conversations.</x:v>
      </x:c>
      <x:c r="G2" s="64" t="str">
        <x:v>Deal Threads Dead Form Teardown Tracker
Turn weak demo/contact forms into install conversations.</x:v>
      </x:c>
      <x:c r="H2" s="64" t="str">
        <x:v>Deal Threads Dead Form Teardown Tracker
Turn weak demo/contact forms into install conversations.</x:v>
      </x:c>
      <x:c r="I2" s="64" t="str">
        <x:v>Deal Threads Dead Form Teardown Tracker
Turn weak demo/contact forms into install conversations.</x:v>
      </x:c>
      <x:c r="J2" s="64" t="str">
        <x:v>Deal Threads Dead Form Teardown Tracker
Turn weak demo/contact forms into install conversations.</x:v>
      </x:c>
      <x:c r="K2" s="64" t="str">
        <x:v>Deal Threads Dead Form Teardown Tracker
Turn weak demo/contact forms into install conversations.</x:v>
      </x:c>
      <x:c r="L2" s="64" t="str">
        <x:v>Deal Threads Dead Form Teardown Tracker
Turn weak demo/contact forms into install conversations.</x:v>
      </x:c>
      <x:c r="M2" s="64" t="str">
        <x:v>Deal Threads Dead Form Teardown Tracker
Turn weak demo/contact forms into install conversations.</x:v>
      </x:c>
      <x:c r="N2" s="64" t="str">
        <x:v>Deal Threads Dead Form Teardown Tracker
Turn weak demo/contact forms into install conversations.</x:v>
      </x:c>
      <x:c r="O2" s="64" t="str">
        <x:v>Deal Threads Dead Form Teardown Tracker
Turn weak demo/contact forms into install conversations.</x:v>
      </x:c>
      <x:c r="P2" s="64" t="str">
        <x:v>Deal Threads Dead Form Teardown Tracker
Turn weak demo/contact forms into install conversations.</x:v>
      </x:c>
      <x:c r="Q2" s="64" t="str">
        <x:v>Deal Threads Dead Form Teardown Tracker
Turn weak demo/contact forms into install conversations.</x:v>
      </x:c>
      <x:c r="R2" s="64" t="str">
        <x:v>Deal Threads Dead Form Teardown Tracker
Turn weak demo/contact forms into install conversations.</x:v>
      </x:c>
      <x:c r="S2" s="64" t="str">
        <x:v>Deal Threads Dead Form Teardown Tracker
Turn weak demo/contact forms into install conversations.</x:v>
      </x:c>
    </x:row>
    <x:row r="3">
      <x:c r="A3" s="65"/>
      <x:c r="B3" s="65"/>
      <x:c r="C3" s="65"/>
      <x:c r="D3" s="65"/>
      <x:c r="E3" s="65"/>
      <x:c r="F3" s="65"/>
      <x:c r="G3" s="65"/>
      <x:c r="H3" s="65"/>
      <x:c r="I3" s="65"/>
      <x:c r="J3" s="65"/>
      <x:c r="K3" s="65"/>
      <x:c r="L3" s="65"/>
      <x:c r="M3" s="65"/>
      <x:c r="N3" s="65"/>
      <x:c r="O3" s="65"/>
      <x:c r="P3" s="65"/>
      <x:c r="Q3" s="65"/>
      <x:c r="R3" s="65"/>
      <x:c r="S3" s="65"/>
    </x:row>
    <x:row r="4">
      <x:c r="A4" s="83" t="str">
        <x:v>Company</x:v>
      </x:c>
      <x:c r="B4" s="84" t="str">
        <x:v>Form URL</x:v>
      </x:c>
      <x:c r="C4" s="84" t="str">
        <x:v>Page Type</x:v>
      </x:c>
      <x:c r="D4" s="84" t="str">
        <x:v>Current CTA</x:v>
      </x:c>
      <x:c r="E4" s="84" t="str">
        <x:v>Current Fields</x:v>
      </x:c>
      <x:c r="F4" s="84" t="str">
        <x:v>Form Score</x:v>
      </x:c>
      <x:c r="G4" s="84" t="str">
        <x:v>Biggest Missing Context</x:v>
      </x:c>
      <x:c r="H4" s="84" t="str">
        <x:v>Three Better Questions</x:v>
      </x:c>
      <x:c r="I4" s="84" t="str">
        <x:v>Enrichment Fields</x:v>
      </x:c>
      <x:c r="J4" s="84" t="str">
        <x:v>CRM Note Preview</x:v>
      </x:c>
      <x:c r="K4" s="84" t="str">
        <x:v>Loom/Doc Link</x:v>
      </x:c>
      <x:c r="L4" s="84" t="str">
        <x:v>Delivery Status</x:v>
      </x:c>
      <x:c r="M4" s="84" t="str">
        <x:v>Install CTA Sent?</x:v>
      </x:c>
      <x:c r="N4" s="84" t="str">
        <x:v>Install Call Date</x:v>
      </x:c>
      <x:c r="O4" s="84" t="str">
        <x:v>Outcome</x:v>
      </x:c>
      <x:c r="P4" s="84" t="str">
        <x:v>Follow-Up Owner</x:v>
      </x:c>
      <x:c r="Q4" s="84" t="str">
        <x:v>Follow-Up Date</x:v>
      </x:c>
      <x:c r="R4" s="84" t="str">
        <x:v>Related Target</x:v>
      </x:c>
      <x:c r="S4" s="85" t="str">
        <x:v>Notes</x:v>
      </x:c>
    </x:row>
    <x:row r="5">
      <x:c r="A5" s="86" t="str"/>
      <x:c r="B5" s="87" t="str"/>
      <x:c r="C5" s="87" t="str">
        <x:v>Demo</x:v>
      </x:c>
      <x:c r="D5" s="87" t="str"/>
      <x:c r="E5" s="87" t="str"/>
      <x:c r="F5" s="87" t="n">
        <x:v>0</x:v>
      </x:c>
      <x:c r="G5" s="76" t="str"/>
      <x:c r="H5" s="76" t="str">
        <x:v>1. What are you trying to improve right now?
2. When are you hoping to solve this?
3. What CRM or sales workflow are you using today?</x:v>
      </x:c>
      <x:c r="I5" s="76" t="str">
        <x:v>Company size; industry; tech stack; recent news; likely decision-makers; ICP segment</x:v>
      </x:c>
      <x:c r="J5" s="76" t="str"/>
      <x:c r="K5" s="87" t="str"/>
      <x:c r="L5" s="87" t="str">
        <x:v>Not started</x:v>
      </x:c>
      <x:c r="M5" s="87" t="str">
        <x:v>No</x:v>
      </x:c>
      <x:c r="N5" s="89" t="str"/>
      <x:c r="O5" s="87" t="str">
        <x:v>Open</x:v>
      </x:c>
      <x:c r="P5" s="87" t="str">
        <x:v>Ryan</x:v>
      </x:c>
      <x:c r="Q5" s="89" t="str"/>
      <x:c r="R5" s="87" t="str"/>
      <x:c r="S5" s="77" t="str"/>
    </x:row>
    <x:row r="6">
      <x:c r="A6" s="86" t="str"/>
      <x:c r="B6" s="87" t="str"/>
      <x:c r="C6" s="87" t="str">
        <x:v>Demo</x:v>
      </x:c>
      <x:c r="D6" s="87" t="str"/>
      <x:c r="E6" s="87" t="str"/>
      <x:c r="F6" s="87" t="n">
        <x:v>0</x:v>
      </x:c>
      <x:c r="G6" s="76" t="str"/>
      <x:c r="H6" s="76" t="str">
        <x:v>1. What are you trying to improve right now?
2. When are you hoping to solve this?
3. What CRM or sales workflow are you using today?</x:v>
      </x:c>
      <x:c r="I6" s="76" t="str">
        <x:v>Company size; industry; tech stack; recent news; likely decision-makers; ICP segment</x:v>
      </x:c>
      <x:c r="J6" s="76" t="str"/>
      <x:c r="K6" s="87" t="str"/>
      <x:c r="L6" s="87" t="str">
        <x:v>Not started</x:v>
      </x:c>
      <x:c r="M6" s="87" t="str">
        <x:v>No</x:v>
      </x:c>
      <x:c r="N6" s="89" t="str"/>
      <x:c r="O6" s="87" t="str">
        <x:v>Open</x:v>
      </x:c>
      <x:c r="P6" s="87" t="str">
        <x:v>Ryan</x:v>
      </x:c>
      <x:c r="Q6" s="89" t="str"/>
      <x:c r="R6" s="87" t="str"/>
      <x:c r="S6" s="77" t="str"/>
    </x:row>
    <x:row r="7">
      <x:c r="A7" s="86" t="str"/>
      <x:c r="B7" s="87" t="str"/>
      <x:c r="C7" s="87" t="str">
        <x:v>Demo</x:v>
      </x:c>
      <x:c r="D7" s="87" t="str"/>
      <x:c r="E7" s="87" t="str"/>
      <x:c r="F7" s="87" t="n">
        <x:v>0</x:v>
      </x:c>
      <x:c r="G7" s="76" t="str"/>
      <x:c r="H7" s="76" t="str">
        <x:v>1. What are you trying to improve right now?
2. When are you hoping to solve this?
3. What CRM or sales workflow are you using today?</x:v>
      </x:c>
      <x:c r="I7" s="76" t="str">
        <x:v>Company size; industry; tech stack; recent news; likely decision-makers; ICP segment</x:v>
      </x:c>
      <x:c r="J7" s="76" t="str"/>
      <x:c r="K7" s="87" t="str"/>
      <x:c r="L7" s="87" t="str">
        <x:v>Not started</x:v>
      </x:c>
      <x:c r="M7" s="87" t="str">
        <x:v>No</x:v>
      </x:c>
      <x:c r="N7" s="89" t="str"/>
      <x:c r="O7" s="87" t="str">
        <x:v>Open</x:v>
      </x:c>
      <x:c r="P7" s="87" t="str">
        <x:v>Ryan</x:v>
      </x:c>
      <x:c r="Q7" s="89" t="str"/>
      <x:c r="R7" s="87" t="str"/>
      <x:c r="S7" s="77" t="str"/>
    </x:row>
    <x:row r="8">
      <x:c r="A8" s="86" t="str"/>
      <x:c r="B8" s="87" t="str"/>
      <x:c r="C8" s="87" t="str">
        <x:v>Demo</x:v>
      </x:c>
      <x:c r="D8" s="87" t="str"/>
      <x:c r="E8" s="87" t="str"/>
      <x:c r="F8" s="87" t="n">
        <x:v>0</x:v>
      </x:c>
      <x:c r="G8" s="76" t="str"/>
      <x:c r="H8" s="76" t="str">
        <x:v>1. What are you trying to improve right now?
2. When are you hoping to solve this?
3. What CRM or sales workflow are you using today?</x:v>
      </x:c>
      <x:c r="I8" s="76" t="str">
        <x:v>Company size; industry; tech stack; recent news; likely decision-makers; ICP segment</x:v>
      </x:c>
      <x:c r="J8" s="76" t="str"/>
      <x:c r="K8" s="87" t="str"/>
      <x:c r="L8" s="87" t="str">
        <x:v>Not started</x:v>
      </x:c>
      <x:c r="M8" s="87" t="str">
        <x:v>No</x:v>
      </x:c>
      <x:c r="N8" s="89" t="str"/>
      <x:c r="O8" s="87" t="str">
        <x:v>Open</x:v>
      </x:c>
      <x:c r="P8" s="87" t="str">
        <x:v>Ryan</x:v>
      </x:c>
      <x:c r="Q8" s="89" t="str"/>
      <x:c r="R8" s="87" t="str"/>
      <x:c r="S8" s="77" t="str"/>
    </x:row>
    <x:row r="9">
      <x:c r="A9" s="86" t="str"/>
      <x:c r="B9" s="87" t="str"/>
      <x:c r="C9" s="87" t="str">
        <x:v>Demo</x:v>
      </x:c>
      <x:c r="D9" s="87" t="str"/>
      <x:c r="E9" s="87" t="str"/>
      <x:c r="F9" s="87" t="n">
        <x:v>0</x:v>
      </x:c>
      <x:c r="G9" s="76" t="str"/>
      <x:c r="H9" s="76" t="str">
        <x:v>1. What are you trying to improve right now?
2. When are you hoping to solve this?
3. What CRM or sales workflow are you using today?</x:v>
      </x:c>
      <x:c r="I9" s="76" t="str">
        <x:v>Company size; industry; tech stack; recent news; likely decision-makers; ICP segment</x:v>
      </x:c>
      <x:c r="J9" s="76" t="str"/>
      <x:c r="K9" s="87" t="str"/>
      <x:c r="L9" s="87" t="str">
        <x:v>Not started</x:v>
      </x:c>
      <x:c r="M9" s="87" t="str">
        <x:v>No</x:v>
      </x:c>
      <x:c r="N9" s="89" t="str"/>
      <x:c r="O9" s="87" t="str">
        <x:v>Open</x:v>
      </x:c>
      <x:c r="P9" s="87" t="str">
        <x:v>Ryan</x:v>
      </x:c>
      <x:c r="Q9" s="89" t="str"/>
      <x:c r="R9" s="87" t="str"/>
      <x:c r="S9" s="77" t="str"/>
    </x:row>
    <x:row r="10">
      <x:c r="A10" s="86" t="str"/>
      <x:c r="B10" s="87" t="str"/>
      <x:c r="C10" s="87" t="str">
        <x:v>Demo</x:v>
      </x:c>
      <x:c r="D10" s="87" t="str"/>
      <x:c r="E10" s="87" t="str"/>
      <x:c r="F10" s="87" t="n">
        <x:v>0</x:v>
      </x:c>
      <x:c r="G10" s="76" t="str"/>
      <x:c r="H10" s="76" t="str">
        <x:v>1. What are you trying to improve right now?
2. When are you hoping to solve this?
3. What CRM or sales workflow are you using today?</x:v>
      </x:c>
      <x:c r="I10" s="76" t="str">
        <x:v>Company size; industry; tech stack; recent news; likely decision-makers; ICP segment</x:v>
      </x:c>
      <x:c r="J10" s="76" t="str"/>
      <x:c r="K10" s="87" t="str"/>
      <x:c r="L10" s="87" t="str">
        <x:v>Not started</x:v>
      </x:c>
      <x:c r="M10" s="87" t="str">
        <x:v>No</x:v>
      </x:c>
      <x:c r="N10" s="89" t="str"/>
      <x:c r="O10" s="87" t="str">
        <x:v>Open</x:v>
      </x:c>
      <x:c r="P10" s="87" t="str">
        <x:v>Ryan</x:v>
      </x:c>
      <x:c r="Q10" s="89" t="str"/>
      <x:c r="R10" s="87" t="str"/>
      <x:c r="S10" s="77" t="str"/>
    </x:row>
    <x:row r="11">
      <x:c r="A11" s="86" t="str"/>
      <x:c r="B11" s="87" t="str"/>
      <x:c r="C11" s="87" t="str">
        <x:v>Demo</x:v>
      </x:c>
      <x:c r="D11" s="87" t="str"/>
      <x:c r="E11" s="87" t="str"/>
      <x:c r="F11" s="87" t="n">
        <x:v>0</x:v>
      </x:c>
      <x:c r="G11" s="76" t="str"/>
      <x:c r="H11" s="76" t="str">
        <x:v>1. What are you trying to improve right now?
2. When are you hoping to solve this?
3. What CRM or sales workflow are you using today?</x:v>
      </x:c>
      <x:c r="I11" s="76" t="str">
        <x:v>Company size; industry; tech stack; recent news; likely decision-makers; ICP segment</x:v>
      </x:c>
      <x:c r="J11" s="76" t="str"/>
      <x:c r="K11" s="87" t="str"/>
      <x:c r="L11" s="87" t="str">
        <x:v>Not started</x:v>
      </x:c>
      <x:c r="M11" s="87" t="str">
        <x:v>No</x:v>
      </x:c>
      <x:c r="N11" s="89" t="str"/>
      <x:c r="O11" s="87" t="str">
        <x:v>Open</x:v>
      </x:c>
      <x:c r="P11" s="87" t="str">
        <x:v>Ryan</x:v>
      </x:c>
      <x:c r="Q11" s="89" t="str"/>
      <x:c r="R11" s="87" t="str"/>
      <x:c r="S11" s="77" t="str"/>
    </x:row>
    <x:row r="12">
      <x:c r="A12" s="86" t="str"/>
      <x:c r="B12" s="87" t="str"/>
      <x:c r="C12" s="87" t="str">
        <x:v>Demo</x:v>
      </x:c>
      <x:c r="D12" s="87" t="str"/>
      <x:c r="E12" s="87" t="str"/>
      <x:c r="F12" s="87" t="n">
        <x:v>0</x:v>
      </x:c>
      <x:c r="G12" s="76" t="str"/>
      <x:c r="H12" s="76" t="str">
        <x:v>1. What are you trying to improve right now?
2. When are you hoping to solve this?
3. What CRM or sales workflow are you using today?</x:v>
      </x:c>
      <x:c r="I12" s="76" t="str">
        <x:v>Company size; industry; tech stack; recent news; likely decision-makers; ICP segment</x:v>
      </x:c>
      <x:c r="J12" s="76" t="str"/>
      <x:c r="K12" s="87" t="str"/>
      <x:c r="L12" s="87" t="str">
        <x:v>Not started</x:v>
      </x:c>
      <x:c r="M12" s="87" t="str">
        <x:v>No</x:v>
      </x:c>
      <x:c r="N12" s="89" t="str"/>
      <x:c r="O12" s="87" t="str">
        <x:v>Open</x:v>
      </x:c>
      <x:c r="P12" s="87" t="str">
        <x:v>Ryan</x:v>
      </x:c>
      <x:c r="Q12" s="89" t="str"/>
      <x:c r="R12" s="87" t="str"/>
      <x:c r="S12" s="77" t="str"/>
    </x:row>
    <x:row r="13">
      <x:c r="A13" s="86" t="str"/>
      <x:c r="B13" s="87" t="str"/>
      <x:c r="C13" s="87" t="str">
        <x:v>Demo</x:v>
      </x:c>
      <x:c r="D13" s="87" t="str"/>
      <x:c r="E13" s="87" t="str"/>
      <x:c r="F13" s="87" t="n">
        <x:v>0</x:v>
      </x:c>
      <x:c r="G13" s="76" t="str"/>
      <x:c r="H13" s="76" t="str">
        <x:v>1. What are you trying to improve right now?
2. When are you hoping to solve this?
3. What CRM or sales workflow are you using today?</x:v>
      </x:c>
      <x:c r="I13" s="76" t="str">
        <x:v>Company size; industry; tech stack; recent news; likely decision-makers; ICP segment</x:v>
      </x:c>
      <x:c r="J13" s="76" t="str"/>
      <x:c r="K13" s="87" t="str"/>
      <x:c r="L13" s="87" t="str">
        <x:v>Not started</x:v>
      </x:c>
      <x:c r="M13" s="87" t="str">
        <x:v>No</x:v>
      </x:c>
      <x:c r="N13" s="89" t="str"/>
      <x:c r="O13" s="87" t="str">
        <x:v>Open</x:v>
      </x:c>
      <x:c r="P13" s="87" t="str">
        <x:v>Ryan</x:v>
      </x:c>
      <x:c r="Q13" s="89" t="str"/>
      <x:c r="R13" s="87" t="str"/>
      <x:c r="S13" s="77" t="str"/>
    </x:row>
    <x:row r="14">
      <x:c r="A14" s="86" t="str"/>
      <x:c r="B14" s="87" t="str"/>
      <x:c r="C14" s="87" t="str">
        <x:v>Demo</x:v>
      </x:c>
      <x:c r="D14" s="87" t="str"/>
      <x:c r="E14" s="87" t="str"/>
      <x:c r="F14" s="87" t="n">
        <x:v>0</x:v>
      </x:c>
      <x:c r="G14" s="76" t="str"/>
      <x:c r="H14" s="76" t="str">
        <x:v>1. What are you trying to improve right now?
2. When are you hoping to solve this?
3. What CRM or sales workflow are you using today?</x:v>
      </x:c>
      <x:c r="I14" s="76" t="str">
        <x:v>Company size; industry; tech stack; recent news; likely decision-makers; ICP segment</x:v>
      </x:c>
      <x:c r="J14" s="76" t="str"/>
      <x:c r="K14" s="87" t="str"/>
      <x:c r="L14" s="87" t="str">
        <x:v>Not started</x:v>
      </x:c>
      <x:c r="M14" s="87" t="str">
        <x:v>No</x:v>
      </x:c>
      <x:c r="N14" s="89" t="str"/>
      <x:c r="O14" s="87" t="str">
        <x:v>Open</x:v>
      </x:c>
      <x:c r="P14" s="87" t="str">
        <x:v>Ryan</x:v>
      </x:c>
      <x:c r="Q14" s="89" t="str"/>
      <x:c r="R14" s="87" t="str"/>
      <x:c r="S14" s="77" t="str"/>
    </x:row>
    <x:row r="15">
      <x:c r="A15" s="86" t="str"/>
      <x:c r="B15" s="87" t="str"/>
      <x:c r="C15" s="87" t="str">
        <x:v>Demo</x:v>
      </x:c>
      <x:c r="D15" s="87" t="str"/>
      <x:c r="E15" s="87" t="str"/>
      <x:c r="F15" s="87" t="n">
        <x:v>0</x:v>
      </x:c>
      <x:c r="G15" s="76" t="str"/>
      <x:c r="H15" s="76" t="str">
        <x:v>1. What are you trying to improve right now?
2. When are you hoping to solve this?
3. What CRM or sales workflow are you using today?</x:v>
      </x:c>
      <x:c r="I15" s="76" t="str">
        <x:v>Company size; industry; tech stack; recent news; likely decision-makers; ICP segment</x:v>
      </x:c>
      <x:c r="J15" s="76" t="str"/>
      <x:c r="K15" s="87" t="str"/>
      <x:c r="L15" s="87" t="str">
        <x:v>Not started</x:v>
      </x:c>
      <x:c r="M15" s="87" t="str">
        <x:v>No</x:v>
      </x:c>
      <x:c r="N15" s="89" t="str"/>
      <x:c r="O15" s="87" t="str">
        <x:v>Open</x:v>
      </x:c>
      <x:c r="P15" s="87" t="str">
        <x:v>Ryan</x:v>
      </x:c>
      <x:c r="Q15" s="89" t="str"/>
      <x:c r="R15" s="87" t="str"/>
      <x:c r="S15" s="77" t="str"/>
    </x:row>
    <x:row r="16">
      <x:c r="A16" s="86" t="str"/>
      <x:c r="B16" s="87" t="str"/>
      <x:c r="C16" s="87" t="str">
        <x:v>Demo</x:v>
      </x:c>
      <x:c r="D16" s="87" t="str"/>
      <x:c r="E16" s="87" t="str"/>
      <x:c r="F16" s="87" t="n">
        <x:v>0</x:v>
      </x:c>
      <x:c r="G16" s="76" t="str"/>
      <x:c r="H16" s="76" t="str">
        <x:v>1. What are you trying to improve right now?
2. When are you hoping to solve this?
3. What CRM or sales workflow are you using today?</x:v>
      </x:c>
      <x:c r="I16" s="76" t="str">
        <x:v>Company size; industry; tech stack; recent news; likely decision-makers; ICP segment</x:v>
      </x:c>
      <x:c r="J16" s="76" t="str"/>
      <x:c r="K16" s="87" t="str"/>
      <x:c r="L16" s="87" t="str">
        <x:v>Not started</x:v>
      </x:c>
      <x:c r="M16" s="87" t="str">
        <x:v>No</x:v>
      </x:c>
      <x:c r="N16" s="89" t="str"/>
      <x:c r="O16" s="87" t="str">
        <x:v>Open</x:v>
      </x:c>
      <x:c r="P16" s="87" t="str">
        <x:v>Ryan</x:v>
      </x:c>
      <x:c r="Q16" s="89" t="str"/>
      <x:c r="R16" s="87" t="str"/>
      <x:c r="S16" s="77" t="str"/>
    </x:row>
    <x:row r="17">
      <x:c r="A17" s="86" t="str"/>
      <x:c r="B17" s="87" t="str"/>
      <x:c r="C17" s="87" t="str">
        <x:v>Demo</x:v>
      </x:c>
      <x:c r="D17" s="87" t="str"/>
      <x:c r="E17" s="87" t="str"/>
      <x:c r="F17" s="87" t="n">
        <x:v>0</x:v>
      </x:c>
      <x:c r="G17" s="76" t="str"/>
      <x:c r="H17" s="76" t="str">
        <x:v>1. What are you trying to improve right now?
2. When are you hoping to solve this?
3. What CRM or sales workflow are you using today?</x:v>
      </x:c>
      <x:c r="I17" s="76" t="str">
        <x:v>Company size; industry; tech stack; recent news; likely decision-makers; ICP segment</x:v>
      </x:c>
      <x:c r="J17" s="76" t="str"/>
      <x:c r="K17" s="87" t="str"/>
      <x:c r="L17" s="87" t="str">
        <x:v>Not started</x:v>
      </x:c>
      <x:c r="M17" s="87" t="str">
        <x:v>No</x:v>
      </x:c>
      <x:c r="N17" s="89" t="str"/>
      <x:c r="O17" s="87" t="str">
        <x:v>Open</x:v>
      </x:c>
      <x:c r="P17" s="87" t="str">
        <x:v>Ryan</x:v>
      </x:c>
      <x:c r="Q17" s="89" t="str"/>
      <x:c r="R17" s="87" t="str"/>
      <x:c r="S17" s="77" t="str"/>
    </x:row>
    <x:row r="18">
      <x:c r="A18" s="86" t="str"/>
      <x:c r="B18" s="87" t="str"/>
      <x:c r="C18" s="87" t="str">
        <x:v>Demo</x:v>
      </x:c>
      <x:c r="D18" s="87" t="str"/>
      <x:c r="E18" s="87" t="str"/>
      <x:c r="F18" s="87" t="n">
        <x:v>0</x:v>
      </x:c>
      <x:c r="G18" s="76" t="str"/>
      <x:c r="H18" s="76" t="str">
        <x:v>1. What are you trying to improve right now?
2. When are you hoping to solve this?
3. What CRM or sales workflow are you using today?</x:v>
      </x:c>
      <x:c r="I18" s="76" t="str">
        <x:v>Company size; industry; tech stack; recent news; likely decision-makers; ICP segment</x:v>
      </x:c>
      <x:c r="J18" s="76" t="str"/>
      <x:c r="K18" s="87" t="str"/>
      <x:c r="L18" s="87" t="str">
        <x:v>Not started</x:v>
      </x:c>
      <x:c r="M18" s="87" t="str">
        <x:v>No</x:v>
      </x:c>
      <x:c r="N18" s="89" t="str"/>
      <x:c r="O18" s="87" t="str">
        <x:v>Open</x:v>
      </x:c>
      <x:c r="P18" s="87" t="str">
        <x:v>Ryan</x:v>
      </x:c>
      <x:c r="Q18" s="89" t="str"/>
      <x:c r="R18" s="87" t="str"/>
      <x:c r="S18" s="77" t="str"/>
    </x:row>
    <x:row r="19">
      <x:c r="A19" s="86" t="str"/>
      <x:c r="B19" s="87" t="str"/>
      <x:c r="C19" s="87" t="str">
        <x:v>Demo</x:v>
      </x:c>
      <x:c r="D19" s="87" t="str"/>
      <x:c r="E19" s="87" t="str"/>
      <x:c r="F19" s="87" t="n">
        <x:v>0</x:v>
      </x:c>
      <x:c r="G19" s="76" t="str"/>
      <x:c r="H19" s="76" t="str">
        <x:v>1. What are you trying to improve right now?
2. When are you hoping to solve this?
3. What CRM or sales workflow are you using today?</x:v>
      </x:c>
      <x:c r="I19" s="76" t="str">
        <x:v>Company size; industry; tech stack; recent news; likely decision-makers; ICP segment</x:v>
      </x:c>
      <x:c r="J19" s="76" t="str"/>
      <x:c r="K19" s="87" t="str"/>
      <x:c r="L19" s="87" t="str">
        <x:v>Not started</x:v>
      </x:c>
      <x:c r="M19" s="87" t="str">
        <x:v>No</x:v>
      </x:c>
      <x:c r="N19" s="89" t="str"/>
      <x:c r="O19" s="87" t="str">
        <x:v>Open</x:v>
      </x:c>
      <x:c r="P19" s="87" t="str">
        <x:v>Ryan</x:v>
      </x:c>
      <x:c r="Q19" s="89" t="str"/>
      <x:c r="R19" s="87" t="str"/>
      <x:c r="S19" s="77" t="str"/>
    </x:row>
    <x:row r="20">
      <x:c r="A20" s="86" t="str"/>
      <x:c r="B20" s="87" t="str"/>
      <x:c r="C20" s="87" t="str">
        <x:v>Demo</x:v>
      </x:c>
      <x:c r="D20" s="87" t="str"/>
      <x:c r="E20" s="87" t="str"/>
      <x:c r="F20" s="87" t="n">
        <x:v>0</x:v>
      </x:c>
      <x:c r="G20" s="76" t="str"/>
      <x:c r="H20" s="76" t="str">
        <x:v>1. What are you trying to improve right now?
2. When are you hoping to solve this?
3. What CRM or sales workflow are you using today?</x:v>
      </x:c>
      <x:c r="I20" s="76" t="str">
        <x:v>Company size; industry; tech stack; recent news; likely decision-makers; ICP segment</x:v>
      </x:c>
      <x:c r="J20" s="76" t="str"/>
      <x:c r="K20" s="87" t="str"/>
      <x:c r="L20" s="87" t="str">
        <x:v>Not started</x:v>
      </x:c>
      <x:c r="M20" s="87" t="str">
        <x:v>No</x:v>
      </x:c>
      <x:c r="N20" s="89" t="str"/>
      <x:c r="O20" s="87" t="str">
        <x:v>Open</x:v>
      </x:c>
      <x:c r="P20" s="87" t="str">
        <x:v>Ryan</x:v>
      </x:c>
      <x:c r="Q20" s="89" t="str"/>
      <x:c r="R20" s="87" t="str"/>
      <x:c r="S20" s="77" t="str"/>
    </x:row>
    <x:row r="21">
      <x:c r="A21" s="86" t="str"/>
      <x:c r="B21" s="87" t="str"/>
      <x:c r="C21" s="87" t="str">
        <x:v>Demo</x:v>
      </x:c>
      <x:c r="D21" s="87" t="str"/>
      <x:c r="E21" s="87" t="str"/>
      <x:c r="F21" s="87" t="n">
        <x:v>0</x:v>
      </x:c>
      <x:c r="G21" s="76" t="str"/>
      <x:c r="H21" s="76" t="str">
        <x:v>1. What are you trying to improve right now?
2. When are you hoping to solve this?
3. What CRM or sales workflow are you using today?</x:v>
      </x:c>
      <x:c r="I21" s="76" t="str">
        <x:v>Company size; industry; tech stack; recent news; likely decision-makers; ICP segment</x:v>
      </x:c>
      <x:c r="J21" s="76" t="str"/>
      <x:c r="K21" s="87" t="str"/>
      <x:c r="L21" s="87" t="str">
        <x:v>Not started</x:v>
      </x:c>
      <x:c r="M21" s="87" t="str">
        <x:v>No</x:v>
      </x:c>
      <x:c r="N21" s="89" t="str"/>
      <x:c r="O21" s="87" t="str">
        <x:v>Open</x:v>
      </x:c>
      <x:c r="P21" s="87" t="str">
        <x:v>Ryan</x:v>
      </x:c>
      <x:c r="Q21" s="89" t="str"/>
      <x:c r="R21" s="87" t="str"/>
      <x:c r="S21" s="77" t="str"/>
    </x:row>
    <x:row r="22">
      <x:c r="A22" s="86" t="str"/>
      <x:c r="B22" s="87" t="str"/>
      <x:c r="C22" s="87" t="str">
        <x:v>Demo</x:v>
      </x:c>
      <x:c r="D22" s="87" t="str"/>
      <x:c r="E22" s="87" t="str"/>
      <x:c r="F22" s="87" t="n">
        <x:v>0</x:v>
      </x:c>
      <x:c r="G22" s="76" t="str"/>
      <x:c r="H22" s="76" t="str">
        <x:v>1. What are you trying to improve right now?
2. When are you hoping to solve this?
3. What CRM or sales workflow are you using today?</x:v>
      </x:c>
      <x:c r="I22" s="76" t="str">
        <x:v>Company size; industry; tech stack; recent news; likely decision-makers; ICP segment</x:v>
      </x:c>
      <x:c r="J22" s="76" t="str"/>
      <x:c r="K22" s="87" t="str"/>
      <x:c r="L22" s="87" t="str">
        <x:v>Not started</x:v>
      </x:c>
      <x:c r="M22" s="87" t="str">
        <x:v>No</x:v>
      </x:c>
      <x:c r="N22" s="89" t="str"/>
      <x:c r="O22" s="87" t="str">
        <x:v>Open</x:v>
      </x:c>
      <x:c r="P22" s="87" t="str">
        <x:v>Ryan</x:v>
      </x:c>
      <x:c r="Q22" s="89" t="str"/>
      <x:c r="R22" s="87" t="str"/>
      <x:c r="S22" s="77" t="str"/>
    </x:row>
    <x:row r="23">
      <x:c r="A23" s="86" t="str"/>
      <x:c r="B23" s="87" t="str"/>
      <x:c r="C23" s="87" t="str">
        <x:v>Demo</x:v>
      </x:c>
      <x:c r="D23" s="87" t="str"/>
      <x:c r="E23" s="87" t="str"/>
      <x:c r="F23" s="87" t="n">
        <x:v>0</x:v>
      </x:c>
      <x:c r="G23" s="76" t="str"/>
      <x:c r="H23" s="76" t="str">
        <x:v>1. What are you trying to improve right now?
2. When are you hoping to solve this?
3. What CRM or sales workflow are you using today?</x:v>
      </x:c>
      <x:c r="I23" s="76" t="str">
        <x:v>Company size; industry; tech stack; recent news; likely decision-makers; ICP segment</x:v>
      </x:c>
      <x:c r="J23" s="76" t="str"/>
      <x:c r="K23" s="87" t="str"/>
      <x:c r="L23" s="87" t="str">
        <x:v>Not started</x:v>
      </x:c>
      <x:c r="M23" s="87" t="str">
        <x:v>No</x:v>
      </x:c>
      <x:c r="N23" s="89" t="str"/>
      <x:c r="O23" s="87" t="str">
        <x:v>Open</x:v>
      </x:c>
      <x:c r="P23" s="87" t="str">
        <x:v>Ryan</x:v>
      </x:c>
      <x:c r="Q23" s="89" t="str"/>
      <x:c r="R23" s="87" t="str"/>
      <x:c r="S23" s="77" t="str"/>
    </x:row>
    <x:row r="24">
      <x:c r="A24" s="86" t="str"/>
      <x:c r="B24" s="87" t="str"/>
      <x:c r="C24" s="87" t="str">
        <x:v>Demo</x:v>
      </x:c>
      <x:c r="D24" s="87" t="str"/>
      <x:c r="E24" s="87" t="str"/>
      <x:c r="F24" s="87" t="n">
        <x:v>0</x:v>
      </x:c>
      <x:c r="G24" s="76" t="str"/>
      <x:c r="H24" s="76" t="str">
        <x:v>1. What are you trying to improve right now?
2. When are you hoping to solve this?
3. What CRM or sales workflow are you using today?</x:v>
      </x:c>
      <x:c r="I24" s="76" t="str">
        <x:v>Company size; industry; tech stack; recent news; likely decision-makers; ICP segment</x:v>
      </x:c>
      <x:c r="J24" s="76" t="str"/>
      <x:c r="K24" s="87" t="str"/>
      <x:c r="L24" s="87" t="str">
        <x:v>Not started</x:v>
      </x:c>
      <x:c r="M24" s="87" t="str">
        <x:v>No</x:v>
      </x:c>
      <x:c r="N24" s="89" t="str"/>
      <x:c r="O24" s="87" t="str">
        <x:v>Open</x:v>
      </x:c>
      <x:c r="P24" s="87" t="str">
        <x:v>Ryan</x:v>
      </x:c>
      <x:c r="Q24" s="89" t="str"/>
      <x:c r="R24" s="87" t="str"/>
      <x:c r="S24" s="77" t="str"/>
    </x:row>
    <x:row r="25">
      <x:c r="A25" s="86" t="str"/>
      <x:c r="B25" s="87" t="str"/>
      <x:c r="C25" s="87" t="str">
        <x:v>Demo</x:v>
      </x:c>
      <x:c r="D25" s="87" t="str"/>
      <x:c r="E25" s="87" t="str"/>
      <x:c r="F25" s="87" t="n">
        <x:v>0</x:v>
      </x:c>
      <x:c r="G25" s="76" t="str"/>
      <x:c r="H25" s="76" t="str">
        <x:v>1. What are you trying to improve right now?
2. When are you hoping to solve this?
3. What CRM or sales workflow are you using today?</x:v>
      </x:c>
      <x:c r="I25" s="76" t="str">
        <x:v>Company size; industry; tech stack; recent news; likely decision-makers; ICP segment</x:v>
      </x:c>
      <x:c r="J25" s="76" t="str"/>
      <x:c r="K25" s="87" t="str"/>
      <x:c r="L25" s="87" t="str">
        <x:v>Not started</x:v>
      </x:c>
      <x:c r="M25" s="87" t="str">
        <x:v>No</x:v>
      </x:c>
      <x:c r="N25" s="89" t="str"/>
      <x:c r="O25" s="87" t="str">
        <x:v>Open</x:v>
      </x:c>
      <x:c r="P25" s="87" t="str">
        <x:v>Ryan</x:v>
      </x:c>
      <x:c r="Q25" s="89" t="str"/>
      <x:c r="R25" s="87" t="str"/>
      <x:c r="S25" s="77" t="str"/>
    </x:row>
    <x:row r="26">
      <x:c r="A26" s="86" t="str"/>
      <x:c r="B26" s="87" t="str"/>
      <x:c r="C26" s="87" t="str">
        <x:v>Demo</x:v>
      </x:c>
      <x:c r="D26" s="87" t="str"/>
      <x:c r="E26" s="87" t="str"/>
      <x:c r="F26" s="87" t="n">
        <x:v>0</x:v>
      </x:c>
      <x:c r="G26" s="76" t="str"/>
      <x:c r="H26" s="76" t="str">
        <x:v>1. What are you trying to improve right now?
2. When are you hoping to solve this?
3. What CRM or sales workflow are you using today?</x:v>
      </x:c>
      <x:c r="I26" s="76" t="str">
        <x:v>Company size; industry; tech stack; recent news; likely decision-makers; ICP segment</x:v>
      </x:c>
      <x:c r="J26" s="76" t="str"/>
      <x:c r="K26" s="87" t="str"/>
      <x:c r="L26" s="87" t="str">
        <x:v>Not started</x:v>
      </x:c>
      <x:c r="M26" s="87" t="str">
        <x:v>No</x:v>
      </x:c>
      <x:c r="N26" s="89" t="str"/>
      <x:c r="O26" s="87" t="str">
        <x:v>Open</x:v>
      </x:c>
      <x:c r="P26" s="87" t="str">
        <x:v>Ryan</x:v>
      </x:c>
      <x:c r="Q26" s="89" t="str"/>
      <x:c r="R26" s="87" t="str"/>
      <x:c r="S26" s="77" t="str"/>
    </x:row>
    <x:row r="27">
      <x:c r="A27" s="86" t="str"/>
      <x:c r="B27" s="87" t="str"/>
      <x:c r="C27" s="87" t="str">
        <x:v>Demo</x:v>
      </x:c>
      <x:c r="D27" s="87" t="str"/>
      <x:c r="E27" s="87" t="str"/>
      <x:c r="F27" s="87" t="n">
        <x:v>0</x:v>
      </x:c>
      <x:c r="G27" s="76" t="str"/>
      <x:c r="H27" s="76" t="str">
        <x:v>1. What are you trying to improve right now?
2. When are you hoping to solve this?
3. What CRM or sales workflow are you using today?</x:v>
      </x:c>
      <x:c r="I27" s="76" t="str">
        <x:v>Company size; industry; tech stack; recent news; likely decision-makers; ICP segment</x:v>
      </x:c>
      <x:c r="J27" s="76" t="str"/>
      <x:c r="K27" s="87" t="str"/>
      <x:c r="L27" s="87" t="str">
        <x:v>Not started</x:v>
      </x:c>
      <x:c r="M27" s="87" t="str">
        <x:v>No</x:v>
      </x:c>
      <x:c r="N27" s="89" t="str"/>
      <x:c r="O27" s="87" t="str">
        <x:v>Open</x:v>
      </x:c>
      <x:c r="P27" s="87" t="str">
        <x:v>Ryan</x:v>
      </x:c>
      <x:c r="Q27" s="89" t="str"/>
      <x:c r="R27" s="87" t="str"/>
      <x:c r="S27" s="77" t="str"/>
    </x:row>
    <x:row r="28">
      <x:c r="A28" s="86" t="str"/>
      <x:c r="B28" s="87" t="str"/>
      <x:c r="C28" s="87" t="str">
        <x:v>Demo</x:v>
      </x:c>
      <x:c r="D28" s="87" t="str"/>
      <x:c r="E28" s="87" t="str"/>
      <x:c r="F28" s="87" t="n">
        <x:v>0</x:v>
      </x:c>
      <x:c r="G28" s="76" t="str"/>
      <x:c r="H28" s="76" t="str">
        <x:v>1. What are you trying to improve right now?
2. When are you hoping to solve this?
3. What CRM or sales workflow are you using today?</x:v>
      </x:c>
      <x:c r="I28" s="76" t="str">
        <x:v>Company size; industry; tech stack; recent news; likely decision-makers; ICP segment</x:v>
      </x:c>
      <x:c r="J28" s="76" t="str"/>
      <x:c r="K28" s="87" t="str"/>
      <x:c r="L28" s="87" t="str">
        <x:v>Not started</x:v>
      </x:c>
      <x:c r="M28" s="87" t="str">
        <x:v>No</x:v>
      </x:c>
      <x:c r="N28" s="89" t="str"/>
      <x:c r="O28" s="87" t="str">
        <x:v>Open</x:v>
      </x:c>
      <x:c r="P28" s="87" t="str">
        <x:v>Ryan</x:v>
      </x:c>
      <x:c r="Q28" s="89" t="str"/>
      <x:c r="R28" s="87" t="str"/>
      <x:c r="S28" s="77" t="str"/>
    </x:row>
    <x:row r="29">
      <x:c r="A29" s="90" t="str"/>
      <x:c r="B29" s="91" t="str"/>
      <x:c r="C29" s="91" t="str">
        <x:v>Demo</x:v>
      </x:c>
      <x:c r="D29" s="91" t="str"/>
      <x:c r="E29" s="91" t="str"/>
      <x:c r="F29" s="91" t="n">
        <x:v>0</x:v>
      </x:c>
      <x:c r="G29" s="80" t="str"/>
      <x:c r="H29" s="80" t="str">
        <x:v>1. What are you trying to improve right now?
2. When are you hoping to solve this?
3. What CRM or sales workflow are you using today?</x:v>
      </x:c>
      <x:c r="I29" s="80" t="str">
        <x:v>Company size; industry; tech stack; recent news; likely decision-makers; ICP segment</x:v>
      </x:c>
      <x:c r="J29" s="80" t="str"/>
      <x:c r="K29" s="91" t="str"/>
      <x:c r="L29" s="91" t="str">
        <x:v>Not started</x:v>
      </x:c>
      <x:c r="M29" s="91" t="str">
        <x:v>No</x:v>
      </x:c>
      <x:c r="N29" s="93" t="str"/>
      <x:c r="O29" s="91" t="str">
        <x:v>Open</x:v>
      </x:c>
      <x:c r="P29" s="91" t="str">
        <x:v>Ryan</x:v>
      </x:c>
      <x:c r="Q29" s="93" t="str"/>
      <x:c r="R29" s="91" t="str"/>
      <x:c r="S29" s="81" t="str"/>
    </x:row>
  </x:sheetData>
  <x:mergeCells>
    <x:mergeCell ref="A1:S2"/>
  </x:mergeCells>
  <x:dataValidations count="5">
    <x:dataValidation type="list" sqref="C5:C29">
      <x:formula1>"Demo,Contact sales,Pricing,Product,Other"</x:formula1>
    </x:dataValidation>
    <x:dataValidation type="list" sqref="F5:F29">
      <x:formula1>"0,1,2,3,4,5,6,7,8,9,10,11,12,13,14"</x:formula1>
    </x:dataValidation>
    <x:dataValidation type="list" sqref="L5:L29">
      <x:formula1>"Not started,Drafted,Recorded,Sent,Replied,Call booked,Closed"</x:formula1>
    </x:dataValidation>
    <x:dataValidation type="list" sqref="M5:M29">
      <x:formula1>"Yes,No"</x:formula1>
    </x:dataValidation>
    <x:dataValidation type="list" sqref="O5:O29">
      <x:formula1>"Open,Call booked,Install started,Won,Lost,Nurture"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501712957284e8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6.670000076293945" hidden="0" customWidth="1"/>
    <x:col min="3" max="3" width="21.110000610351562" hidden="0" customWidth="1"/>
    <x:col min="4" max="4" width="24.440000534057617" hidden="0" customWidth="1"/>
    <x:col min="5" max="5" width="24.440000534057617" hidden="0" customWidth="1"/>
    <x:col min="6" max="6" width="14.4399995803833" hidden="0" customWidth="1"/>
    <x:col min="7" max="7" width="12.220000267028809" hidden="0" customWidth="1"/>
    <x:col min="8" max="8" width="14.4399995803833" hidden="0" customWidth="1"/>
    <x:col min="9" max="9" width="12.220000267028809" hidden="0" customWidth="1"/>
    <x:col min="10" max="10" width="24.440000534057617" hidden="0" customWidth="1"/>
    <x:col min="11" max="11" width="28.889999389648438" hidden="0" customWidth="1"/>
    <x:col min="12" max="12" width="28.889999389648438" hidden="0" customWidth="1"/>
    <x:col min="13" max="13" width="20" hidden="0" customWidth="1"/>
    <x:col min="14" max="14" width="26.670000076293945" hidden="0" customWidth="1"/>
  </x:cols>
  <x:sheetData>
    <x:row r="1" ht="24" customHeight="1">
      <x:c r="A1" s="64" t="str">
        <x:v>Deal Threads Buyer Profile Example Library
Use these as proof artifacts, demo records, and QA references.</x:v>
      </x:c>
      <x:c r="B1" s="64" t="str">
        <x:v>Deal Threads Buyer Profile Example Library
Use these as proof artifacts, demo records, and QA references.</x:v>
      </x:c>
      <x:c r="C1" s="64" t="str">
        <x:v>Deal Threads Buyer Profile Example Library
Use these as proof artifacts, demo records, and QA references.</x:v>
      </x:c>
      <x:c r="D1" s="64" t="str">
        <x:v>Deal Threads Buyer Profile Example Library
Use these as proof artifacts, demo records, and QA references.</x:v>
      </x:c>
      <x:c r="E1" s="64" t="str">
        <x:v>Deal Threads Buyer Profile Example Library
Use these as proof artifacts, demo records, and QA references.</x:v>
      </x:c>
      <x:c r="F1" s="64" t="str">
        <x:v>Deal Threads Buyer Profile Example Library
Use these as proof artifacts, demo records, and QA references.</x:v>
      </x:c>
      <x:c r="G1" s="64" t="str">
        <x:v>Deal Threads Buyer Profile Example Library
Use these as proof artifacts, demo records, and QA references.</x:v>
      </x:c>
      <x:c r="H1" s="64" t="str">
        <x:v>Deal Threads Buyer Profile Example Library
Use these as proof artifacts, demo records, and QA references.</x:v>
      </x:c>
      <x:c r="I1" s="64" t="str">
        <x:v>Deal Threads Buyer Profile Example Library
Use these as proof artifacts, demo records, and QA references.</x:v>
      </x:c>
      <x:c r="J1" s="64" t="str">
        <x:v>Deal Threads Buyer Profile Example Library
Use these as proof artifacts, demo records, and QA references.</x:v>
      </x:c>
      <x:c r="K1" s="64" t="str">
        <x:v>Deal Threads Buyer Profile Example Library
Use these as proof artifacts, demo records, and QA references.</x:v>
      </x:c>
      <x:c r="L1" s="64" t="str">
        <x:v>Deal Threads Buyer Profile Example Library
Use these as proof artifacts, demo records, and QA references.</x:v>
      </x:c>
      <x:c r="M1" s="64" t="str">
        <x:v>Deal Threads Buyer Profile Example Library
Use these as proof artifacts, demo records, and QA references.</x:v>
      </x:c>
      <x:c r="N1" s="64" t="str">
        <x:v>Deal Threads Buyer Profile Example Library
Use these as proof artifacts, demo records, and QA references.</x:v>
      </x:c>
    </x:row>
    <x:row r="2" ht="24" customHeight="1">
      <x:c r="A2" s="64" t="str">
        <x:v>Deal Threads Buyer Profile Example Library
Use these as proof artifacts, demo records, and QA references.</x:v>
      </x:c>
      <x:c r="B2" s="64" t="str">
        <x:v>Deal Threads Buyer Profile Example Library
Use these as proof artifacts, demo records, and QA references.</x:v>
      </x:c>
      <x:c r="C2" s="64" t="str">
        <x:v>Deal Threads Buyer Profile Example Library
Use these as proof artifacts, demo records, and QA references.</x:v>
      </x:c>
      <x:c r="D2" s="64" t="str">
        <x:v>Deal Threads Buyer Profile Example Library
Use these as proof artifacts, demo records, and QA references.</x:v>
      </x:c>
      <x:c r="E2" s="64" t="str">
        <x:v>Deal Threads Buyer Profile Example Library
Use these as proof artifacts, demo records, and QA references.</x:v>
      </x:c>
      <x:c r="F2" s="64" t="str">
        <x:v>Deal Threads Buyer Profile Example Library
Use these as proof artifacts, demo records, and QA references.</x:v>
      </x:c>
      <x:c r="G2" s="64" t="str">
        <x:v>Deal Threads Buyer Profile Example Library
Use these as proof artifacts, demo records, and QA references.</x:v>
      </x:c>
      <x:c r="H2" s="64" t="str">
        <x:v>Deal Threads Buyer Profile Example Library
Use these as proof artifacts, demo records, and QA references.</x:v>
      </x:c>
      <x:c r="I2" s="64" t="str">
        <x:v>Deal Threads Buyer Profile Example Library
Use these as proof artifacts, demo records, and QA references.</x:v>
      </x:c>
      <x:c r="J2" s="64" t="str">
        <x:v>Deal Threads Buyer Profile Example Library
Use these as proof artifacts, demo records, and QA references.</x:v>
      </x:c>
      <x:c r="K2" s="64" t="str">
        <x:v>Deal Threads Buyer Profile Example Library
Use these as proof artifacts, demo records, and QA references.</x:v>
      </x:c>
      <x:c r="L2" s="64" t="str">
        <x:v>Deal Threads Buyer Profile Example Library
Use these as proof artifacts, demo records, and QA references.</x:v>
      </x:c>
      <x:c r="M2" s="64" t="str">
        <x:v>Deal Threads Buyer Profile Example Library
Use these as proof artifacts, demo records, and QA references.</x:v>
      </x:c>
      <x:c r="N2" s="64" t="str">
        <x:v>Deal Threads Buyer Profile Example Library
Use these as proof artifacts, demo records, and QA references.</x:v>
      </x:c>
    </x:row>
    <x:row r="3">
      <x:c r="A3" s="65"/>
      <x:c r="B3" s="65"/>
      <x:c r="C3" s="65"/>
      <x:c r="D3" s="65"/>
      <x:c r="E3" s="65"/>
      <x:c r="F3" s="65"/>
      <x:c r="G3" s="65"/>
      <x:c r="H3" s="65"/>
      <x:c r="I3" s="65"/>
      <x:c r="J3" s="65"/>
      <x:c r="K3" s="65"/>
      <x:c r="L3" s="65"/>
      <x:c r="M3" s="65"/>
      <x:c r="N3" s="65"/>
    </x:row>
    <x:row r="4">
      <x:c r="A4" s="72" t="str">
        <x:v>Example Name</x:v>
      </x:c>
      <x:c r="B4" s="73" t="str">
        <x:v>Segment</x:v>
      </x:c>
      <x:c r="C4" s="73" t="str">
        <x:v>Raw Submission</x:v>
      </x:c>
      <x:c r="D4" s="73" t="str">
        <x:v>Business Need</x:v>
      </x:c>
      <x:c r="E4" s="73" t="str">
        <x:v>Company Context</x:v>
      </x:c>
      <x:c r="F4" s="73" t="str">
        <x:v>Timeline</x:v>
      </x:c>
      <x:c r="G4" s="73" t="str">
        <x:v>Budget Signal</x:v>
      </x:c>
      <x:c r="H4" s="73" t="str">
        <x:v>ICP Score</x:v>
      </x:c>
      <x:c r="I4" s="73" t="str">
        <x:v>Priority</x:v>
      </x:c>
      <x:c r="J4" s="73" t="str">
        <x:v>Unknowns</x:v>
      </x:c>
      <x:c r="K4" s="73" t="str">
        <x:v>Recommended Rep Opener</x:v>
      </x:c>
      <x:c r="L4" s="73" t="str">
        <x:v>CRM Note</x:v>
      </x:c>
      <x:c r="M4" s="73" t="str">
        <x:v>Use Case</x:v>
      </x:c>
      <x:c r="N4" s="74" t="str">
        <x:v>Notes</x:v>
      </x:c>
    </x:row>
    <x:row r="5">
      <x:c r="A5" s="86" t="str">
        <x:v>Vertical SaaS Demo</x:v>
      </x:c>
      <x:c r="B5" s="87" t="str">
        <x:v>Vertical SaaS</x:v>
      </x:c>
      <x:c r="C5" s="76" t="str">
        <x:v>Name, email, company, message: interested in demo.</x:v>
      </x:c>
      <x:c r="D5" s="76" t="str">
        <x:v>Needs better intake for inbound demos after paid campaigns.</x:v>
      </x:c>
      <x:c r="E5" s="76" t="str">
        <x:v>Approx. 75 employees, B2B SaaS, likely HubSpot, active hiring in sales.</x:v>
      </x:c>
      <x:c r="F5" s="76" t="str">
        <x:v>This quarter</x:v>
      </x:c>
      <x:c r="G5" s="87" t="str">
        <x:v>$25K+ likely ACV</x:v>
      </x:c>
      <x:c r="H5" s="88" t="n">
        <x:v>5</x:v>
      </x:c>
      <x:c r="I5" s="87" t="str">
        <x:v>High</x:v>
      </x:c>
      <x:c r="J5" s="76" t="str">
        <x:v>Confirm CRM owner and buying committee.</x:v>
      </x:c>
      <x:c r="K5" s="76" t="str">
        <x:v>Saw your team is scaling sales. Are you trying to improve demo follow-up speed or lead quality first?</x:v>
      </x:c>
      <x:c r="L5" s="76" t="str">
        <x:v>High-fit vertical SaaS lead. Likely growth-stage. Ask about campaign source, CRM owner, and current handoff after form fill.</x:v>
      </x:c>
      <x:c r="M5" s="76" t="str">
        <x:v>Demo walkthrough</x:v>
      </x:c>
      <x:c r="N5" s="77" t="str"/>
    </x:row>
    <x:row r="6">
      <x:c r="A6" s="86" t="str">
        <x:v>Cybersecurity Services</x:v>
      </x:c>
      <x:c r="B6" s="87" t="str">
        <x:v>Cybersecurity</x:v>
      </x:c>
      <x:c r="C6" s="76" t="str">
        <x:v>Contact form with name, email, phone, message.</x:v>
      </x:c>
      <x:c r="D6" s="76" t="str">
        <x:v>Wants security assessment but context is thin.</x:v>
      </x:c>
      <x:c r="E6" s="76" t="str">
        <x:v>B2B services, long sales cycle, high trust requirement.</x:v>
      </x:c>
      <x:c r="F6" s="76" t="str">
        <x:v>Unknown</x:v>
      </x:c>
      <x:c r="G6" s="87" t="str">
        <x:v>Medium/high</x:v>
      </x:c>
      <x:c r="H6" s="88" t="n">
        <x:v>4</x:v>
      </x:c>
      <x:c r="I6" s="87" t="str">
        <x:v>High</x:v>
      </x:c>
      <x:c r="J6" s="76" t="str">
        <x:v>Authority, compliance driver, current vendor.</x:v>
      </x:c>
      <x:c r="K6" s="76" t="str">
        <x:v>What prompted the security review now: compliance deadline, incident, renewal, or board pressure?</x:v>
      </x:c>
      <x:c r="L6" s="76" t="str">
        <x:v>Qualified security inquiry. Capture trigger, deadline, current stack, and compliance requirement before callback.</x:v>
      </x:c>
      <x:c r="M6" s="76" t="str">
        <x:v>Trust proof</x:v>
      </x:c>
      <x:c r="N6" s="77" t="str"/>
    </x:row>
    <x:row r="7">
      <x:c r="A7" s="86" t="str">
        <x:v>RevOps Consultancy</x:v>
      </x:c>
      <x:c r="B7" s="87" t="str">
        <x:v>RevOps-light</x:v>
      </x:c>
      <x:c r="C7" s="76" t="str">
        <x:v>Demo form asks only work email and company.</x:v>
      </x:c>
      <x:c r="D7" s="76" t="str">
        <x:v>Needs triage for CRM optimization leads.</x:v>
      </x:c>
      <x:c r="E7" s="76" t="str">
        <x:v>Consulting/service firm. Buyer likely VP Sales, RevOps, or founder.</x:v>
      </x:c>
      <x:c r="F7" s="76" t="str">
        <x:v>30-60 days</x:v>
      </x:c>
      <x:c r="G7" s="87" t="str">
        <x:v>Project budget unknown</x:v>
      </x:c>
      <x:c r="H7" s="88" t="n">
        <x:v>5</x:v>
      </x:c>
      <x:c r="I7" s="87" t="str">
        <x:v>High</x:v>
      </x:c>
      <x:c r="J7" s="76" t="str">
        <x:v>CRM, deal size, implementation urgency.</x:v>
      </x:c>
      <x:c r="K7" s="76" t="str">
        <x:v>Are you looking to fix routing, attribution, pipeline visibility, or rep follow-up?</x:v>
      </x:c>
      <x:c r="L7" s="76" t="str">
        <x:v>Strong Deal Threads fit because the company sells operational context and can show CRM note value immediately.</x:v>
      </x:c>
      <x:c r="M7" s="76" t="str">
        <x:v>Partner pitch</x:v>
      </x:c>
      <x:c r="N7" s="77" t="str"/>
    </x:row>
    <x:row r="8">
      <x:c r="A8" s="86" t="str">
        <x:v>Managed IT/MSP</x:v>
      </x:c>
      <x:c r="B8" s="87" t="str">
        <x:v>Managed IT/MSP</x:v>
      </x:c>
      <x:c r="C8" s="76" t="str">
        <x:v>Contact us form with generic message field.</x:v>
      </x:c>
      <x:c r="D8" s="76" t="str">
        <x:v>Needs to separate urgent support, sales, and compliance inquiries.</x:v>
      </x:c>
      <x:c r="E8" s="76" t="str">
        <x:v>B2B services. High value when lead is a multi-location client.</x:v>
      </x:c>
      <x:c r="F8" s="76" t="str">
        <x:v>Unknown</x:v>
      </x:c>
      <x:c r="G8" s="87" t="str">
        <x:v>High if multi-site</x:v>
      </x:c>
      <x:c r="H8" s="88" t="n">
        <x:v>4</x:v>
      </x:c>
      <x:c r="I8" s="87" t="str">
        <x:v>Medium</x:v>
      </x:c>
      <x:c r="J8" s="76" t="str">
        <x:v>Company size, locations, current provider, urgency.</x:v>
      </x:c>
      <x:c r="K8" s="76" t="str">
        <x:v>Is this about a new provider search, an urgent issue, or planning for a future change?</x:v>
      </x:c>
      <x:c r="L8" s="76" t="str">
        <x:v>Profile should help route urgent support-like inquiries separately from new business.</x:v>
      </x:c>
      <x:c r="M8" s="76" t="str">
        <x:v>Routing demo</x:v>
      </x:c>
      <x:c r="N8" s="77" t="str"/>
    </x:row>
    <x:row r="9">
      <x:c r="A9" s="86" t="str">
        <x:v>Fintech Platform</x:v>
      </x:c>
      <x:c r="B9" s="87" t="str">
        <x:v>Fintech</x:v>
      </x:c>
      <x:c r="C9" s="76" t="str">
        <x:v>Pricing inquiry form with company and email.</x:v>
      </x:c>
      <x:c r="D9" s="76" t="str">
        <x:v>Needs compliance-aware lead qualification.</x:v>
      </x:c>
      <x:c r="E9" s="76" t="str">
        <x:v>Regulated buyer. Sales needs company type, region, use case, and compliance need.</x:v>
      </x:c>
      <x:c r="F9" s="76" t="str">
        <x:v>This half</x:v>
      </x:c>
      <x:c r="G9" s="87" t="str">
        <x:v>$50K+ possible</x:v>
      </x:c>
      <x:c r="H9" s="88" t="n">
        <x:v>5</x:v>
      </x:c>
      <x:c r="I9" s="87" t="str">
        <x:v>High</x:v>
      </x:c>
      <x:c r="J9" s="76" t="str">
        <x:v>Region, product interest, compliance trigger.</x:v>
      </x:c>
      <x:c r="K9" s="76" t="str">
        <x:v>Which part of the workflow are you evaluating: onboarding, reporting, compliance, or payment ops?</x:v>
      </x:c>
      <x:c r="L9" s="76" t="str">
        <x:v>High-value fintech inquiry. Do not over-enrich sensitive fields; keep unknowns explicit.</x:v>
      </x:c>
      <x:c r="M9" s="76" t="str">
        <x:v>Compliance-ready proof</x:v>
      </x:c>
      <x:c r="N9" s="77" t="str"/>
    </x:row>
    <x:row r="10">
      <x:c r="A10" s="86"/>
      <x:c r="B10" s="87"/>
      <x:c r="C10" s="76"/>
      <x:c r="D10" s="76"/>
      <x:c r="E10" s="76"/>
      <x:c r="F10" s="76"/>
      <x:c r="G10" s="87"/>
      <x:c r="H10" s="88"/>
      <x:c r="I10" s="87"/>
      <x:c r="J10" s="76"/>
      <x:c r="K10" s="76"/>
      <x:c r="L10" s="76"/>
      <x:c r="M10" s="76"/>
      <x:c r="N10" s="77"/>
    </x:row>
    <x:row r="11">
      <x:c r="A11" s="86"/>
      <x:c r="B11" s="87"/>
      <x:c r="C11" s="76"/>
      <x:c r="D11" s="76"/>
      <x:c r="E11" s="76"/>
      <x:c r="F11" s="76"/>
      <x:c r="G11" s="87"/>
      <x:c r="H11" s="88"/>
      <x:c r="I11" s="87"/>
      <x:c r="J11" s="76"/>
      <x:c r="K11" s="76"/>
      <x:c r="L11" s="76"/>
      <x:c r="M11" s="76"/>
      <x:c r="N11" s="77"/>
    </x:row>
    <x:row r="12">
      <x:c r="A12" s="86"/>
      <x:c r="B12" s="87"/>
      <x:c r="C12" s="76"/>
      <x:c r="D12" s="76"/>
      <x:c r="E12" s="76"/>
      <x:c r="F12" s="76"/>
      <x:c r="G12" s="87"/>
      <x:c r="H12" s="88"/>
      <x:c r="I12" s="87"/>
      <x:c r="J12" s="76"/>
      <x:c r="K12" s="76"/>
      <x:c r="L12" s="76"/>
      <x:c r="M12" s="76"/>
      <x:c r="N12" s="77"/>
    </x:row>
    <x:row r="13">
      <x:c r="A13" s="86"/>
      <x:c r="B13" s="87"/>
      <x:c r="C13" s="76"/>
      <x:c r="D13" s="76"/>
      <x:c r="E13" s="76"/>
      <x:c r="F13" s="76"/>
      <x:c r="G13" s="87"/>
      <x:c r="H13" s="88"/>
      <x:c r="I13" s="87"/>
      <x:c r="J13" s="76"/>
      <x:c r="K13" s="76"/>
      <x:c r="L13" s="76"/>
      <x:c r="M13" s="76"/>
      <x:c r="N13" s="77"/>
    </x:row>
    <x:row r="14">
      <x:c r="A14" s="86"/>
      <x:c r="B14" s="87"/>
      <x:c r="C14" s="76"/>
      <x:c r="D14" s="76"/>
      <x:c r="E14" s="76"/>
      <x:c r="F14" s="76"/>
      <x:c r="G14" s="87"/>
      <x:c r="H14" s="88"/>
      <x:c r="I14" s="87"/>
      <x:c r="J14" s="76"/>
      <x:c r="K14" s="76"/>
      <x:c r="L14" s="76"/>
      <x:c r="M14" s="76"/>
      <x:c r="N14" s="77"/>
    </x:row>
    <x:row r="15">
      <x:c r="A15" s="86"/>
      <x:c r="B15" s="87"/>
      <x:c r="C15" s="76"/>
      <x:c r="D15" s="76"/>
      <x:c r="E15" s="76"/>
      <x:c r="F15" s="76"/>
      <x:c r="G15" s="87"/>
      <x:c r="H15" s="88"/>
      <x:c r="I15" s="87"/>
      <x:c r="J15" s="76"/>
      <x:c r="K15" s="76"/>
      <x:c r="L15" s="76"/>
      <x:c r="M15" s="76"/>
      <x:c r="N15" s="77"/>
    </x:row>
    <x:row r="16">
      <x:c r="A16" s="86"/>
      <x:c r="B16" s="87"/>
      <x:c r="C16" s="76"/>
      <x:c r="D16" s="76"/>
      <x:c r="E16" s="76"/>
      <x:c r="F16" s="76"/>
      <x:c r="G16" s="87"/>
      <x:c r="H16" s="88"/>
      <x:c r="I16" s="87"/>
      <x:c r="J16" s="76"/>
      <x:c r="K16" s="76"/>
      <x:c r="L16" s="76"/>
      <x:c r="M16" s="76"/>
      <x:c r="N16" s="77"/>
    </x:row>
    <x:row r="17">
      <x:c r="A17" s="86"/>
      <x:c r="B17" s="87"/>
      <x:c r="C17" s="76"/>
      <x:c r="D17" s="76"/>
      <x:c r="E17" s="76"/>
      <x:c r="F17" s="76"/>
      <x:c r="G17" s="87"/>
      <x:c r="H17" s="88"/>
      <x:c r="I17" s="87"/>
      <x:c r="J17" s="76"/>
      <x:c r="K17" s="76"/>
      <x:c r="L17" s="76"/>
      <x:c r="M17" s="76"/>
      <x:c r="N17" s="77"/>
    </x:row>
    <x:row r="18">
      <x:c r="A18" s="86"/>
      <x:c r="B18" s="87"/>
      <x:c r="C18" s="76"/>
      <x:c r="D18" s="76"/>
      <x:c r="E18" s="76"/>
      <x:c r="F18" s="76"/>
      <x:c r="G18" s="87"/>
      <x:c r="H18" s="88"/>
      <x:c r="I18" s="87"/>
      <x:c r="J18" s="76"/>
      <x:c r="K18" s="76"/>
      <x:c r="L18" s="76"/>
      <x:c r="M18" s="76"/>
      <x:c r="N18" s="77"/>
    </x:row>
    <x:row r="19">
      <x:c r="A19" s="86"/>
      <x:c r="B19" s="87"/>
      <x:c r="C19" s="76"/>
      <x:c r="D19" s="76"/>
      <x:c r="E19" s="76"/>
      <x:c r="F19" s="76"/>
      <x:c r="G19" s="87"/>
      <x:c r="H19" s="88"/>
      <x:c r="I19" s="87"/>
      <x:c r="J19" s="76"/>
      <x:c r="K19" s="76"/>
      <x:c r="L19" s="76"/>
      <x:c r="M19" s="76"/>
      <x:c r="N19" s="77"/>
    </x:row>
    <x:row r="20">
      <x:c r="A20" s="86"/>
      <x:c r="B20" s="87"/>
      <x:c r="C20" s="76"/>
      <x:c r="D20" s="76"/>
      <x:c r="E20" s="76"/>
      <x:c r="F20" s="76"/>
      <x:c r="G20" s="87"/>
      <x:c r="H20" s="88"/>
      <x:c r="I20" s="87"/>
      <x:c r="J20" s="76"/>
      <x:c r="K20" s="76"/>
      <x:c r="L20" s="76"/>
      <x:c r="M20" s="76"/>
      <x:c r="N20" s="77"/>
    </x:row>
    <x:row r="21">
      <x:c r="A21" s="86"/>
      <x:c r="B21" s="87"/>
      <x:c r="C21" s="76"/>
      <x:c r="D21" s="76"/>
      <x:c r="E21" s="76"/>
      <x:c r="F21" s="76"/>
      <x:c r="G21" s="87"/>
      <x:c r="H21" s="88"/>
      <x:c r="I21" s="87"/>
      <x:c r="J21" s="76"/>
      <x:c r="K21" s="76"/>
      <x:c r="L21" s="76"/>
      <x:c r="M21" s="76"/>
      <x:c r="N21" s="77"/>
    </x:row>
    <x:row r="22">
      <x:c r="A22" s="86"/>
      <x:c r="B22" s="87"/>
      <x:c r="C22" s="76"/>
      <x:c r="D22" s="76"/>
      <x:c r="E22" s="76"/>
      <x:c r="F22" s="76"/>
      <x:c r="G22" s="87"/>
      <x:c r="H22" s="88"/>
      <x:c r="I22" s="87"/>
      <x:c r="J22" s="76"/>
      <x:c r="K22" s="76"/>
      <x:c r="L22" s="76"/>
      <x:c r="M22" s="76"/>
      <x:c r="N22" s="77"/>
    </x:row>
    <x:row r="23">
      <x:c r="A23" s="86"/>
      <x:c r="B23" s="87"/>
      <x:c r="C23" s="76"/>
      <x:c r="D23" s="76"/>
      <x:c r="E23" s="76"/>
      <x:c r="F23" s="76"/>
      <x:c r="G23" s="87"/>
      <x:c r="H23" s="88"/>
      <x:c r="I23" s="87"/>
      <x:c r="J23" s="76"/>
      <x:c r="K23" s="76"/>
      <x:c r="L23" s="76"/>
      <x:c r="M23" s="76"/>
      <x:c r="N23" s="77"/>
    </x:row>
    <x:row r="24">
      <x:c r="A24" s="86"/>
      <x:c r="B24" s="87"/>
      <x:c r="C24" s="76"/>
      <x:c r="D24" s="76"/>
      <x:c r="E24" s="76"/>
      <x:c r="F24" s="76"/>
      <x:c r="G24" s="87"/>
      <x:c r="H24" s="88"/>
      <x:c r="I24" s="87"/>
      <x:c r="J24" s="76"/>
      <x:c r="K24" s="76"/>
      <x:c r="L24" s="76"/>
      <x:c r="M24" s="76"/>
      <x:c r="N24" s="77"/>
    </x:row>
    <x:row r="25">
      <x:c r="A25" s="86"/>
      <x:c r="B25" s="87"/>
      <x:c r="C25" s="76"/>
      <x:c r="D25" s="76"/>
      <x:c r="E25" s="76"/>
      <x:c r="F25" s="76"/>
      <x:c r="G25" s="87"/>
      <x:c r="H25" s="88"/>
      <x:c r="I25" s="87"/>
      <x:c r="J25" s="76"/>
      <x:c r="K25" s="76"/>
      <x:c r="L25" s="76"/>
      <x:c r="M25" s="76"/>
      <x:c r="N25" s="77"/>
    </x:row>
    <x:row r="26">
      <x:c r="A26" s="86"/>
      <x:c r="B26" s="87"/>
      <x:c r="C26" s="76"/>
      <x:c r="D26" s="76"/>
      <x:c r="E26" s="76"/>
      <x:c r="F26" s="76"/>
      <x:c r="G26" s="87"/>
      <x:c r="H26" s="88"/>
      <x:c r="I26" s="87"/>
      <x:c r="J26" s="76"/>
      <x:c r="K26" s="76"/>
      <x:c r="L26" s="76"/>
      <x:c r="M26" s="76"/>
      <x:c r="N26" s="77"/>
    </x:row>
    <x:row r="27">
      <x:c r="A27" s="86"/>
      <x:c r="B27" s="87"/>
      <x:c r="C27" s="76"/>
      <x:c r="D27" s="76"/>
      <x:c r="E27" s="76"/>
      <x:c r="F27" s="76"/>
      <x:c r="G27" s="87"/>
      <x:c r="H27" s="88"/>
      <x:c r="I27" s="87"/>
      <x:c r="J27" s="76"/>
      <x:c r="K27" s="76"/>
      <x:c r="L27" s="76"/>
      <x:c r="M27" s="76"/>
      <x:c r="N27" s="77"/>
    </x:row>
    <x:row r="28">
      <x:c r="A28" s="86"/>
      <x:c r="B28" s="87"/>
      <x:c r="C28" s="76"/>
      <x:c r="D28" s="76"/>
      <x:c r="E28" s="76"/>
      <x:c r="F28" s="76"/>
      <x:c r="G28" s="87"/>
      <x:c r="H28" s="88"/>
      <x:c r="I28" s="87"/>
      <x:c r="J28" s="76"/>
      <x:c r="K28" s="76"/>
      <x:c r="L28" s="76"/>
      <x:c r="M28" s="76"/>
      <x:c r="N28" s="77"/>
    </x:row>
    <x:row r="29">
      <x:c r="A29" s="90"/>
      <x:c r="B29" s="91"/>
      <x:c r="C29" s="80"/>
      <x:c r="D29" s="80"/>
      <x:c r="E29" s="80"/>
      <x:c r="F29" s="80"/>
      <x:c r="G29" s="91"/>
      <x:c r="H29" s="92"/>
      <x:c r="I29" s="91"/>
      <x:c r="J29" s="80"/>
      <x:c r="K29" s="80"/>
      <x:c r="L29" s="80"/>
      <x:c r="M29" s="80"/>
      <x:c r="N29" s="81"/>
    </x:row>
  </x:sheetData>
  <x:mergeCells>
    <x:mergeCell ref="A1:N2"/>
  </x:mergeCells>
  <x:dataValidations count="2">
    <x:dataValidation type="list" sqref="H5:H29">
      <x:formula1>"0,1,2,3,4,5"</x:formula1>
    </x:dataValidation>
    <x:dataValidation type="list" sqref="I5:I29">
      <x:formula1>"Low,Medium,High"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ab42f7c61504de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0" hidden="0" customWidth="1"/>
    <x:col min="3" max="3" width="11.670000076293945" hidden="0" customWidth="1"/>
    <x:col min="4" max="4" width="15.5600004196167" hidden="0" customWidth="1"/>
    <x:col min="5" max="5" width="16.670000076293945" hidden="0" customWidth="1"/>
    <x:col min="6" max="6" width="24.440000534057617" hidden="0" customWidth="1"/>
    <x:col min="7" max="7" width="28.889999389648438" hidden="0" customWidth="1"/>
  </x:cols>
  <x:sheetData>
    <x:row r="1" ht="24" customHeight="1">
      <x:c r="A1" s="64" t="str">
        <x:v>Deal Threads Beta Intake
Collect only what is needed to install, route, and prove value.</x:v>
      </x:c>
      <x:c r="B1" s="64" t="str">
        <x:v>Deal Threads Beta Intake
Collect only what is needed to install, route, and prove value.</x:v>
      </x:c>
      <x:c r="C1" s="64" t="str">
        <x:v>Deal Threads Beta Intake
Collect only what is needed to install, route, and prove value.</x:v>
      </x:c>
      <x:c r="D1" s="64" t="str">
        <x:v>Deal Threads Beta Intake
Collect only what is needed to install, route, and prove value.</x:v>
      </x:c>
      <x:c r="E1" s="64" t="str">
        <x:v>Deal Threads Beta Intake
Collect only what is needed to install, route, and prove value.</x:v>
      </x:c>
      <x:c r="F1" s="64" t="str">
        <x:v>Deal Threads Beta Intake
Collect only what is needed to install, route, and prove value.</x:v>
      </x:c>
      <x:c r="G1" s="64" t="str">
        <x:v>Deal Threads Beta Intake
Collect only what is needed to install, route, and prove value.</x:v>
      </x:c>
    </x:row>
    <x:row r="2" ht="24" customHeight="1">
      <x:c r="A2" s="64" t="str">
        <x:v>Deal Threads Beta Intake
Collect only what is needed to install, route, and prove value.</x:v>
      </x:c>
      <x:c r="B2" s="64" t="str">
        <x:v>Deal Threads Beta Intake
Collect only what is needed to install, route, and prove value.</x:v>
      </x:c>
      <x:c r="C2" s="64" t="str">
        <x:v>Deal Threads Beta Intake
Collect only what is needed to install, route, and prove value.</x:v>
      </x:c>
      <x:c r="D2" s="64" t="str">
        <x:v>Deal Threads Beta Intake
Collect only what is needed to install, route, and prove value.</x:v>
      </x:c>
      <x:c r="E2" s="64" t="str">
        <x:v>Deal Threads Beta Intake
Collect only what is needed to install, route, and prove value.</x:v>
      </x:c>
      <x:c r="F2" s="64" t="str">
        <x:v>Deal Threads Beta Intake
Collect only what is needed to install, route, and prove value.</x:v>
      </x:c>
      <x:c r="G2" s="64" t="str">
        <x:v>Deal Threads Beta Intake
Collect only what is needed to install, route, and prove value.</x:v>
      </x:c>
    </x:row>
    <x:row r="3">
      <x:c r="A3" s="65"/>
      <x:c r="B3" s="65"/>
      <x:c r="C3" s="65"/>
      <x:c r="D3" s="65"/>
      <x:c r="E3" s="65"/>
      <x:c r="F3" s="65"/>
      <x:c r="G3" s="65"/>
    </x:row>
    <x:row r="4">
      <x:c r="A4" s="83" t="str">
        <x:v>Field</x:v>
      </x:c>
      <x:c r="B4" s="84" t="str">
        <x:v>Question</x:v>
      </x:c>
      <x:c r="C4" s="84" t="str">
        <x:v>Required?</x:v>
      </x:c>
      <x:c r="D4" s="84" t="str">
        <x:v>Owner</x:v>
      </x:c>
      <x:c r="E4" s="84" t="str">
        <x:v>Status</x:v>
      </x:c>
      <x:c r="F4" s="84" t="str">
        <x:v>Response</x:v>
      </x:c>
      <x:c r="G4" s="85" t="str">
        <x:v>Notes</x:v>
      </x:c>
    </x:row>
    <x:row r="5">
      <x:c r="A5" s="86" t="str">
        <x:v>Company</x:v>
      </x:c>
      <x:c r="B5" s="76" t="str">
        <x:v>What company is this beta install for?</x:v>
      </x:c>
      <x:c r="C5" s="87" t="str">
        <x:v>Yes</x:v>
      </x:c>
      <x:c r="D5" s="87" t="str">
        <x:v>Client</x:v>
      </x:c>
      <x:c r="E5" s="87" t="str">
        <x:v>Not started</x:v>
      </x:c>
      <x:c r="F5" s="76" t="str"/>
      <x:c r="G5" s="77" t="str"/>
    </x:row>
    <x:row r="6">
      <x:c r="A6" s="86" t="str">
        <x:v>Website</x:v>
      </x:c>
      <x:c r="B6" s="76" t="str">
        <x:v>What website and page should Deal Threads run on?</x:v>
      </x:c>
      <x:c r="C6" s="87" t="str">
        <x:v>Yes</x:v>
      </x:c>
      <x:c r="D6" s="87" t="str">
        <x:v>Client</x:v>
      </x:c>
      <x:c r="E6" s="87" t="str">
        <x:v>Not started</x:v>
      </x:c>
      <x:c r="F6" s="76" t="str"/>
      <x:c r="G6" s="77" t="str"/>
    </x:row>
    <x:row r="7">
      <x:c r="A7" s="86" t="str">
        <x:v>Form URL</x:v>
      </x:c>
      <x:c r="B7" s="76" t="str">
        <x:v>Which current form should be replaced or mirrored?</x:v>
      </x:c>
      <x:c r="C7" s="87" t="str">
        <x:v>Yes</x:v>
      </x:c>
      <x:c r="D7" s="87" t="str">
        <x:v>Client</x:v>
      </x:c>
      <x:c r="E7" s="87" t="str">
        <x:v>Not started</x:v>
      </x:c>
      <x:c r="F7" s="76" t="str"/>
      <x:c r="G7" s="77" t="str"/>
    </x:row>
    <x:row r="8">
      <x:c r="A8" s="86" t="str">
        <x:v>Primary Buyer</x:v>
      </x:c>
      <x:c r="B8" s="76" t="str">
        <x:v>Who owns inbound sales follow-up today?</x:v>
      </x:c>
      <x:c r="C8" s="87" t="str">
        <x:v>Yes</x:v>
      </x:c>
      <x:c r="D8" s="87" t="str">
        <x:v>Client</x:v>
      </x:c>
      <x:c r="E8" s="87" t="str">
        <x:v>Not started</x:v>
      </x:c>
      <x:c r="F8" s="76" t="str"/>
      <x:c r="G8" s="77" t="str"/>
    </x:row>
    <x:row r="9">
      <x:c r="A9" s="86" t="str">
        <x:v>CRM</x:v>
      </x:c>
      <x:c r="B9" s="76" t="str">
        <x:v>Which CRM should receive the buyer profile?</x:v>
      </x:c>
      <x:c r="C9" s="87" t="str">
        <x:v>Yes</x:v>
      </x:c>
      <x:c r="D9" s="87" t="str">
        <x:v>Client</x:v>
      </x:c>
      <x:c r="E9" s="87" t="str">
        <x:v>Not started</x:v>
      </x:c>
      <x:c r="F9" s="76" t="str"/>
      <x:c r="G9" s="77" t="str"/>
    </x:row>
    <x:row r="10">
      <x:c r="A10" s="86" t="str">
        <x:v>CRM Owner</x:v>
      </x:c>
      <x:c r="B10" s="76" t="str">
        <x:v>Who can create fields/workflows in the CRM?</x:v>
      </x:c>
      <x:c r="C10" s="87" t="str">
        <x:v>Yes</x:v>
      </x:c>
      <x:c r="D10" s="87" t="str">
        <x:v>Client</x:v>
      </x:c>
      <x:c r="E10" s="87" t="str">
        <x:v>Not started</x:v>
      </x:c>
      <x:c r="F10" s="76" t="str"/>
      <x:c r="G10" s="77" t="str"/>
    </x:row>
    <x:row r="11">
      <x:c r="A11" s="86" t="str">
        <x:v>Routing Rule</x:v>
      </x:c>
      <x:c r="B11" s="76" t="str">
        <x:v>Who should receive high-priority leads?</x:v>
      </x:c>
      <x:c r="C11" s="87" t="str">
        <x:v>Yes</x:v>
      </x:c>
      <x:c r="D11" s="87" t="str">
        <x:v>Client</x:v>
      </x:c>
      <x:c r="E11" s="87" t="str">
        <x:v>Not started</x:v>
      </x:c>
      <x:c r="F11" s="76" t="str"/>
      <x:c r="G11" s="77" t="str"/>
    </x:row>
    <x:row r="12">
      <x:c r="A12" s="86" t="str">
        <x:v>Existing Form Fields</x:v>
      </x:c>
      <x:c r="B12" s="76" t="str">
        <x:v>What fields does the current form capture?</x:v>
      </x:c>
      <x:c r="C12" s="87" t="str">
        <x:v>Yes</x:v>
      </x:c>
      <x:c r="D12" s="87" t="str">
        <x:v>Ryan</x:v>
      </x:c>
      <x:c r="E12" s="87" t="str">
        <x:v>Not started</x:v>
      </x:c>
      <x:c r="F12" s="76" t="str"/>
      <x:c r="G12" s="77" t="str"/>
    </x:row>
    <x:row r="13">
      <x:c r="A13" s="86" t="str">
        <x:v>Lead Volume</x:v>
      </x:c>
      <x:c r="B13" s="76" t="str">
        <x:v>How many form submissions do you receive per month?</x:v>
      </x:c>
      <x:c r="C13" s="87" t="str">
        <x:v>No</x:v>
      </x:c>
      <x:c r="D13" s="87" t="str">
        <x:v>Client</x:v>
      </x:c>
      <x:c r="E13" s="87" t="str">
        <x:v>Not started</x:v>
      </x:c>
      <x:c r="F13" s="76" t="str"/>
      <x:c r="G13" s="77" t="str"/>
    </x:row>
    <x:row r="14">
      <x:c r="A14" s="86" t="str">
        <x:v>Manual Research Time</x:v>
      </x:c>
      <x:c r="B14" s="76" t="str">
        <x:v>How many minutes does sales spend researching a good lead?</x:v>
      </x:c>
      <x:c r="C14" s="87" t="str">
        <x:v>No</x:v>
      </x:c>
      <x:c r="D14" s="87" t="str">
        <x:v>Client</x:v>
      </x:c>
      <x:c r="E14" s="87" t="str">
        <x:v>Not started</x:v>
      </x:c>
      <x:c r="F14" s="76" t="str"/>
      <x:c r="G14" s="77" t="str"/>
    </x:row>
    <x:row r="15">
      <x:c r="A15" s="86" t="str">
        <x:v>ICP Definition</x:v>
      </x:c>
      <x:c r="B15" s="76" t="str">
        <x:v>What makes a lead high fit?</x:v>
      </x:c>
      <x:c r="C15" s="87" t="str">
        <x:v>Yes</x:v>
      </x:c>
      <x:c r="D15" s="87" t="str">
        <x:v>Client</x:v>
      </x:c>
      <x:c r="E15" s="87" t="str">
        <x:v>Not started</x:v>
      </x:c>
      <x:c r="F15" s="76" t="str"/>
      <x:c r="G15" s="77" t="str"/>
    </x:row>
    <x:row r="16">
      <x:c r="A16" s="86" t="str">
        <x:v>Disqualifiers</x:v>
      </x:c>
      <x:c r="B16" s="76" t="str">
        <x:v>What makes a lead low fit or spam?</x:v>
      </x:c>
      <x:c r="C16" s="87" t="str">
        <x:v>Yes</x:v>
      </x:c>
      <x:c r="D16" s="87" t="str">
        <x:v>Client</x:v>
      </x:c>
      <x:c r="E16" s="87" t="str">
        <x:v>Not started</x:v>
      </x:c>
      <x:c r="F16" s="76" t="str"/>
      <x:c r="G16" s="77" t="str"/>
    </x:row>
    <x:row r="17">
      <x:c r="A17" s="86" t="str">
        <x:v>Compliance Constraints</x:v>
      </x:c>
      <x:c r="B17" s="76" t="str">
        <x:v>Any fields we should avoid collecting or storing?</x:v>
      </x:c>
      <x:c r="C17" s="87" t="str">
        <x:v>Yes</x:v>
      </x:c>
      <x:c r="D17" s="87" t="str">
        <x:v>Client</x:v>
      </x:c>
      <x:c r="E17" s="87" t="str">
        <x:v>Not started</x:v>
      </x:c>
      <x:c r="F17" s="76" t="str"/>
      <x:c r="G17" s="77" t="str"/>
    </x:row>
    <x:row r="18">
      <x:c r="A18" s="86" t="str">
        <x:v>Brand Voice</x:v>
      </x:c>
      <x:c r="B18" s="76" t="str">
        <x:v>Should the widget sound direct, consultative, technical, or warm?</x:v>
      </x:c>
      <x:c r="C18" s="87" t="str">
        <x:v>No</x:v>
      </x:c>
      <x:c r="D18" s="87" t="str">
        <x:v>Client</x:v>
      </x:c>
      <x:c r="E18" s="87" t="str">
        <x:v>Not started</x:v>
      </x:c>
      <x:c r="F18" s="76" t="str"/>
      <x:c r="G18" s="77" t="str"/>
    </x:row>
    <x:row r="19">
      <x:c r="A19" s="86" t="str">
        <x:v>Calendar/Hand-Off</x:v>
      </x:c>
      <x:c r="B19" s="76" t="str">
        <x:v>Should the profile trigger booking, Slack/email, or rep assignment?</x:v>
      </x:c>
      <x:c r="C19" s="87" t="str">
        <x:v>No</x:v>
      </x:c>
      <x:c r="D19" s="87" t="str">
        <x:v>Client</x:v>
      </x:c>
      <x:c r="E19" s="87" t="str">
        <x:v>Not started</x:v>
      </x:c>
      <x:c r="F19" s="76" t="str"/>
      <x:c r="G19" s="77" t="str"/>
    </x:row>
    <x:row r="20">
      <x:c r="A20" s="86" t="str">
        <x:v>Beta Success</x:v>
      </x:c>
      <x:c r="B20" s="76" t="str">
        <x:v>What would make this beta worth paying for next month?</x:v>
      </x:c>
      <x:c r="C20" s="87" t="str">
        <x:v>Yes</x:v>
      </x:c>
      <x:c r="D20" s="87" t="str">
        <x:v>Client</x:v>
      </x:c>
      <x:c r="E20" s="87" t="str">
        <x:v>Not started</x:v>
      </x:c>
      <x:c r="F20" s="76" t="str"/>
      <x:c r="G20" s="77" t="str"/>
    </x:row>
    <x:row r="21">
      <x:c r="A21" s="86" t="str">
        <x:v>Install Contact</x:v>
      </x:c>
      <x:c r="B21" s="76" t="str">
        <x:v>Who can add the script tag?</x:v>
      </x:c>
      <x:c r="C21" s="87" t="str">
        <x:v>Yes</x:v>
      </x:c>
      <x:c r="D21" s="87" t="str">
        <x:v>Client</x:v>
      </x:c>
      <x:c r="E21" s="87" t="str">
        <x:v>Not started</x:v>
      </x:c>
      <x:c r="F21" s="76" t="str"/>
      <x:c r="G21" s="77" t="str"/>
    </x:row>
    <x:row r="22">
      <x:c r="A22" s="86" t="str">
        <x:v>Approval Path</x:v>
      </x:c>
      <x:c r="B22" s="76" t="str">
        <x:v>Who signs off on widget copy and CRM fields?</x:v>
      </x:c>
      <x:c r="C22" s="87" t="str">
        <x:v>Yes</x:v>
      </x:c>
      <x:c r="D22" s="87" t="str">
        <x:v>Client</x:v>
      </x:c>
      <x:c r="E22" s="87" t="str">
        <x:v>Not started</x:v>
      </x:c>
      <x:c r="F22" s="76" t="str"/>
      <x:c r="G22" s="77" t="str"/>
    </x:row>
    <x:row r="23">
      <x:c r="A23" s="86" t="str">
        <x:v>Launch Date</x:v>
      </x:c>
      <x:c r="B23" s="76" t="str">
        <x:v>When should the beta go live?</x:v>
      </x:c>
      <x:c r="C23" s="87" t="str">
        <x:v>Yes</x:v>
      </x:c>
      <x:c r="D23" s="87" t="str">
        <x:v>Client</x:v>
      </x:c>
      <x:c r="E23" s="87" t="str">
        <x:v>Not started</x:v>
      </x:c>
      <x:c r="F23" s="76" t="str"/>
      <x:c r="G23" s="77" t="str"/>
    </x:row>
    <x:row r="24">
      <x:c r="A24" s="86" t="str">
        <x:v>Weekly Review Time</x:v>
      </x:c>
      <x:c r="B24" s="76" t="str">
        <x:v>When should the weekly proof review happen?</x:v>
      </x:c>
      <x:c r="C24" s="87" t="str">
        <x:v>No</x:v>
      </x:c>
      <x:c r="D24" s="87" t="str">
        <x:v>Client</x:v>
      </x:c>
      <x:c r="E24" s="87" t="str">
        <x:v>Not started</x:v>
      </x:c>
      <x:c r="F24" s="76" t="str"/>
      <x:c r="G24" s="77" t="str"/>
    </x:row>
    <x:row r="25">
      <x:c r="A25" s="86" t="str">
        <x:v>Quote Permission</x:v>
      </x:c>
      <x:c r="B25" s="76" t="str">
        <x:v>Can we use anonymized metrics or quotes if this works?</x:v>
      </x:c>
      <x:c r="C25" s="87" t="str">
        <x:v>No</x:v>
      </x:c>
      <x:c r="D25" s="87" t="str">
        <x:v>Client</x:v>
      </x:c>
      <x:c r="E25" s="87" t="str">
        <x:v>Not started</x:v>
      </x:c>
      <x:c r="F25" s="76" t="str"/>
      <x:c r="G25" s="77" t="str"/>
    </x:row>
    <x:row r="26">
      <x:c r="A26" s="90" t="str">
        <x:v>Screenshots Permission</x:v>
      </x:c>
      <x:c r="B26" s="80" t="str">
        <x:v>Can we capture anonymized CRM/profile screenshots?</x:v>
      </x:c>
      <x:c r="C26" s="91" t="str">
        <x:v>No</x:v>
      </x:c>
      <x:c r="D26" s="91" t="str">
        <x:v>Client</x:v>
      </x:c>
      <x:c r="E26" s="91" t="str">
        <x:v>Not started</x:v>
      </x:c>
      <x:c r="F26" s="80" t="str"/>
      <x:c r="G26" s="81" t="str"/>
    </x:row>
  </x:sheetData>
  <x:mergeCells>
    <x:mergeCell ref="A1:G2"/>
  </x:mergeCells>
  <x:dataValidations count="3">
    <x:dataValidation type="list" sqref="C5:C26">
      <x:formula1>"Yes,No"</x:formula1>
    </x:dataValidation>
    <x:dataValidation type="list" sqref="D5:D26">
      <x:formula1>"Ryan,Client,CRM owner,Developer,Sales owner"</x:formula1>
    </x:dataValidation>
    <x:dataValidation type="list" sqref="E5:E26">
      <x:formula1>"Not started,Requested,Received,Validated,Blocked"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11bbaae7391458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36.66999816894531" hidden="0" customWidth="1"/>
    <x:col min="3" max="3" width="13.329999923706055" hidden="0" customWidth="1"/>
    <x:col min="4" max="4" width="15" hidden="0" customWidth="1"/>
    <x:col min="5" max="5" width="14.4399995803833" hidden="0" customWidth="1"/>
    <x:col min="6" max="6" width="24.440000534057617" hidden="0" customWidth="1"/>
    <x:col min="7" max="7" width="17.780000686645508" hidden="0" customWidth="1"/>
    <x:col min="8" max="8" width="28.889999389648438" hidden="0" customWidth="1"/>
  </x:cols>
  <x:sheetData>
    <x:row r="1" ht="24" customHeight="1">
      <x:c r="A1" s="64" t="str">
        <x:v>Deal Threads HubSpot Sandbox Setup
Use this to create a repeatable profile sync and QA flow.</x:v>
      </x:c>
      <x:c r="B1" s="64" t="str">
        <x:v>Deal Threads HubSpot Sandbox Setup
Use this to create a repeatable profile sync and QA flow.</x:v>
      </x:c>
      <x:c r="C1" s="64" t="str">
        <x:v>Deal Threads HubSpot Sandbox Setup
Use this to create a repeatable profile sync and QA flow.</x:v>
      </x:c>
      <x:c r="D1" s="64" t="str">
        <x:v>Deal Threads HubSpot Sandbox Setup
Use this to create a repeatable profile sync and QA flow.</x:v>
      </x:c>
      <x:c r="E1" s="64" t="str">
        <x:v>Deal Threads HubSpot Sandbox Setup
Use this to create a repeatable profile sync and QA flow.</x:v>
      </x:c>
      <x:c r="F1" s="64" t="str">
        <x:v>Deal Threads HubSpot Sandbox Setup
Use this to create a repeatable profile sync and QA flow.</x:v>
      </x:c>
      <x:c r="G1" s="64" t="str">
        <x:v>Deal Threads HubSpot Sandbox Setup
Use this to create a repeatable profile sync and QA flow.</x:v>
      </x:c>
      <x:c r="H1" s="64" t="str">
        <x:v>Deal Threads HubSpot Sandbox Setup
Use this to create a repeatable profile sync and QA flow.</x:v>
      </x:c>
    </x:row>
    <x:row r="2" ht="24" customHeight="1">
      <x:c r="A2" s="64" t="str">
        <x:v>Deal Threads HubSpot Sandbox Setup
Use this to create a repeatable profile sync and QA flow.</x:v>
      </x:c>
      <x:c r="B2" s="64" t="str">
        <x:v>Deal Threads HubSpot Sandbox Setup
Use this to create a repeatable profile sync and QA flow.</x:v>
      </x:c>
      <x:c r="C2" s="64" t="str">
        <x:v>Deal Threads HubSpot Sandbox Setup
Use this to create a repeatable profile sync and QA flow.</x:v>
      </x:c>
      <x:c r="D2" s="64" t="str">
        <x:v>Deal Threads HubSpot Sandbox Setup
Use this to create a repeatable profile sync and QA flow.</x:v>
      </x:c>
      <x:c r="E2" s="64" t="str">
        <x:v>Deal Threads HubSpot Sandbox Setup
Use this to create a repeatable profile sync and QA flow.</x:v>
      </x:c>
      <x:c r="F2" s="64" t="str">
        <x:v>Deal Threads HubSpot Sandbox Setup
Use this to create a repeatable profile sync and QA flow.</x:v>
      </x:c>
      <x:c r="G2" s="64" t="str">
        <x:v>Deal Threads HubSpot Sandbox Setup
Use this to create a repeatable profile sync and QA flow.</x:v>
      </x:c>
      <x:c r="H2" s="64" t="str">
        <x:v>Deal Threads HubSpot Sandbox Setup
Use this to create a repeatable profile sync and QA flow.</x:v>
      </x:c>
    </x:row>
    <x:row r="3">
      <x:c r="A3" s="65"/>
      <x:c r="B3" s="65"/>
      <x:c r="C3" s="65"/>
      <x:c r="D3" s="65"/>
      <x:c r="E3" s="65"/>
      <x:c r="F3" s="65"/>
      <x:c r="G3" s="65"/>
      <x:c r="H3" s="65"/>
    </x:row>
    <x:row r="4">
      <x:c r="A4" s="83" t="str">
        <x:v>Step</x:v>
      </x:c>
      <x:c r="B4" s="84" t="str">
        <x:v>Definition</x:v>
      </x:c>
      <x:c r="C4" s="84" t="str">
        <x:v>Required?</x:v>
      </x:c>
      <x:c r="D4" s="84" t="str">
        <x:v>Owner</x:v>
      </x:c>
      <x:c r="E4" s="84" t="str">
        <x:v>Status</x:v>
      </x:c>
      <x:c r="F4" s="84" t="str">
        <x:v>Test Record / Link</x:v>
      </x:c>
      <x:c r="G4" s="84" t="str">
        <x:v>Completion Date</x:v>
      </x:c>
      <x:c r="H4" s="85" t="str">
        <x:v>Notes</x:v>
      </x:c>
    </x:row>
    <x:row r="5">
      <x:c r="A5" s="86" t="str">
        <x:v>Create beta sandbox</x:v>
      </x:c>
      <x:c r="B5" s="76" t="str">
        <x:v>Use a sandbox/test portal when possible before touching production.</x:v>
      </x:c>
      <x:c r="C5" s="87" t="str">
        <x:v>Yes</x:v>
      </x:c>
      <x:c r="D5" s="87" t="str">
        <x:v>Ryan</x:v>
      </x:c>
      <x:c r="E5" s="87" t="str">
        <x:v>Not started</x:v>
      </x:c>
      <x:c r="F5" s="87" t="str"/>
      <x:c r="G5" s="89" t="str"/>
      <x:c r="H5" s="77" t="str"/>
    </x:row>
    <x:row r="6">
      <x:c r="A6" s="86" t="str">
        <x:v>Create custom object/fields</x:v>
      </x:c>
      <x:c r="B6" s="76" t="str">
        <x:v>Add buyer profile fields or mapped contact/company properties.</x:v>
      </x:c>
      <x:c r="C6" s="87" t="str">
        <x:v>Yes</x:v>
      </x:c>
      <x:c r="D6" s="87" t="str">
        <x:v>Ryan</x:v>
      </x:c>
      <x:c r="E6" s="87" t="str">
        <x:v>Not started</x:v>
      </x:c>
      <x:c r="F6" s="87" t="str"/>
      <x:c r="G6" s="89" t="str"/>
      <x:c r="H6" s="77" t="str"/>
    </x:row>
    <x:row r="7">
      <x:c r="A7" s="86" t="str">
        <x:v>Map identity fields</x:v>
      </x:c>
      <x:c r="B7" s="76" t="str">
        <x:v>Email, name, company, website, role, source page.</x:v>
      </x:c>
      <x:c r="C7" s="87" t="str">
        <x:v>Yes</x:v>
      </x:c>
      <x:c r="D7" s="87" t="str">
        <x:v>Ryan</x:v>
      </x:c>
      <x:c r="E7" s="87" t="str">
        <x:v>Not started</x:v>
      </x:c>
      <x:c r="F7" s="87" t="str"/>
      <x:c r="G7" s="89" t="str"/>
      <x:c r="H7" s="77" t="str"/>
    </x:row>
    <x:row r="8">
      <x:c r="A8" s="86" t="str">
        <x:v>Map conversation fields</x:v>
      </x:c>
      <x:c r="B8" s="76" t="str">
        <x:v>Business need, timeline, budget/buying stage, authority, unknowns.</x:v>
      </x:c>
      <x:c r="C8" s="87" t="str">
        <x:v>Yes</x:v>
      </x:c>
      <x:c r="D8" s="87" t="str">
        <x:v>Ryan</x:v>
      </x:c>
      <x:c r="E8" s="87" t="str">
        <x:v>Not started</x:v>
      </x:c>
      <x:c r="F8" s="87" t="str"/>
      <x:c r="G8" s="89" t="str"/>
      <x:c r="H8" s="77" t="str"/>
    </x:row>
    <x:row r="9">
      <x:c r="A9" s="86" t="str">
        <x:v>Map enrichment fields</x:v>
      </x:c>
      <x:c r="B9" s="76" t="str">
        <x:v>Employee range, industry, tech stack, recent news, ICP segment.</x:v>
      </x:c>
      <x:c r="C9" s="87" t="str">
        <x:v>Yes</x:v>
      </x:c>
      <x:c r="D9" s="87" t="str">
        <x:v>Ryan</x:v>
      </x:c>
      <x:c r="E9" s="87" t="str">
        <x:v>Not started</x:v>
      </x:c>
      <x:c r="F9" s="87" t="str"/>
      <x:c r="G9" s="89" t="str"/>
      <x:c r="H9" s="77" t="str"/>
    </x:row>
    <x:row r="10">
      <x:c r="A10" s="86" t="str">
        <x:v>Map scoring fields</x:v>
      </x:c>
      <x:c r="B10" s="76" t="str">
        <x:v>ICP score, priority, route owner, reason codes.</x:v>
      </x:c>
      <x:c r="C10" s="87" t="str">
        <x:v>Yes</x:v>
      </x:c>
      <x:c r="D10" s="87" t="str">
        <x:v>Ryan</x:v>
      </x:c>
      <x:c r="E10" s="87" t="str">
        <x:v>Not started</x:v>
      </x:c>
      <x:c r="F10" s="87" t="str"/>
      <x:c r="G10" s="89" t="str"/>
      <x:c r="H10" s="77" t="str"/>
    </x:row>
    <x:row r="11">
      <x:c r="A11" s="86" t="str">
        <x:v>Add CRM note template</x:v>
      </x:c>
      <x:c r="B11" s="76" t="str">
        <x:v>Rep-ready note with opener and unknowns to confirm.</x:v>
      </x:c>
      <x:c r="C11" s="87" t="str">
        <x:v>Yes</x:v>
      </x:c>
      <x:c r="D11" s="87" t="str">
        <x:v>Ryan</x:v>
      </x:c>
      <x:c r="E11" s="87" t="str">
        <x:v>Not started</x:v>
      </x:c>
      <x:c r="F11" s="87" t="str"/>
      <x:c r="G11" s="89" t="str"/>
      <x:c r="H11" s="77" t="str"/>
    </x:row>
    <x:row r="12">
      <x:c r="A12" s="86" t="str">
        <x:v>Build routing workflow</x:v>
      </x:c>
      <x:c r="B12" s="76" t="str">
        <x:v>High-priority leads alert sales owner; low-priority leads route to nurture.</x:v>
      </x:c>
      <x:c r="C12" s="87" t="str">
        <x:v>Yes</x:v>
      </x:c>
      <x:c r="D12" s="87" t="str">
        <x:v>CRM owner</x:v>
      </x:c>
      <x:c r="E12" s="87" t="str">
        <x:v>Not started</x:v>
      </x:c>
      <x:c r="F12" s="87" t="str"/>
      <x:c r="G12" s="89" t="str"/>
      <x:c r="H12" s="77" t="str"/>
    </x:row>
    <x:row r="13">
      <x:c r="A13" s="86" t="str">
        <x:v>Create test contact</x:v>
      </x:c>
      <x:c r="B13" s="76" t="str">
        <x:v>Use a fake but realistic lead to validate mapping.</x:v>
      </x:c>
      <x:c r="C13" s="87" t="str">
        <x:v>Yes</x:v>
      </x:c>
      <x:c r="D13" s="87" t="str">
        <x:v>Ryan</x:v>
      </x:c>
      <x:c r="E13" s="87" t="str">
        <x:v>Not started</x:v>
      </x:c>
      <x:c r="F13" s="87" t="str"/>
      <x:c r="G13" s="89" t="str"/>
      <x:c r="H13" s="77" t="str"/>
    </x:row>
    <x:row r="14">
      <x:c r="A14" s="86" t="str">
        <x:v>Run widget test</x:v>
      </x:c>
      <x:c r="B14" s="76" t="str">
        <x:v>Submit the test conversation from the target page.</x:v>
      </x:c>
      <x:c r="C14" s="87" t="str">
        <x:v>Yes</x:v>
      </x:c>
      <x:c r="D14" s="87" t="str">
        <x:v>Ryan</x:v>
      </x:c>
      <x:c r="E14" s="87" t="str">
        <x:v>Not started</x:v>
      </x:c>
      <x:c r="F14" s="87" t="str"/>
      <x:c r="G14" s="89" t="str"/>
      <x:c r="H14" s="77" t="str"/>
    </x:row>
    <x:row r="15">
      <x:c r="A15" s="86" t="str">
        <x:v>Validate CRM sync</x:v>
      </x:c>
      <x:c r="B15" s="76" t="str">
        <x:v>Confirm all expected values land correctly and unknowns remain explicit.</x:v>
      </x:c>
      <x:c r="C15" s="87" t="str">
        <x:v>Yes</x:v>
      </x:c>
      <x:c r="D15" s="87" t="str">
        <x:v>Ryan</x:v>
      </x:c>
      <x:c r="E15" s="87" t="str">
        <x:v>Not started</x:v>
      </x:c>
      <x:c r="F15" s="87" t="str"/>
      <x:c r="G15" s="89" t="str"/>
      <x:c r="H15" s="77" t="str"/>
    </x:row>
    <x:row r="16">
      <x:c r="A16" s="86" t="str">
        <x:v>Validate alert</x:v>
      </x:c>
      <x:c r="B16" s="76" t="str">
        <x:v>Confirm email/Slack/CRM task reaches the right owner.</x:v>
      </x:c>
      <x:c r="C16" s="87" t="str">
        <x:v>Yes</x:v>
      </x:c>
      <x:c r="D16" s="87" t="str">
        <x:v>Client</x:v>
      </x:c>
      <x:c r="E16" s="87" t="str">
        <x:v>Not started</x:v>
      </x:c>
      <x:c r="F16" s="87" t="str"/>
      <x:c r="G16" s="89" t="str"/>
      <x:c r="H16" s="77" t="str"/>
    </x:row>
    <x:row r="17">
      <x:c r="A17" s="86" t="str">
        <x:v>Privacy review</x:v>
      </x:c>
      <x:c r="B17" s="76" t="str">
        <x:v>Confirm sensitive or unnecessary fields are not stored.</x:v>
      </x:c>
      <x:c r="C17" s="87" t="str">
        <x:v>Yes</x:v>
      </x:c>
      <x:c r="D17" s="87" t="str">
        <x:v>Client</x:v>
      </x:c>
      <x:c r="E17" s="87" t="str">
        <x:v>Not started</x:v>
      </x:c>
      <x:c r="F17" s="87" t="str"/>
      <x:c r="G17" s="89" t="str"/>
      <x:c r="H17" s="77" t="str"/>
    </x:row>
    <x:row r="18">
      <x:c r="A18" s="86" t="str">
        <x:v>Sales review</x:v>
      </x:c>
      <x:c r="B18" s="76" t="str">
        <x:v>Ask rep/founder if profile helps them take action.</x:v>
      </x:c>
      <x:c r="C18" s="87" t="str">
        <x:v>Yes</x:v>
      </x:c>
      <x:c r="D18" s="87" t="str">
        <x:v>Client</x:v>
      </x:c>
      <x:c r="E18" s="87" t="str">
        <x:v>Not started</x:v>
      </x:c>
      <x:c r="F18" s="87" t="str"/>
      <x:c r="G18" s="89" t="str"/>
      <x:c r="H18" s="77" t="str"/>
    </x:row>
    <x:row r="19">
      <x:c r="A19" s="86" t="str">
        <x:v>Launch approval</x:v>
      </x:c>
      <x:c r="B19" s="76" t="str">
        <x:v>Client approves copy, routing, fields, and go-live timing.</x:v>
      </x:c>
      <x:c r="C19" s="87" t="str">
        <x:v>Yes</x:v>
      </x:c>
      <x:c r="D19" s="87" t="str">
        <x:v>Client</x:v>
      </x:c>
      <x:c r="E19" s="87" t="str">
        <x:v>Not started</x:v>
      </x:c>
      <x:c r="F19" s="87" t="str"/>
      <x:c r="G19" s="89" t="str"/>
      <x:c r="H19" s="77" t="str"/>
    </x:row>
    <x:row r="20">
      <x:c r="A20" s="86" t="str">
        <x:v>Go live</x:v>
      </x:c>
      <x:c r="B20" s="76" t="str">
        <x:v>Install live script and run one final smoke test.</x:v>
      </x:c>
      <x:c r="C20" s="87" t="str">
        <x:v>Yes</x:v>
      </x:c>
      <x:c r="D20" s="87" t="str">
        <x:v>Developer</x:v>
      </x:c>
      <x:c r="E20" s="87" t="str">
        <x:v>Not started</x:v>
      </x:c>
      <x:c r="F20" s="87" t="str"/>
      <x:c r="G20" s="89" t="str"/>
      <x:c r="H20" s="77" t="str"/>
    </x:row>
    <x:row r="21">
      <x:c r="A21" s="86" t="str">
        <x:v>Day 1 proof check</x:v>
      </x:c>
      <x:c r="B21" s="76" t="str">
        <x:v>Confirm first lead path, logging, and reporting.</x:v>
      </x:c>
      <x:c r="C21" s="87" t="str">
        <x:v>Yes</x:v>
      </x:c>
      <x:c r="D21" s="87" t="str">
        <x:v>Ryan</x:v>
      </x:c>
      <x:c r="E21" s="87" t="str">
        <x:v>Not started</x:v>
      </x:c>
      <x:c r="F21" s="87" t="str"/>
      <x:c r="G21" s="89" t="str"/>
      <x:c r="H21" s="77" t="str"/>
    </x:row>
    <x:row r="22">
      <x:c r="A22" s="86" t="str">
        <x:v>Week 1 report</x:v>
      </x:c>
      <x:c r="B22" s="76" t="str">
        <x:v>Send proof report and ask what changed in follow-up.</x:v>
      </x:c>
      <x:c r="C22" s="87" t="str">
        <x:v>Yes</x:v>
      </x:c>
      <x:c r="D22" s="87" t="str">
        <x:v>Ryan</x:v>
      </x:c>
      <x:c r="E22" s="87" t="str">
        <x:v>Not started</x:v>
      </x:c>
      <x:c r="F22" s="87" t="str"/>
      <x:c r="G22" s="89" t="str"/>
      <x:c r="H22" s="77" t="str"/>
    </x:row>
    <x:row r="23">
      <x:c r="A23" s="86" t="str">
        <x:v>Expansion decision</x:v>
      </x:c>
      <x:c r="B23" s="76" t="str">
        <x:v>Continue, adjust, pause, expand, or convert to paid.</x:v>
      </x:c>
      <x:c r="C23" s="87" t="str">
        <x:v>Yes</x:v>
      </x:c>
      <x:c r="D23" s="87" t="str">
        <x:v>Client</x:v>
      </x:c>
      <x:c r="E23" s="87" t="str">
        <x:v>Not started</x:v>
      </x:c>
      <x:c r="F23" s="87" t="str"/>
      <x:c r="G23" s="89" t="str"/>
      <x:c r="H23" s="77" t="str"/>
    </x:row>
    <x:row r="24">
      <x:c r="A24" s="90" t="str">
        <x:v>Case study capture</x:v>
      </x:c>
      <x:c r="B24" s="80" t="str">
        <x:v>Collect quote, screenshot, and before/after metrics if proof threshold is met.</x:v>
      </x:c>
      <x:c r="C24" s="91" t="str">
        <x:v>No</x:v>
      </x:c>
      <x:c r="D24" s="91" t="str">
        <x:v>Ryan</x:v>
      </x:c>
      <x:c r="E24" s="91" t="str">
        <x:v>Not started</x:v>
      </x:c>
      <x:c r="F24" s="91" t="str"/>
      <x:c r="G24" s="93" t="str"/>
      <x:c r="H24" s="81" t="str"/>
    </x:row>
  </x:sheetData>
  <x:mergeCells>
    <x:mergeCell ref="A1:H2"/>
  </x:mergeCells>
  <x:dataValidations count="3">
    <x:dataValidation type="list" sqref="C5:C24">
      <x:formula1>"Yes,No"</x:formula1>
    </x:dataValidation>
    <x:dataValidation type="list" sqref="D5:D24">
      <x:formula1>"Ryan,Client,CRM owner,Developer,Sales owner"</x:formula1>
    </x:dataValidation>
    <x:dataValidation type="list" sqref="E5:E24">
      <x:formula1>"Not started,In progress,Done,Blocked"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4bd33fd526c4fc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80000686645508" hidden="0" customWidth="1"/>
    <x:col min="2" max="2" width="18.889999389648438" hidden="0" customWidth="1"/>
    <x:col min="3" max="3" width="13.329999923706055" hidden="0" customWidth="1"/>
    <x:col min="4" max="4" width="15.5600004196167" hidden="0" customWidth="1"/>
    <x:col min="5" max="5" width="13.329999923706055" hidden="0" customWidth="1"/>
    <x:col min="6" max="6" width="15.5600004196167" hidden="0" customWidth="1"/>
    <x:col min="7" max="7" width="15.5600004196167" hidden="0" customWidth="1"/>
    <x:col min="8" max="8" width="15.5600004196167" hidden="0" customWidth="1"/>
    <x:col min="9" max="9" width="15.5600004196167" hidden="0" customWidth="1"/>
    <x:col min="10" max="10" width="20" hidden="0" customWidth="1"/>
    <x:col min="11" max="11" width="17.780000686645508" hidden="0" customWidth="1"/>
    <x:col min="12" max="12" width="28.889999389648438" hidden="0" customWidth="1"/>
  </x:cols>
  <x:sheetData>
    <x:row r="1" ht="24" customHeight="1">
      <x:c r="A1" s="64" t="str">
        <x:v>Deal Threads Beta Install Tracker
Keep each beta install moving from intake to first proof.</x:v>
      </x:c>
      <x:c r="B1" s="64" t="str">
        <x:v>Deal Threads Beta Install Tracker
Keep each beta install moving from intake to first proof.</x:v>
      </x:c>
      <x:c r="C1" s="64" t="str">
        <x:v>Deal Threads Beta Install Tracker
Keep each beta install moving from intake to first proof.</x:v>
      </x:c>
      <x:c r="D1" s="64" t="str">
        <x:v>Deal Threads Beta Install Tracker
Keep each beta install moving from intake to first proof.</x:v>
      </x:c>
      <x:c r="E1" s="64" t="str">
        <x:v>Deal Threads Beta Install Tracker
Keep each beta install moving from intake to first proof.</x:v>
      </x:c>
      <x:c r="F1" s="64" t="str">
        <x:v>Deal Threads Beta Install Tracker
Keep each beta install moving from intake to first proof.</x:v>
      </x:c>
      <x:c r="G1" s="64" t="str">
        <x:v>Deal Threads Beta Install Tracker
Keep each beta install moving from intake to first proof.</x:v>
      </x:c>
      <x:c r="H1" s="64" t="str">
        <x:v>Deal Threads Beta Install Tracker
Keep each beta install moving from intake to first proof.</x:v>
      </x:c>
      <x:c r="I1" s="64" t="str">
        <x:v>Deal Threads Beta Install Tracker
Keep each beta install moving from intake to first proof.</x:v>
      </x:c>
      <x:c r="J1" s="64" t="str">
        <x:v>Deal Threads Beta Install Tracker
Keep each beta install moving from intake to first proof.</x:v>
      </x:c>
      <x:c r="K1" s="64" t="str">
        <x:v>Deal Threads Beta Install Tracker
Keep each beta install moving from intake to first proof.</x:v>
      </x:c>
      <x:c r="L1" s="64" t="str">
        <x:v>Deal Threads Beta Install Tracker
Keep each beta install moving from intake to first proof.</x:v>
      </x:c>
    </x:row>
    <x:row r="2" ht="24" customHeight="1">
      <x:c r="A2" s="64" t="str">
        <x:v>Deal Threads Beta Install Tracker
Keep each beta install moving from intake to first proof.</x:v>
      </x:c>
      <x:c r="B2" s="64" t="str">
        <x:v>Deal Threads Beta Install Tracker
Keep each beta install moving from intake to first proof.</x:v>
      </x:c>
      <x:c r="C2" s="64" t="str">
        <x:v>Deal Threads Beta Install Tracker
Keep each beta install moving from intake to first proof.</x:v>
      </x:c>
      <x:c r="D2" s="64" t="str">
        <x:v>Deal Threads Beta Install Tracker
Keep each beta install moving from intake to first proof.</x:v>
      </x:c>
      <x:c r="E2" s="64" t="str">
        <x:v>Deal Threads Beta Install Tracker
Keep each beta install moving from intake to first proof.</x:v>
      </x:c>
      <x:c r="F2" s="64" t="str">
        <x:v>Deal Threads Beta Install Tracker
Keep each beta install moving from intake to first proof.</x:v>
      </x:c>
      <x:c r="G2" s="64" t="str">
        <x:v>Deal Threads Beta Install Tracker
Keep each beta install moving from intake to first proof.</x:v>
      </x:c>
      <x:c r="H2" s="64" t="str">
        <x:v>Deal Threads Beta Install Tracker
Keep each beta install moving from intake to first proof.</x:v>
      </x:c>
      <x:c r="I2" s="64" t="str">
        <x:v>Deal Threads Beta Install Tracker
Keep each beta install moving from intake to first proof.</x:v>
      </x:c>
      <x:c r="J2" s="64" t="str">
        <x:v>Deal Threads Beta Install Tracker
Keep each beta install moving from intake to first proof.</x:v>
      </x:c>
      <x:c r="K2" s="64" t="str">
        <x:v>Deal Threads Beta Install Tracker
Keep each beta install moving from intake to first proof.</x:v>
      </x:c>
      <x:c r="L2" s="64" t="str">
        <x:v>Deal Threads Beta Install Tracker
Keep each beta install moving from intake to first proof.</x:v>
      </x:c>
    </x:row>
    <x:row r="3">
      <x:c r="A3" s="65"/>
      <x:c r="B3" s="65"/>
      <x:c r="C3" s="65"/>
      <x:c r="D3" s="65"/>
      <x:c r="E3" s="65"/>
      <x:c r="F3" s="65"/>
      <x:c r="G3" s="65"/>
      <x:c r="H3" s="65"/>
      <x:c r="I3" s="65"/>
      <x:c r="J3" s="65"/>
      <x:c r="K3" s="65"/>
      <x:c r="L3" s="65"/>
    </x:row>
    <x:row r="4">
      <x:c r="A4" s="83" t="str">
        <x:v>Client</x:v>
      </x:c>
      <x:c r="B4" s="84" t="str">
        <x:v>Website/Page</x:v>
      </x:c>
      <x:c r="C4" s="84" t="str">
        <x:v>CRM</x:v>
      </x:c>
      <x:c r="D4" s="84" t="str">
        <x:v>Install Contact</x:v>
      </x:c>
      <x:c r="E4" s="84" t="str">
        <x:v>Stage</x:v>
      </x:c>
      <x:c r="F4" s="84" t="str">
        <x:v>Script Tag Sent</x:v>
      </x:c>
      <x:c r="G4" s="84" t="str">
        <x:v>Script Installed</x:v>
      </x:c>
      <x:c r="H4" s="84" t="str">
        <x:v>CRM Connected</x:v>
      </x:c>
      <x:c r="I4" s="84" t="str">
        <x:v>Smoke Test Done</x:v>
      </x:c>
      <x:c r="J4" s="84" t="str">
        <x:v>Go-Live Date</x:v>
      </x:c>
      <x:c r="K4" s="84" t="str">
        <x:v>Week 1 Review</x:v>
      </x:c>
      <x:c r="L4" s="85" t="str">
        <x:v>Notes</x:v>
      </x:c>
    </x:row>
    <x:row r="5">
      <x:c r="A5" s="86" t="str"/>
      <x:c r="B5" s="87" t="str"/>
      <x:c r="C5" s="87" t="str">
        <x:v>HubSpot</x:v>
      </x:c>
      <x:c r="D5" s="87" t="str"/>
      <x:c r="E5" s="87" t="str">
        <x:v>Prospect</x:v>
      </x:c>
      <x:c r="F5" s="87" t="str">
        <x:v>No</x:v>
      </x:c>
      <x:c r="G5" s="87" t="str">
        <x:v>No</x:v>
      </x:c>
      <x:c r="H5" s="87" t="str">
        <x:v>No</x:v>
      </x:c>
      <x:c r="I5" s="87" t="str">
        <x:v>No</x:v>
      </x:c>
      <x:c r="J5" s="89" t="str"/>
      <x:c r="K5" s="89" t="str"/>
      <x:c r="L5" s="77" t="str"/>
    </x:row>
    <x:row r="6">
      <x:c r="A6" s="86" t="str"/>
      <x:c r="B6" s="87" t="str"/>
      <x:c r="C6" s="87" t="str">
        <x:v>HubSpot</x:v>
      </x:c>
      <x:c r="D6" s="87" t="str"/>
      <x:c r="E6" s="87" t="str">
        <x:v>Prospect</x:v>
      </x:c>
      <x:c r="F6" s="87" t="str">
        <x:v>No</x:v>
      </x:c>
      <x:c r="G6" s="87" t="str">
        <x:v>No</x:v>
      </x:c>
      <x:c r="H6" s="87" t="str">
        <x:v>No</x:v>
      </x:c>
      <x:c r="I6" s="87" t="str">
        <x:v>No</x:v>
      </x:c>
      <x:c r="J6" s="89" t="str"/>
      <x:c r="K6" s="89" t="str"/>
      <x:c r="L6" s="77" t="str"/>
    </x:row>
    <x:row r="7">
      <x:c r="A7" s="86" t="str"/>
      <x:c r="B7" s="87" t="str"/>
      <x:c r="C7" s="87" t="str">
        <x:v>HubSpot</x:v>
      </x:c>
      <x:c r="D7" s="87" t="str"/>
      <x:c r="E7" s="87" t="str">
        <x:v>Prospect</x:v>
      </x:c>
      <x:c r="F7" s="87" t="str">
        <x:v>No</x:v>
      </x:c>
      <x:c r="G7" s="87" t="str">
        <x:v>No</x:v>
      </x:c>
      <x:c r="H7" s="87" t="str">
        <x:v>No</x:v>
      </x:c>
      <x:c r="I7" s="87" t="str">
        <x:v>No</x:v>
      </x:c>
      <x:c r="J7" s="89" t="str"/>
      <x:c r="K7" s="89" t="str"/>
      <x:c r="L7" s="77" t="str"/>
    </x:row>
    <x:row r="8">
      <x:c r="A8" s="86" t="str"/>
      <x:c r="B8" s="87" t="str"/>
      <x:c r="C8" s="87" t="str">
        <x:v>HubSpot</x:v>
      </x:c>
      <x:c r="D8" s="87" t="str"/>
      <x:c r="E8" s="87" t="str">
        <x:v>Prospect</x:v>
      </x:c>
      <x:c r="F8" s="87" t="str">
        <x:v>No</x:v>
      </x:c>
      <x:c r="G8" s="87" t="str">
        <x:v>No</x:v>
      </x:c>
      <x:c r="H8" s="87" t="str">
        <x:v>No</x:v>
      </x:c>
      <x:c r="I8" s="87" t="str">
        <x:v>No</x:v>
      </x:c>
      <x:c r="J8" s="89" t="str"/>
      <x:c r="K8" s="89" t="str"/>
      <x:c r="L8" s="77" t="str"/>
    </x:row>
    <x:row r="9">
      <x:c r="A9" s="86" t="str"/>
      <x:c r="B9" s="87" t="str"/>
      <x:c r="C9" s="87" t="str">
        <x:v>HubSpot</x:v>
      </x:c>
      <x:c r="D9" s="87" t="str"/>
      <x:c r="E9" s="87" t="str">
        <x:v>Prospect</x:v>
      </x:c>
      <x:c r="F9" s="87" t="str">
        <x:v>No</x:v>
      </x:c>
      <x:c r="G9" s="87" t="str">
        <x:v>No</x:v>
      </x:c>
      <x:c r="H9" s="87" t="str">
        <x:v>No</x:v>
      </x:c>
      <x:c r="I9" s="87" t="str">
        <x:v>No</x:v>
      </x:c>
      <x:c r="J9" s="89" t="str"/>
      <x:c r="K9" s="89" t="str"/>
      <x:c r="L9" s="77" t="str"/>
    </x:row>
    <x:row r="10">
      <x:c r="A10" s="86" t="str"/>
      <x:c r="B10" s="87" t="str"/>
      <x:c r="C10" s="87" t="str">
        <x:v>HubSpot</x:v>
      </x:c>
      <x:c r="D10" s="87" t="str"/>
      <x:c r="E10" s="87" t="str">
        <x:v>Prospect</x:v>
      </x:c>
      <x:c r="F10" s="87" t="str">
        <x:v>No</x:v>
      </x:c>
      <x:c r="G10" s="87" t="str">
        <x:v>No</x:v>
      </x:c>
      <x:c r="H10" s="87" t="str">
        <x:v>No</x:v>
      </x:c>
      <x:c r="I10" s="87" t="str">
        <x:v>No</x:v>
      </x:c>
      <x:c r="J10" s="89" t="str"/>
      <x:c r="K10" s="89" t="str"/>
      <x:c r="L10" s="77" t="str"/>
    </x:row>
    <x:row r="11">
      <x:c r="A11" s="86" t="str"/>
      <x:c r="B11" s="87" t="str"/>
      <x:c r="C11" s="87" t="str">
        <x:v>HubSpot</x:v>
      </x:c>
      <x:c r="D11" s="87" t="str"/>
      <x:c r="E11" s="87" t="str">
        <x:v>Prospect</x:v>
      </x:c>
      <x:c r="F11" s="87" t="str">
        <x:v>No</x:v>
      </x:c>
      <x:c r="G11" s="87" t="str">
        <x:v>No</x:v>
      </x:c>
      <x:c r="H11" s="87" t="str">
        <x:v>No</x:v>
      </x:c>
      <x:c r="I11" s="87" t="str">
        <x:v>No</x:v>
      </x:c>
      <x:c r="J11" s="89" t="str"/>
      <x:c r="K11" s="89" t="str"/>
      <x:c r="L11" s="77" t="str"/>
    </x:row>
    <x:row r="12">
      <x:c r="A12" s="86" t="str"/>
      <x:c r="B12" s="87" t="str"/>
      <x:c r="C12" s="87" t="str">
        <x:v>HubSpot</x:v>
      </x:c>
      <x:c r="D12" s="87" t="str"/>
      <x:c r="E12" s="87" t="str">
        <x:v>Prospect</x:v>
      </x:c>
      <x:c r="F12" s="87" t="str">
        <x:v>No</x:v>
      </x:c>
      <x:c r="G12" s="87" t="str">
        <x:v>No</x:v>
      </x:c>
      <x:c r="H12" s="87" t="str">
        <x:v>No</x:v>
      </x:c>
      <x:c r="I12" s="87" t="str">
        <x:v>No</x:v>
      </x:c>
      <x:c r="J12" s="89" t="str"/>
      <x:c r="K12" s="89" t="str"/>
      <x:c r="L12" s="77" t="str"/>
    </x:row>
    <x:row r="13">
      <x:c r="A13" s="86" t="str"/>
      <x:c r="B13" s="87" t="str"/>
      <x:c r="C13" s="87" t="str">
        <x:v>HubSpot</x:v>
      </x:c>
      <x:c r="D13" s="87" t="str"/>
      <x:c r="E13" s="87" t="str">
        <x:v>Prospect</x:v>
      </x:c>
      <x:c r="F13" s="87" t="str">
        <x:v>No</x:v>
      </x:c>
      <x:c r="G13" s="87" t="str">
        <x:v>No</x:v>
      </x:c>
      <x:c r="H13" s="87" t="str">
        <x:v>No</x:v>
      </x:c>
      <x:c r="I13" s="87" t="str">
        <x:v>No</x:v>
      </x:c>
      <x:c r="J13" s="89" t="str"/>
      <x:c r="K13" s="89" t="str"/>
      <x:c r="L13" s="77" t="str"/>
    </x:row>
    <x:row r="14">
      <x:c r="A14" s="86" t="str"/>
      <x:c r="B14" s="87" t="str"/>
      <x:c r="C14" s="87" t="str">
        <x:v>HubSpot</x:v>
      </x:c>
      <x:c r="D14" s="87" t="str"/>
      <x:c r="E14" s="87" t="str">
        <x:v>Prospect</x:v>
      </x:c>
      <x:c r="F14" s="87" t="str">
        <x:v>No</x:v>
      </x:c>
      <x:c r="G14" s="87" t="str">
        <x:v>No</x:v>
      </x:c>
      <x:c r="H14" s="87" t="str">
        <x:v>No</x:v>
      </x:c>
      <x:c r="I14" s="87" t="str">
        <x:v>No</x:v>
      </x:c>
      <x:c r="J14" s="89" t="str"/>
      <x:c r="K14" s="89" t="str"/>
      <x:c r="L14" s="77" t="str"/>
    </x:row>
    <x:row r="15">
      <x:c r="A15" s="86" t="str"/>
      <x:c r="B15" s="87" t="str"/>
      <x:c r="C15" s="87" t="str">
        <x:v>HubSpot</x:v>
      </x:c>
      <x:c r="D15" s="87" t="str"/>
      <x:c r="E15" s="87" t="str">
        <x:v>Prospect</x:v>
      </x:c>
      <x:c r="F15" s="87" t="str">
        <x:v>No</x:v>
      </x:c>
      <x:c r="G15" s="87" t="str">
        <x:v>No</x:v>
      </x:c>
      <x:c r="H15" s="87" t="str">
        <x:v>No</x:v>
      </x:c>
      <x:c r="I15" s="87" t="str">
        <x:v>No</x:v>
      </x:c>
      <x:c r="J15" s="89" t="str"/>
      <x:c r="K15" s="89" t="str"/>
      <x:c r="L15" s="77" t="str"/>
    </x:row>
    <x:row r="16">
      <x:c r="A16" s="86" t="str"/>
      <x:c r="B16" s="87" t="str"/>
      <x:c r="C16" s="87" t="str">
        <x:v>HubSpot</x:v>
      </x:c>
      <x:c r="D16" s="87" t="str"/>
      <x:c r="E16" s="87" t="str">
        <x:v>Prospect</x:v>
      </x:c>
      <x:c r="F16" s="87" t="str">
        <x:v>No</x:v>
      </x:c>
      <x:c r="G16" s="87" t="str">
        <x:v>No</x:v>
      </x:c>
      <x:c r="H16" s="87" t="str">
        <x:v>No</x:v>
      </x:c>
      <x:c r="I16" s="87" t="str">
        <x:v>No</x:v>
      </x:c>
      <x:c r="J16" s="89" t="str"/>
      <x:c r="K16" s="89" t="str"/>
      <x:c r="L16" s="77" t="str"/>
    </x:row>
    <x:row r="17">
      <x:c r="A17" s="86" t="str"/>
      <x:c r="B17" s="87" t="str"/>
      <x:c r="C17" s="87" t="str">
        <x:v>HubSpot</x:v>
      </x:c>
      <x:c r="D17" s="87" t="str"/>
      <x:c r="E17" s="87" t="str">
        <x:v>Prospect</x:v>
      </x:c>
      <x:c r="F17" s="87" t="str">
        <x:v>No</x:v>
      </x:c>
      <x:c r="G17" s="87" t="str">
        <x:v>No</x:v>
      </x:c>
      <x:c r="H17" s="87" t="str">
        <x:v>No</x:v>
      </x:c>
      <x:c r="I17" s="87" t="str">
        <x:v>No</x:v>
      </x:c>
      <x:c r="J17" s="89" t="str"/>
      <x:c r="K17" s="89" t="str"/>
      <x:c r="L17" s="77" t="str"/>
    </x:row>
    <x:row r="18">
      <x:c r="A18" s="86" t="str"/>
      <x:c r="B18" s="87" t="str"/>
      <x:c r="C18" s="87" t="str">
        <x:v>HubSpot</x:v>
      </x:c>
      <x:c r="D18" s="87" t="str"/>
      <x:c r="E18" s="87" t="str">
        <x:v>Prospect</x:v>
      </x:c>
      <x:c r="F18" s="87" t="str">
        <x:v>No</x:v>
      </x:c>
      <x:c r="G18" s="87" t="str">
        <x:v>No</x:v>
      </x:c>
      <x:c r="H18" s="87" t="str">
        <x:v>No</x:v>
      </x:c>
      <x:c r="I18" s="87" t="str">
        <x:v>No</x:v>
      </x:c>
      <x:c r="J18" s="89" t="str"/>
      <x:c r="K18" s="89" t="str"/>
      <x:c r="L18" s="77" t="str"/>
    </x:row>
    <x:row r="19">
      <x:c r="A19" s="90" t="str"/>
      <x:c r="B19" s="91" t="str"/>
      <x:c r="C19" s="91" t="str">
        <x:v>HubSpot</x:v>
      </x:c>
      <x:c r="D19" s="91" t="str"/>
      <x:c r="E19" s="91" t="str">
        <x:v>Prospect</x:v>
      </x:c>
      <x:c r="F19" s="91" t="str">
        <x:v>No</x:v>
      </x:c>
      <x:c r="G19" s="91" t="str">
        <x:v>No</x:v>
      </x:c>
      <x:c r="H19" s="91" t="str">
        <x:v>No</x:v>
      </x:c>
      <x:c r="I19" s="91" t="str">
        <x:v>No</x:v>
      </x:c>
      <x:c r="J19" s="93" t="str"/>
      <x:c r="K19" s="93" t="str"/>
      <x:c r="L19" s="81" t="str"/>
    </x:row>
  </x:sheetData>
  <x:mergeCells>
    <x:mergeCell ref="A1:L2"/>
  </x:mergeCells>
  <x:dataValidations count="3">
    <x:dataValidation type="list" sqref="C5:C19">
      <x:formula1>"HubSpot,Salesforce,Pipedrive,Other,Unknown"</x:formula1>
    </x:dataValidation>
    <x:dataValidation type="list" sqref="E5:E19">
      <x:formula1>"Prospect,Intake,Setup,QA,Live,Paid,Paused"</x:formula1>
    </x:dataValidation>
    <x:dataValidation type="list" sqref="F5:I19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a36efa29c154d0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5600004196167" hidden="0" customWidth="1"/>
    <x:col min="2" max="2" width="11.109999656677246" hidden="0" customWidth="1"/>
    <x:col min="3" max="3" width="11.109999656677246" hidden="0" customWidth="1"/>
    <x:col min="4" max="4" width="11.670000076293945" hidden="0" customWidth="1"/>
    <x:col min="5" max="5" width="11.109999656677246" hidden="0" customWidth="1"/>
    <x:col min="6" max="6" width="12.220000267028809" hidden="0" customWidth="1"/>
    <x:col min="7" max="7" width="12.779999732971191" hidden="0" customWidth="1"/>
    <x:col min="8" max="8" width="12.779999732971191" hidden="0" customWidth="1"/>
    <x:col min="9" max="9" width="12.779999732971191" hidden="0" customWidth="1"/>
    <x:col min="10" max="10" width="12.220000267028809" hidden="0" customWidth="1"/>
    <x:col min="11" max="11" width="13.329999923706055" hidden="0" customWidth="1"/>
    <x:col min="12" max="12" width="14.4399995803833" hidden="0" customWidth="1"/>
    <x:col min="13" max="13" width="13.890000343322754" hidden="0" customWidth="1"/>
    <x:col min="14" max="14" width="14.4399995803833" hidden="0" customWidth="1"/>
    <x:col min="15" max="15" width="14.4399995803833" hidden="0" customWidth="1"/>
    <x:col min="16" max="16" width="28.889999389648438" hidden="0" customWidth="1"/>
    <x:col min="17" max="17" width="20" hidden="0" customWidth="1"/>
    <x:col min="18" max="18" width="15" hidden="0" customWidth="1"/>
    <x:col min="19" max="19" width="27.780000686645508" hidden="0" customWidth="1"/>
  </x:cols>
  <x:sheetData>
    <x:row r="1" ht="24" customHeight="1">
      <x:c r="A1" s="64" t="str">
        <x:v>Deal Threads Proof Log
Every beta should produce proof, product learning, or a clear stop signal.</x:v>
      </x:c>
      <x:c r="B1" s="64" t="str">
        <x:v>Deal Threads Proof Log
Every beta should produce proof, product learning, or a clear stop signal.</x:v>
      </x:c>
      <x:c r="C1" s="64" t="str">
        <x:v>Deal Threads Proof Log
Every beta should produce proof, product learning, or a clear stop signal.</x:v>
      </x:c>
      <x:c r="D1" s="64" t="str">
        <x:v>Deal Threads Proof Log
Every beta should produce proof, product learning, or a clear stop signal.</x:v>
      </x:c>
      <x:c r="E1" s="64" t="str">
        <x:v>Deal Threads Proof Log
Every beta should produce proof, product learning, or a clear stop signal.</x:v>
      </x:c>
      <x:c r="F1" s="64" t="str">
        <x:v>Deal Threads Proof Log
Every beta should produce proof, product learning, or a clear stop signal.</x:v>
      </x:c>
      <x:c r="G1" s="64" t="str">
        <x:v>Deal Threads Proof Log
Every beta should produce proof, product learning, or a clear stop signal.</x:v>
      </x:c>
      <x:c r="H1" s="64" t="str">
        <x:v>Deal Threads Proof Log
Every beta should produce proof, product learning, or a clear stop signal.</x:v>
      </x:c>
      <x:c r="I1" s="64" t="str">
        <x:v>Deal Threads Proof Log
Every beta should produce proof, product learning, or a clear stop signal.</x:v>
      </x:c>
      <x:c r="J1" s="64" t="str">
        <x:v>Deal Threads Proof Log
Every beta should produce proof, product learning, or a clear stop signal.</x:v>
      </x:c>
      <x:c r="K1" s="64" t="str">
        <x:v>Deal Threads Proof Log
Every beta should produce proof, product learning, or a clear stop signal.</x:v>
      </x:c>
      <x:c r="L1" s="64" t="str">
        <x:v>Deal Threads Proof Log
Every beta should produce proof, product learning, or a clear stop signal.</x:v>
      </x:c>
      <x:c r="M1" s="64" t="str">
        <x:v>Deal Threads Proof Log
Every beta should produce proof, product learning, or a clear stop signal.</x:v>
      </x:c>
      <x:c r="N1" s="64" t="str">
        <x:v>Deal Threads Proof Log
Every beta should produce proof, product learning, or a clear stop signal.</x:v>
      </x:c>
      <x:c r="O1" s="64" t="str">
        <x:v>Deal Threads Proof Log
Every beta should produce proof, product learning, or a clear stop signal.</x:v>
      </x:c>
      <x:c r="P1" s="64" t="str">
        <x:v>Deal Threads Proof Log
Every beta should produce proof, product learning, or a clear stop signal.</x:v>
      </x:c>
      <x:c r="Q1" s="64" t="str">
        <x:v>Deal Threads Proof Log
Every beta should produce proof, product learning, or a clear stop signal.</x:v>
      </x:c>
      <x:c r="R1" s="64" t="str">
        <x:v>Deal Threads Proof Log
Every beta should produce proof, product learning, or a clear stop signal.</x:v>
      </x:c>
      <x:c r="S1" s="64" t="str">
        <x:v>Deal Threads Proof Log
Every beta should produce proof, product learning, or a clear stop signal.</x:v>
      </x:c>
    </x:row>
    <x:row r="2" ht="24" customHeight="1">
      <x:c r="A2" s="64" t="str">
        <x:v>Deal Threads Proof Log
Every beta should produce proof, product learning, or a clear stop signal.</x:v>
      </x:c>
      <x:c r="B2" s="64" t="str">
        <x:v>Deal Threads Proof Log
Every beta should produce proof, product learning, or a clear stop signal.</x:v>
      </x:c>
      <x:c r="C2" s="64" t="str">
        <x:v>Deal Threads Proof Log
Every beta should produce proof, product learning, or a clear stop signal.</x:v>
      </x:c>
      <x:c r="D2" s="64" t="str">
        <x:v>Deal Threads Proof Log
Every beta should produce proof, product learning, or a clear stop signal.</x:v>
      </x:c>
      <x:c r="E2" s="64" t="str">
        <x:v>Deal Threads Proof Log
Every beta should produce proof, product learning, or a clear stop signal.</x:v>
      </x:c>
      <x:c r="F2" s="64" t="str">
        <x:v>Deal Threads Proof Log
Every beta should produce proof, product learning, or a clear stop signal.</x:v>
      </x:c>
      <x:c r="G2" s="64" t="str">
        <x:v>Deal Threads Proof Log
Every beta should produce proof, product learning, or a clear stop signal.</x:v>
      </x:c>
      <x:c r="H2" s="64" t="str">
        <x:v>Deal Threads Proof Log
Every beta should produce proof, product learning, or a clear stop signal.</x:v>
      </x:c>
      <x:c r="I2" s="64" t="str">
        <x:v>Deal Threads Proof Log
Every beta should produce proof, product learning, or a clear stop signal.</x:v>
      </x:c>
      <x:c r="J2" s="64" t="str">
        <x:v>Deal Threads Proof Log
Every beta should produce proof, product learning, or a clear stop signal.</x:v>
      </x:c>
      <x:c r="K2" s="64" t="str">
        <x:v>Deal Threads Proof Log
Every beta should produce proof, product learning, or a clear stop signal.</x:v>
      </x:c>
      <x:c r="L2" s="64" t="str">
        <x:v>Deal Threads Proof Log
Every beta should produce proof, product learning, or a clear stop signal.</x:v>
      </x:c>
      <x:c r="M2" s="64" t="str">
        <x:v>Deal Threads Proof Log
Every beta should produce proof, product learning, or a clear stop signal.</x:v>
      </x:c>
      <x:c r="N2" s="64" t="str">
        <x:v>Deal Threads Proof Log
Every beta should produce proof, product learning, or a clear stop signal.</x:v>
      </x:c>
      <x:c r="O2" s="64" t="str">
        <x:v>Deal Threads Proof Log
Every beta should produce proof, product learning, or a clear stop signal.</x:v>
      </x:c>
      <x:c r="P2" s="64" t="str">
        <x:v>Deal Threads Proof Log
Every beta should produce proof, product learning, or a clear stop signal.</x:v>
      </x:c>
      <x:c r="Q2" s="64" t="str">
        <x:v>Deal Threads Proof Log
Every beta should produce proof, product learning, or a clear stop signal.</x:v>
      </x:c>
      <x:c r="R2" s="64" t="str">
        <x:v>Deal Threads Proof Log
Every beta should produce proof, product learning, or a clear stop signal.</x:v>
      </x:c>
      <x:c r="S2" s="64" t="str">
        <x:v>Deal Threads Proof Log
Every beta should produce proof, product learning, or a clear stop signal.</x:v>
      </x:c>
    </x:row>
    <x:row r="3">
      <x:c r="A3" s="65"/>
      <x:c r="B3" s="65"/>
      <x:c r="C3" s="65"/>
      <x:c r="D3" s="65"/>
      <x:c r="E3" s="65"/>
      <x:c r="F3" s="65"/>
      <x:c r="G3" s="65"/>
      <x:c r="H3" s="65"/>
      <x:c r="I3" s="65"/>
      <x:c r="J3" s="65"/>
      <x:c r="K3" s="65"/>
      <x:c r="L3" s="65"/>
      <x:c r="M3" s="65"/>
      <x:c r="N3" s="65"/>
      <x:c r="O3" s="65"/>
      <x:c r="P3" s="65"/>
      <x:c r="Q3" s="65"/>
      <x:c r="R3" s="65"/>
      <x:c r="S3" s="65"/>
    </x:row>
    <x:row r="4">
      <x:c r="A4" s="83" t="str">
        <x:v>Client</x:v>
      </x:c>
      <x:c r="B4" s="84" t="str">
        <x:v>Week Start</x:v>
      </x:c>
      <x:c r="C4" s="84" t="str">
        <x:v>Widget Sessions</x:v>
      </x:c>
      <x:c r="D4" s="84" t="str">
        <x:v>Completed Conversations</x:v>
      </x:c>
      <x:c r="E4" s="84" t="str">
        <x:v>Completion Rate</x:v>
      </x:c>
      <x:c r="F4" s="84" t="str">
        <x:v>Profiles Created</x:v>
      </x:c>
      <x:c r="G4" s="84" t="str">
        <x:v>CRM Sync Success</x:v>
      </x:c>
      <x:c r="H4" s="84" t="str">
        <x:v>Sync Rate</x:v>
      </x:c>
      <x:c r="I4" s="84" t="str">
        <x:v>High-Priority Leads</x:v>
      </x:c>
      <x:c r="J4" s="84" t="str">
        <x:v>Profiles Reviewed</x:v>
      </x:c>
      <x:c r="K4" s="84" t="str">
        <x:v>Useful Profiles</x:v>
      </x:c>
      <x:c r="L4" s="84" t="str">
        <x:v>Useful Profile Rate</x:v>
      </x:c>
      <x:c r="M4" s="84" t="str">
        <x:v>Median Submit-to-Profile Min</x:v>
      </x:c>
      <x:c r="N4" s="84" t="str">
        <x:v>Research Min Saved</x:v>
      </x:c>
      <x:c r="O4" s="84" t="str">
        <x:v>Meetings Influenced</x:v>
      </x:c>
      <x:c r="P4" s="84" t="str">
        <x:v>Best Profile / Quote</x:v>
      </x:c>
      <x:c r="Q4" s="84" t="str">
        <x:v>Decision</x:v>
      </x:c>
      <x:c r="R4" s="84" t="str">
        <x:v>Proof Strength</x:v>
      </x:c>
      <x:c r="S4" s="85" t="str">
        <x:v>Next Change</x:v>
      </x:c>
    </x:row>
    <x:row r="5">
      <x:c r="A5" s="86" t="str"/>
      <x:c r="B5" s="89" t="n">
        <x:v>46174</x:v>
      </x:c>
      <x:c r="C5" s="87" t="n">
        <x:v>0</x:v>
      </x:c>
      <x:c r="D5" s="87" t="n">
        <x:v>0</x:v>
      </x:c>
      <x:c r="E5" s="94" t="n">
        <x:f>IFERROR(D5/C5,0)</x:f>
        <x:v>0</x:v>
      </x:c>
      <x:c r="F5" s="87" t="n">
        <x:v>0</x:v>
      </x:c>
      <x:c r="G5" s="87" t="n">
        <x:v>0</x:v>
      </x:c>
      <x:c r="H5" s="94" t="n">
        <x:f>IFERROR(G5/F5,0)</x:f>
        <x:v>0</x:v>
      </x:c>
      <x:c r="I5" s="87" t="n">
        <x:v>0</x:v>
      </x:c>
      <x:c r="J5" s="87" t="n">
        <x:v>0</x:v>
      </x:c>
      <x:c r="K5" s="87" t="n">
        <x:v>0</x:v>
      </x:c>
      <x:c r="L5" s="94" t="n">
        <x:f>IFERROR(K5/J5,0)</x:f>
        <x:v>0</x:v>
      </x:c>
      <x:c r="M5" s="87" t="n">
        <x:v>0</x:v>
      </x:c>
      <x:c r="N5" s="87" t="n">
        <x:f>IF(F5&gt;0,F5*10,0)</x:f>
        <x:v>0</x:v>
      </x:c>
      <x:c r="O5" s="87" t="n">
        <x:v>0</x:v>
      </x:c>
      <x:c r="P5" s="76" t="str"/>
      <x:c r="Q5" s="87" t="str">
        <x:v>Continue</x:v>
      </x:c>
      <x:c r="R5" s="87" t="str">
        <x:f>IF(AND(F5&gt;=10,L5&gt;=0.7,N5&gt;=100,O5&gt;=1),"Strong",IF(AND(F5&gt;=5,L5&gt;=0.5,H5&gt;=0.9),"Good",IF(F5=0,"No entries yet","Weak")))</x:f>
        <x:v>No entries yet</x:v>
      </x:c>
      <x:c r="S5" s="77" t="str"/>
    </x:row>
    <x:row r="6">
      <x:c r="A6" s="86" t="str"/>
      <x:c r="B6" s="89" t="n">
        <x:v>46174</x:v>
      </x:c>
      <x:c r="C6" s="87" t="n">
        <x:v>0</x:v>
      </x:c>
      <x:c r="D6" s="87" t="n">
        <x:v>0</x:v>
      </x:c>
      <x:c r="E6" s="94" t="n">
        <x:f>IFERROR(D6/C6,0)</x:f>
        <x:v>0</x:v>
      </x:c>
      <x:c r="F6" s="87" t="n">
        <x:v>0</x:v>
      </x:c>
      <x:c r="G6" s="87" t="n">
        <x:v>0</x:v>
      </x:c>
      <x:c r="H6" s="94" t="n">
        <x:f>IFERROR(G6/F6,0)</x:f>
        <x:v>0</x:v>
      </x:c>
      <x:c r="I6" s="87" t="n">
        <x:v>0</x:v>
      </x:c>
      <x:c r="J6" s="87" t="n">
        <x:v>0</x:v>
      </x:c>
      <x:c r="K6" s="87" t="n">
        <x:v>0</x:v>
      </x:c>
      <x:c r="L6" s="94" t="n">
        <x:f>IFERROR(K6/J6,0)</x:f>
        <x:v>0</x:v>
      </x:c>
      <x:c r="M6" s="87" t="n">
        <x:v>0</x:v>
      </x:c>
      <x:c r="N6" s="87" t="n">
        <x:f>IF(F6&gt;0,F6*10,0)</x:f>
        <x:v>0</x:v>
      </x:c>
      <x:c r="O6" s="87" t="n">
        <x:v>0</x:v>
      </x:c>
      <x:c r="P6" s="76" t="str"/>
      <x:c r="Q6" s="87" t="str">
        <x:v>Continue</x:v>
      </x:c>
      <x:c r="R6" s="87" t="str">
        <x:f>IF(AND(F6&gt;=10,L6&gt;=0.7,N6&gt;=100,O6&gt;=1),"Strong",IF(AND(F6&gt;=5,L6&gt;=0.5,H6&gt;=0.9),"Good",IF(F6=0,"No entries yet","Weak")))</x:f>
        <x:v>No entries yet</x:v>
      </x:c>
      <x:c r="S6" s="77" t="str"/>
    </x:row>
    <x:row r="7">
      <x:c r="A7" s="86" t="str"/>
      <x:c r="B7" s="89" t="n">
        <x:v>46174</x:v>
      </x:c>
      <x:c r="C7" s="87" t="n">
        <x:v>0</x:v>
      </x:c>
      <x:c r="D7" s="87" t="n">
        <x:v>0</x:v>
      </x:c>
      <x:c r="E7" s="94" t="n">
        <x:f>IFERROR(D7/C7,0)</x:f>
        <x:v>0</x:v>
      </x:c>
      <x:c r="F7" s="87" t="n">
        <x:v>0</x:v>
      </x:c>
      <x:c r="G7" s="87" t="n">
        <x:v>0</x:v>
      </x:c>
      <x:c r="H7" s="94" t="n">
        <x:f>IFERROR(G7/F7,0)</x:f>
        <x:v>0</x:v>
      </x:c>
      <x:c r="I7" s="87" t="n">
        <x:v>0</x:v>
      </x:c>
      <x:c r="J7" s="87" t="n">
        <x:v>0</x:v>
      </x:c>
      <x:c r="K7" s="87" t="n">
        <x:v>0</x:v>
      </x:c>
      <x:c r="L7" s="94" t="n">
        <x:f>IFERROR(K7/J7,0)</x:f>
        <x:v>0</x:v>
      </x:c>
      <x:c r="M7" s="87" t="n">
        <x:v>0</x:v>
      </x:c>
      <x:c r="N7" s="87" t="n">
        <x:f>IF(F7&gt;0,F7*10,0)</x:f>
        <x:v>0</x:v>
      </x:c>
      <x:c r="O7" s="87" t="n">
        <x:v>0</x:v>
      </x:c>
      <x:c r="P7" s="76" t="str"/>
      <x:c r="Q7" s="87" t="str">
        <x:v>Continue</x:v>
      </x:c>
      <x:c r="R7" s="87" t="str">
        <x:f>IF(AND(F7&gt;=10,L7&gt;=0.7,N7&gt;=100,O7&gt;=1),"Strong",IF(AND(F7&gt;=5,L7&gt;=0.5,H7&gt;=0.9),"Good",IF(F7=0,"No entries yet","Weak")))</x:f>
        <x:v>No entries yet</x:v>
      </x:c>
      <x:c r="S7" s="77" t="str"/>
    </x:row>
    <x:row r="8">
      <x:c r="A8" s="86" t="str"/>
      <x:c r="B8" s="89" t="n">
        <x:v>46174</x:v>
      </x:c>
      <x:c r="C8" s="87" t="n">
        <x:v>0</x:v>
      </x:c>
      <x:c r="D8" s="87" t="n">
        <x:v>0</x:v>
      </x:c>
      <x:c r="E8" s="94" t="n">
        <x:f>IFERROR(D8/C8,0)</x:f>
        <x:v>0</x:v>
      </x:c>
      <x:c r="F8" s="87" t="n">
        <x:v>0</x:v>
      </x:c>
      <x:c r="G8" s="87" t="n">
        <x:v>0</x:v>
      </x:c>
      <x:c r="H8" s="94" t="n">
        <x:f>IFERROR(G8/F8,0)</x:f>
        <x:v>0</x:v>
      </x:c>
      <x:c r="I8" s="87" t="n">
        <x:v>0</x:v>
      </x:c>
      <x:c r="J8" s="87" t="n">
        <x:v>0</x:v>
      </x:c>
      <x:c r="K8" s="87" t="n">
        <x:v>0</x:v>
      </x:c>
      <x:c r="L8" s="94" t="n">
        <x:f>IFERROR(K8/J8,0)</x:f>
        <x:v>0</x:v>
      </x:c>
      <x:c r="M8" s="87" t="n">
        <x:v>0</x:v>
      </x:c>
      <x:c r="N8" s="87" t="n">
        <x:f>IF(F8&gt;0,F8*10,0)</x:f>
        <x:v>0</x:v>
      </x:c>
      <x:c r="O8" s="87" t="n">
        <x:v>0</x:v>
      </x:c>
      <x:c r="P8" s="76" t="str"/>
      <x:c r="Q8" s="87" t="str">
        <x:v>Continue</x:v>
      </x:c>
      <x:c r="R8" s="87" t="str">
        <x:f>IF(AND(F8&gt;=10,L8&gt;=0.7,N8&gt;=100,O8&gt;=1),"Strong",IF(AND(F8&gt;=5,L8&gt;=0.5,H8&gt;=0.9),"Good",IF(F8=0,"No entries yet","Weak")))</x:f>
        <x:v>No entries yet</x:v>
      </x:c>
      <x:c r="S8" s="77" t="str"/>
    </x:row>
    <x:row r="9">
      <x:c r="A9" s="86" t="str"/>
      <x:c r="B9" s="89" t="n">
        <x:v>46174</x:v>
      </x:c>
      <x:c r="C9" s="87" t="n">
        <x:v>0</x:v>
      </x:c>
      <x:c r="D9" s="87" t="n">
        <x:v>0</x:v>
      </x:c>
      <x:c r="E9" s="94" t="n">
        <x:f>IFERROR(D9/C9,0)</x:f>
        <x:v>0</x:v>
      </x:c>
      <x:c r="F9" s="87" t="n">
        <x:v>0</x:v>
      </x:c>
      <x:c r="G9" s="87" t="n">
        <x:v>0</x:v>
      </x:c>
      <x:c r="H9" s="94" t="n">
        <x:f>IFERROR(G9/F9,0)</x:f>
        <x:v>0</x:v>
      </x:c>
      <x:c r="I9" s="87" t="n">
        <x:v>0</x:v>
      </x:c>
      <x:c r="J9" s="87" t="n">
        <x:v>0</x:v>
      </x:c>
      <x:c r="K9" s="87" t="n">
        <x:v>0</x:v>
      </x:c>
      <x:c r="L9" s="94" t="n">
        <x:f>IFERROR(K9/J9,0)</x:f>
        <x:v>0</x:v>
      </x:c>
      <x:c r="M9" s="87" t="n">
        <x:v>0</x:v>
      </x:c>
      <x:c r="N9" s="87" t="n">
        <x:f>IF(F9&gt;0,F9*10,0)</x:f>
        <x:v>0</x:v>
      </x:c>
      <x:c r="O9" s="87" t="n">
        <x:v>0</x:v>
      </x:c>
      <x:c r="P9" s="76" t="str"/>
      <x:c r="Q9" s="87" t="str">
        <x:v>Continue</x:v>
      </x:c>
      <x:c r="R9" s="87" t="str">
        <x:f>IF(AND(F9&gt;=10,L9&gt;=0.7,N9&gt;=100,O9&gt;=1),"Strong",IF(AND(F9&gt;=5,L9&gt;=0.5,H9&gt;=0.9),"Good",IF(F9=0,"No entries yet","Weak")))</x:f>
        <x:v>No entries yet</x:v>
      </x:c>
      <x:c r="S9" s="77" t="str"/>
    </x:row>
    <x:row r="10">
      <x:c r="A10" s="86" t="str"/>
      <x:c r="B10" s="89" t="n">
        <x:v>46181</x:v>
      </x:c>
      <x:c r="C10" s="87" t="n">
        <x:v>0</x:v>
      </x:c>
      <x:c r="D10" s="87" t="n">
        <x:v>0</x:v>
      </x:c>
      <x:c r="E10" s="94" t="n">
        <x:f>IFERROR(D10/C10,0)</x:f>
        <x:v>0</x:v>
      </x:c>
      <x:c r="F10" s="87" t="n">
        <x:v>0</x:v>
      </x:c>
      <x:c r="G10" s="87" t="n">
        <x:v>0</x:v>
      </x:c>
      <x:c r="H10" s="94" t="n">
        <x:f>IFERROR(G10/F10,0)</x:f>
        <x:v>0</x:v>
      </x:c>
      <x:c r="I10" s="87" t="n">
        <x:v>0</x:v>
      </x:c>
      <x:c r="J10" s="87" t="n">
        <x:v>0</x:v>
      </x:c>
      <x:c r="K10" s="87" t="n">
        <x:v>0</x:v>
      </x:c>
      <x:c r="L10" s="94" t="n">
        <x:f>IFERROR(K10/J10,0)</x:f>
        <x:v>0</x:v>
      </x:c>
      <x:c r="M10" s="87" t="n">
        <x:v>0</x:v>
      </x:c>
      <x:c r="N10" s="87" t="n">
        <x:f>IF(F10&gt;0,F10*10,0)</x:f>
        <x:v>0</x:v>
      </x:c>
      <x:c r="O10" s="87" t="n">
        <x:v>0</x:v>
      </x:c>
      <x:c r="P10" s="76" t="str"/>
      <x:c r="Q10" s="87" t="str">
        <x:v>Continue</x:v>
      </x:c>
      <x:c r="R10" s="87" t="str">
        <x:f>IF(AND(F10&gt;=10,L10&gt;=0.7,N10&gt;=100,O10&gt;=1),"Strong",IF(AND(F10&gt;=5,L10&gt;=0.5,H10&gt;=0.9),"Good",IF(F10=0,"No entries yet","Weak")))</x:f>
        <x:v>No entries yet</x:v>
      </x:c>
      <x:c r="S10" s="77" t="str"/>
    </x:row>
    <x:row r="11">
      <x:c r="A11" s="86" t="str"/>
      <x:c r="B11" s="89" t="n">
        <x:v>46181</x:v>
      </x:c>
      <x:c r="C11" s="87" t="n">
        <x:v>0</x:v>
      </x:c>
      <x:c r="D11" s="87" t="n">
        <x:v>0</x:v>
      </x:c>
      <x:c r="E11" s="94" t="n">
        <x:f>IFERROR(D11/C11,0)</x:f>
        <x:v>0</x:v>
      </x:c>
      <x:c r="F11" s="87" t="n">
        <x:v>0</x:v>
      </x:c>
      <x:c r="G11" s="87" t="n">
        <x:v>0</x:v>
      </x:c>
      <x:c r="H11" s="94" t="n">
        <x:f>IFERROR(G11/F11,0)</x:f>
        <x:v>0</x:v>
      </x:c>
      <x:c r="I11" s="87" t="n">
        <x:v>0</x:v>
      </x:c>
      <x:c r="J11" s="87" t="n">
        <x:v>0</x:v>
      </x:c>
      <x:c r="K11" s="87" t="n">
        <x:v>0</x:v>
      </x:c>
      <x:c r="L11" s="94" t="n">
        <x:f>IFERROR(K11/J11,0)</x:f>
        <x:v>0</x:v>
      </x:c>
      <x:c r="M11" s="87" t="n">
        <x:v>0</x:v>
      </x:c>
      <x:c r="N11" s="87" t="n">
        <x:f>IF(F11&gt;0,F11*10,0)</x:f>
        <x:v>0</x:v>
      </x:c>
      <x:c r="O11" s="87" t="n">
        <x:v>0</x:v>
      </x:c>
      <x:c r="P11" s="76" t="str"/>
      <x:c r="Q11" s="87" t="str">
        <x:v>Continue</x:v>
      </x:c>
      <x:c r="R11" s="87" t="str">
        <x:f>IF(AND(F11&gt;=10,L11&gt;=0.7,N11&gt;=100,O11&gt;=1),"Strong",IF(AND(F11&gt;=5,L11&gt;=0.5,H11&gt;=0.9),"Good",IF(F11=0,"No entries yet","Weak")))</x:f>
        <x:v>No entries yet</x:v>
      </x:c>
      <x:c r="S11" s="77" t="str"/>
    </x:row>
    <x:row r="12">
      <x:c r="A12" s="86" t="str"/>
      <x:c r="B12" s="89" t="n">
        <x:v>46181</x:v>
      </x:c>
      <x:c r="C12" s="87" t="n">
        <x:v>0</x:v>
      </x:c>
      <x:c r="D12" s="87" t="n">
        <x:v>0</x:v>
      </x:c>
      <x:c r="E12" s="94" t="n">
        <x:f>IFERROR(D12/C12,0)</x:f>
        <x:v>0</x:v>
      </x:c>
      <x:c r="F12" s="87" t="n">
        <x:v>0</x:v>
      </x:c>
      <x:c r="G12" s="87" t="n">
        <x:v>0</x:v>
      </x:c>
      <x:c r="H12" s="94" t="n">
        <x:f>IFERROR(G12/F12,0)</x:f>
        <x:v>0</x:v>
      </x:c>
      <x:c r="I12" s="87" t="n">
        <x:v>0</x:v>
      </x:c>
      <x:c r="J12" s="87" t="n">
        <x:v>0</x:v>
      </x:c>
      <x:c r="K12" s="87" t="n">
        <x:v>0</x:v>
      </x:c>
      <x:c r="L12" s="94" t="n">
        <x:f>IFERROR(K12/J12,0)</x:f>
        <x:v>0</x:v>
      </x:c>
      <x:c r="M12" s="87" t="n">
        <x:v>0</x:v>
      </x:c>
      <x:c r="N12" s="87" t="n">
        <x:f>IF(F12&gt;0,F12*10,0)</x:f>
        <x:v>0</x:v>
      </x:c>
      <x:c r="O12" s="87" t="n">
        <x:v>0</x:v>
      </x:c>
      <x:c r="P12" s="76" t="str"/>
      <x:c r="Q12" s="87" t="str">
        <x:v>Continue</x:v>
      </x:c>
      <x:c r="R12" s="87" t="str">
        <x:f>IF(AND(F12&gt;=10,L12&gt;=0.7,N12&gt;=100,O12&gt;=1),"Strong",IF(AND(F12&gt;=5,L12&gt;=0.5,H12&gt;=0.9),"Good",IF(F12=0,"No entries yet","Weak")))</x:f>
        <x:v>No entries yet</x:v>
      </x:c>
      <x:c r="S12" s="77" t="str"/>
    </x:row>
    <x:row r="13">
      <x:c r="A13" s="86" t="str"/>
      <x:c r="B13" s="89" t="n">
        <x:v>46181</x:v>
      </x:c>
      <x:c r="C13" s="87" t="n">
        <x:v>0</x:v>
      </x:c>
      <x:c r="D13" s="87" t="n">
        <x:v>0</x:v>
      </x:c>
      <x:c r="E13" s="94" t="n">
        <x:f>IFERROR(D13/C13,0)</x:f>
        <x:v>0</x:v>
      </x:c>
      <x:c r="F13" s="87" t="n">
        <x:v>0</x:v>
      </x:c>
      <x:c r="G13" s="87" t="n">
        <x:v>0</x:v>
      </x:c>
      <x:c r="H13" s="94" t="n">
        <x:f>IFERROR(G13/F13,0)</x:f>
        <x:v>0</x:v>
      </x:c>
      <x:c r="I13" s="87" t="n">
        <x:v>0</x:v>
      </x:c>
      <x:c r="J13" s="87" t="n">
        <x:v>0</x:v>
      </x:c>
      <x:c r="K13" s="87" t="n">
        <x:v>0</x:v>
      </x:c>
      <x:c r="L13" s="94" t="n">
        <x:f>IFERROR(K13/J13,0)</x:f>
        <x:v>0</x:v>
      </x:c>
      <x:c r="M13" s="87" t="n">
        <x:v>0</x:v>
      </x:c>
      <x:c r="N13" s="87" t="n">
        <x:f>IF(F13&gt;0,F13*10,0)</x:f>
        <x:v>0</x:v>
      </x:c>
      <x:c r="O13" s="87" t="n">
        <x:v>0</x:v>
      </x:c>
      <x:c r="P13" s="76" t="str"/>
      <x:c r="Q13" s="87" t="str">
        <x:v>Continue</x:v>
      </x:c>
      <x:c r="R13" s="87" t="str">
        <x:f>IF(AND(F13&gt;=10,L13&gt;=0.7,N13&gt;=100,O13&gt;=1),"Strong",IF(AND(F13&gt;=5,L13&gt;=0.5,H13&gt;=0.9),"Good",IF(F13=0,"No entries yet","Weak")))</x:f>
        <x:v>No entries yet</x:v>
      </x:c>
      <x:c r="S13" s="77" t="str"/>
    </x:row>
    <x:row r="14">
      <x:c r="A14" s="86" t="str"/>
      <x:c r="B14" s="89" t="n">
        <x:v>46181</x:v>
      </x:c>
      <x:c r="C14" s="87" t="n">
        <x:v>0</x:v>
      </x:c>
      <x:c r="D14" s="87" t="n">
        <x:v>0</x:v>
      </x:c>
      <x:c r="E14" s="94" t="n">
        <x:f>IFERROR(D14/C14,0)</x:f>
        <x:v>0</x:v>
      </x:c>
      <x:c r="F14" s="87" t="n">
        <x:v>0</x:v>
      </x:c>
      <x:c r="G14" s="87" t="n">
        <x:v>0</x:v>
      </x:c>
      <x:c r="H14" s="94" t="n">
        <x:f>IFERROR(G14/F14,0)</x:f>
        <x:v>0</x:v>
      </x:c>
      <x:c r="I14" s="87" t="n">
        <x:v>0</x:v>
      </x:c>
      <x:c r="J14" s="87" t="n">
        <x:v>0</x:v>
      </x:c>
      <x:c r="K14" s="87" t="n">
        <x:v>0</x:v>
      </x:c>
      <x:c r="L14" s="94" t="n">
        <x:f>IFERROR(K14/J14,0)</x:f>
        <x:v>0</x:v>
      </x:c>
      <x:c r="M14" s="87" t="n">
        <x:v>0</x:v>
      </x:c>
      <x:c r="N14" s="87" t="n">
        <x:f>IF(F14&gt;0,F14*10,0)</x:f>
        <x:v>0</x:v>
      </x:c>
      <x:c r="O14" s="87" t="n">
        <x:v>0</x:v>
      </x:c>
      <x:c r="P14" s="76" t="str"/>
      <x:c r="Q14" s="87" t="str">
        <x:v>Continue</x:v>
      </x:c>
      <x:c r="R14" s="87" t="str">
        <x:f>IF(AND(F14&gt;=10,L14&gt;=0.7,N14&gt;=100,O14&gt;=1),"Strong",IF(AND(F14&gt;=5,L14&gt;=0.5,H14&gt;=0.9),"Good",IF(F14=0,"No entries yet","Weak")))</x:f>
        <x:v>No entries yet</x:v>
      </x:c>
      <x:c r="S14" s="77" t="str"/>
    </x:row>
    <x:row r="15">
      <x:c r="A15" s="86" t="str"/>
      <x:c r="B15" s="89" t="n">
        <x:v>46188</x:v>
      </x:c>
      <x:c r="C15" s="87" t="n">
        <x:v>0</x:v>
      </x:c>
      <x:c r="D15" s="87" t="n">
        <x:v>0</x:v>
      </x:c>
      <x:c r="E15" s="94" t="n">
        <x:f>IFERROR(D15/C15,0)</x:f>
        <x:v>0</x:v>
      </x:c>
      <x:c r="F15" s="87" t="n">
        <x:v>0</x:v>
      </x:c>
      <x:c r="G15" s="87" t="n">
        <x:v>0</x:v>
      </x:c>
      <x:c r="H15" s="94" t="n">
        <x:f>IFERROR(G15/F15,0)</x:f>
        <x:v>0</x:v>
      </x:c>
      <x:c r="I15" s="87" t="n">
        <x:v>0</x:v>
      </x:c>
      <x:c r="J15" s="87" t="n">
        <x:v>0</x:v>
      </x:c>
      <x:c r="K15" s="87" t="n">
        <x:v>0</x:v>
      </x:c>
      <x:c r="L15" s="94" t="n">
        <x:f>IFERROR(K15/J15,0)</x:f>
        <x:v>0</x:v>
      </x:c>
      <x:c r="M15" s="87" t="n">
        <x:v>0</x:v>
      </x:c>
      <x:c r="N15" s="87" t="n">
        <x:f>IF(F15&gt;0,F15*10,0)</x:f>
        <x:v>0</x:v>
      </x:c>
      <x:c r="O15" s="87" t="n">
        <x:v>0</x:v>
      </x:c>
      <x:c r="P15" s="76" t="str"/>
      <x:c r="Q15" s="87" t="str">
        <x:v>Continue</x:v>
      </x:c>
      <x:c r="R15" s="87" t="str">
        <x:f>IF(AND(F15&gt;=10,L15&gt;=0.7,N15&gt;=100,O15&gt;=1),"Strong",IF(AND(F15&gt;=5,L15&gt;=0.5,H15&gt;=0.9),"Good",IF(F15=0,"No entries yet","Weak")))</x:f>
        <x:v>No entries yet</x:v>
      </x:c>
      <x:c r="S15" s="77" t="str"/>
    </x:row>
    <x:row r="16">
      <x:c r="A16" s="86" t="str"/>
      <x:c r="B16" s="89" t="n">
        <x:v>46188</x:v>
      </x:c>
      <x:c r="C16" s="87" t="n">
        <x:v>0</x:v>
      </x:c>
      <x:c r="D16" s="87" t="n">
        <x:v>0</x:v>
      </x:c>
      <x:c r="E16" s="94" t="n">
        <x:f>IFERROR(D16/C16,0)</x:f>
        <x:v>0</x:v>
      </x:c>
      <x:c r="F16" s="87" t="n">
        <x:v>0</x:v>
      </x:c>
      <x:c r="G16" s="87" t="n">
        <x:v>0</x:v>
      </x:c>
      <x:c r="H16" s="94" t="n">
        <x:f>IFERROR(G16/F16,0)</x:f>
        <x:v>0</x:v>
      </x:c>
      <x:c r="I16" s="87" t="n">
        <x:v>0</x:v>
      </x:c>
      <x:c r="J16" s="87" t="n">
        <x:v>0</x:v>
      </x:c>
      <x:c r="K16" s="87" t="n">
        <x:v>0</x:v>
      </x:c>
      <x:c r="L16" s="94" t="n">
        <x:f>IFERROR(K16/J16,0)</x:f>
        <x:v>0</x:v>
      </x:c>
      <x:c r="M16" s="87" t="n">
        <x:v>0</x:v>
      </x:c>
      <x:c r="N16" s="87" t="n">
        <x:f>IF(F16&gt;0,F16*10,0)</x:f>
        <x:v>0</x:v>
      </x:c>
      <x:c r="O16" s="87" t="n">
        <x:v>0</x:v>
      </x:c>
      <x:c r="P16" s="76" t="str"/>
      <x:c r="Q16" s="87" t="str">
        <x:v>Continue</x:v>
      </x:c>
      <x:c r="R16" s="87" t="str">
        <x:f>IF(AND(F16&gt;=10,L16&gt;=0.7,N16&gt;=100,O16&gt;=1),"Strong",IF(AND(F16&gt;=5,L16&gt;=0.5,H16&gt;=0.9),"Good",IF(F16=0,"No entries yet","Weak")))</x:f>
        <x:v>No entries yet</x:v>
      </x:c>
      <x:c r="S16" s="77" t="str"/>
    </x:row>
    <x:row r="17">
      <x:c r="A17" s="86" t="str"/>
      <x:c r="B17" s="89" t="n">
        <x:v>46188</x:v>
      </x:c>
      <x:c r="C17" s="87" t="n">
        <x:v>0</x:v>
      </x:c>
      <x:c r="D17" s="87" t="n">
        <x:v>0</x:v>
      </x:c>
      <x:c r="E17" s="94" t="n">
        <x:f>IFERROR(D17/C17,0)</x:f>
        <x:v>0</x:v>
      </x:c>
      <x:c r="F17" s="87" t="n">
        <x:v>0</x:v>
      </x:c>
      <x:c r="G17" s="87" t="n">
        <x:v>0</x:v>
      </x:c>
      <x:c r="H17" s="94" t="n">
        <x:f>IFERROR(G17/F17,0)</x:f>
        <x:v>0</x:v>
      </x:c>
      <x:c r="I17" s="87" t="n">
        <x:v>0</x:v>
      </x:c>
      <x:c r="J17" s="87" t="n">
        <x:v>0</x:v>
      </x:c>
      <x:c r="K17" s="87" t="n">
        <x:v>0</x:v>
      </x:c>
      <x:c r="L17" s="94" t="n">
        <x:f>IFERROR(K17/J17,0)</x:f>
        <x:v>0</x:v>
      </x:c>
      <x:c r="M17" s="87" t="n">
        <x:v>0</x:v>
      </x:c>
      <x:c r="N17" s="87" t="n">
        <x:f>IF(F17&gt;0,F17*10,0)</x:f>
        <x:v>0</x:v>
      </x:c>
      <x:c r="O17" s="87" t="n">
        <x:v>0</x:v>
      </x:c>
      <x:c r="P17" s="76" t="str"/>
      <x:c r="Q17" s="87" t="str">
        <x:v>Continue</x:v>
      </x:c>
      <x:c r="R17" s="87" t="str">
        <x:f>IF(AND(F17&gt;=10,L17&gt;=0.7,N17&gt;=100,O17&gt;=1),"Strong",IF(AND(F17&gt;=5,L17&gt;=0.5,H17&gt;=0.9),"Good",IF(F17=0,"No entries yet","Weak")))</x:f>
        <x:v>No entries yet</x:v>
      </x:c>
      <x:c r="S17" s="77" t="str"/>
    </x:row>
    <x:row r="18">
      <x:c r="A18" s="86" t="str"/>
      <x:c r="B18" s="89" t="n">
        <x:v>46188</x:v>
      </x:c>
      <x:c r="C18" s="87" t="n">
        <x:v>0</x:v>
      </x:c>
      <x:c r="D18" s="87" t="n">
        <x:v>0</x:v>
      </x:c>
      <x:c r="E18" s="94" t="n">
        <x:f>IFERROR(D18/C18,0)</x:f>
        <x:v>0</x:v>
      </x:c>
      <x:c r="F18" s="87" t="n">
        <x:v>0</x:v>
      </x:c>
      <x:c r="G18" s="87" t="n">
        <x:v>0</x:v>
      </x:c>
      <x:c r="H18" s="94" t="n">
        <x:f>IFERROR(G18/F18,0)</x:f>
        <x:v>0</x:v>
      </x:c>
      <x:c r="I18" s="87" t="n">
        <x:v>0</x:v>
      </x:c>
      <x:c r="J18" s="87" t="n">
        <x:v>0</x:v>
      </x:c>
      <x:c r="K18" s="87" t="n">
        <x:v>0</x:v>
      </x:c>
      <x:c r="L18" s="94" t="n">
        <x:f>IFERROR(K18/J18,0)</x:f>
        <x:v>0</x:v>
      </x:c>
      <x:c r="M18" s="87" t="n">
        <x:v>0</x:v>
      </x:c>
      <x:c r="N18" s="87" t="n">
        <x:f>IF(F18&gt;0,F18*10,0)</x:f>
        <x:v>0</x:v>
      </x:c>
      <x:c r="O18" s="87" t="n">
        <x:v>0</x:v>
      </x:c>
      <x:c r="P18" s="76" t="str"/>
      <x:c r="Q18" s="87" t="str">
        <x:v>Continue</x:v>
      </x:c>
      <x:c r="R18" s="87" t="str">
        <x:f>IF(AND(F18&gt;=10,L18&gt;=0.7,N18&gt;=100,O18&gt;=1),"Strong",IF(AND(F18&gt;=5,L18&gt;=0.5,H18&gt;=0.9),"Good",IF(F18=0,"No entries yet","Weak")))</x:f>
        <x:v>No entries yet</x:v>
      </x:c>
      <x:c r="S18" s="77" t="str"/>
    </x:row>
    <x:row r="19">
      <x:c r="A19" s="86" t="str"/>
      <x:c r="B19" s="89" t="n">
        <x:v>46188</x:v>
      </x:c>
      <x:c r="C19" s="87" t="n">
        <x:v>0</x:v>
      </x:c>
      <x:c r="D19" s="87" t="n">
        <x:v>0</x:v>
      </x:c>
      <x:c r="E19" s="94" t="n">
        <x:f>IFERROR(D19/C19,0)</x:f>
        <x:v>0</x:v>
      </x:c>
      <x:c r="F19" s="87" t="n">
        <x:v>0</x:v>
      </x:c>
      <x:c r="G19" s="87" t="n">
        <x:v>0</x:v>
      </x:c>
      <x:c r="H19" s="94" t="n">
        <x:f>IFERROR(G19/F19,0)</x:f>
        <x:v>0</x:v>
      </x:c>
      <x:c r="I19" s="87" t="n">
        <x:v>0</x:v>
      </x:c>
      <x:c r="J19" s="87" t="n">
        <x:v>0</x:v>
      </x:c>
      <x:c r="K19" s="87" t="n">
        <x:v>0</x:v>
      </x:c>
      <x:c r="L19" s="94" t="n">
        <x:f>IFERROR(K19/J19,0)</x:f>
        <x:v>0</x:v>
      </x:c>
      <x:c r="M19" s="87" t="n">
        <x:v>0</x:v>
      </x:c>
      <x:c r="N19" s="87" t="n">
        <x:f>IF(F19&gt;0,F19*10,0)</x:f>
        <x:v>0</x:v>
      </x:c>
      <x:c r="O19" s="87" t="n">
        <x:v>0</x:v>
      </x:c>
      <x:c r="P19" s="76" t="str"/>
      <x:c r="Q19" s="87" t="str">
        <x:v>Continue</x:v>
      </x:c>
      <x:c r="R19" s="87" t="str">
        <x:f>IF(AND(F19&gt;=10,L19&gt;=0.7,N19&gt;=100,O19&gt;=1),"Strong",IF(AND(F19&gt;=5,L19&gt;=0.5,H19&gt;=0.9),"Good",IF(F19=0,"No entries yet","Weak")))</x:f>
        <x:v>No entries yet</x:v>
      </x:c>
      <x:c r="S19" s="77" t="str"/>
    </x:row>
    <x:row r="20">
      <x:c r="A20" s="86" t="str"/>
      <x:c r="B20" s="89" t="n">
        <x:v>46195</x:v>
      </x:c>
      <x:c r="C20" s="87" t="n">
        <x:v>0</x:v>
      </x:c>
      <x:c r="D20" s="87" t="n">
        <x:v>0</x:v>
      </x:c>
      <x:c r="E20" s="94" t="n">
        <x:f>IFERROR(D20/C20,0)</x:f>
        <x:v>0</x:v>
      </x:c>
      <x:c r="F20" s="87" t="n">
        <x:v>0</x:v>
      </x:c>
      <x:c r="G20" s="87" t="n">
        <x:v>0</x:v>
      </x:c>
      <x:c r="H20" s="94" t="n">
        <x:f>IFERROR(G20/F20,0)</x:f>
        <x:v>0</x:v>
      </x:c>
      <x:c r="I20" s="87" t="n">
        <x:v>0</x:v>
      </x:c>
      <x:c r="J20" s="87" t="n">
        <x:v>0</x:v>
      </x:c>
      <x:c r="K20" s="87" t="n">
        <x:v>0</x:v>
      </x:c>
      <x:c r="L20" s="94" t="n">
        <x:f>IFERROR(K20/J20,0)</x:f>
        <x:v>0</x:v>
      </x:c>
      <x:c r="M20" s="87" t="n">
        <x:v>0</x:v>
      </x:c>
      <x:c r="N20" s="87" t="n">
        <x:f>IF(F20&gt;0,F20*10,0)</x:f>
        <x:v>0</x:v>
      </x:c>
      <x:c r="O20" s="87" t="n">
        <x:v>0</x:v>
      </x:c>
      <x:c r="P20" s="76" t="str"/>
      <x:c r="Q20" s="87" t="str">
        <x:v>Continue</x:v>
      </x:c>
      <x:c r="R20" s="87" t="str">
        <x:f>IF(AND(F20&gt;=10,L20&gt;=0.7,N20&gt;=100,O20&gt;=1),"Strong",IF(AND(F20&gt;=5,L20&gt;=0.5,H20&gt;=0.9),"Good",IF(F20=0,"No entries yet","Weak")))</x:f>
        <x:v>No entries yet</x:v>
      </x:c>
      <x:c r="S20" s="77" t="str"/>
    </x:row>
    <x:row r="21">
      <x:c r="A21" s="86" t="str"/>
      <x:c r="B21" s="89" t="n">
        <x:v>46195</x:v>
      </x:c>
      <x:c r="C21" s="87" t="n">
        <x:v>0</x:v>
      </x:c>
      <x:c r="D21" s="87" t="n">
        <x:v>0</x:v>
      </x:c>
      <x:c r="E21" s="94" t="n">
        <x:f>IFERROR(D21/C21,0)</x:f>
        <x:v>0</x:v>
      </x:c>
      <x:c r="F21" s="87" t="n">
        <x:v>0</x:v>
      </x:c>
      <x:c r="G21" s="87" t="n">
        <x:v>0</x:v>
      </x:c>
      <x:c r="H21" s="94" t="n">
        <x:f>IFERROR(G21/F21,0)</x:f>
        <x:v>0</x:v>
      </x:c>
      <x:c r="I21" s="87" t="n">
        <x:v>0</x:v>
      </x:c>
      <x:c r="J21" s="87" t="n">
        <x:v>0</x:v>
      </x:c>
      <x:c r="K21" s="87" t="n">
        <x:v>0</x:v>
      </x:c>
      <x:c r="L21" s="94" t="n">
        <x:f>IFERROR(K21/J21,0)</x:f>
        <x:v>0</x:v>
      </x:c>
      <x:c r="M21" s="87" t="n">
        <x:v>0</x:v>
      </x:c>
      <x:c r="N21" s="87" t="n">
        <x:f>IF(F21&gt;0,F21*10,0)</x:f>
        <x:v>0</x:v>
      </x:c>
      <x:c r="O21" s="87" t="n">
        <x:v>0</x:v>
      </x:c>
      <x:c r="P21" s="76" t="str"/>
      <x:c r="Q21" s="87" t="str">
        <x:v>Continue</x:v>
      </x:c>
      <x:c r="R21" s="87" t="str">
        <x:f>IF(AND(F21&gt;=10,L21&gt;=0.7,N21&gt;=100,O21&gt;=1),"Strong",IF(AND(F21&gt;=5,L21&gt;=0.5,H21&gt;=0.9),"Good",IF(F21=0,"No entries yet","Weak")))</x:f>
        <x:v>No entries yet</x:v>
      </x:c>
      <x:c r="S21" s="77" t="str"/>
    </x:row>
    <x:row r="22">
      <x:c r="A22" s="86" t="str"/>
      <x:c r="B22" s="89" t="n">
        <x:v>46195</x:v>
      </x:c>
      <x:c r="C22" s="87" t="n">
        <x:v>0</x:v>
      </x:c>
      <x:c r="D22" s="87" t="n">
        <x:v>0</x:v>
      </x:c>
      <x:c r="E22" s="94" t="n">
        <x:f>IFERROR(D22/C22,0)</x:f>
        <x:v>0</x:v>
      </x:c>
      <x:c r="F22" s="87" t="n">
        <x:v>0</x:v>
      </x:c>
      <x:c r="G22" s="87" t="n">
        <x:v>0</x:v>
      </x:c>
      <x:c r="H22" s="94" t="n">
        <x:f>IFERROR(G22/F22,0)</x:f>
        <x:v>0</x:v>
      </x:c>
      <x:c r="I22" s="87" t="n">
        <x:v>0</x:v>
      </x:c>
      <x:c r="J22" s="87" t="n">
        <x:v>0</x:v>
      </x:c>
      <x:c r="K22" s="87" t="n">
        <x:v>0</x:v>
      </x:c>
      <x:c r="L22" s="94" t="n">
        <x:f>IFERROR(K22/J22,0)</x:f>
        <x:v>0</x:v>
      </x:c>
      <x:c r="M22" s="87" t="n">
        <x:v>0</x:v>
      </x:c>
      <x:c r="N22" s="87" t="n">
        <x:f>IF(F22&gt;0,F22*10,0)</x:f>
        <x:v>0</x:v>
      </x:c>
      <x:c r="O22" s="87" t="n">
        <x:v>0</x:v>
      </x:c>
      <x:c r="P22" s="76" t="str"/>
      <x:c r="Q22" s="87" t="str">
        <x:v>Continue</x:v>
      </x:c>
      <x:c r="R22" s="87" t="str">
        <x:f>IF(AND(F22&gt;=10,L22&gt;=0.7,N22&gt;=100,O22&gt;=1),"Strong",IF(AND(F22&gt;=5,L22&gt;=0.5,H22&gt;=0.9),"Good",IF(F22=0,"No entries yet","Weak")))</x:f>
        <x:v>No entries yet</x:v>
      </x:c>
      <x:c r="S22" s="77" t="str"/>
    </x:row>
    <x:row r="23">
      <x:c r="A23" s="86" t="str"/>
      <x:c r="B23" s="89" t="n">
        <x:v>46195</x:v>
      </x:c>
      <x:c r="C23" s="87" t="n">
        <x:v>0</x:v>
      </x:c>
      <x:c r="D23" s="87" t="n">
        <x:v>0</x:v>
      </x:c>
      <x:c r="E23" s="94" t="n">
        <x:f>IFERROR(D23/C23,0)</x:f>
        <x:v>0</x:v>
      </x:c>
      <x:c r="F23" s="87" t="n">
        <x:v>0</x:v>
      </x:c>
      <x:c r="G23" s="87" t="n">
        <x:v>0</x:v>
      </x:c>
      <x:c r="H23" s="94" t="n">
        <x:f>IFERROR(G23/F23,0)</x:f>
        <x:v>0</x:v>
      </x:c>
      <x:c r="I23" s="87" t="n">
        <x:v>0</x:v>
      </x:c>
      <x:c r="J23" s="87" t="n">
        <x:v>0</x:v>
      </x:c>
      <x:c r="K23" s="87" t="n">
        <x:v>0</x:v>
      </x:c>
      <x:c r="L23" s="94" t="n">
        <x:f>IFERROR(K23/J23,0)</x:f>
        <x:v>0</x:v>
      </x:c>
      <x:c r="M23" s="87" t="n">
        <x:v>0</x:v>
      </x:c>
      <x:c r="N23" s="87" t="n">
        <x:f>IF(F23&gt;0,F23*10,0)</x:f>
        <x:v>0</x:v>
      </x:c>
      <x:c r="O23" s="87" t="n">
        <x:v>0</x:v>
      </x:c>
      <x:c r="P23" s="76" t="str"/>
      <x:c r="Q23" s="87" t="str">
        <x:v>Continue</x:v>
      </x:c>
      <x:c r="R23" s="87" t="str">
        <x:f>IF(AND(F23&gt;=10,L23&gt;=0.7,N23&gt;=100,O23&gt;=1),"Strong",IF(AND(F23&gt;=5,L23&gt;=0.5,H23&gt;=0.9),"Good",IF(F23=0,"No entries yet","Weak")))</x:f>
        <x:v>No entries yet</x:v>
      </x:c>
      <x:c r="S23" s="77" t="str"/>
    </x:row>
    <x:row r="24">
      <x:c r="A24" s="86" t="str"/>
      <x:c r="B24" s="89" t="n">
        <x:v>46195</x:v>
      </x:c>
      <x:c r="C24" s="87" t="n">
        <x:v>0</x:v>
      </x:c>
      <x:c r="D24" s="87" t="n">
        <x:v>0</x:v>
      </x:c>
      <x:c r="E24" s="94" t="n">
        <x:f>IFERROR(D24/C24,0)</x:f>
        <x:v>0</x:v>
      </x:c>
      <x:c r="F24" s="87" t="n">
        <x:v>0</x:v>
      </x:c>
      <x:c r="G24" s="87" t="n">
        <x:v>0</x:v>
      </x:c>
      <x:c r="H24" s="94" t="n">
        <x:f>IFERROR(G24/F24,0)</x:f>
        <x:v>0</x:v>
      </x:c>
      <x:c r="I24" s="87" t="n">
        <x:v>0</x:v>
      </x:c>
      <x:c r="J24" s="87" t="n">
        <x:v>0</x:v>
      </x:c>
      <x:c r="K24" s="87" t="n">
        <x:v>0</x:v>
      </x:c>
      <x:c r="L24" s="94" t="n">
        <x:f>IFERROR(K24/J24,0)</x:f>
        <x:v>0</x:v>
      </x:c>
      <x:c r="M24" s="87" t="n">
        <x:v>0</x:v>
      </x:c>
      <x:c r="N24" s="87" t="n">
        <x:f>IF(F24&gt;0,F24*10,0)</x:f>
        <x:v>0</x:v>
      </x:c>
      <x:c r="O24" s="87" t="n">
        <x:v>0</x:v>
      </x:c>
      <x:c r="P24" s="76" t="str"/>
      <x:c r="Q24" s="87" t="str">
        <x:v>Continue</x:v>
      </x:c>
      <x:c r="R24" s="87" t="str">
        <x:f>IF(AND(F24&gt;=10,L24&gt;=0.7,N24&gt;=100,O24&gt;=1),"Strong",IF(AND(F24&gt;=5,L24&gt;=0.5,H24&gt;=0.9),"Good",IF(F24=0,"No entries yet","Weak")))</x:f>
        <x:v>No entries yet</x:v>
      </x:c>
      <x:c r="S24" s="77" t="str"/>
    </x:row>
    <x:row r="25">
      <x:c r="A25" s="86" t="str"/>
      <x:c r="B25" s="89" t="n">
        <x:v>46202</x:v>
      </x:c>
      <x:c r="C25" s="87" t="n">
        <x:v>0</x:v>
      </x:c>
      <x:c r="D25" s="87" t="n">
        <x:v>0</x:v>
      </x:c>
      <x:c r="E25" s="94" t="n">
        <x:f>IFERROR(D25/C25,0)</x:f>
        <x:v>0</x:v>
      </x:c>
      <x:c r="F25" s="87" t="n">
        <x:v>0</x:v>
      </x:c>
      <x:c r="G25" s="87" t="n">
        <x:v>0</x:v>
      </x:c>
      <x:c r="H25" s="94" t="n">
        <x:f>IFERROR(G25/F25,0)</x:f>
        <x:v>0</x:v>
      </x:c>
      <x:c r="I25" s="87" t="n">
        <x:v>0</x:v>
      </x:c>
      <x:c r="J25" s="87" t="n">
        <x:v>0</x:v>
      </x:c>
      <x:c r="K25" s="87" t="n">
        <x:v>0</x:v>
      </x:c>
      <x:c r="L25" s="94" t="n">
        <x:f>IFERROR(K25/J25,0)</x:f>
        <x:v>0</x:v>
      </x:c>
      <x:c r="M25" s="87" t="n">
        <x:v>0</x:v>
      </x:c>
      <x:c r="N25" s="87" t="n">
        <x:f>IF(F25&gt;0,F25*10,0)</x:f>
        <x:v>0</x:v>
      </x:c>
      <x:c r="O25" s="87" t="n">
        <x:v>0</x:v>
      </x:c>
      <x:c r="P25" s="76" t="str"/>
      <x:c r="Q25" s="87" t="str">
        <x:v>Continue</x:v>
      </x:c>
      <x:c r="R25" s="87" t="str">
        <x:f>IF(AND(F25&gt;=10,L25&gt;=0.7,N25&gt;=100,O25&gt;=1),"Strong",IF(AND(F25&gt;=5,L25&gt;=0.5,H25&gt;=0.9),"Good",IF(F25=0,"No entries yet","Weak")))</x:f>
        <x:v>No entries yet</x:v>
      </x:c>
      <x:c r="S25" s="77" t="str"/>
    </x:row>
    <x:row r="26">
      <x:c r="A26" s="86" t="str"/>
      <x:c r="B26" s="89" t="n">
        <x:v>46202</x:v>
      </x:c>
      <x:c r="C26" s="87" t="n">
        <x:v>0</x:v>
      </x:c>
      <x:c r="D26" s="87" t="n">
        <x:v>0</x:v>
      </x:c>
      <x:c r="E26" s="94" t="n">
        <x:f>IFERROR(D26/C26,0)</x:f>
        <x:v>0</x:v>
      </x:c>
      <x:c r="F26" s="87" t="n">
        <x:v>0</x:v>
      </x:c>
      <x:c r="G26" s="87" t="n">
        <x:v>0</x:v>
      </x:c>
      <x:c r="H26" s="94" t="n">
        <x:f>IFERROR(G26/F26,0)</x:f>
        <x:v>0</x:v>
      </x:c>
      <x:c r="I26" s="87" t="n">
        <x:v>0</x:v>
      </x:c>
      <x:c r="J26" s="87" t="n">
        <x:v>0</x:v>
      </x:c>
      <x:c r="K26" s="87" t="n">
        <x:v>0</x:v>
      </x:c>
      <x:c r="L26" s="94" t="n">
        <x:f>IFERROR(K26/J26,0)</x:f>
        <x:v>0</x:v>
      </x:c>
      <x:c r="M26" s="87" t="n">
        <x:v>0</x:v>
      </x:c>
      <x:c r="N26" s="87" t="n">
        <x:f>IF(F26&gt;0,F26*10,0)</x:f>
        <x:v>0</x:v>
      </x:c>
      <x:c r="O26" s="87" t="n">
        <x:v>0</x:v>
      </x:c>
      <x:c r="P26" s="76" t="str"/>
      <x:c r="Q26" s="87" t="str">
        <x:v>Continue</x:v>
      </x:c>
      <x:c r="R26" s="87" t="str">
        <x:f>IF(AND(F26&gt;=10,L26&gt;=0.7,N26&gt;=100,O26&gt;=1),"Strong",IF(AND(F26&gt;=5,L26&gt;=0.5,H26&gt;=0.9),"Good",IF(F26=0,"No entries yet","Weak")))</x:f>
        <x:v>No entries yet</x:v>
      </x:c>
      <x:c r="S26" s="77" t="str"/>
    </x:row>
    <x:row r="27">
      <x:c r="A27" s="86" t="str"/>
      <x:c r="B27" s="89" t="n">
        <x:v>46202</x:v>
      </x:c>
      <x:c r="C27" s="87" t="n">
        <x:v>0</x:v>
      </x:c>
      <x:c r="D27" s="87" t="n">
        <x:v>0</x:v>
      </x:c>
      <x:c r="E27" s="94" t="n">
        <x:f>IFERROR(D27/C27,0)</x:f>
        <x:v>0</x:v>
      </x:c>
      <x:c r="F27" s="87" t="n">
        <x:v>0</x:v>
      </x:c>
      <x:c r="G27" s="87" t="n">
        <x:v>0</x:v>
      </x:c>
      <x:c r="H27" s="94" t="n">
        <x:f>IFERROR(G27/F27,0)</x:f>
        <x:v>0</x:v>
      </x:c>
      <x:c r="I27" s="87" t="n">
        <x:v>0</x:v>
      </x:c>
      <x:c r="J27" s="87" t="n">
        <x:v>0</x:v>
      </x:c>
      <x:c r="K27" s="87" t="n">
        <x:v>0</x:v>
      </x:c>
      <x:c r="L27" s="94" t="n">
        <x:f>IFERROR(K27/J27,0)</x:f>
        <x:v>0</x:v>
      </x:c>
      <x:c r="M27" s="87" t="n">
        <x:v>0</x:v>
      </x:c>
      <x:c r="N27" s="87" t="n">
        <x:f>IF(F27&gt;0,F27*10,0)</x:f>
        <x:v>0</x:v>
      </x:c>
      <x:c r="O27" s="87" t="n">
        <x:v>0</x:v>
      </x:c>
      <x:c r="P27" s="76" t="str"/>
      <x:c r="Q27" s="87" t="str">
        <x:v>Continue</x:v>
      </x:c>
      <x:c r="R27" s="87" t="str">
        <x:f>IF(AND(F27&gt;=10,L27&gt;=0.7,N27&gt;=100,O27&gt;=1),"Strong",IF(AND(F27&gt;=5,L27&gt;=0.5,H27&gt;=0.9),"Good",IF(F27=0,"No entries yet","Weak")))</x:f>
        <x:v>No entries yet</x:v>
      </x:c>
      <x:c r="S27" s="77" t="str"/>
    </x:row>
    <x:row r="28">
      <x:c r="A28" s="86" t="str"/>
      <x:c r="B28" s="89" t="n">
        <x:v>46202</x:v>
      </x:c>
      <x:c r="C28" s="87" t="n">
        <x:v>0</x:v>
      </x:c>
      <x:c r="D28" s="87" t="n">
        <x:v>0</x:v>
      </x:c>
      <x:c r="E28" s="94" t="n">
        <x:f>IFERROR(D28/C28,0)</x:f>
        <x:v>0</x:v>
      </x:c>
      <x:c r="F28" s="87" t="n">
        <x:v>0</x:v>
      </x:c>
      <x:c r="G28" s="87" t="n">
        <x:v>0</x:v>
      </x:c>
      <x:c r="H28" s="94" t="n">
        <x:f>IFERROR(G28/F28,0)</x:f>
        <x:v>0</x:v>
      </x:c>
      <x:c r="I28" s="87" t="n">
        <x:v>0</x:v>
      </x:c>
      <x:c r="J28" s="87" t="n">
        <x:v>0</x:v>
      </x:c>
      <x:c r="K28" s="87" t="n">
        <x:v>0</x:v>
      </x:c>
      <x:c r="L28" s="94" t="n">
        <x:f>IFERROR(K28/J28,0)</x:f>
        <x:v>0</x:v>
      </x:c>
      <x:c r="M28" s="87" t="n">
        <x:v>0</x:v>
      </x:c>
      <x:c r="N28" s="87" t="n">
        <x:f>IF(F28&gt;0,F28*10,0)</x:f>
        <x:v>0</x:v>
      </x:c>
      <x:c r="O28" s="87" t="n">
        <x:v>0</x:v>
      </x:c>
      <x:c r="P28" s="76" t="str"/>
      <x:c r="Q28" s="87" t="str">
        <x:v>Continue</x:v>
      </x:c>
      <x:c r="R28" s="87" t="str">
        <x:f>IF(AND(F28&gt;=10,L28&gt;=0.7,N28&gt;=100,O28&gt;=1),"Strong",IF(AND(F28&gt;=5,L28&gt;=0.5,H28&gt;=0.9),"Good",IF(F28=0,"No entries yet","Weak")))</x:f>
        <x:v>No entries yet</x:v>
      </x:c>
      <x:c r="S28" s="77" t="str"/>
    </x:row>
    <x:row r="29">
      <x:c r="A29" s="86" t="str"/>
      <x:c r="B29" s="89" t="n">
        <x:v>46202</x:v>
      </x:c>
      <x:c r="C29" s="87" t="n">
        <x:v>0</x:v>
      </x:c>
      <x:c r="D29" s="87" t="n">
        <x:v>0</x:v>
      </x:c>
      <x:c r="E29" s="94" t="n">
        <x:f>IFERROR(D29/C29,0)</x:f>
        <x:v>0</x:v>
      </x:c>
      <x:c r="F29" s="87" t="n">
        <x:v>0</x:v>
      </x:c>
      <x:c r="G29" s="87" t="n">
        <x:v>0</x:v>
      </x:c>
      <x:c r="H29" s="94" t="n">
        <x:f>IFERROR(G29/F29,0)</x:f>
        <x:v>0</x:v>
      </x:c>
      <x:c r="I29" s="87" t="n">
        <x:v>0</x:v>
      </x:c>
      <x:c r="J29" s="87" t="n">
        <x:v>0</x:v>
      </x:c>
      <x:c r="K29" s="87" t="n">
        <x:v>0</x:v>
      </x:c>
      <x:c r="L29" s="94" t="n">
        <x:f>IFERROR(K29/J29,0)</x:f>
        <x:v>0</x:v>
      </x:c>
      <x:c r="M29" s="87" t="n">
        <x:v>0</x:v>
      </x:c>
      <x:c r="N29" s="87" t="n">
        <x:f>IF(F29&gt;0,F29*10,0)</x:f>
        <x:v>0</x:v>
      </x:c>
      <x:c r="O29" s="87" t="n">
        <x:v>0</x:v>
      </x:c>
      <x:c r="P29" s="76" t="str"/>
      <x:c r="Q29" s="87" t="str">
        <x:v>Continue</x:v>
      </x:c>
      <x:c r="R29" s="87" t="str">
        <x:f>IF(AND(F29&gt;=10,L29&gt;=0.7,N29&gt;=100,O29&gt;=1),"Strong",IF(AND(F29&gt;=5,L29&gt;=0.5,H29&gt;=0.9),"Good",IF(F29=0,"No entries yet","Weak")))</x:f>
        <x:v>No entries yet</x:v>
      </x:c>
      <x:c r="S29" s="77" t="str"/>
    </x:row>
    <x:row r="30">
      <x:c r="A30" s="86" t="str"/>
      <x:c r="B30" s="89" t="n">
        <x:v>46209</x:v>
      </x:c>
      <x:c r="C30" s="87" t="n">
        <x:v>0</x:v>
      </x:c>
      <x:c r="D30" s="87" t="n">
        <x:v>0</x:v>
      </x:c>
      <x:c r="E30" s="94" t="n">
        <x:f>IFERROR(D30/C30,0)</x:f>
        <x:v>0</x:v>
      </x:c>
      <x:c r="F30" s="87" t="n">
        <x:v>0</x:v>
      </x:c>
      <x:c r="G30" s="87" t="n">
        <x:v>0</x:v>
      </x:c>
      <x:c r="H30" s="94" t="n">
        <x:f>IFERROR(G30/F30,0)</x:f>
        <x:v>0</x:v>
      </x:c>
      <x:c r="I30" s="87" t="n">
        <x:v>0</x:v>
      </x:c>
      <x:c r="J30" s="87" t="n">
        <x:v>0</x:v>
      </x:c>
      <x:c r="K30" s="87" t="n">
        <x:v>0</x:v>
      </x:c>
      <x:c r="L30" s="94" t="n">
        <x:f>IFERROR(K30/J30,0)</x:f>
        <x:v>0</x:v>
      </x:c>
      <x:c r="M30" s="87" t="n">
        <x:v>0</x:v>
      </x:c>
      <x:c r="N30" s="87" t="n">
        <x:f>IF(F30&gt;0,F30*10,0)</x:f>
        <x:v>0</x:v>
      </x:c>
      <x:c r="O30" s="87" t="n">
        <x:v>0</x:v>
      </x:c>
      <x:c r="P30" s="76" t="str"/>
      <x:c r="Q30" s="87" t="str">
        <x:v>Continue</x:v>
      </x:c>
      <x:c r="R30" s="87" t="str">
        <x:f>IF(AND(F30&gt;=10,L30&gt;=0.7,N30&gt;=100,O30&gt;=1),"Strong",IF(AND(F30&gt;=5,L30&gt;=0.5,H30&gt;=0.9),"Good",IF(F30=0,"No entries yet","Weak")))</x:f>
        <x:v>No entries yet</x:v>
      </x:c>
      <x:c r="S30" s="77" t="str"/>
    </x:row>
    <x:row r="31">
      <x:c r="A31" s="86" t="str"/>
      <x:c r="B31" s="89" t="n">
        <x:v>46209</x:v>
      </x:c>
      <x:c r="C31" s="87" t="n">
        <x:v>0</x:v>
      </x:c>
      <x:c r="D31" s="87" t="n">
        <x:v>0</x:v>
      </x:c>
      <x:c r="E31" s="94" t="n">
        <x:f>IFERROR(D31/C31,0)</x:f>
        <x:v>0</x:v>
      </x:c>
      <x:c r="F31" s="87" t="n">
        <x:v>0</x:v>
      </x:c>
      <x:c r="G31" s="87" t="n">
        <x:v>0</x:v>
      </x:c>
      <x:c r="H31" s="94" t="n">
        <x:f>IFERROR(G31/F31,0)</x:f>
        <x:v>0</x:v>
      </x:c>
      <x:c r="I31" s="87" t="n">
        <x:v>0</x:v>
      </x:c>
      <x:c r="J31" s="87" t="n">
        <x:v>0</x:v>
      </x:c>
      <x:c r="K31" s="87" t="n">
        <x:v>0</x:v>
      </x:c>
      <x:c r="L31" s="94" t="n">
        <x:f>IFERROR(K31/J31,0)</x:f>
        <x:v>0</x:v>
      </x:c>
      <x:c r="M31" s="87" t="n">
        <x:v>0</x:v>
      </x:c>
      <x:c r="N31" s="87" t="n">
        <x:f>IF(F31&gt;0,F31*10,0)</x:f>
        <x:v>0</x:v>
      </x:c>
      <x:c r="O31" s="87" t="n">
        <x:v>0</x:v>
      </x:c>
      <x:c r="P31" s="76" t="str"/>
      <x:c r="Q31" s="87" t="str">
        <x:v>Continue</x:v>
      </x:c>
      <x:c r="R31" s="87" t="str">
        <x:f>IF(AND(F31&gt;=10,L31&gt;=0.7,N31&gt;=100,O31&gt;=1),"Strong",IF(AND(F31&gt;=5,L31&gt;=0.5,H31&gt;=0.9),"Good",IF(F31=0,"No entries yet","Weak")))</x:f>
        <x:v>No entries yet</x:v>
      </x:c>
      <x:c r="S31" s="77" t="str"/>
    </x:row>
    <x:row r="32">
      <x:c r="A32" s="86" t="str"/>
      <x:c r="B32" s="89" t="n">
        <x:v>46209</x:v>
      </x:c>
      <x:c r="C32" s="87" t="n">
        <x:v>0</x:v>
      </x:c>
      <x:c r="D32" s="87" t="n">
        <x:v>0</x:v>
      </x:c>
      <x:c r="E32" s="94" t="n">
        <x:f>IFERROR(D32/C32,0)</x:f>
        <x:v>0</x:v>
      </x:c>
      <x:c r="F32" s="87" t="n">
        <x:v>0</x:v>
      </x:c>
      <x:c r="G32" s="87" t="n">
        <x:v>0</x:v>
      </x:c>
      <x:c r="H32" s="94" t="n">
        <x:f>IFERROR(G32/F32,0)</x:f>
        <x:v>0</x:v>
      </x:c>
      <x:c r="I32" s="87" t="n">
        <x:v>0</x:v>
      </x:c>
      <x:c r="J32" s="87" t="n">
        <x:v>0</x:v>
      </x:c>
      <x:c r="K32" s="87" t="n">
        <x:v>0</x:v>
      </x:c>
      <x:c r="L32" s="94" t="n">
        <x:f>IFERROR(K32/J32,0)</x:f>
        <x:v>0</x:v>
      </x:c>
      <x:c r="M32" s="87" t="n">
        <x:v>0</x:v>
      </x:c>
      <x:c r="N32" s="87" t="n">
        <x:f>IF(F32&gt;0,F32*10,0)</x:f>
        <x:v>0</x:v>
      </x:c>
      <x:c r="O32" s="87" t="n">
        <x:v>0</x:v>
      </x:c>
      <x:c r="P32" s="76" t="str"/>
      <x:c r="Q32" s="87" t="str">
        <x:v>Continue</x:v>
      </x:c>
      <x:c r="R32" s="87" t="str">
        <x:f>IF(AND(F32&gt;=10,L32&gt;=0.7,N32&gt;=100,O32&gt;=1),"Strong",IF(AND(F32&gt;=5,L32&gt;=0.5,H32&gt;=0.9),"Good",IF(F32=0,"No entries yet","Weak")))</x:f>
        <x:v>No entries yet</x:v>
      </x:c>
      <x:c r="S32" s="77" t="str"/>
    </x:row>
    <x:row r="33">
      <x:c r="A33" s="86" t="str"/>
      <x:c r="B33" s="89" t="n">
        <x:v>46209</x:v>
      </x:c>
      <x:c r="C33" s="87" t="n">
        <x:v>0</x:v>
      </x:c>
      <x:c r="D33" s="87" t="n">
        <x:v>0</x:v>
      </x:c>
      <x:c r="E33" s="94" t="n">
        <x:f>IFERROR(D33/C33,0)</x:f>
        <x:v>0</x:v>
      </x:c>
      <x:c r="F33" s="87" t="n">
        <x:v>0</x:v>
      </x:c>
      <x:c r="G33" s="87" t="n">
        <x:v>0</x:v>
      </x:c>
      <x:c r="H33" s="94" t="n">
        <x:f>IFERROR(G33/F33,0)</x:f>
        <x:v>0</x:v>
      </x:c>
      <x:c r="I33" s="87" t="n">
        <x:v>0</x:v>
      </x:c>
      <x:c r="J33" s="87" t="n">
        <x:v>0</x:v>
      </x:c>
      <x:c r="K33" s="87" t="n">
        <x:v>0</x:v>
      </x:c>
      <x:c r="L33" s="94" t="n">
        <x:f>IFERROR(K33/J33,0)</x:f>
        <x:v>0</x:v>
      </x:c>
      <x:c r="M33" s="87" t="n">
        <x:v>0</x:v>
      </x:c>
      <x:c r="N33" s="87" t="n">
        <x:f>IF(F33&gt;0,F33*10,0)</x:f>
        <x:v>0</x:v>
      </x:c>
      <x:c r="O33" s="87" t="n">
        <x:v>0</x:v>
      </x:c>
      <x:c r="P33" s="76" t="str"/>
      <x:c r="Q33" s="87" t="str">
        <x:v>Continue</x:v>
      </x:c>
      <x:c r="R33" s="87" t="str">
        <x:f>IF(AND(F33&gt;=10,L33&gt;=0.7,N33&gt;=100,O33&gt;=1),"Strong",IF(AND(F33&gt;=5,L33&gt;=0.5,H33&gt;=0.9),"Good",IF(F33=0,"No entries yet","Weak")))</x:f>
        <x:v>No entries yet</x:v>
      </x:c>
      <x:c r="S33" s="77" t="str"/>
    </x:row>
    <x:row r="34">
      <x:c r="A34" s="90" t="str"/>
      <x:c r="B34" s="93" t="n">
        <x:v>46209</x:v>
      </x:c>
      <x:c r="C34" s="91" t="n">
        <x:v>0</x:v>
      </x:c>
      <x:c r="D34" s="91" t="n">
        <x:v>0</x:v>
      </x:c>
      <x:c r="E34" s="95" t="n">
        <x:f>IFERROR(D34/C34,0)</x:f>
        <x:v>0</x:v>
      </x:c>
      <x:c r="F34" s="91" t="n">
        <x:v>0</x:v>
      </x:c>
      <x:c r="G34" s="91" t="n">
        <x:v>0</x:v>
      </x:c>
      <x:c r="H34" s="95" t="n">
        <x:f>IFERROR(G34/F34,0)</x:f>
        <x:v>0</x:v>
      </x:c>
      <x:c r="I34" s="91" t="n">
        <x:v>0</x:v>
      </x:c>
      <x:c r="J34" s="91" t="n">
        <x:v>0</x:v>
      </x:c>
      <x:c r="K34" s="91" t="n">
        <x:v>0</x:v>
      </x:c>
      <x:c r="L34" s="95" t="n">
        <x:f>IFERROR(K34/J34,0)</x:f>
        <x:v>0</x:v>
      </x:c>
      <x:c r="M34" s="91" t="n">
        <x:v>0</x:v>
      </x:c>
      <x:c r="N34" s="91" t="n">
        <x:f>IF(F34&gt;0,F34*10,0)</x:f>
        <x:v>0</x:v>
      </x:c>
      <x:c r="O34" s="91" t="n">
        <x:v>0</x:v>
      </x:c>
      <x:c r="P34" s="80" t="str"/>
      <x:c r="Q34" s="91" t="str">
        <x:v>Continue</x:v>
      </x:c>
      <x:c r="R34" s="91" t="str">
        <x:f>IF(AND(F34&gt;=10,L34&gt;=0.7,N34&gt;=100,O34&gt;=1),"Strong",IF(AND(F34&gt;=5,L34&gt;=0.5,H34&gt;=0.9),"Good",IF(F34=0,"No entries yet","Weak")))</x:f>
        <x:v>No entries yet</x:v>
      </x:c>
      <x:c r="S34" s="81" t="str"/>
    </x:row>
  </x:sheetData>
  <x:mergeCells>
    <x:mergeCell ref="A1:S2"/>
  </x:mergeCells>
  <x:dataValidations count="1">
    <x:dataValidation type="list" sqref="Q5:Q34">
      <x:formula1>"Continue,Adjust,Pause,Expand,Convert to paid"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89a31f025f4ac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36.66999816894531" hidden="0" customWidth="1"/>
    <x:col min="3" max="3" width="28.889999389648438" hidden="0" customWidth="1"/>
    <x:col min="4" max="4" width="24.440000534057617" hidden="0" customWidth="1"/>
    <x:col min="5" max="5" width="17.780000686645508" hidden="0" customWidth="1"/>
    <x:col min="6" max="6" width="27.780000686645508" hidden="0" customWidth="1"/>
  </x:cols>
  <x:sheetData>
    <x:row r="1" ht="24" customHeight="1">
      <x:c r="A1" s="64" t="str">
        <x:v>Deal Threads Objection And Trust Pack
Keep answers tight, proof-led, and calm.</x:v>
      </x:c>
      <x:c r="B1" s="64" t="str">
        <x:v>Deal Threads Objection And Trust Pack
Keep answers tight, proof-led, and calm.</x:v>
      </x:c>
      <x:c r="C1" s="64" t="str">
        <x:v>Deal Threads Objection And Trust Pack
Keep answers tight, proof-led, and calm.</x:v>
      </x:c>
      <x:c r="D1" s="64" t="str">
        <x:v>Deal Threads Objection And Trust Pack
Keep answers tight, proof-led, and calm.</x:v>
      </x:c>
      <x:c r="E1" s="64" t="str">
        <x:v>Deal Threads Objection And Trust Pack
Keep answers tight, proof-led, and calm.</x:v>
      </x:c>
      <x:c r="F1" s="64" t="str">
        <x:v>Deal Threads Objection And Trust Pack
Keep answers tight, proof-led, and calm.</x:v>
      </x:c>
    </x:row>
    <x:row r="2" ht="24" customHeight="1">
      <x:c r="A2" s="64" t="str">
        <x:v>Deal Threads Objection And Trust Pack
Keep answers tight, proof-led, and calm.</x:v>
      </x:c>
      <x:c r="B2" s="64" t="str">
        <x:v>Deal Threads Objection And Trust Pack
Keep answers tight, proof-led, and calm.</x:v>
      </x:c>
      <x:c r="C2" s="64" t="str">
        <x:v>Deal Threads Objection And Trust Pack
Keep answers tight, proof-led, and calm.</x:v>
      </x:c>
      <x:c r="D2" s="64" t="str">
        <x:v>Deal Threads Objection And Trust Pack
Keep answers tight, proof-led, and calm.</x:v>
      </x:c>
      <x:c r="E2" s="64" t="str">
        <x:v>Deal Threads Objection And Trust Pack
Keep answers tight, proof-led, and calm.</x:v>
      </x:c>
      <x:c r="F2" s="64" t="str">
        <x:v>Deal Threads Objection And Trust Pack
Keep answers tight, proof-led, and calm.</x:v>
      </x:c>
    </x:row>
    <x:row r="3">
      <x:c r="A3" s="65"/>
      <x:c r="B3" s="65"/>
      <x:c r="C3" s="65"/>
      <x:c r="D3" s="65"/>
      <x:c r="E3" s="65"/>
      <x:c r="F3" s="65"/>
    </x:row>
    <x:row r="4">
      <x:c r="A4" s="72" t="str">
        <x:v>Objection</x:v>
      </x:c>
      <x:c r="B4" s="73" t="str">
        <x:v>Short Response</x:v>
      </x:c>
      <x:c r="C4" s="73" t="str">
        <x:v>Proof Asset To Use</x:v>
      </x:c>
      <x:c r="D4" s="73" t="str">
        <x:v>Follow-Up Question</x:v>
      </x:c>
      <x:c r="E4" s="73" t="str">
        <x:v>Risk Level</x:v>
      </x:c>
      <x:c r="F4" s="74" t="str">
        <x:v>Notes</x:v>
      </x:c>
    </x:row>
    <x:row r="5">
      <x:c r="A5" s="86" t="str">
        <x:v>We already have a form</x:v>
      </x:c>
      <x:c r="B5" s="76" t="str">
        <x:v>That is the point. The form captures the lead; Deal Threads builds the buyer profile before callback.</x:v>
      </x:c>
      <x:c r="C5" s="76" t="str">
        <x:v>Dead form teardown</x:v>
      </x:c>
      <x:c r="D5" s="76" t="str">
        <x:v>What does sales still research after submit?</x:v>
      </x:c>
      <x:c r="E5" s="87" t="str">
        <x:v>Low</x:v>
      </x:c>
      <x:c r="F5" s="77" t="str"/>
    </x:row>
    <x:row r="6">
      <x:c r="A6" s="86" t="str">
        <x:v>We already use chat</x:v>
      </x:c>
      <x:c r="B6" s="76" t="str">
        <x:v>Most chat tools answer questions. Deal Threads is built around profile capture, enrichment, and CRM handoff.</x:v>
      </x:c>
      <x:c r="C6" s="76" t="str">
        <x:v>Profile example</x:v>
      </x:c>
      <x:c r="D6" s="76" t="str">
        <x:v>Does your current chat create a rep-ready CRM note?</x:v>
      </x:c>
      <x:c r="E6" s="87" t="str">
        <x:v>Medium</x:v>
      </x:c>
      <x:c r="F6" s="77" t="str"/>
    </x:row>
    <x:row r="7">
      <x:c r="A7" s="86" t="str">
        <x:v>Data accuracy worries me</x:v>
      </x:c>
      <x:c r="B7" s="76" t="str">
        <x:v>Unknowns stay unknown. The profile separates captured answers, enrichment signals, and fields to confirm.</x:v>
      </x:c>
      <x:c r="C7" s="76" t="str">
        <x:v>HubSpot field map</x:v>
      </x:c>
      <x:c r="D7" s="76" t="str">
        <x:v>Which fields must be verified by the rep?</x:v>
      </x:c>
      <x:c r="E7" s="87" t="str">
        <x:v>High</x:v>
      </x:c>
      <x:c r="F7" s="77" t="str"/>
    </x:row>
    <x:row r="8">
      <x:c r="A8" s="86" t="str">
        <x:v>Compliance/privacy concerns</x:v>
      </x:c>
      <x:c r="B8" s="76" t="str">
        <x:v>The beta only collects sales-relevant context and avoids sensitive fields unless approved.</x:v>
      </x:c>
      <x:c r="C8" s="76" t="str">
        <x:v>Intake compliance section</x:v>
      </x:c>
      <x:c r="D8" s="76" t="str">
        <x:v>Which fields should we explicitly avoid?</x:v>
      </x:c>
      <x:c r="E8" s="87" t="str">
        <x:v>High</x:v>
      </x:c>
      <x:c r="F8" s="77" t="str"/>
    </x:row>
    <x:row r="9">
      <x:c r="A9" s="86" t="str">
        <x:v>This sounds hard to install</x:v>
      </x:c>
      <x:c r="B9" s="76" t="str">
        <x:v>The beta is intentionally lightweight: one script tag, mapped CRM fields, and one smoke test.</x:v>
      </x:c>
      <x:c r="C9" s="76" t="str">
        <x:v>Install packet</x:v>
      </x:c>
      <x:c r="D9" s="76" t="str">
        <x:v>Who can add a script tag and who owns CRM fields?</x:v>
      </x:c>
      <x:c r="E9" s="87" t="str">
        <x:v>Medium</x:v>
      </x:c>
      <x:c r="F9" s="77" t="str"/>
    </x:row>
    <x:row r="10">
      <x:c r="A10" s="86" t="str">
        <x:v>We do not have enough traffic</x:v>
      </x:c>
      <x:c r="B10" s="76" t="str">
        <x:v>Then the beta is about profile quality, not volume. Five useful profiles can still prove the workflow.</x:v>
      </x:c>
      <x:c r="C10" s="76" t="str">
        <x:v>Proof log</x:v>
      </x:c>
      <x:c r="D10" s="76" t="str">
        <x:v>How many qualified form submissions do you get monthly?</x:v>
      </x:c>
      <x:c r="E10" s="87" t="str">
        <x:v>Medium</x:v>
      </x:c>
      <x:c r="F10" s="77" t="str"/>
    </x:row>
    <x:row r="11">
      <x:c r="A11" s="86" t="str">
        <x:v>How is this different from Clearbit/Apollo?</x:v>
      </x:c>
      <x:c r="B11" s="76" t="str">
        <x:v>Those enrich records. Deal Threads changes the intake conversation and creates the sales handoff around the enrichment.</x:v>
      </x:c>
      <x:c r="C11" s="76" t="str">
        <x:v>Buyer profile example</x:v>
      </x:c>
      <x:c r="D11" s="76" t="str">
        <x:v>Where does the rep currently see intent, urgency, and unknowns?</x:v>
      </x:c>
      <x:c r="E11" s="87" t="str">
        <x:v>Medium</x:v>
      </x:c>
      <x:c r="F11" s="77" t="str"/>
    </x:row>
    <x:row r="12">
      <x:c r="A12" s="86" t="str">
        <x:v>Why pay monthly?</x:v>
      </x:c>
      <x:c r="B12" s="76" t="str">
        <x:v>Because the value is the managed intake, enrichment, routing, QA, and reporting loop, not the widget alone.</x:v>
      </x:c>
      <x:c r="C12" s="76" t="str">
        <x:v>Weekly beta report</x:v>
      </x:c>
      <x:c r="D12" s="76" t="str">
        <x:v>Who owns keeping your current form and CRM handoff optimized?</x:v>
      </x:c>
      <x:c r="E12" s="87" t="str">
        <x:v>Medium</x:v>
      </x:c>
      <x:c r="F12" s="77" t="str"/>
    </x:row>
    <x:row r="13">
      <x:c r="A13" s="86" t="str">
        <x:v>Can we just build it ourselves?</x:v>
      </x:c>
      <x:c r="B13" s="76" t="str">
        <x:v>Eventually maybe. The beta proves which questions, fields, and routing rules matter before you spend internal roadmap time.</x:v>
      </x:c>
      <x:c r="C13" s="76" t="str">
        <x:v>Install plan</x:v>
      </x:c>
      <x:c r="D13" s="76" t="str">
        <x:v>How fast could your team ship and maintain the full loop?</x:v>
      </x:c>
      <x:c r="E13" s="87" t="str">
        <x:v>Medium</x:v>
      </x:c>
      <x:c r="F13" s="77" t="str"/>
    </x:row>
    <x:row r="14">
      <x:c r="A14" s="86" t="str">
        <x:v>What if profiles do not improve outcomes?</x:v>
      </x:c>
      <x:c r="B14" s="76" t="str">
        <x:v>Then we adjust the conversation flow. The beta is designed to identify that quickly.</x:v>
      </x:c>
      <x:c r="C14" s="76" t="str">
        <x:v>Proof thresholds</x:v>
      </x:c>
      <x:c r="D14" s="76" t="str">
        <x:v>What metric would prove this is worth continuing?</x:v>
      </x:c>
      <x:c r="E14" s="87" t="str">
        <x:v>Low</x:v>
      </x:c>
      <x:c r="F14" s="77" t="str"/>
    </x:row>
    <x:row r="15">
      <x:c r="A15" s="90" t="str">
        <x:v>I need to see it first</x:v>
      </x:c>
      <x:c r="B15" s="80" t="str">
        <x:v>I can send a teardown and mock buyer profile from your current form before we talk install.</x:v>
      </x:c>
      <x:c r="C15" s="80" t="str">
        <x:v>Teardown template</x:v>
      </x:c>
      <x:c r="D15" s="80" t="str">
        <x:v>Which form should I use for the teardown?</x:v>
      </x:c>
      <x:c r="E15" s="91" t="str">
        <x:v>Low</x:v>
      </x:c>
      <x:c r="F15" s="81" t="str"/>
    </x:row>
  </x:sheetData>
  <x:mergeCells>
    <x:mergeCell ref="A1:F2"/>
  </x:mergeCells>
  <x:dataValidations count="1">
    <x:dataValidation type="list" sqref="E5:E15">
      <x:formula1>"Low,Medium,High"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01b2cd3a46e45a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7.779998779296875" hidden="0" customWidth="1"/>
    <x:col min="3" max="3" width="17.780000686645508" hidden="0" customWidth="1"/>
    <x:col min="4" max="4" width="17.780000686645508" hidden="0" customWidth="1"/>
    <x:col min="5" max="5" width="14.4399995803833" hidden="0" customWidth="1"/>
    <x:col min="6" max="6" width="17.780000686645508" hidden="0" customWidth="1"/>
    <x:col min="7" max="7" width="17.780000686645508" hidden="0" customWidth="1"/>
    <x:col min="8" max="8" width="27.780000686645508" hidden="0" customWidth="1"/>
  </x:cols>
  <x:sheetData>
    <x:row r="1" ht="24" customHeight="1">
      <x:c r="A1" s="64" t="str">
        <x:v>Deal Threads Weekly Beta Review
Use every Friday. Decide what to improve, stop, or scale.</x:v>
      </x:c>
      <x:c r="B1" s="64" t="str">
        <x:v>Deal Threads Weekly Beta Review
Use every Friday. Decide what to improve, stop, or scale.</x:v>
      </x:c>
      <x:c r="C1" s="64" t="str">
        <x:v>Deal Threads Weekly Beta Review
Use every Friday. Decide what to improve, stop, or scale.</x:v>
      </x:c>
      <x:c r="D1" s="64" t="str">
        <x:v>Deal Threads Weekly Beta Review
Use every Friday. Decide what to improve, stop, or scale.</x:v>
      </x:c>
      <x:c r="E1" s="64" t="str">
        <x:v>Deal Threads Weekly Beta Review
Use every Friday. Decide what to improve, stop, or scale.</x:v>
      </x:c>
      <x:c r="F1" s="64" t="str">
        <x:v>Deal Threads Weekly Beta Review
Use every Friday. Decide what to improve, stop, or scale.</x:v>
      </x:c>
      <x:c r="G1" s="64" t="str">
        <x:v>Deal Threads Weekly Beta Review
Use every Friday. Decide what to improve, stop, or scale.</x:v>
      </x:c>
      <x:c r="H1" s="64" t="str">
        <x:v>Deal Threads Weekly Beta Review
Use every Friday. Decide what to improve, stop, or scale.</x:v>
      </x:c>
    </x:row>
    <x:row r="2" ht="24" customHeight="1">
      <x:c r="A2" s="64" t="str">
        <x:v>Deal Threads Weekly Beta Review
Use every Friday. Decide what to improve, stop, or scale.</x:v>
      </x:c>
      <x:c r="B2" s="64" t="str">
        <x:v>Deal Threads Weekly Beta Review
Use every Friday. Decide what to improve, stop, or scale.</x:v>
      </x:c>
      <x:c r="C2" s="64" t="str">
        <x:v>Deal Threads Weekly Beta Review
Use every Friday. Decide what to improve, stop, or scale.</x:v>
      </x:c>
      <x:c r="D2" s="64" t="str">
        <x:v>Deal Threads Weekly Beta Review
Use every Friday. Decide what to improve, stop, or scale.</x:v>
      </x:c>
      <x:c r="E2" s="64" t="str">
        <x:v>Deal Threads Weekly Beta Review
Use every Friday. Decide what to improve, stop, or scale.</x:v>
      </x:c>
      <x:c r="F2" s="64" t="str">
        <x:v>Deal Threads Weekly Beta Review
Use every Friday. Decide what to improve, stop, or scale.</x:v>
      </x:c>
      <x:c r="G2" s="64" t="str">
        <x:v>Deal Threads Weekly Beta Review
Use every Friday. Decide what to improve, stop, or scale.</x:v>
      </x:c>
      <x:c r="H2" s="64" t="str">
        <x:v>Deal Threads Weekly Beta Review
Use every Friday. Decide what to improve, stop, or scale.</x:v>
      </x:c>
    </x:row>
    <x:row r="3">
      <x:c r="A3" s="65"/>
      <x:c r="B3" s="65"/>
      <x:c r="C3" s="65"/>
      <x:c r="D3" s="65"/>
      <x:c r="E3" s="65"/>
      <x:c r="F3" s="65"/>
      <x:c r="G3" s="65"/>
      <x:c r="H3" s="65"/>
    </x:row>
    <x:row r="4">
      <x:c r="A4" s="83" t="str">
        <x:v>Review Area</x:v>
      </x:c>
      <x:c r="B4" s="84" t="str">
        <x:v>Question</x:v>
      </x:c>
      <x:c r="C4" s="84" t="str">
        <x:v>Owner</x:v>
      </x:c>
      <x:c r="D4" s="84" t="str">
        <x:v>Metric / Evidence</x:v>
      </x:c>
      <x:c r="E4" s="84" t="str">
        <x:v>Status</x:v>
      </x:c>
      <x:c r="F4" s="84" t="str">
        <x:v>Decision</x:v>
      </x:c>
      <x:c r="G4" s="84" t="str">
        <x:v>Due Date</x:v>
      </x:c>
      <x:c r="H4" s="85" t="str">
        <x:v>Notes</x:v>
      </x:c>
    </x:row>
    <x:row r="5">
      <x:c r="A5" s="86" t="str">
        <x:v>Targets</x:v>
      </x:c>
      <x:c r="B5" s="76" t="str">
        <x:v>Did we add enough high-fit companies to keep teardown flow moving?</x:v>
      </x:c>
      <x:c r="C5" s="87" t="str">
        <x:v>Ryan</x:v>
      </x:c>
      <x:c r="D5" s="87" t="str">
        <x:v>Fit 4-5 targets</x:v>
      </x:c>
      <x:c r="E5" s="87" t="str">
        <x:v>Open</x:v>
      </x:c>
      <x:c r="F5" s="87" t="str"/>
      <x:c r="G5" s="89" t="str"/>
      <x:c r="H5" s="77" t="str"/>
    </x:row>
    <x:row r="6">
      <x:c r="A6" s="86" t="str">
        <x:v>Outreach</x:v>
      </x:c>
      <x:c r="B6" s="76" t="str">
        <x:v>Which message or comment generated actual form URL asks?</x:v>
      </x:c>
      <x:c r="C6" s="87" t="str">
        <x:v>Ryan</x:v>
      </x:c>
      <x:c r="D6" s="87" t="str">
        <x:v>Replies / form URLs</x:v>
      </x:c>
      <x:c r="E6" s="87" t="str">
        <x:v>Open</x:v>
      </x:c>
      <x:c r="F6" s="87" t="str"/>
      <x:c r="G6" s="89" t="str"/>
      <x:c r="H6" s="77" t="str"/>
    </x:row>
    <x:row r="7">
      <x:c r="A7" s="86" t="str">
        <x:v>Teardowns</x:v>
      </x:c>
      <x:c r="B7" s="76" t="str">
        <x:v>Which teardown most clearly showed the dead-form gap?</x:v>
      </x:c>
      <x:c r="C7" s="87" t="str">
        <x:v>Ryan</x:v>
      </x:c>
      <x:c r="D7" s="87" t="str">
        <x:v>Replies / calls</x:v>
      </x:c>
      <x:c r="E7" s="87" t="str">
        <x:v>Open</x:v>
      </x:c>
      <x:c r="F7" s="87" t="str"/>
      <x:c r="G7" s="89" t="str"/>
      <x:c r="H7" s="77" t="str"/>
    </x:row>
    <x:row r="8">
      <x:c r="A8" s="86" t="str">
        <x:v>Install</x:v>
      </x:c>
      <x:c r="B8" s="76" t="str">
        <x:v>Is any client blocked on script, CRM, or approval?</x:v>
      </x:c>
      <x:c r="C8" s="87" t="str">
        <x:v>Ryan</x:v>
      </x:c>
      <x:c r="D8" s="87" t="str">
        <x:v>Install tracker stage</x:v>
      </x:c>
      <x:c r="E8" s="87" t="str">
        <x:v>Open</x:v>
      </x:c>
      <x:c r="F8" s="87" t="str"/>
      <x:c r="G8" s="89" t="str"/>
      <x:c r="H8" s="77" t="str"/>
    </x:row>
    <x:row r="9">
      <x:c r="A9" s="86" t="str">
        <x:v>CRM Handoff</x:v>
      </x:c>
      <x:c r="B9" s="76" t="str">
        <x:v>Did the rep see enough context to act?</x:v>
      </x:c>
      <x:c r="C9" s="87" t="str">
        <x:v>Client</x:v>
      </x:c>
      <x:c r="D9" s="87" t="str">
        <x:v>Profile review answers</x:v>
      </x:c>
      <x:c r="E9" s="87" t="str">
        <x:v>Open</x:v>
      </x:c>
      <x:c r="F9" s="87" t="str"/>
      <x:c r="G9" s="89" t="str"/>
      <x:c r="H9" s="77" t="str"/>
    </x:row>
    <x:row r="10">
      <x:c r="A10" s="86" t="str">
        <x:v>Conversation Flow</x:v>
      </x:c>
      <x:c r="B10" s="76" t="str">
        <x:v>Which question created useful qualification?</x:v>
      </x:c>
      <x:c r="C10" s="87" t="str">
        <x:v>Ryan</x:v>
      </x:c>
      <x:c r="D10" s="87" t="str">
        <x:v>Useful profile feedback</x:v>
      </x:c>
      <x:c r="E10" s="87" t="str">
        <x:v>Open</x:v>
      </x:c>
      <x:c r="F10" s="87" t="str"/>
      <x:c r="G10" s="89" t="str"/>
      <x:c r="H10" s="77" t="str"/>
    </x:row>
    <x:row r="11">
      <x:c r="A11" s="86" t="str">
        <x:v>Enrichment</x:v>
      </x:c>
      <x:c r="B11" s="76" t="str">
        <x:v>Which enrichment fields were useful, noisy, or missing?</x:v>
      </x:c>
      <x:c r="C11" s="87" t="str">
        <x:v>Ryan</x:v>
      </x:c>
      <x:c r="D11" s="87" t="str">
        <x:v>Profile accuracy notes</x:v>
      </x:c>
      <x:c r="E11" s="87" t="str">
        <x:v>Open</x:v>
      </x:c>
      <x:c r="F11" s="87" t="str"/>
      <x:c r="G11" s="89" t="str"/>
      <x:c r="H11" s="77" t="str"/>
    </x:row>
    <x:row r="12">
      <x:c r="A12" s="86" t="str">
        <x:v>Proof</x:v>
      </x:c>
      <x:c r="B12" s="76" t="str">
        <x:v>Did this beta create useful buyer profiles before callback?</x:v>
      </x:c>
      <x:c r="C12" s="87" t="str">
        <x:v>Client</x:v>
      </x:c>
      <x:c r="D12" s="87" t="str">
        <x:v>Useful profile rate</x:v>
      </x:c>
      <x:c r="E12" s="87" t="str">
        <x:v>Open</x:v>
      </x:c>
      <x:c r="F12" s="87" t="str"/>
      <x:c r="G12" s="89" t="str"/>
      <x:c r="H12" s="77" t="str"/>
    </x:row>
    <x:row r="13">
      <x:c r="A13" s="86" t="str">
        <x:v>Revenue</x:v>
      </x:c>
      <x:c r="B13" s="76" t="str">
        <x:v>Is this client ready for founder install or managed monthly pricing?</x:v>
      </x:c>
      <x:c r="C13" s="87" t="str">
        <x:v>Ryan</x:v>
      </x:c>
      <x:c r="D13" s="87" t="str">
        <x:v>Decision / quote</x:v>
      </x:c>
      <x:c r="E13" s="87" t="str">
        <x:v>Open</x:v>
      </x:c>
      <x:c r="F13" s="87" t="str"/>
      <x:c r="G13" s="89" t="str"/>
      <x:c r="H13" s="77" t="str"/>
    </x:row>
    <x:row r="14">
      <x:c r="A14" s="86" t="str">
        <x:v>Case Study</x:v>
      </x:c>
      <x:c r="B14" s="76" t="str">
        <x:v>Do we have permission and enough proof to create a case study?</x:v>
      </x:c>
      <x:c r="C14" s="87" t="str">
        <x:v>Client</x:v>
      </x:c>
      <x:c r="D14" s="87" t="str">
        <x:v>Quote/screenshots/metrics</x:v>
      </x:c>
      <x:c r="E14" s="87" t="str">
        <x:v>Open</x:v>
      </x:c>
      <x:c r="F14" s="87" t="str"/>
      <x:c r="G14" s="89" t="str"/>
      <x:c r="H14" s="77" t="str"/>
    </x:row>
    <x:row r="15">
      <x:c r="A15" s="86" t="str">
        <x:v>Next Week</x:v>
      </x:c>
      <x:c r="B15" s="76" t="str">
        <x:v>What is the one change that most improves proof?</x:v>
      </x:c>
      <x:c r="C15" s="87" t="str">
        <x:v>Ryan</x:v>
      </x:c>
      <x:c r="D15" s="87" t="str">
        <x:v>Decision</x:v>
      </x:c>
      <x:c r="E15" s="87" t="str">
        <x:v>Open</x:v>
      </x:c>
      <x:c r="F15" s="87" t="str"/>
      <x:c r="G15" s="89" t="str"/>
      <x:c r="H15" s="77" t="str"/>
    </x:row>
    <x:row r="16">
      <x:c r="A16" s="86" t="str">
        <x:v>Stop Signal</x:v>
      </x:c>
      <x:c r="B16" s="76" t="str">
        <x:v>What would make us pause or adjust this beta?</x:v>
      </x:c>
      <x:c r="C16" s="87" t="str">
        <x:v>Ryan</x:v>
      </x:c>
      <x:c r="D16" s="87" t="str">
        <x:v>Proof strength</x:v>
      </x:c>
      <x:c r="E16" s="87" t="str">
        <x:v>Open</x:v>
      </x:c>
      <x:c r="F16" s="87" t="str"/>
      <x:c r="G16" s="89" t="str"/>
      <x:c r="H16" s="77" t="str"/>
    </x:row>
    <x:row r="17">
      <x:c r="A17" s="86" t="str">
        <x:v>Partner Signal</x:v>
      </x:c>
      <x:c r="B17" s="76" t="str">
        <x:v>Did any CRM consultant, agency, or RevOps partner show interest?</x:v>
      </x:c>
      <x:c r="C17" s="87" t="str">
        <x:v>Ryan</x:v>
      </x:c>
      <x:c r="D17" s="87" t="str">
        <x:v>Partner replies</x:v>
      </x:c>
      <x:c r="E17" s="87" t="str">
        <x:v>Open</x:v>
      </x:c>
      <x:c r="F17" s="87" t="str"/>
      <x:c r="G17" s="89" t="str"/>
      <x:c r="H17" s="77" t="str"/>
    </x:row>
    <x:row r="18">
      <x:c r="A18" s="90" t="str">
        <x:v>Learning</x:v>
      </x:c>
      <x:c r="B18" s="80" t="str">
        <x:v>What language from buyers should update the landing page or posts?</x:v>
      </x:c>
      <x:c r="C18" s="91" t="str">
        <x:v>Ryan</x:v>
      </x:c>
      <x:c r="D18" s="91" t="str">
        <x:v>Buyer phrase</x:v>
      </x:c>
      <x:c r="E18" s="91" t="str">
        <x:v>Open</x:v>
      </x:c>
      <x:c r="F18" s="91" t="str"/>
      <x:c r="G18" s="93" t="str"/>
      <x:c r="H18" s="81" t="str"/>
    </x:row>
  </x:sheetData>
  <x:mergeCells>
    <x:mergeCell ref="A1:H2"/>
  </x:mergeCells>
  <x:dataValidations count="1">
    <x:dataValidation type="list" sqref="E5:E18">
      <x:formula1>"Open,Done,Blocked,Deferred"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f1996516fdb4c72"/>
  </x:tableParts>
</x:worksheet>
</file>