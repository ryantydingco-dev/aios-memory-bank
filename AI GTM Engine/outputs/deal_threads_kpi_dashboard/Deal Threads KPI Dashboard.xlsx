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b707b84be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47a86f189b4a48"/>
    <x:sheet xmlns:r="http://schemas.openxmlformats.org/officeDocument/2006/relationships" name="Weekly Inputs" sheetId="2" r:id="Rc685688399c94f4a"/>
    <x:sheet xmlns:r="http://schemas.openxmlformats.org/officeDocument/2006/relationships" name="Funnel" sheetId="3" r:id="R776d984ee6f84301"/>
    <x:sheet xmlns:r="http://schemas.openxmlformats.org/officeDocument/2006/relationships" name="Customers" sheetId="4" r:id="R857ae658ed594b77"/>
    <x:sheet xmlns:r="http://schemas.openxmlformats.org/officeDocument/2006/relationships" name="Thresholds" sheetId="5" r:id="R2d63422365444018"/>
    <x:sheet xmlns:r="http://schemas.openxmlformats.org/officeDocument/2006/relationships" name="Metric Dictionary" sheetId="6" r:id="R64bf7cadb48248bf"/>
    <x:sheet xmlns:r="http://schemas.openxmlformats.org/officeDocument/2006/relationships" name="Review Cadence" sheetId="7" r:id="R6b52e186b5f5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.0%"/>
    <x:numFmt numFmtId="203" formatCode="0"/>
    <x:numFmt numFmtId="204" formatCode="@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26"/>
      <x:name val="Carlito"/>
    </x:font>
    <x:font>
      <x:b/>
      <x:sz val="10"/>
      <x:color rgb="FF5B6770"/>
      <x:name val="Carlito"/>
    </x:font>
    <x:font>
      <x:b/>
      <x:sz val="15"/>
      <x:color rgb="FF14313D"/>
      <x:name val="Carlito"/>
    </x:font>
    <x:font>
      <x:sz val="11"/>
      <x:color rgb="FF172026"/>
      <x:name val="Carlito"/>
    </x:font>
    <x:font>
      <x:sz val="11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72026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b/>
      <x:sz val="10"/>
      <x:color rgb="FF5B6770"/>
      <x:name val="Aptos"/>
    </x:font>
    <x:font>
      <x:b/>
      <x:sz val="15"/>
      <x:color rgb="FF14313D"/>
      <x:name val="Aptos"/>
    </x:font>
    <x:font>
      <x:sz val="11"/>
      <x:color rgb="FF17202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4313D"/>
      </x:patternFill>
    </x:fill>
    <x:fill>
      <x:patternFill patternType="solid">
        <x:fgColor rgb="FF0E766E"/>
      </x:patternFill>
    </x:fill>
    <x:fill>
      <x:patternFill patternType="solid">
        <x:fgColor rgb="FFFFF1CC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</x:fills>
  <x:borders count="11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bottom/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201" fontId="5" fillId="6" borderId="10" xfId="0" applyNumberFormat="1" applyFont="1" applyFill="1" applyBorder="1" applyAlignment="1">
      <x:alignment horizontal="center"/>
    </x:xf>
    <x:xf numFmtId="202" fontId="5" fillId="6" borderId="10" xfId="0" applyNumberFormat="1" applyFont="1" applyFill="1" applyBorder="1" applyAlignment="1">
      <x:alignment horizontal="center"/>
    </x:xf>
    <x:xf numFmtId="203" fontId="5" fillId="6" borderId="10" xfId="0" applyNumberFormat="1" applyFont="1" applyFill="1" applyBorder="1" applyAlignment="1">
      <x:alignment horizontal="center"/>
    </x:xf>
    <x:xf numFmtId="204" fontId="5" fillId="6" borderId="1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/>
    <x:xf numFmtId="0" fontId="7" fillId="6" borderId="0" xfId="0" applyNumberFormat="1" applyFont="1" applyFill="1" applyBorder="1"/>
    <x:xf numFmtId="201" fontId="7" fillId="6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/>
    <x:xf numFmtId="0" fontId="12" fillId="3" borderId="0" xfId="0" applyNumberFormat="1" applyFont="1" applyFill="1" applyBorder="1" applyAlignment="1">
      <x:alignment horizontal="left"/>
    </x:xf>
    <x:xf numFmtId="201" fontId="11" fillId="6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201" fontId="14" fillId="6" borderId="10" xfId="0" applyNumberFormat="1" applyFont="1" applyFill="1" applyBorder="1" applyAlignment="1">
      <x:alignment horizontal="center"/>
    </x:xf>
    <x:xf numFmtId="202" fontId="14" fillId="6" borderId="10" xfId="0" applyNumberFormat="1" applyFont="1" applyFill="1" applyBorder="1" applyAlignment="1">
      <x:alignment horizontal="center"/>
    </x:xf>
    <x:xf numFmtId="203" fontId="14" fillId="6" borderId="10" xfId="0" applyNumberFormat="1" applyFont="1" applyFill="1" applyBorder="1" applyAlignment="1">
      <x:alignment horizontal="center"/>
    </x:xf>
    <x:xf numFmtId="204" fontId="14" fillId="6" borderId="1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 wrapText="1"/>
    </x:xf>
    <x:xf numFmtId="0" fontId="12" fillId="2" borderId="2" xfId="0" applyNumberFormat="1" applyFont="1" applyFill="1" applyBorder="1" applyAlignment="1">
      <x:alignment horizontal="center" wrapText="1"/>
    </x:xf>
    <x:xf numFmtId="0" fontId="12" fillId="2" borderId="3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202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202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15" fillId="7" borderId="0" xfId="0" applyNumberFormat="1" applyFont="1" applyFill="1" applyBorder="1" applyAlignment="1">
      <x:alignment vertical="top" wrapText="1"/>
    </x:xf>
    <x:xf numFmtId="200" fontId="15" fillId="7" borderId="0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horizontal="center" wrapText="1"/>
    </x:xf>
    <x:xf numFmtId="0" fontId="12" fillId="3" borderId="2" xfId="0" applyNumberFormat="1" applyFont="1" applyFill="1" applyBorder="1" applyAlignment="1">
      <x:alignment horizontal="center" wrapText="1"/>
    </x:xf>
    <x:xf numFmtId="0" fontId="12" fillId="3" borderId="3" xfId="0" applyNumberFormat="1" applyFont="1" applyFill="1" applyBorder="1" applyAlignment="1">
      <x:alignment horizontal="center" wrapText="1"/>
    </x:xf>
    <x:xf numFmtId="200" fontId="9" fillId="0" borderId="4" xfId="0" applyNumberFormat="1" applyFont="1" applyFill="1" applyBorder="1"/>
    <x:xf numFmtId="201" fontId="9" fillId="0" borderId="5" xfId="0" applyNumberFormat="1" applyFont="1" applyFill="1" applyBorder="1"/>
    <x:xf numFmtId="200" fontId="9" fillId="0" borderId="7" xfId="0" applyNumberFormat="1" applyFont="1" applyFill="1" applyBorder="1"/>
    <x:xf numFmtId="201" fontId="9" fillId="0" borderId="8" xfId="0" applyNumberFormat="1" applyFont="1" applyFill="1" applyBorder="1"/>
    <x:xf numFmtId="200" fontId="9" fillId="0" borderId="5" xfId="0" applyNumberFormat="1" applyFont="1" applyFill="1" applyBorder="1"/>
    <x:xf numFmtId="200" fontId="9" fillId="0" borderId="8" xfId="0" applyNumberFormat="1" applyFont="1" applyFill="1" applyBorder="1"/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1CC"/>
        </x:patternFill>
      </x:fill>
    </x:dxf>
    <x:dxf>
      <x:font>
        <x:b/>
        <x:color rgb="FF991B1B"/>
      </x:font>
      <x:fill>
        <x:patternFill patternType="solid">
          <x:bgColor rgb="FFFDE2E1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1CC"/>
        </x:patternFill>
      </x:fill>
    </x:dxf>
    <x:dxf>
      <x:font>
        <x:b/>
        <x:color rgb="FF991B1B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b6fe7f53148f0" /><Relationship Type="http://schemas.openxmlformats.org/officeDocument/2006/relationships/theme" Target="/xl/theme/theme1.xml" Id="R3165dba681ee4851" /><Relationship Type="http://schemas.openxmlformats.org/officeDocument/2006/relationships/sharedStrings" Target="/xl/sharedStrings.xml" Id="Rc1c6b74ac8e940db" /><Relationship Type="http://schemas.openxmlformats.org/officeDocument/2006/relationships/worksheet" Target="/xl/worksheets/sheet1.xml" Id="R6b47a86f189b4a48" /><Relationship Type="http://schemas.openxmlformats.org/officeDocument/2006/relationships/worksheet" Target="/xl/worksheets/sheet2.xml" Id="Rc685688399c94f4a" /><Relationship Type="http://schemas.openxmlformats.org/officeDocument/2006/relationships/worksheet" Target="/xl/worksheets/sheet3.xml" Id="R776d984ee6f84301" /><Relationship Type="http://schemas.openxmlformats.org/officeDocument/2006/relationships/worksheet" Target="/xl/worksheets/sheet4.xml" Id="R857ae658ed594b77" /><Relationship Type="http://schemas.openxmlformats.org/officeDocument/2006/relationships/worksheet" Target="/xl/worksheets/sheet5.xml" Id="R2d63422365444018" /><Relationship Type="http://schemas.openxmlformats.org/officeDocument/2006/relationships/worksheet" Target="/xl/worksheets/sheet6.xml" Id="R64bf7cadb48248bf" /><Relationship Type="http://schemas.openxmlformats.org/officeDocument/2006/relationships/worksheet" Target="/xl/worksheets/sheet7.xml" Id="R6b52e186b5f54d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0d5e2182e043f5" /><Relationship Type="http://schemas.openxmlformats.org/officeDocument/2006/relationships/chart" Target="/xl/drawings/charts/chart2.xml" Id="Rb656244c653e42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Qualified Form URLs Per Week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Qualified URLs</c:v>
          </c:tx>
          <c:cat>
            <c:strRef>
              <c:f>'Dashboard'!$L$5:$L$16</c:f>
              <c:strCache>
                <c:ptCount val="0"/>
              </c:strCache>
            </c:strRef>
          </c:cat>
          <c:val>
            <c:numRef>
              <c:f>'Dashboard'!$M$5:$M$16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Cumulative MRR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Qualified URLs</c:v>
          </c:tx>
          <c:cat>
            <c:strRef>
              <c:f>'Dashboard'!$L$5:$L$16</c:f>
              <c:strCache>
                <c:ptCount val="0"/>
              </c:strCache>
            </c:strRef>
          </c:cat>
          <c:val>
            <c:numRef>
              <c:f>'Dashboard'!$M$5:$M$16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Cumulative MRR</c:v>
          </c:tx>
          <c:cat>
            <c:strRef>
              <c:f>'Dashboard'!$L$5:$L$16</c:f>
              <c:strCache>
                <c:ptCount val="0"/>
              </c:strCache>
            </c:strRef>
          </c:cat>
          <c:val>
            <c:numRef>
              <c:f>'Dashboard'!$N$5:$N$16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0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d5e2182e043f5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56244c653e42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InputsTable" displayName="WeeklyInputsTable" ref="A4:Q16" headerRowCount="1">
  <x:tableColumns count="17">
    <x:tableColumn id="1" name="Week Start"/>
    <x:tableColumn id="2" name="Posts"/>
    <x:tableColumn id="3" name="ICP Comments"/>
    <x:tableColumn id="4" name="DM Conversations"/>
    <x:tableColumn id="5" name="Audit Downloads"/>
    <x:tableColumn id="6" name="Form URL Asks"/>
    <x:tableColumn id="7" name="Qualified Form URLs"/>
    <x:tableColumn id="8" name="Teardowns Delivered"/>
    <x:tableColumn id="9" name="Install Calls"/>
    <x:tableColumn id="10" name="Installs Started"/>
    <x:tableColumn id="11" name="Paying Customers Added"/>
    <x:tableColumn id="12" name="New MRR"/>
    <x:tableColumn id="13" name="Setup Cash"/>
    <x:tableColumn id="14" name="S&amp;M Spend"/>
    <x:tableColumn id="15" name="Direct Costs"/>
    <x:tableColumn id="16" name="Best Learning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unnelTable" displayName="FunnelTable" ref="A4:N16" headerRowCount="1">
  <x:tableColumns count="14">
    <x:tableColumn id="1" name="Week Start"/>
    <x:tableColumn id="2" name="Ask-to-Submit"/>
    <x:tableColumn id="3" name="Audit-to-URL"/>
    <x:tableColumn id="4" name="Comment-to-DM"/>
    <x:tableColumn id="5" name="DM-to-URL"/>
    <x:tableColumn id="6" name="URL-to-Teardown"/>
    <x:tableColumn id="7" name="Teardown-to-Call"/>
    <x:tableColumn id="8" name="Call-to-Install"/>
    <x:tableColumn id="9" name="Install-to-Paid"/>
    <x:tableColumn id="10" name="Cumulative MRR"/>
    <x:tableColumn id="11" name="ARR"/>
    <x:tableColumn id="12" name="Gross Margin"/>
    <x:tableColumn id="13" name="MRR Goal %"/>
    <x:tableColumn id="14" name="Primary Bottleneck"/>
  </x:tableColumns>
  <x:tableStyleInfo name="TableStyleMedium2" showRowStripes="1"/>
</x:table>
</file>

<file path=xl/tables/table3.xml><?xml version="1.0" encoding="utf-8"?>
<x:table xmlns:x="http://schemas.openxmlformats.org/spreadsheetml/2006/main" id="3" name="CustomersTable" displayName="CustomersTable" ref="A4:P24" headerRowCount="1">
  <x:tableColumns count="16">
    <x:tableColumn id="1" name="Customer"/>
    <x:tableColumn id="2" name="Tier"/>
    <x:tableColumn id="3" name="Stage"/>
    <x:tableColumn id="4" name="Start Date"/>
    <x:tableColumn id="5" name="Monthly Price"/>
    <x:tableColumn id="6" name="Setup Fee"/>
    <x:tableColumn id="7" name="Setup Collected?"/>
    <x:tableColumn id="8" name="Active?"/>
    <x:tableColumn id="9" name="Workflow Live?"/>
    <x:tableColumn id="10" name="Profiles This Week"/>
    <x:tableColumn id="11" name="Profiles Reviewed"/>
    <x:tableColumn id="12" name="Useful Profiles"/>
    <x:tableColumn id="13" name="Useful Profile Rate"/>
    <x:tableColumn id="14" name="Direct Monthly Cost"/>
    <x:tableColumn id="15" name="Gross Margin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hresholdsTable" displayName="ThresholdsTable" ref="A4:F18" headerRowCount="1">
  <x:tableColumns count="6">
    <x:tableColumn id="1" name="Metric"/>
    <x:tableColumn id="2" name="Green"/>
    <x:tableColumn id="3" name="Yellow Low"/>
    <x:tableColumn id="4" name="Yellow High"/>
    <x:tableColumn id="5" name="Red"/>
    <x:tableColumn id="6" name="Action If Red"/>
  </x:tableColumns>
  <x:tableStyleInfo name="TableStyleMedium2" showRowStripes="1"/>
</x:table>
</file>

<file path=xl/tables/table5.xml><?xml version="1.0" encoding="utf-8"?>
<x:table xmlns:x="http://schemas.openxmlformats.org/spreadsheetml/2006/main" id="5" name="MetricDictionaryTable" displayName="MetricDictionaryTable" ref="A4:E24" headerRowCount="1">
  <x:tableColumns count="5">
    <x:tableColumn id="1" name="Metric"/>
    <x:tableColumn id="2" name="Type"/>
    <x:tableColumn id="3" name="Definition"/>
    <x:tableColumn id="4" name="Formula"/>
    <x:tableColumn id="5" name="Review Cadence"/>
  </x:tableColumns>
  <x:tableStyleInfo name="TableStyleMedium2" showRowStripes="1"/>
</x:table>
</file>

<file path=xl/tables/table6.xml><?xml version="1.0" encoding="utf-8"?>
<x:table xmlns:x="http://schemas.openxmlformats.org/spreadsheetml/2006/main" id="6" name="ReviewCadenceTable" displayName="ReviewCadenceTable" ref="A4:E8" headerRowCount="1">
  <x:tableColumns count="5">
    <x:tableColumn id="1" name="Cadence"/>
    <x:tableColumn id="2" name="Owner"/>
    <x:tableColumn id="3" name="Review"/>
    <x:tableColumn id="4" name="Questions"/>
    <x:tableColumn id="5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a3c17cf39d4e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cb69929cd141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ad13fc83d1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f605992a79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2969f18ca64d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8a81b1bdd74d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ec16ac9f26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8.889999389648438" hidden="0" customWidth="1"/>
    <x:col min="8" max="8" width="12.220000267028809" hidden="0" customWidth="1"/>
    <x:col min="9" max="9" width="12.779999732971191" hidden="0" customWidth="1"/>
    <x:col min="10" max="10" width="23.329999923706055" hidden="0" customWidth="1"/>
    <x:col min="11" max="11" width="3.890000104904175" hidden="0" customWidth="1"/>
    <x:col min="12" max="12" width="11.109999656677246" hidden="0" customWidth="1"/>
    <x:col min="13" max="13" width="13.890000343322754" hidden="0" customWidth="1"/>
    <x:col min="14" max="14" width="15" hidden="0" customWidth="1"/>
    <x:col min="15" max="15" width="12.220000267028809" hidden="0" customWidth="1"/>
    <x:col min="16" max="16" width="12.220000267028809" hidden="0" customWidth="1"/>
  </x:cols>
  <x:sheetData>
    <x:row r="1" ht="24" customHeight="1">
      <x:c r="A1" s="62" t="str">
        <x:v>Deal Threads KPI Dashboard
North star: qualified form URLs submitted per week. Update Weekly Inputs and Customers; this page updates automatically.</x:v>
      </x:c>
      <x:c r="B1" s="62" t="str">
        <x:v>Deal Threads KPI Dashboard
North star: qualified form URLs submitted per week. Update Weekly Inputs and Customers; this page updates automatically.</x:v>
      </x:c>
      <x:c r="C1" s="62" t="str">
        <x:v>Deal Threads KPI Dashboard
North star: qualified form URLs submitted per week. Update Weekly Inputs and Customers; this page updates automatically.</x:v>
      </x:c>
      <x:c r="D1" s="62" t="str">
        <x:v>Deal Threads KPI Dashboard
North star: qualified form URLs submitted per week. Update Weekly Inputs and Customers; this page updates automatically.</x:v>
      </x:c>
      <x:c r="E1" s="62" t="str">
        <x:v>Deal Threads KPI Dashboard
North star: qualified form URLs submitted per week. Update Weekly Inputs and Customers; this page updates automatically.</x:v>
      </x:c>
      <x:c r="F1" s="62" t="str">
        <x:v>Deal Threads KPI Dashboard
North star: qualified form URLs submitted per week. Update Weekly Inputs and Customers; this page updates automatically.</x:v>
      </x:c>
      <x:c r="G1" s="62" t="str">
        <x:v>Deal Threads KPI Dashboard
North star: qualified form URLs submitted per week. Update Weekly Inputs and Customers; this page updates automatically.</x:v>
      </x:c>
      <x:c r="H1" s="62" t="str">
        <x:v>Deal Threads KPI Dashboard
North star: qualified form URLs submitted per week. Update Weekly Inputs and Customers; this page updates automatically.</x:v>
      </x:c>
      <x:c r="I1" s="62" t="str">
        <x:v>Deal Threads KPI Dashboard
North star: qualified form URLs submitted per week. Update Weekly Inputs and Customers; this page updates automatically.</x:v>
      </x:c>
      <x:c r="J1" s="62" t="str">
        <x:v>Deal Threads KPI Dashboard
North star: qualified form URLs submitted per week. Update Weekly Inputs and Customers; this page updates automatically.</x:v>
      </x:c>
      <x:c r="K1" s="63"/>
      <x:c r="L1" s="63"/>
      <x:c r="M1" s="63"/>
      <x:c r="N1" s="63"/>
    </x:row>
    <x:row r="2" ht="24" customHeight="1">
      <x:c r="A2" s="62" t="str">
        <x:v>Deal Threads KPI Dashboard
North star: qualified form URLs submitted per week. Update Weekly Inputs and Customers; this page updates automatically.</x:v>
      </x:c>
      <x:c r="B2" s="62" t="str">
        <x:v>Deal Threads KPI Dashboard
North star: qualified form URLs submitted per week. Update Weekly Inputs and Customers; this page updates automatically.</x:v>
      </x:c>
      <x:c r="C2" s="62" t="str">
        <x:v>Deal Threads KPI Dashboard
North star: qualified form URLs submitted per week. Update Weekly Inputs and Customers; this page updates automatically.</x:v>
      </x:c>
      <x:c r="D2" s="62" t="str">
        <x:v>Deal Threads KPI Dashboard
North star: qualified form URLs submitted per week. Update Weekly Inputs and Customers; this page updates automatically.</x:v>
      </x:c>
      <x:c r="E2" s="62" t="str">
        <x:v>Deal Threads KPI Dashboard
North star: qualified form URLs submitted per week. Update Weekly Inputs and Customers; this page updates automatically.</x:v>
      </x:c>
      <x:c r="F2" s="62" t="str">
        <x:v>Deal Threads KPI Dashboard
North star: qualified form URLs submitted per week. Update Weekly Inputs and Customers; this page updates automatically.</x:v>
      </x:c>
      <x:c r="G2" s="62" t="str">
        <x:v>Deal Threads KPI Dashboard
North star: qualified form URLs submitted per week. Update Weekly Inputs and Customers; this page updates automatically.</x:v>
      </x:c>
      <x:c r="H2" s="62" t="str">
        <x:v>Deal Threads KPI Dashboard
North star: qualified form URLs submitted per week. Update Weekly Inputs and Customers; this page updates automatically.</x:v>
      </x:c>
      <x:c r="I2" s="62" t="str">
        <x:v>Deal Threads KPI Dashboard
North star: qualified form URLs submitted per week. Update Weekly Inputs and Customers; this page updates automatically.</x:v>
      </x:c>
      <x:c r="J2" s="62" t="str">
        <x:v>Deal Threads KPI Dashboard
North star: qualified form URLs submitted per week. Update Weekly Inputs and Customers; this page updates automatically.</x:v>
      </x:c>
      <x:c r="K2" s="63"/>
      <x:c r="L2" s="63"/>
      <x:c r="M2" s="63"/>
      <x:c r="N2" s="63"/>
    </x:row>
    <x:row r="3">
      <x:c r="A3" s="64" t="str">
        <x:v>Selected Week</x:v>
      </x:c>
      <x:c r="B3" s="64" t="n">
        <x:v>1</x:v>
      </x:c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5" t="str">
        <x:v>Week</x:v>
      </x:c>
      <x:c r="M4" s="65" t="str">
        <x:v>Qualified URLs</x:v>
      </x:c>
      <x:c r="N4" s="65" t="str">
        <x:v>Cumulative MRR</x:v>
      </x:c>
    </x:row>
    <x:row r="5">
      <x:c r="A5" s="66" t="str">
        <x:v>Executive Summary</x:v>
      </x:c>
      <x:c r="B5" s="66" t="str">
        <x:v>Executive Summary</x:v>
      </x:c>
      <x:c r="C5" s="66" t="str">
        <x:v>Executive Summary</x:v>
      </x:c>
      <x:c r="D5" s="66" t="str">
        <x:v>Executive Summary</x:v>
      </x:c>
      <x:c r="E5" s="66" t="str">
        <x:v>Executive Summary</x:v>
      </x:c>
      <x:c r="F5" s="66" t="str">
        <x:v>Executive Summary</x:v>
      </x:c>
      <x:c r="G5" s="66" t="str">
        <x:v>Executive Summary</x:v>
      </x:c>
      <x:c r="H5" s="66" t="str">
        <x:v>Executive Summary</x:v>
      </x:c>
      <x:c r="I5" s="66" t="str">
        <x:v>Executive Summary</x:v>
      </x:c>
      <x:c r="J5" s="66" t="str">
        <x:v>Executive Summary</x:v>
      </x:c>
      <x:c r="K5" s="63"/>
      <x:c r="L5" s="65" t="str">
        <x:f>TEXT('Weekly Inputs'!A5,"m/d")</x:f>
        <x:v>6/1</x:v>
      </x:c>
      <x:c r="M5" s="65" t="n">
        <x:f>'Weekly Inputs'!G5</x:f>
        <x:v>0</x:v>
      </x:c>
      <x:c r="N5" s="67" t="n">
        <x:f>Funnel!J5</x:f>
        <x:v>0</x:v>
      </x:c>
    </x:row>
    <x:row r="6">
      <x:c r="A6" s="68" t="str">
        <x:v>Current MRR</x:v>
      </x:c>
      <x:c r="B6" s="68" t="str">
        <x:v>MRR Goal %</x:v>
      </x:c>
      <x:c r="C6" s="68" t="str">
        <x:v>Form URLs</x:v>
      </x:c>
      <x:c r="D6" s="68" t="str">
        <x:v>Teardowns</x:v>
      </x:c>
      <x:c r="E6" s="68" t="str">
        <x:v>Install Calls</x:v>
      </x:c>
      <x:c r="F6" s="68" t="str">
        <x:v>Installs</x:v>
      </x:c>
      <x:c r="G6" s="68" t="str">
        <x:v>Active Customers</x:v>
      </x:c>
      <x:c r="H6" s="68" t="str">
        <x:v>ARR</x:v>
      </x:c>
      <x:c r="I6" s="68" t="str">
        <x:v>Setup Cash</x:v>
      </x:c>
      <x:c r="J6" s="68" t="str">
        <x:v>Bottleneck</x:v>
      </x:c>
      <x:c r="K6" s="63"/>
      <x:c r="L6" s="65" t="str">
        <x:f>TEXT('Weekly Inputs'!A6,"m/d")</x:f>
        <x:v>6/8</x:v>
      </x:c>
      <x:c r="M6" s="65" t="n">
        <x:f>'Weekly Inputs'!G6</x:f>
        <x:v>0</x:v>
      </x:c>
      <x:c r="N6" s="67" t="n">
        <x:f>Funnel!J6</x:f>
        <x:v>0</x:v>
      </x:c>
    </x:row>
    <x:row r="7">
      <x:c r="A7" s="69" t="n">
        <x:f>INDEX(Funnel!$J$5:$J$16,$B$3)</x:f>
        <x:v>0</x:v>
      </x:c>
      <x:c r="B7" s="70" t="n">
        <x:f>INDEX(Funnel!$M$5:$M$16,$B$3)</x:f>
        <x:v>0</x:v>
      </x:c>
      <x:c r="C7" s="71" t="n">
        <x:f>INDEX('Weekly Inputs'!$G$5:$G$16,$B$3)</x:f>
        <x:v>0</x:v>
      </x:c>
      <x:c r="D7" s="71" t="n">
        <x:f>INDEX('Weekly Inputs'!$H$5:$H$16,$B$3)</x:f>
        <x:v>0</x:v>
      </x:c>
      <x:c r="E7" s="71" t="n">
        <x:f>INDEX('Weekly Inputs'!$I$5:$I$16,$B$3)</x:f>
        <x:v>0</x:v>
      </x:c>
      <x:c r="F7" s="71" t="n">
        <x:f>INDEX('Weekly Inputs'!$J$5:$J$16,$B$3)</x:f>
        <x:v>0</x:v>
      </x:c>
      <x:c r="G7" s="71" t="n">
        <x:f>COUNTIFS(Customers!$H$5:$H$24,"Yes")</x:f>
        <x:v>0</x:v>
      </x:c>
      <x:c r="H7" s="69" t="n">
        <x:f>INDEX(Funnel!$K$5:$K$16,$B$3)</x:f>
        <x:v>0</x:v>
      </x:c>
      <x:c r="I7" s="69" t="n">
        <x:f>SUM('Weekly Inputs'!$M$5:$M$16)</x:f>
        <x:v>0</x:v>
      </x:c>
      <x:c r="J7" s="72" t="str">
        <x:f>INDEX(Funnel!$N$5:$N$16,$B$3)</x:f>
        <x:v>Need form URLs</x:v>
      </x:c>
      <x:c r="K7" s="63"/>
      <x:c r="L7" s="65" t="str">
        <x:f>TEXT('Weekly Inputs'!A7,"m/d")</x:f>
        <x:v>6/15</x:v>
      </x:c>
      <x:c r="M7" s="65" t="n">
        <x:f>'Weekly Inputs'!G7</x:f>
        <x:v>0</x:v>
      </x:c>
      <x:c r="N7" s="67" t="n">
        <x:f>Funnel!J7</x:f>
        <x:v>0</x:v>
      </x:c>
    </x:row>
    <x:row r="8">
      <x:c r="A8" s="63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5" t="str">
        <x:f>TEXT('Weekly Inputs'!A8,"m/d")</x:f>
        <x:v>6/22</x:v>
      </x:c>
      <x:c r="M8" s="65" t="n">
        <x:f>'Weekly Inputs'!G8</x:f>
        <x:v>0</x:v>
      </x:c>
      <x:c r="N8" s="67" t="n">
        <x:f>Funnel!J8</x:f>
        <x:v>0</x:v>
      </x:c>
    </x:row>
    <x:row r="9">
      <x:c r="A9" s="63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5" t="str">
        <x:f>TEXT('Weekly Inputs'!A9,"m/d")</x:f>
        <x:v>6/29</x:v>
      </x:c>
      <x:c r="M9" s="65" t="n">
        <x:f>'Weekly Inputs'!G9</x:f>
        <x:v>0</x:v>
      </x:c>
      <x:c r="N9" s="67" t="n">
        <x:f>Funnel!J9</x:f>
        <x:v>0</x:v>
      </x:c>
    </x:row>
    <x:row r="10">
      <x:c r="A10" s="66" t="str">
        <x:v>Conversion Funnel</x:v>
      </x:c>
      <x:c r="B10" s="66" t="str">
        <x:v>Conversion Funnel</x:v>
      </x:c>
      <x:c r="C10" s="66" t="str">
        <x:v>Conversion Funnel</x:v>
      </x:c>
      <x:c r="D10" s="66" t="str">
        <x:v>Conversion Funnel</x:v>
      </x:c>
      <x:c r="E10" s="66" t="str">
        <x:v>Conversion Funnel</x:v>
      </x:c>
      <x:c r="F10" s="63"/>
      <x:c r="G10" s="66" t="str">
        <x:v>Health Alerts</x:v>
      </x:c>
      <x:c r="H10" s="66" t="str">
        <x:v>Health Alerts</x:v>
      </x:c>
      <x:c r="I10" s="66" t="str">
        <x:v>Health Alerts</x:v>
      </x:c>
      <x:c r="J10" s="66" t="str">
        <x:v>Health Alerts</x:v>
      </x:c>
      <x:c r="K10" s="63"/>
      <x:c r="L10" s="65" t="str">
        <x:f>TEXT('Weekly Inputs'!A10,"m/d")</x:f>
        <x:v>7/6</x:v>
      </x:c>
      <x:c r="M10" s="65" t="n">
        <x:f>'Weekly Inputs'!G10</x:f>
        <x:v>0</x:v>
      </x:c>
      <x:c r="N10" s="67" t="n">
        <x:f>Funnel!J10</x:f>
        <x:v>0</x:v>
      </x:c>
    </x:row>
    <x:row r="11">
      <x:c r="A11" s="73" t="str">
        <x:v>Stage</x:v>
      </x:c>
      <x:c r="B11" s="74" t="str">
        <x:v>Count</x:v>
      </x:c>
      <x:c r="C11" s="74" t="str">
        <x:v>Previous Stage</x:v>
      </x:c>
      <x:c r="D11" s="74" t="str">
        <x:v>Conversion</x:v>
      </x:c>
      <x:c r="E11" s="75" t="str">
        <x:v>Health</x:v>
      </x:c>
      <x:c r="F11" s="63"/>
      <x:c r="G11" s="73" t="str">
        <x:v>Metric</x:v>
      </x:c>
      <x:c r="H11" s="74" t="str">
        <x:v>Actual</x:v>
      </x:c>
      <x:c r="I11" s="74" t="str">
        <x:v>Target</x:v>
      </x:c>
      <x:c r="J11" s="75" t="str">
        <x:v>Status</x:v>
      </x:c>
      <x:c r="K11" s="63"/>
      <x:c r="L11" s="65" t="str">
        <x:f>TEXT('Weekly Inputs'!A11,"m/d")</x:f>
        <x:v>7/13</x:v>
      </x:c>
      <x:c r="M11" s="65" t="n">
        <x:f>'Weekly Inputs'!G11</x:f>
        <x:v>0</x:v>
      </x:c>
      <x:c r="N11" s="67" t="n">
        <x:f>Funnel!J11</x:f>
        <x:v>0</x:v>
      </x:c>
    </x:row>
    <x:row r="12">
      <x:c r="A12" s="76" t="str">
        <x:v>Audit Downloads</x:v>
      </x:c>
      <x:c r="B12" s="77" t="n">
        <x:f>INDEX('Weekly Inputs'!$E$5:$E$16,$B$3)</x:f>
        <x:v>0</x:v>
      </x:c>
      <x:c r="C12" s="77"/>
      <x:c r="D12" s="78"/>
      <x:c r="E12" s="79" t="str">
        <x:f>IF(B12&gt;=10,"Green",IF(B12&gt;=3,"Yellow","Red"))</x:f>
        <x:v>Red</x:v>
      </x:c>
      <x:c r="F12" s="63"/>
      <x:c r="G12" s="76" t="str">
        <x:v>Posts</x:v>
      </x:c>
      <x:c r="H12" s="77" t="n">
        <x:f>INDEX('Weekly Inputs'!$B$5:$B$16,$B$3)</x:f>
        <x:v>0</x:v>
      </x:c>
      <x:c r="I12" s="77" t="n">
        <x:v>5</x:v>
      </x:c>
      <x:c r="J12" s="79" t="str">
        <x:f>IF(H12&gt;=I12,"Green",IF(H12&gt;=I12*0.5,"Yellow","Red"))</x:f>
        <x:v>Red</x:v>
      </x:c>
      <x:c r="K12" s="63"/>
      <x:c r="L12" s="65" t="str">
        <x:f>TEXT('Weekly Inputs'!A12,"m/d")</x:f>
        <x:v>7/20</x:v>
      </x:c>
      <x:c r="M12" s="65" t="n">
        <x:f>'Weekly Inputs'!G12</x:f>
        <x:v>0</x:v>
      </x:c>
      <x:c r="N12" s="67" t="n">
        <x:f>Funnel!J12</x:f>
        <x:v>0</x:v>
      </x:c>
    </x:row>
    <x:row r="13">
      <x:c r="A13" s="76" t="str">
        <x:v>Qualified Form URLs</x:v>
      </x:c>
      <x:c r="B13" s="77" t="n">
        <x:f>INDEX('Weekly Inputs'!$G$5:$G$16,$B$3)</x:f>
        <x:v>0</x:v>
      </x:c>
      <x:c r="C13" s="77" t="n">
        <x:f>B12</x:f>
        <x:v>0</x:v>
      </x:c>
      <x:c r="D13" s="78" t="n">
        <x:f>IFERROR(B13/C13,0)</x:f>
        <x:v>0</x:v>
      </x:c>
      <x:c r="E13" s="79" t="str">
        <x:f>IF(B13&gt;=3,"Green",IF(B13&gt;=1,"Yellow","Red"))</x:f>
        <x:v>Red</x:v>
      </x:c>
      <x:c r="F13" s="63"/>
      <x:c r="G13" s="76" t="str">
        <x:v>ICP Comments</x:v>
      </x:c>
      <x:c r="H13" s="77" t="n">
        <x:f>INDEX('Weekly Inputs'!$C$5:$C$16,$B$3)</x:f>
        <x:v>0</x:v>
      </x:c>
      <x:c r="I13" s="77" t="n">
        <x:v>50</x:v>
      </x:c>
      <x:c r="J13" s="79" t="str">
        <x:f>IF(H13&gt;=I13,"Green",IF(H13&gt;=I13*0.5,"Yellow","Red"))</x:f>
        <x:v>Red</x:v>
      </x:c>
      <x:c r="K13" s="63"/>
      <x:c r="L13" s="65" t="str">
        <x:f>TEXT('Weekly Inputs'!A13,"m/d")</x:f>
        <x:v>7/27</x:v>
      </x:c>
      <x:c r="M13" s="65" t="n">
        <x:f>'Weekly Inputs'!G13</x:f>
        <x:v>0</x:v>
      </x:c>
      <x:c r="N13" s="67" t="n">
        <x:f>Funnel!J13</x:f>
        <x:v>0</x:v>
      </x:c>
    </x:row>
    <x:row r="14">
      <x:c r="A14" s="76" t="str">
        <x:v>Teardowns Delivered</x:v>
      </x:c>
      <x:c r="B14" s="77" t="n">
        <x:f>INDEX('Weekly Inputs'!$H$5:$H$16,$B$3)</x:f>
        <x:v>0</x:v>
      </x:c>
      <x:c r="C14" s="77" t="n">
        <x:f>B13</x:f>
        <x:v>0</x:v>
      </x:c>
      <x:c r="D14" s="78" t="n">
        <x:f>IFERROR(B14/C14,0)</x:f>
        <x:v>0</x:v>
      </x:c>
      <x:c r="E14" s="79" t="str">
        <x:f>IF(B14&gt;=2,"Green",IF(B14&gt;=1,"Yellow","Red"))</x:f>
        <x:v>Red</x:v>
      </x:c>
      <x:c r="F14" s="63"/>
      <x:c r="G14" s="76" t="str">
        <x:v>DM Conversations</x:v>
      </x:c>
      <x:c r="H14" s="77" t="n">
        <x:f>INDEX('Weekly Inputs'!$D$5:$D$16,$B$3)</x:f>
        <x:v>0</x:v>
      </x:c>
      <x:c r="I14" s="77" t="n">
        <x:v>10</x:v>
      </x:c>
      <x:c r="J14" s="79" t="str">
        <x:f>IF(H14&gt;=I14,"Green",IF(H14&gt;=I14*0.5,"Yellow","Red"))</x:f>
        <x:v>Red</x:v>
      </x:c>
      <x:c r="K14" s="63"/>
      <x:c r="L14" s="65" t="str">
        <x:f>TEXT('Weekly Inputs'!A14,"m/d")</x:f>
        <x:v>8/3</x:v>
      </x:c>
      <x:c r="M14" s="65" t="n">
        <x:f>'Weekly Inputs'!G14</x:f>
        <x:v>0</x:v>
      </x:c>
      <x:c r="N14" s="67" t="n">
        <x:f>Funnel!J14</x:f>
        <x:v>0</x:v>
      </x:c>
    </x:row>
    <x:row r="15">
      <x:c r="A15" s="76" t="str">
        <x:v>Install Calls</x:v>
      </x:c>
      <x:c r="B15" s="77" t="n">
        <x:f>INDEX('Weekly Inputs'!$I$5:$I$16,$B$3)</x:f>
        <x:v>0</x:v>
      </x:c>
      <x:c r="C15" s="77" t="n">
        <x:f>B14</x:f>
        <x:v>0</x:v>
      </x:c>
      <x:c r="D15" s="78" t="n">
        <x:f>IFERROR(B15/C15,0)</x:f>
        <x:v>0</x:v>
      </x:c>
      <x:c r="E15" s="79" t="str">
        <x:f>IF(B15&gt;=1,"Green","Red")</x:f>
        <x:v>Red</x:v>
      </x:c>
      <x:c r="F15" s="63"/>
      <x:c r="G15" s="76" t="str">
        <x:v>Qualified Form URLs</x:v>
      </x:c>
      <x:c r="H15" s="77" t="n">
        <x:f>INDEX('Weekly Inputs'!$G$5:$G$16,$B$3)</x:f>
        <x:v>0</x:v>
      </x:c>
      <x:c r="I15" s="77" t="n">
        <x:v>3</x:v>
      </x:c>
      <x:c r="J15" s="79" t="str">
        <x:f>IF(H15&gt;=I15,"Green",IF(H15&gt;=1,"Yellow","Red"))</x:f>
        <x:v>Red</x:v>
      </x:c>
      <x:c r="K15" s="63"/>
      <x:c r="L15" s="65" t="str">
        <x:f>TEXT('Weekly Inputs'!A15,"m/d")</x:f>
        <x:v>8/10</x:v>
      </x:c>
      <x:c r="M15" s="65" t="n">
        <x:f>'Weekly Inputs'!G15</x:f>
        <x:v>0</x:v>
      </x:c>
      <x:c r="N15" s="67" t="n">
        <x:f>Funnel!J15</x:f>
        <x:v>0</x:v>
      </x:c>
    </x:row>
    <x:row r="16">
      <x:c r="A16" s="76" t="str">
        <x:v>Installs Started</x:v>
      </x:c>
      <x:c r="B16" s="77" t="n">
        <x:f>INDEX('Weekly Inputs'!$J$5:$J$16,$B$3)</x:f>
        <x:v>0</x:v>
      </x:c>
      <x:c r="C16" s="77" t="n">
        <x:f>B15</x:f>
        <x:v>0</x:v>
      </x:c>
      <x:c r="D16" s="78" t="n">
        <x:f>IFERROR(B16/C16,0)</x:f>
        <x:v>0</x:v>
      </x:c>
      <x:c r="E16" s="79" t="str">
        <x:f>IF(B16&gt;=1,"Green","Red")</x:f>
        <x:v>Red</x:v>
      </x:c>
      <x:c r="F16" s="63"/>
      <x:c r="G16" s="76" t="str">
        <x:v>Teardowns</x:v>
      </x:c>
      <x:c r="H16" s="77" t="n">
        <x:f>INDEX('Weekly Inputs'!$H$5:$H$16,$B$3)</x:f>
        <x:v>0</x:v>
      </x:c>
      <x:c r="I16" s="77" t="n">
        <x:v>2</x:v>
      </x:c>
      <x:c r="J16" s="79" t="str">
        <x:f>IF(H16&gt;=I16,"Green",IF(H16&gt;=1,"Yellow","Red"))</x:f>
        <x:v>Red</x:v>
      </x:c>
      <x:c r="K16" s="63"/>
      <x:c r="L16" s="65" t="str">
        <x:f>TEXT('Weekly Inputs'!A16,"m/d")</x:f>
        <x:v>8/17</x:v>
      </x:c>
      <x:c r="M16" s="65" t="n">
        <x:f>'Weekly Inputs'!G16</x:f>
        <x:v>0</x:v>
      </x:c>
      <x:c r="N16" s="67" t="n">
        <x:f>Funnel!J16</x:f>
        <x:v>0</x:v>
      </x:c>
    </x:row>
    <x:row r="17">
      <x:c r="A17" s="80" t="str">
        <x:v>Paying Customers Added</x:v>
      </x:c>
      <x:c r="B17" s="81" t="n">
        <x:f>INDEX('Weekly Inputs'!$K$5:$K$16,$B$3)</x:f>
        <x:v>0</x:v>
      </x:c>
      <x:c r="C17" s="81" t="n">
        <x:f>B16</x:f>
        <x:v>0</x:v>
      </x:c>
      <x:c r="D17" s="82" t="n">
        <x:f>IFERROR(B17/C17,0)</x:f>
        <x:v>0</x:v>
      </x:c>
      <x:c r="E17" s="83" t="str">
        <x:f>IF(B17&gt;=1,"Green","Yellow")</x:f>
        <x:v>Yellow</x:v>
      </x:c>
      <x:c r="F17" s="63"/>
      <x:c r="G17" s="80" t="str">
        <x:v>Install Calls</x:v>
      </x:c>
      <x:c r="H17" s="81" t="n">
        <x:f>INDEX('Weekly Inputs'!$I$5:$I$16,$B$3)</x:f>
        <x:v>0</x:v>
      </x:c>
      <x:c r="I17" s="81" t="n">
        <x:v>1</x:v>
      </x:c>
      <x:c r="J17" s="83" t="str">
        <x:f>IF(H17&gt;=I17,"Green","Red")</x:f>
        <x:v>Red</x:v>
      </x:c>
      <x:c r="K17" s="63"/>
      <x:c r="L17" s="63"/>
      <x:c r="M17" s="63"/>
      <x:c r="N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</x:row>
    <x:row r="20">
      <x:c r="A20" s="66" t="str">
        <x:v>Weekly Learning And Decision</x:v>
      </x:c>
      <x:c r="B20" s="66" t="str">
        <x:v>Weekly Learning And Decision</x:v>
      </x:c>
      <x:c r="C20" s="66" t="str">
        <x:v>Weekly Learning And Decision</x:v>
      </x:c>
      <x:c r="D20" s="66" t="str">
        <x:v>Weekly Learning And Decision</x:v>
      </x:c>
      <x:c r="E20" s="66" t="str">
        <x:v>Weekly Learning And Decision</x:v>
      </x:c>
      <x:c r="F20" s="66" t="str">
        <x:v>Weekly Learning And Decision</x:v>
      </x:c>
      <x:c r="G20" s="66" t="str">
        <x:v>Weekly Learning And Decision</x:v>
      </x:c>
      <x:c r="H20" s="66" t="str">
        <x:v>Weekly Learning And Decision</x:v>
      </x:c>
      <x:c r="I20" s="66" t="str">
        <x:v>Weekly Learning And Decision</x:v>
      </x:c>
      <x:c r="J20" s="66" t="str">
        <x:v>Weekly Learning And Decision</x:v>
      </x:c>
      <x:c r="K20" s="63"/>
      <x:c r="L20" s="63"/>
      <x:c r="M20" s="63"/>
      <x:c r="N20" s="63"/>
    </x:row>
    <x:row r="21">
      <x:c r="A21" s="84" t="str">
        <x:f>INDEX('Weekly Inputs'!$P$5:$P$16,$B$3)</x:f>
      </x:c>
      <x:c r="B21" s="84" t="str"/>
      <x:c r="C21" s="84" t="str"/>
      <x:c r="D21" s="84" t="str"/>
      <x:c r="E21" s="84" t="str"/>
      <x:c r="F21" s="84" t="str">
        <x:f>INDEX(Funnel!$N$5:$N$16,$B$3)</x:f>
        <x:v>Need form URLs</x:v>
      </x:c>
      <x:c r="G21" s="84" t="str"/>
      <x:c r="H21" s="84" t="str"/>
      <x:c r="I21" s="84" t="str"/>
      <x:c r="J21" s="84" t="str"/>
      <x:c r="K21" s="63"/>
      <x:c r="L21" s="63"/>
      <x:c r="M21" s="63"/>
      <x:c r="N21" s="63"/>
    </x:row>
    <x:row r="22">
      <x:c r="A22" s="84" t="str"/>
      <x:c r="B22" s="84" t="str"/>
      <x:c r="C22" s="84" t="str"/>
      <x:c r="D22" s="84" t="str"/>
      <x:c r="E22" s="84" t="str"/>
      <x:c r="F22" s="84" t="str"/>
      <x:c r="G22" s="84" t="str"/>
      <x:c r="H22" s="84" t="str"/>
      <x:c r="I22" s="84" t="str"/>
      <x:c r="J22" s="84" t="str"/>
      <x:c r="K22" s="63"/>
      <x:c r="L22" s="63"/>
      <x:c r="M22" s="63"/>
      <x:c r="N22" s="63"/>
    </x:row>
    <x:row r="23">
      <x:c r="A23" s="84" t="str">
        <x:v>Decide whether to improve CTA, targeting, teardown proof, or install conversion based on the bottleneck.</x:v>
      </x:c>
      <x:c r="B23" s="84" t="str">
        <x:v>Decide whether to improve CTA, targeting, teardown proof, or install conversion based on the bottleneck.</x:v>
      </x:c>
      <x:c r="C23" s="84" t="str">
        <x:v>Decide whether to improve CTA, targeting, teardown proof, or install conversion based on the bottleneck.</x:v>
      </x:c>
      <x:c r="D23" s="84" t="str">
        <x:v>Decide whether to improve CTA, targeting, teardown proof, or install conversion based on the bottleneck.</x:v>
      </x:c>
      <x:c r="E23" s="84" t="str">
        <x:v>Decide whether to improve CTA, targeting, teardown proof, or install conversion based on the bottleneck.</x:v>
      </x:c>
      <x:c r="F23" s="84" t="str">
        <x:v>Owner</x:v>
      </x:c>
      <x:c r="G23" s="84" t="str">
        <x:v>Ryan</x:v>
      </x:c>
      <x:c r="H23" s="84" t="str">
        <x:v>Review Date</x:v>
      </x:c>
      <x:c r="I23" s="85" t="n">
        <x:f>INDEX('Weekly Inputs'!$A$5:$A$16,$B$3)+6</x:f>
        <x:v>46180</x:v>
      </x:c>
      <x:c r="J23" s="85" t="str"/>
      <x:c r="K23" s="63"/>
      <x:c r="L23" s="63"/>
      <x:c r="M23" s="63"/>
      <x:c r="N23" s="63"/>
    </x:row>
    <x:row r="24">
      <x:c r="A24" s="84" t="str">
        <x:v>Decide whether to improve CTA, targeting, teardown proof, or install conversion based on the bottleneck.</x:v>
      </x:c>
      <x:c r="B24" s="84" t="str">
        <x:v>Decide whether to improve CTA, targeting, teardown proof, or install conversion based on the bottleneck.</x:v>
      </x:c>
      <x:c r="C24" s="84" t="str">
        <x:v>Decide whether to improve CTA, targeting, teardown proof, or install conversion based on the bottleneck.</x:v>
      </x:c>
      <x:c r="D24" s="84" t="str">
        <x:v>Decide whether to improve CTA, targeting, teardown proof, or install conversion based on the bottleneck.</x:v>
      </x:c>
      <x:c r="E24" s="84" t="str">
        <x:v>Decide whether to improve CTA, targeting, teardown proof, or install conversion based on the bottleneck.</x:v>
      </x:c>
      <x:c r="F24" s="84" t="str"/>
      <x:c r="G24" s="84" t="str"/>
      <x:c r="H24" s="84" t="str"/>
      <x:c r="I24" s="85" t="str"/>
      <x:c r="J24" s="85" t="str"/>
      <x:c r="K24" s="63"/>
      <x:c r="L24" s="63"/>
      <x:c r="M24" s="63"/>
      <x:c r="N24" s="63"/>
    </x:row>
  </x:sheetData>
  <x:mergeCells>
    <x:mergeCell ref="A1:J2"/>
    <x:mergeCell ref="A5:J5"/>
    <x:mergeCell ref="A10:E10"/>
    <x:mergeCell ref="G10:J10"/>
    <x:mergeCell ref="A20:J20"/>
    <x:mergeCell ref="A21:E22"/>
    <x:mergeCell ref="F21:J22"/>
    <x:mergeCell ref="A23:E24"/>
    <x:mergeCell ref="I23:J24"/>
  </x:mergeCells>
  <x:conditionalFormatting sqref="E12:E17">
    <x:cfRule type="containsText" dxfId="0" priority="1" operator="containsText" text="Green"/>
    <x:cfRule type="containsText" dxfId="1" priority="2" operator="containsText" text="Yellow"/>
    <x:cfRule type="containsText" dxfId="2" priority="3" operator="containsText" text="Red"/>
  </x:conditionalFormatting>
  <x:conditionalFormatting sqref="J12:J17">
    <x:cfRule type="containsText" dxfId="3" priority="4" operator="containsText" text="Green"/>
    <x:cfRule type="containsText" dxfId="4" priority="5" operator="containsText" text="Yellow"/>
    <x:cfRule type="containsText" dxfId="5" priority="6" operator="containsText" text="Red"/>
  </x:conditionalFormatting>
  <x:dataValidations count="1">
    <x:dataValidation type="list" sqref="B3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4ba3c17cf39d4e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7.78000020980835" hidden="0" customWidth="1"/>
    <x:col min="3" max="3" width="10" hidden="0" customWidth="1"/>
    <x:col min="4" max="4" width="12.779999732971191" hidden="0" customWidth="1"/>
    <x:col min="5" max="5" width="11.670000076293945" hidden="0" customWidth="1"/>
    <x:col min="6" max="6" width="12.779999732971191" hidden="0" customWidth="1"/>
    <x:col min="7" max="7" width="13.890000343322754" hidden="0" customWidth="1"/>
    <x:col min="8" max="8" width="13.329999923706055" hidden="0" customWidth="1"/>
    <x:col min="9" max="9" width="11.670000076293945" hidden="0" customWidth="1"/>
    <x:col min="10" max="10" width="11.670000076293945" hidden="0" customWidth="1"/>
    <x:col min="11" max="11" width="11.670000076293945" hidden="0" customWidth="1"/>
    <x:col min="12" max="12" width="10" hidden="0" customWidth="1"/>
    <x:col min="13" max="13" width="10.5600004196167" hidden="0" customWidth="1"/>
    <x:col min="14" max="14" width="10" hidden="0" customWidth="1"/>
    <x:col min="15" max="15" width="10" hidden="0" customWidth="1"/>
    <x:col min="16" max="16" width="15.5600004196167" hidden="0" customWidth="1"/>
    <x:col min="17" max="17" width="27.780000686645508" hidden="0" customWidth="1"/>
  </x:cols>
  <x:sheetData>
    <x:row r="1" ht="24" customHeight="1">
      <x:c r="A1" s="62" t="str">
        <x:v>Deal Threads Weekly Inputs
Update this every Friday. Dashboard and funnel calculations pull from these rows.</x:v>
      </x:c>
      <x:c r="B1" s="62" t="str">
        <x:v>Deal Threads Weekly Inputs
Update this every Friday. Dashboard and funnel calculations pull from these rows.</x:v>
      </x:c>
      <x:c r="C1" s="62" t="str">
        <x:v>Deal Threads Weekly Inputs
Update this every Friday. Dashboard and funnel calculations pull from these rows.</x:v>
      </x:c>
      <x:c r="D1" s="62" t="str">
        <x:v>Deal Threads Weekly Inputs
Update this every Friday. Dashboard and funnel calculations pull from these rows.</x:v>
      </x:c>
      <x:c r="E1" s="62" t="str">
        <x:v>Deal Threads Weekly Inputs
Update this every Friday. Dashboard and funnel calculations pull from these rows.</x:v>
      </x:c>
      <x:c r="F1" s="62" t="str">
        <x:v>Deal Threads Weekly Inputs
Update this every Friday. Dashboard and funnel calculations pull from these rows.</x:v>
      </x:c>
      <x:c r="G1" s="62" t="str">
        <x:v>Deal Threads Weekly Inputs
Update this every Friday. Dashboard and funnel calculations pull from these rows.</x:v>
      </x:c>
      <x:c r="H1" s="62" t="str">
        <x:v>Deal Threads Weekly Inputs
Update this every Friday. Dashboard and funnel calculations pull from these rows.</x:v>
      </x:c>
      <x:c r="I1" s="62" t="str">
        <x:v>Deal Threads Weekly Inputs
Update this every Friday. Dashboard and funnel calculations pull from these rows.</x:v>
      </x:c>
      <x:c r="J1" s="62" t="str">
        <x:v>Deal Threads Weekly Inputs
Update this every Friday. Dashboard and funnel calculations pull from these rows.</x:v>
      </x:c>
      <x:c r="K1" s="62" t="str">
        <x:v>Deal Threads Weekly Inputs
Update this every Friday. Dashboard and funnel calculations pull from these rows.</x:v>
      </x:c>
      <x:c r="L1" s="62" t="str">
        <x:v>Deal Threads Weekly Inputs
Update this every Friday. Dashboard and funnel calculations pull from these rows.</x:v>
      </x:c>
      <x:c r="M1" s="62" t="str">
        <x:v>Deal Threads Weekly Inputs
Update this every Friday. Dashboard and funnel calculations pull from these rows.</x:v>
      </x:c>
      <x:c r="N1" s="62" t="str">
        <x:v>Deal Threads Weekly Inputs
Update this every Friday. Dashboard and funnel calculations pull from these rows.</x:v>
      </x:c>
      <x:c r="O1" s="62" t="str">
        <x:v>Deal Threads Weekly Inputs
Update this every Friday. Dashboard and funnel calculations pull from these rows.</x:v>
      </x:c>
      <x:c r="P1" s="62" t="str">
        <x:v>Deal Threads Weekly Inputs
Update this every Friday. Dashboard and funnel calculations pull from these rows.</x:v>
      </x:c>
      <x:c r="Q1" s="62" t="str">
        <x:v>Deal Threads Weekly Inputs
Update this every Friday. Dashboard and funnel calculations pull from these rows.</x:v>
      </x:c>
    </x:row>
    <x:row r="2" ht="24" customHeight="1">
      <x:c r="A2" s="62" t="str">
        <x:v>Deal Threads Weekly Inputs
Update this every Friday. Dashboard and funnel calculations pull from these rows.</x:v>
      </x:c>
      <x:c r="B2" s="62" t="str">
        <x:v>Deal Threads Weekly Inputs
Update this every Friday. Dashboard and funnel calculations pull from these rows.</x:v>
      </x:c>
      <x:c r="C2" s="62" t="str">
        <x:v>Deal Threads Weekly Inputs
Update this every Friday. Dashboard and funnel calculations pull from these rows.</x:v>
      </x:c>
      <x:c r="D2" s="62" t="str">
        <x:v>Deal Threads Weekly Inputs
Update this every Friday. Dashboard and funnel calculations pull from these rows.</x:v>
      </x:c>
      <x:c r="E2" s="62" t="str">
        <x:v>Deal Threads Weekly Inputs
Update this every Friday. Dashboard and funnel calculations pull from these rows.</x:v>
      </x:c>
      <x:c r="F2" s="62" t="str">
        <x:v>Deal Threads Weekly Inputs
Update this every Friday. Dashboard and funnel calculations pull from these rows.</x:v>
      </x:c>
      <x:c r="G2" s="62" t="str">
        <x:v>Deal Threads Weekly Inputs
Update this every Friday. Dashboard and funnel calculations pull from these rows.</x:v>
      </x:c>
      <x:c r="H2" s="62" t="str">
        <x:v>Deal Threads Weekly Inputs
Update this every Friday. Dashboard and funnel calculations pull from these rows.</x:v>
      </x:c>
      <x:c r="I2" s="62" t="str">
        <x:v>Deal Threads Weekly Inputs
Update this every Friday. Dashboard and funnel calculations pull from these rows.</x:v>
      </x:c>
      <x:c r="J2" s="62" t="str">
        <x:v>Deal Threads Weekly Inputs
Update this every Friday. Dashboard and funnel calculations pull from these rows.</x:v>
      </x:c>
      <x:c r="K2" s="62" t="str">
        <x:v>Deal Threads Weekly Inputs
Update this every Friday. Dashboard and funnel calculations pull from these rows.</x:v>
      </x:c>
      <x:c r="L2" s="62" t="str">
        <x:v>Deal Threads Weekly Inputs
Update this every Friday. Dashboard and funnel calculations pull from these rows.</x:v>
      </x:c>
      <x:c r="M2" s="62" t="str">
        <x:v>Deal Threads Weekly Inputs
Update this every Friday. Dashboard and funnel calculations pull from these rows.</x:v>
      </x:c>
      <x:c r="N2" s="62" t="str">
        <x:v>Deal Threads Weekly Inputs
Update this every Friday. Dashboard and funnel calculations pull from these rows.</x:v>
      </x:c>
      <x:c r="O2" s="62" t="str">
        <x:v>Deal Threads Weekly Inputs
Update this every Friday. Dashboard and funnel calculations pull from these rows.</x:v>
      </x:c>
      <x:c r="P2" s="62" t="str">
        <x:v>Deal Threads Weekly Inputs
Update this every Friday. Dashboard and funnel calculations pull from these rows.</x:v>
      </x:c>
      <x:c r="Q2" s="62" t="str">
        <x:v>Deal Threads Weekly Inputs
Update this every Friday. Dashboard and funnel calculations pull from these rows.</x:v>
      </x:c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</x:row>
    <x:row r="4">
      <x:c r="A4" s="86" t="str">
        <x:v>Week Start</x:v>
      </x:c>
      <x:c r="B4" s="87" t="str">
        <x:v>Posts</x:v>
      </x:c>
      <x:c r="C4" s="87" t="str">
        <x:v>ICP Comments</x:v>
      </x:c>
      <x:c r="D4" s="87" t="str">
        <x:v>DM Conversations</x:v>
      </x:c>
      <x:c r="E4" s="87" t="str">
        <x:v>Audit Downloads</x:v>
      </x:c>
      <x:c r="F4" s="87" t="str">
        <x:v>Form URL Asks</x:v>
      </x:c>
      <x:c r="G4" s="87" t="str">
        <x:v>Qualified Form URLs</x:v>
      </x:c>
      <x:c r="H4" s="87" t="str">
        <x:v>Teardowns Delivered</x:v>
      </x:c>
      <x:c r="I4" s="87" t="str">
        <x:v>Install Calls</x:v>
      </x:c>
      <x:c r="J4" s="87" t="str">
        <x:v>Installs Started</x:v>
      </x:c>
      <x:c r="K4" s="87" t="str">
        <x:v>Paying Customers Added</x:v>
      </x:c>
      <x:c r="L4" s="87" t="str">
        <x:v>New MRR</x:v>
      </x:c>
      <x:c r="M4" s="87" t="str">
        <x:v>Setup Cash</x:v>
      </x:c>
      <x:c r="N4" s="87" t="str">
        <x:v>S&amp;M Spend</x:v>
      </x:c>
      <x:c r="O4" s="87" t="str">
        <x:v>Direct Costs</x:v>
      </x:c>
      <x:c r="P4" s="87" t="str">
        <x:v>Best Learning</x:v>
      </x:c>
      <x:c r="Q4" s="88" t="str">
        <x:v>Notes</x:v>
      </x:c>
    </x:row>
    <x:row r="5">
      <x:c r="A5" s="89" t="n">
        <x:v>46174</x:v>
      </x:c>
      <x:c r="B5" s="77" t="n">
        <x:v>0</x:v>
      </x:c>
      <x:c r="C5" s="77" t="n">
        <x:v>0</x:v>
      </x:c>
      <x:c r="D5" s="77" t="n">
        <x:v>0</x:v>
      </x:c>
      <x:c r="E5" s="77" t="n">
        <x:v>0</x:v>
      </x:c>
      <x:c r="F5" s="77" t="n">
        <x:v>0</x:v>
      </x:c>
      <x:c r="G5" s="77" t="n">
        <x:v>0</x:v>
      </x:c>
      <x:c r="H5" s="77" t="n">
        <x:v>0</x:v>
      </x:c>
      <x:c r="I5" s="77" t="n">
        <x:v>0</x:v>
      </x:c>
      <x:c r="J5" s="77" t="n">
        <x:v>0</x:v>
      </x:c>
      <x:c r="K5" s="77" t="n">
        <x:v>0</x:v>
      </x:c>
      <x:c r="L5" s="90" t="n">
        <x:v>0</x:v>
      </x:c>
      <x:c r="M5" s="90" t="n">
        <x:v>0</x:v>
      </x:c>
      <x:c r="N5" s="90" t="n">
        <x:v>0</x:v>
      </x:c>
      <x:c r="O5" s="90" t="n">
        <x:v>0</x:v>
      </x:c>
      <x:c r="P5" s="77" t="str"/>
      <x:c r="Q5" s="79" t="str"/>
    </x:row>
    <x:row r="6">
      <x:c r="A6" s="89" t="n">
        <x:v>46181</x:v>
      </x:c>
      <x:c r="B6" s="77" t="n">
        <x:v>0</x:v>
      </x:c>
      <x:c r="C6" s="77" t="n">
        <x:v>0</x:v>
      </x:c>
      <x:c r="D6" s="77" t="n">
        <x:v>0</x:v>
      </x:c>
      <x:c r="E6" s="77" t="n">
        <x:v>0</x:v>
      </x:c>
      <x:c r="F6" s="77" t="n">
        <x:v>0</x:v>
      </x:c>
      <x:c r="G6" s="77" t="n">
        <x:v>0</x:v>
      </x:c>
      <x:c r="H6" s="77" t="n">
        <x:v>0</x:v>
      </x:c>
      <x:c r="I6" s="77" t="n">
        <x:v>0</x:v>
      </x:c>
      <x:c r="J6" s="77" t="n">
        <x:v>0</x:v>
      </x:c>
      <x:c r="K6" s="77" t="n">
        <x:v>0</x:v>
      </x:c>
      <x:c r="L6" s="90" t="n">
        <x:v>0</x:v>
      </x:c>
      <x:c r="M6" s="90" t="n">
        <x:v>0</x:v>
      </x:c>
      <x:c r="N6" s="90" t="n">
        <x:v>0</x:v>
      </x:c>
      <x:c r="O6" s="90" t="n">
        <x:v>0</x:v>
      </x:c>
      <x:c r="P6" s="77" t="str"/>
      <x:c r="Q6" s="79" t="str"/>
    </x:row>
    <x:row r="7">
      <x:c r="A7" s="89" t="n">
        <x:v>46188</x:v>
      </x:c>
      <x:c r="B7" s="77" t="n">
        <x:v>0</x:v>
      </x:c>
      <x:c r="C7" s="77" t="n">
        <x:v>0</x:v>
      </x:c>
      <x:c r="D7" s="77" t="n">
        <x:v>0</x:v>
      </x:c>
      <x:c r="E7" s="77" t="n">
        <x:v>0</x:v>
      </x:c>
      <x:c r="F7" s="77" t="n">
        <x:v>0</x:v>
      </x:c>
      <x:c r="G7" s="77" t="n">
        <x:v>0</x:v>
      </x:c>
      <x:c r="H7" s="77" t="n">
        <x:v>0</x:v>
      </x:c>
      <x:c r="I7" s="77" t="n">
        <x:v>0</x:v>
      </x:c>
      <x:c r="J7" s="77" t="n">
        <x:v>0</x:v>
      </x:c>
      <x:c r="K7" s="77" t="n">
        <x:v>0</x:v>
      </x:c>
      <x:c r="L7" s="90" t="n">
        <x:v>0</x:v>
      </x:c>
      <x:c r="M7" s="90" t="n">
        <x:v>0</x:v>
      </x:c>
      <x:c r="N7" s="90" t="n">
        <x:v>0</x:v>
      </x:c>
      <x:c r="O7" s="90" t="n">
        <x:v>0</x:v>
      </x:c>
      <x:c r="P7" s="77" t="str"/>
      <x:c r="Q7" s="79" t="str"/>
    </x:row>
    <x:row r="8">
      <x:c r="A8" s="89" t="n">
        <x:v>46195</x:v>
      </x:c>
      <x:c r="B8" s="77" t="n">
        <x:v>0</x:v>
      </x:c>
      <x:c r="C8" s="77" t="n">
        <x:v>0</x:v>
      </x:c>
      <x:c r="D8" s="77" t="n">
        <x:v>0</x:v>
      </x:c>
      <x:c r="E8" s="77" t="n">
        <x:v>0</x:v>
      </x:c>
      <x:c r="F8" s="77" t="n">
        <x:v>0</x:v>
      </x:c>
      <x:c r="G8" s="77" t="n">
        <x:v>0</x:v>
      </x:c>
      <x:c r="H8" s="77" t="n">
        <x:v>0</x:v>
      </x:c>
      <x:c r="I8" s="77" t="n">
        <x:v>0</x:v>
      </x:c>
      <x:c r="J8" s="77" t="n">
        <x:v>0</x:v>
      </x:c>
      <x:c r="K8" s="77" t="n">
        <x:v>0</x:v>
      </x:c>
      <x:c r="L8" s="90" t="n">
        <x:v>0</x:v>
      </x:c>
      <x:c r="M8" s="90" t="n">
        <x:v>0</x:v>
      </x:c>
      <x:c r="N8" s="90" t="n">
        <x:v>0</x:v>
      </x:c>
      <x:c r="O8" s="90" t="n">
        <x:v>0</x:v>
      </x:c>
      <x:c r="P8" s="77" t="str"/>
      <x:c r="Q8" s="79" t="str"/>
    </x:row>
    <x:row r="9">
      <x:c r="A9" s="89" t="n">
        <x:v>46202</x:v>
      </x:c>
      <x:c r="B9" s="77" t="n">
        <x:v>0</x:v>
      </x:c>
      <x:c r="C9" s="77" t="n">
        <x:v>0</x:v>
      </x:c>
      <x:c r="D9" s="77" t="n">
        <x:v>0</x:v>
      </x:c>
      <x:c r="E9" s="77" t="n">
        <x:v>0</x:v>
      </x:c>
      <x:c r="F9" s="77" t="n">
        <x:v>0</x:v>
      </x:c>
      <x:c r="G9" s="77" t="n">
        <x:v>0</x:v>
      </x:c>
      <x:c r="H9" s="77" t="n">
        <x:v>0</x:v>
      </x:c>
      <x:c r="I9" s="77" t="n">
        <x:v>0</x:v>
      </x:c>
      <x:c r="J9" s="77" t="n">
        <x:v>0</x:v>
      </x:c>
      <x:c r="K9" s="77" t="n">
        <x:v>0</x:v>
      </x:c>
      <x:c r="L9" s="90" t="n">
        <x:v>0</x:v>
      </x:c>
      <x:c r="M9" s="90" t="n">
        <x:v>0</x:v>
      </x:c>
      <x:c r="N9" s="90" t="n">
        <x:v>0</x:v>
      </x:c>
      <x:c r="O9" s="90" t="n">
        <x:v>0</x:v>
      </x:c>
      <x:c r="P9" s="77" t="str"/>
      <x:c r="Q9" s="79" t="str"/>
    </x:row>
    <x:row r="10">
      <x:c r="A10" s="89" t="n">
        <x:v>46209</x:v>
      </x:c>
      <x:c r="B10" s="77" t="n">
        <x:v>0</x:v>
      </x:c>
      <x:c r="C10" s="77" t="n">
        <x:v>0</x:v>
      </x:c>
      <x:c r="D10" s="77" t="n">
        <x:v>0</x:v>
      </x:c>
      <x:c r="E10" s="77" t="n">
        <x:v>0</x:v>
      </x:c>
      <x:c r="F10" s="77" t="n">
        <x:v>0</x:v>
      </x:c>
      <x:c r="G10" s="77" t="n">
        <x:v>0</x:v>
      </x:c>
      <x:c r="H10" s="77" t="n">
        <x:v>0</x:v>
      </x:c>
      <x:c r="I10" s="77" t="n">
        <x:v>0</x:v>
      </x:c>
      <x:c r="J10" s="77" t="n">
        <x:v>0</x:v>
      </x:c>
      <x:c r="K10" s="77" t="n">
        <x:v>0</x:v>
      </x:c>
      <x:c r="L10" s="90" t="n">
        <x:v>0</x:v>
      </x:c>
      <x:c r="M10" s="90" t="n">
        <x:v>0</x:v>
      </x:c>
      <x:c r="N10" s="90" t="n">
        <x:v>0</x:v>
      </x:c>
      <x:c r="O10" s="90" t="n">
        <x:v>0</x:v>
      </x:c>
      <x:c r="P10" s="77" t="str"/>
      <x:c r="Q10" s="79" t="str"/>
    </x:row>
    <x:row r="11">
      <x:c r="A11" s="89" t="n">
        <x:v>46216</x:v>
      </x:c>
      <x:c r="B11" s="77" t="n">
        <x:v>0</x:v>
      </x:c>
      <x:c r="C11" s="77" t="n">
        <x:v>0</x:v>
      </x:c>
      <x:c r="D11" s="77" t="n">
        <x:v>0</x:v>
      </x:c>
      <x:c r="E11" s="77" t="n">
        <x:v>0</x:v>
      </x:c>
      <x:c r="F11" s="77" t="n">
        <x:v>0</x:v>
      </x:c>
      <x:c r="G11" s="77" t="n">
        <x:v>0</x:v>
      </x:c>
      <x:c r="H11" s="77" t="n">
        <x:v>0</x:v>
      </x:c>
      <x:c r="I11" s="77" t="n">
        <x:v>0</x:v>
      </x:c>
      <x:c r="J11" s="77" t="n">
        <x:v>0</x:v>
      </x:c>
      <x:c r="K11" s="77" t="n">
        <x:v>0</x:v>
      </x:c>
      <x:c r="L11" s="90" t="n">
        <x:v>0</x:v>
      </x:c>
      <x:c r="M11" s="90" t="n">
        <x:v>0</x:v>
      </x:c>
      <x:c r="N11" s="90" t="n">
        <x:v>0</x:v>
      </x:c>
      <x:c r="O11" s="90" t="n">
        <x:v>0</x:v>
      </x:c>
      <x:c r="P11" s="77" t="str"/>
      <x:c r="Q11" s="79" t="str"/>
    </x:row>
    <x:row r="12">
      <x:c r="A12" s="89" t="n">
        <x:v>46223</x:v>
      </x:c>
      <x:c r="B12" s="77" t="n">
        <x:v>0</x:v>
      </x:c>
      <x:c r="C12" s="77" t="n">
        <x:v>0</x:v>
      </x:c>
      <x:c r="D12" s="77" t="n">
        <x:v>0</x:v>
      </x:c>
      <x:c r="E12" s="77" t="n">
        <x:v>0</x:v>
      </x:c>
      <x:c r="F12" s="77" t="n">
        <x:v>0</x:v>
      </x:c>
      <x:c r="G12" s="77" t="n">
        <x:v>0</x:v>
      </x:c>
      <x:c r="H12" s="77" t="n">
        <x:v>0</x:v>
      </x:c>
      <x:c r="I12" s="77" t="n">
        <x:v>0</x:v>
      </x:c>
      <x:c r="J12" s="77" t="n">
        <x:v>0</x:v>
      </x:c>
      <x:c r="K12" s="77" t="n">
        <x:v>0</x:v>
      </x:c>
      <x:c r="L12" s="90" t="n">
        <x:v>0</x:v>
      </x:c>
      <x:c r="M12" s="90" t="n">
        <x:v>0</x:v>
      </x:c>
      <x:c r="N12" s="90" t="n">
        <x:v>0</x:v>
      </x:c>
      <x:c r="O12" s="90" t="n">
        <x:v>0</x:v>
      </x:c>
      <x:c r="P12" s="77" t="str"/>
      <x:c r="Q12" s="79" t="str"/>
    </x:row>
    <x:row r="13">
      <x:c r="A13" s="89" t="n">
        <x:v>46230</x:v>
      </x:c>
      <x:c r="B13" s="77" t="n">
        <x:v>0</x:v>
      </x:c>
      <x:c r="C13" s="77" t="n">
        <x:v>0</x:v>
      </x:c>
      <x:c r="D13" s="77" t="n">
        <x:v>0</x:v>
      </x:c>
      <x:c r="E13" s="77" t="n">
        <x:v>0</x:v>
      </x:c>
      <x:c r="F13" s="77" t="n">
        <x:v>0</x:v>
      </x:c>
      <x:c r="G13" s="77" t="n">
        <x:v>0</x:v>
      </x:c>
      <x:c r="H13" s="77" t="n">
        <x:v>0</x:v>
      </x:c>
      <x:c r="I13" s="77" t="n">
        <x:v>0</x:v>
      </x:c>
      <x:c r="J13" s="77" t="n">
        <x:v>0</x:v>
      </x:c>
      <x:c r="K13" s="77" t="n">
        <x:v>0</x:v>
      </x:c>
      <x:c r="L13" s="90" t="n">
        <x:v>0</x:v>
      </x:c>
      <x:c r="M13" s="90" t="n">
        <x:v>0</x:v>
      </x:c>
      <x:c r="N13" s="90" t="n">
        <x:v>0</x:v>
      </x:c>
      <x:c r="O13" s="90" t="n">
        <x:v>0</x:v>
      </x:c>
      <x:c r="P13" s="77" t="str"/>
      <x:c r="Q13" s="79" t="str"/>
    </x:row>
    <x:row r="14">
      <x:c r="A14" s="89" t="n">
        <x:v>46237</x:v>
      </x:c>
      <x:c r="B14" s="77" t="n">
        <x:v>0</x:v>
      </x:c>
      <x:c r="C14" s="77" t="n">
        <x:v>0</x:v>
      </x:c>
      <x:c r="D14" s="77" t="n">
        <x:v>0</x:v>
      </x:c>
      <x:c r="E14" s="77" t="n">
        <x:v>0</x:v>
      </x:c>
      <x:c r="F14" s="77" t="n">
        <x:v>0</x:v>
      </x:c>
      <x:c r="G14" s="77" t="n">
        <x:v>0</x:v>
      </x:c>
      <x:c r="H14" s="77" t="n">
        <x:v>0</x:v>
      </x:c>
      <x:c r="I14" s="77" t="n">
        <x:v>0</x:v>
      </x:c>
      <x:c r="J14" s="77" t="n">
        <x:v>0</x:v>
      </x:c>
      <x:c r="K14" s="77" t="n">
        <x:v>0</x:v>
      </x:c>
      <x:c r="L14" s="90" t="n">
        <x:v>0</x:v>
      </x:c>
      <x:c r="M14" s="90" t="n">
        <x:v>0</x:v>
      </x:c>
      <x:c r="N14" s="90" t="n">
        <x:v>0</x:v>
      </x:c>
      <x:c r="O14" s="90" t="n">
        <x:v>0</x:v>
      </x:c>
      <x:c r="P14" s="77" t="str"/>
      <x:c r="Q14" s="79" t="str"/>
    </x:row>
    <x:row r="15">
      <x:c r="A15" s="89" t="n">
        <x:v>46244</x:v>
      </x:c>
      <x:c r="B15" s="77" t="n">
        <x:v>0</x:v>
      </x:c>
      <x:c r="C15" s="77" t="n">
        <x:v>0</x:v>
      </x:c>
      <x:c r="D15" s="77" t="n">
        <x:v>0</x:v>
      </x:c>
      <x:c r="E15" s="77" t="n">
        <x:v>0</x:v>
      </x:c>
      <x:c r="F15" s="77" t="n">
        <x:v>0</x:v>
      </x:c>
      <x:c r="G15" s="77" t="n">
        <x:v>0</x:v>
      </x:c>
      <x:c r="H15" s="77" t="n">
        <x:v>0</x:v>
      </x:c>
      <x:c r="I15" s="77" t="n">
        <x:v>0</x:v>
      </x:c>
      <x:c r="J15" s="77" t="n">
        <x:v>0</x:v>
      </x:c>
      <x:c r="K15" s="77" t="n">
        <x:v>0</x:v>
      </x:c>
      <x:c r="L15" s="90" t="n">
        <x:v>0</x:v>
      </x:c>
      <x:c r="M15" s="90" t="n">
        <x:v>0</x:v>
      </x:c>
      <x:c r="N15" s="90" t="n">
        <x:v>0</x:v>
      </x:c>
      <x:c r="O15" s="90" t="n">
        <x:v>0</x:v>
      </x:c>
      <x:c r="P15" s="77" t="str"/>
      <x:c r="Q15" s="79" t="str"/>
    </x:row>
    <x:row r="16">
      <x:c r="A16" s="91" t="n">
        <x:v>46251</x:v>
      </x:c>
      <x:c r="B16" s="81" t="n">
        <x:v>0</x:v>
      </x:c>
      <x:c r="C16" s="81" t="n">
        <x:v>0</x:v>
      </x:c>
      <x:c r="D16" s="81" t="n">
        <x:v>0</x:v>
      </x:c>
      <x:c r="E16" s="81" t="n">
        <x:v>0</x:v>
      </x:c>
      <x:c r="F16" s="81" t="n">
        <x:v>0</x:v>
      </x:c>
      <x:c r="G16" s="81" t="n">
        <x:v>0</x:v>
      </x:c>
      <x:c r="H16" s="81" t="n">
        <x:v>0</x:v>
      </x:c>
      <x:c r="I16" s="81" t="n">
        <x:v>0</x:v>
      </x:c>
      <x:c r="J16" s="81" t="n">
        <x:v>0</x:v>
      </x:c>
      <x:c r="K16" s="81" t="n">
        <x:v>0</x:v>
      </x:c>
      <x:c r="L16" s="92" t="n">
        <x:v>0</x:v>
      </x:c>
      <x:c r="M16" s="92" t="n">
        <x:v>0</x:v>
      </x:c>
      <x:c r="N16" s="92" t="n">
        <x:v>0</x:v>
      </x:c>
      <x:c r="O16" s="92" t="n">
        <x:v>0</x:v>
      </x:c>
      <x:c r="P16" s="81" t="str"/>
      <x:c r="Q16" s="83" t="str"/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38cb69929cd141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0.5600004196167" hidden="0" customWidth="1"/>
    <x:col min="3" max="3" width="10.5600004196167" hidden="0" customWidth="1"/>
    <x:col min="4" max="4" width="11.670000076293945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  <x:col min="11" max="11" width="12.220000267028809" hidden="0" customWidth="1"/>
    <x:col min="12" max="12" width="8.890000343322754" hidden="0" customWidth="1"/>
    <x:col min="13" max="13" width="10" hidden="0" customWidth="1"/>
    <x:col min="14" max="14" width="14.4399995803833" hidden="0" customWidth="1"/>
  </x:cols>
  <x:sheetData>
    <x:row r="1" ht="24" customHeight="1">
      <x:c r="A1" s="62" t="str">
        <x:v>Deal Threads Funnel Calculations
Formula layer: do not edit unless changing metric definitions.</x:v>
      </x:c>
      <x:c r="B1" s="62" t="str">
        <x:v>Deal Threads Funnel Calculations
Formula layer: do not edit unless changing metric definitions.</x:v>
      </x:c>
      <x:c r="C1" s="62" t="str">
        <x:v>Deal Threads Funnel Calculations
Formula layer: do not edit unless changing metric definitions.</x:v>
      </x:c>
      <x:c r="D1" s="62" t="str">
        <x:v>Deal Threads Funnel Calculations
Formula layer: do not edit unless changing metric definitions.</x:v>
      </x:c>
      <x:c r="E1" s="62" t="str">
        <x:v>Deal Threads Funnel Calculations
Formula layer: do not edit unless changing metric definitions.</x:v>
      </x:c>
      <x:c r="F1" s="62" t="str">
        <x:v>Deal Threads Funnel Calculations
Formula layer: do not edit unless changing metric definitions.</x:v>
      </x:c>
      <x:c r="G1" s="62" t="str">
        <x:v>Deal Threads Funnel Calculations
Formula layer: do not edit unless changing metric definitions.</x:v>
      </x:c>
      <x:c r="H1" s="62" t="str">
        <x:v>Deal Threads Funnel Calculations
Formula layer: do not edit unless changing metric definitions.</x:v>
      </x:c>
      <x:c r="I1" s="62" t="str">
        <x:v>Deal Threads Funnel Calculations
Formula layer: do not edit unless changing metric definitions.</x:v>
      </x:c>
      <x:c r="J1" s="62" t="str">
        <x:v>Deal Threads Funnel Calculations
Formula layer: do not edit unless changing metric definitions.</x:v>
      </x:c>
      <x:c r="K1" s="62" t="str">
        <x:v>Deal Threads Funnel Calculations
Formula layer: do not edit unless changing metric definitions.</x:v>
      </x:c>
      <x:c r="L1" s="62" t="str">
        <x:v>Deal Threads Funnel Calculations
Formula layer: do not edit unless changing metric definitions.</x:v>
      </x:c>
      <x:c r="M1" s="62" t="str">
        <x:v>Deal Threads Funnel Calculations
Formula layer: do not edit unless changing metric definitions.</x:v>
      </x:c>
      <x:c r="N1" s="62" t="str">
        <x:v>Deal Threads Funnel Calculations
Formula layer: do not edit unless changing metric definitions.</x:v>
      </x:c>
    </x:row>
    <x:row r="2" ht="24" customHeight="1">
      <x:c r="A2" s="62" t="str">
        <x:v>Deal Threads Funnel Calculations
Formula layer: do not edit unless changing metric definitions.</x:v>
      </x:c>
      <x:c r="B2" s="62" t="str">
        <x:v>Deal Threads Funnel Calculations
Formula layer: do not edit unless changing metric definitions.</x:v>
      </x:c>
      <x:c r="C2" s="62" t="str">
        <x:v>Deal Threads Funnel Calculations
Formula layer: do not edit unless changing metric definitions.</x:v>
      </x:c>
      <x:c r="D2" s="62" t="str">
        <x:v>Deal Threads Funnel Calculations
Formula layer: do not edit unless changing metric definitions.</x:v>
      </x:c>
      <x:c r="E2" s="62" t="str">
        <x:v>Deal Threads Funnel Calculations
Formula layer: do not edit unless changing metric definitions.</x:v>
      </x:c>
      <x:c r="F2" s="62" t="str">
        <x:v>Deal Threads Funnel Calculations
Formula layer: do not edit unless changing metric definitions.</x:v>
      </x:c>
      <x:c r="G2" s="62" t="str">
        <x:v>Deal Threads Funnel Calculations
Formula layer: do not edit unless changing metric definitions.</x:v>
      </x:c>
      <x:c r="H2" s="62" t="str">
        <x:v>Deal Threads Funnel Calculations
Formula layer: do not edit unless changing metric definitions.</x:v>
      </x:c>
      <x:c r="I2" s="62" t="str">
        <x:v>Deal Threads Funnel Calculations
Formula layer: do not edit unless changing metric definitions.</x:v>
      </x:c>
      <x:c r="J2" s="62" t="str">
        <x:v>Deal Threads Funnel Calculations
Formula layer: do not edit unless changing metric definitions.</x:v>
      </x:c>
      <x:c r="K2" s="62" t="str">
        <x:v>Deal Threads Funnel Calculations
Formula layer: do not edit unless changing metric definitions.</x:v>
      </x:c>
      <x:c r="L2" s="62" t="str">
        <x:v>Deal Threads Funnel Calculations
Formula layer: do not edit unless changing metric definitions.</x:v>
      </x:c>
      <x:c r="M2" s="62" t="str">
        <x:v>Deal Threads Funnel Calculations
Formula layer: do not edit unless changing metric definitions.</x:v>
      </x:c>
      <x:c r="N2" s="62" t="str">
        <x:v>Deal Threads Funnel Calculations
Formula layer: do not edit unless changing metric definitions.</x:v>
      </x:c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</x:row>
    <x:row r="4">
      <x:c r="A4" s="73" t="str">
        <x:v>Week Start</x:v>
      </x:c>
      <x:c r="B4" s="74" t="str">
        <x:v>Ask-to-Submit</x:v>
      </x:c>
      <x:c r="C4" s="74" t="str">
        <x:v>Audit-to-URL</x:v>
      </x:c>
      <x:c r="D4" s="74" t="str">
        <x:v>Comment-to-DM</x:v>
      </x:c>
      <x:c r="E4" s="74" t="str">
        <x:v>DM-to-URL</x:v>
      </x:c>
      <x:c r="F4" s="74" t="str">
        <x:v>URL-to-Teardown</x:v>
      </x:c>
      <x:c r="G4" s="74" t="str">
        <x:v>Teardown-to-Call</x:v>
      </x:c>
      <x:c r="H4" s="74" t="str">
        <x:v>Call-to-Install</x:v>
      </x:c>
      <x:c r="I4" s="74" t="str">
        <x:v>Install-to-Paid</x:v>
      </x:c>
      <x:c r="J4" s="74" t="str">
        <x:v>Cumulative MRR</x:v>
      </x:c>
      <x:c r="K4" s="74" t="str">
        <x:v>ARR</x:v>
      </x:c>
      <x:c r="L4" s="74" t="str">
        <x:v>Gross Margin</x:v>
      </x:c>
      <x:c r="M4" s="74" t="str">
        <x:v>MRR Goal %</x:v>
      </x:c>
      <x:c r="N4" s="75" t="str">
        <x:v>Primary Bottleneck</x:v>
      </x:c>
    </x:row>
    <x:row r="5">
      <x:c r="A5" s="89" t="n">
        <x:f>'Weekly Inputs'!A5</x:f>
        <x:v>46174</x:v>
      </x:c>
      <x:c r="B5" s="78" t="n">
        <x:f>IFERROR('Weekly Inputs'!G5/'Weekly Inputs'!F5,0)</x:f>
        <x:v>0</x:v>
      </x:c>
      <x:c r="C5" s="78" t="n">
        <x:f>IFERROR('Weekly Inputs'!G5/'Weekly Inputs'!E5,0)</x:f>
        <x:v>0</x:v>
      </x:c>
      <x:c r="D5" s="78" t="n">
        <x:f>IFERROR('Weekly Inputs'!D5/'Weekly Inputs'!C5,0)</x:f>
        <x:v>0</x:v>
      </x:c>
      <x:c r="E5" s="78" t="n">
        <x:f>IFERROR('Weekly Inputs'!G5/'Weekly Inputs'!D5,0)</x:f>
        <x:v>0</x:v>
      </x:c>
      <x:c r="F5" s="78" t="n">
        <x:f>IFERROR('Weekly Inputs'!H5/'Weekly Inputs'!G5,0)</x:f>
        <x:v>0</x:v>
      </x:c>
      <x:c r="G5" s="78" t="n">
        <x:f>IFERROR('Weekly Inputs'!I5/'Weekly Inputs'!H5,0)</x:f>
        <x:v>0</x:v>
      </x:c>
      <x:c r="H5" s="78" t="n">
        <x:f>IFERROR('Weekly Inputs'!J5/'Weekly Inputs'!I5,0)</x:f>
        <x:v>0</x:v>
      </x:c>
      <x:c r="I5" s="78" t="n">
        <x:f>IFERROR('Weekly Inputs'!K5/'Weekly Inputs'!J5,0)</x:f>
        <x:v>0</x:v>
      </x:c>
      <x:c r="J5" s="90" t="n">
        <x:f>SUM('Weekly Inputs'!$L$5:L5)</x:f>
        <x:v>0</x:v>
      </x:c>
      <x:c r="K5" s="90" t="n">
        <x:f>J5*12</x:f>
        <x:v>0</x:v>
      </x:c>
      <x:c r="L5" s="78" t="n">
        <x:f>IFERROR((J5-'Weekly Inputs'!O5)/J5,0)</x:f>
        <x:v>0</x:v>
      </x:c>
      <x:c r="M5" s="78" t="n">
        <x:f>J5/5000</x:f>
        <x:v>0</x:v>
      </x:c>
      <x:c r="N5" s="79" t="str">
        <x:f>IF('Weekly Inputs'!G5=0,"Need form URLs",IF('Weekly Inputs'!H5=0,"Deliver teardowns",IF('Weekly Inputs'!I5=0,"Ask for install calls",IF('Weekly Inputs'!J5=0,"Close install","Keep scaling"))))</x:f>
        <x:v>Need form URLs</x:v>
      </x:c>
    </x:row>
    <x:row r="6">
      <x:c r="A6" s="89" t="n">
        <x:f>'Weekly Inputs'!A6</x:f>
        <x:v>46181</x:v>
      </x:c>
      <x:c r="B6" s="78" t="n">
        <x:f>IFERROR('Weekly Inputs'!G6/'Weekly Inputs'!F6,0)</x:f>
        <x:v>0</x:v>
      </x:c>
      <x:c r="C6" s="78" t="n">
        <x:f>IFERROR('Weekly Inputs'!G6/'Weekly Inputs'!E6,0)</x:f>
        <x:v>0</x:v>
      </x:c>
      <x:c r="D6" s="78" t="n">
        <x:f>IFERROR('Weekly Inputs'!D6/'Weekly Inputs'!C6,0)</x:f>
        <x:v>0</x:v>
      </x:c>
      <x:c r="E6" s="78" t="n">
        <x:f>IFERROR('Weekly Inputs'!G6/'Weekly Inputs'!D6,0)</x:f>
        <x:v>0</x:v>
      </x:c>
      <x:c r="F6" s="78" t="n">
        <x:f>IFERROR('Weekly Inputs'!H6/'Weekly Inputs'!G6,0)</x:f>
        <x:v>0</x:v>
      </x:c>
      <x:c r="G6" s="78" t="n">
        <x:f>IFERROR('Weekly Inputs'!I6/'Weekly Inputs'!H6,0)</x:f>
        <x:v>0</x:v>
      </x:c>
      <x:c r="H6" s="78" t="n">
        <x:f>IFERROR('Weekly Inputs'!J6/'Weekly Inputs'!I6,0)</x:f>
        <x:v>0</x:v>
      </x:c>
      <x:c r="I6" s="78" t="n">
        <x:f>IFERROR('Weekly Inputs'!K6/'Weekly Inputs'!J6,0)</x:f>
        <x:v>0</x:v>
      </x:c>
      <x:c r="J6" s="90" t="n">
        <x:f>SUM('Weekly Inputs'!$L$5:L6)</x:f>
        <x:v>0</x:v>
      </x:c>
      <x:c r="K6" s="90" t="n">
        <x:f>J6*12</x:f>
        <x:v>0</x:v>
      </x:c>
      <x:c r="L6" s="78" t="n">
        <x:f>IFERROR((J6-'Weekly Inputs'!O6)/J6,0)</x:f>
        <x:v>0</x:v>
      </x:c>
      <x:c r="M6" s="78" t="n">
        <x:f>J6/5000</x:f>
        <x:v>0</x:v>
      </x:c>
      <x:c r="N6" s="79" t="str">
        <x:f>IF('Weekly Inputs'!G6=0,"Need form URLs",IF('Weekly Inputs'!H6=0,"Deliver teardowns",IF('Weekly Inputs'!I6=0,"Ask for install calls",IF('Weekly Inputs'!J6=0,"Close install","Keep scaling"))))</x:f>
        <x:v>Need form URLs</x:v>
      </x:c>
    </x:row>
    <x:row r="7">
      <x:c r="A7" s="89" t="n">
        <x:f>'Weekly Inputs'!A7</x:f>
        <x:v>46188</x:v>
      </x:c>
      <x:c r="B7" s="78" t="n">
        <x:f>IFERROR('Weekly Inputs'!G7/'Weekly Inputs'!F7,0)</x:f>
        <x:v>0</x:v>
      </x:c>
      <x:c r="C7" s="78" t="n">
        <x:f>IFERROR('Weekly Inputs'!G7/'Weekly Inputs'!E7,0)</x:f>
        <x:v>0</x:v>
      </x:c>
      <x:c r="D7" s="78" t="n">
        <x:f>IFERROR('Weekly Inputs'!D7/'Weekly Inputs'!C7,0)</x:f>
        <x:v>0</x:v>
      </x:c>
      <x:c r="E7" s="78" t="n">
        <x:f>IFERROR('Weekly Inputs'!G7/'Weekly Inputs'!D7,0)</x:f>
        <x:v>0</x:v>
      </x:c>
      <x:c r="F7" s="78" t="n">
        <x:f>IFERROR('Weekly Inputs'!H7/'Weekly Inputs'!G7,0)</x:f>
        <x:v>0</x:v>
      </x:c>
      <x:c r="G7" s="78" t="n">
        <x:f>IFERROR('Weekly Inputs'!I7/'Weekly Inputs'!H7,0)</x:f>
        <x:v>0</x:v>
      </x:c>
      <x:c r="H7" s="78" t="n">
        <x:f>IFERROR('Weekly Inputs'!J7/'Weekly Inputs'!I7,0)</x:f>
        <x:v>0</x:v>
      </x:c>
      <x:c r="I7" s="78" t="n">
        <x:f>IFERROR('Weekly Inputs'!K7/'Weekly Inputs'!J7,0)</x:f>
        <x:v>0</x:v>
      </x:c>
      <x:c r="J7" s="90" t="n">
        <x:f>SUM('Weekly Inputs'!$L$5:L7)</x:f>
        <x:v>0</x:v>
      </x:c>
      <x:c r="K7" s="90" t="n">
        <x:f>J7*12</x:f>
        <x:v>0</x:v>
      </x:c>
      <x:c r="L7" s="78" t="n">
        <x:f>IFERROR((J7-'Weekly Inputs'!O7)/J7,0)</x:f>
        <x:v>0</x:v>
      </x:c>
      <x:c r="M7" s="78" t="n">
        <x:f>J7/5000</x:f>
        <x:v>0</x:v>
      </x:c>
      <x:c r="N7" s="79" t="str">
        <x:f>IF('Weekly Inputs'!G7=0,"Need form URLs",IF('Weekly Inputs'!H7=0,"Deliver teardowns",IF('Weekly Inputs'!I7=0,"Ask for install calls",IF('Weekly Inputs'!J7=0,"Close install","Keep scaling"))))</x:f>
        <x:v>Need form URLs</x:v>
      </x:c>
    </x:row>
    <x:row r="8">
      <x:c r="A8" s="89" t="n">
        <x:f>'Weekly Inputs'!A8</x:f>
        <x:v>46195</x:v>
      </x:c>
      <x:c r="B8" s="78" t="n">
        <x:f>IFERROR('Weekly Inputs'!G8/'Weekly Inputs'!F8,0)</x:f>
        <x:v>0</x:v>
      </x:c>
      <x:c r="C8" s="78" t="n">
        <x:f>IFERROR('Weekly Inputs'!G8/'Weekly Inputs'!E8,0)</x:f>
        <x:v>0</x:v>
      </x:c>
      <x:c r="D8" s="78" t="n">
        <x:f>IFERROR('Weekly Inputs'!D8/'Weekly Inputs'!C8,0)</x:f>
        <x:v>0</x:v>
      </x:c>
      <x:c r="E8" s="78" t="n">
        <x:f>IFERROR('Weekly Inputs'!G8/'Weekly Inputs'!D8,0)</x:f>
        <x:v>0</x:v>
      </x:c>
      <x:c r="F8" s="78" t="n">
        <x:f>IFERROR('Weekly Inputs'!H8/'Weekly Inputs'!G8,0)</x:f>
        <x:v>0</x:v>
      </x:c>
      <x:c r="G8" s="78" t="n">
        <x:f>IFERROR('Weekly Inputs'!I8/'Weekly Inputs'!H8,0)</x:f>
        <x:v>0</x:v>
      </x:c>
      <x:c r="H8" s="78" t="n">
        <x:f>IFERROR('Weekly Inputs'!J8/'Weekly Inputs'!I8,0)</x:f>
        <x:v>0</x:v>
      </x:c>
      <x:c r="I8" s="78" t="n">
        <x:f>IFERROR('Weekly Inputs'!K8/'Weekly Inputs'!J8,0)</x:f>
        <x:v>0</x:v>
      </x:c>
      <x:c r="J8" s="90" t="n">
        <x:f>SUM('Weekly Inputs'!$L$5:L8)</x:f>
        <x:v>0</x:v>
      </x:c>
      <x:c r="K8" s="90" t="n">
        <x:f>J8*12</x:f>
        <x:v>0</x:v>
      </x:c>
      <x:c r="L8" s="78" t="n">
        <x:f>IFERROR((J8-'Weekly Inputs'!O8)/J8,0)</x:f>
        <x:v>0</x:v>
      </x:c>
      <x:c r="M8" s="78" t="n">
        <x:f>J8/5000</x:f>
        <x:v>0</x:v>
      </x:c>
      <x:c r="N8" s="79" t="str">
        <x:f>IF('Weekly Inputs'!G8=0,"Need form URLs",IF('Weekly Inputs'!H8=0,"Deliver teardowns",IF('Weekly Inputs'!I8=0,"Ask for install calls",IF('Weekly Inputs'!J8=0,"Close install","Keep scaling"))))</x:f>
        <x:v>Need form URLs</x:v>
      </x:c>
    </x:row>
    <x:row r="9">
      <x:c r="A9" s="89" t="n">
        <x:f>'Weekly Inputs'!A9</x:f>
        <x:v>46202</x:v>
      </x:c>
      <x:c r="B9" s="78" t="n">
        <x:f>IFERROR('Weekly Inputs'!G9/'Weekly Inputs'!F9,0)</x:f>
        <x:v>0</x:v>
      </x:c>
      <x:c r="C9" s="78" t="n">
        <x:f>IFERROR('Weekly Inputs'!G9/'Weekly Inputs'!E9,0)</x:f>
        <x:v>0</x:v>
      </x:c>
      <x:c r="D9" s="78" t="n">
        <x:f>IFERROR('Weekly Inputs'!D9/'Weekly Inputs'!C9,0)</x:f>
        <x:v>0</x:v>
      </x:c>
      <x:c r="E9" s="78" t="n">
        <x:f>IFERROR('Weekly Inputs'!G9/'Weekly Inputs'!D9,0)</x:f>
        <x:v>0</x:v>
      </x:c>
      <x:c r="F9" s="78" t="n">
        <x:f>IFERROR('Weekly Inputs'!H9/'Weekly Inputs'!G9,0)</x:f>
        <x:v>0</x:v>
      </x:c>
      <x:c r="G9" s="78" t="n">
        <x:f>IFERROR('Weekly Inputs'!I9/'Weekly Inputs'!H9,0)</x:f>
        <x:v>0</x:v>
      </x:c>
      <x:c r="H9" s="78" t="n">
        <x:f>IFERROR('Weekly Inputs'!J9/'Weekly Inputs'!I9,0)</x:f>
        <x:v>0</x:v>
      </x:c>
      <x:c r="I9" s="78" t="n">
        <x:f>IFERROR('Weekly Inputs'!K9/'Weekly Inputs'!J9,0)</x:f>
        <x:v>0</x:v>
      </x:c>
      <x:c r="J9" s="90" t="n">
        <x:f>SUM('Weekly Inputs'!$L$5:L9)</x:f>
        <x:v>0</x:v>
      </x:c>
      <x:c r="K9" s="90" t="n">
        <x:f>J9*12</x:f>
        <x:v>0</x:v>
      </x:c>
      <x:c r="L9" s="78" t="n">
        <x:f>IFERROR((J9-'Weekly Inputs'!O9)/J9,0)</x:f>
        <x:v>0</x:v>
      </x:c>
      <x:c r="M9" s="78" t="n">
        <x:f>J9/5000</x:f>
        <x:v>0</x:v>
      </x:c>
      <x:c r="N9" s="79" t="str">
        <x:f>IF('Weekly Inputs'!G9=0,"Need form URLs",IF('Weekly Inputs'!H9=0,"Deliver teardowns",IF('Weekly Inputs'!I9=0,"Ask for install calls",IF('Weekly Inputs'!J9=0,"Close install","Keep scaling"))))</x:f>
        <x:v>Need form URLs</x:v>
      </x:c>
    </x:row>
    <x:row r="10">
      <x:c r="A10" s="89" t="n">
        <x:f>'Weekly Inputs'!A10</x:f>
        <x:v>46209</x:v>
      </x:c>
      <x:c r="B10" s="78" t="n">
        <x:f>IFERROR('Weekly Inputs'!G10/'Weekly Inputs'!F10,0)</x:f>
        <x:v>0</x:v>
      </x:c>
      <x:c r="C10" s="78" t="n">
        <x:f>IFERROR('Weekly Inputs'!G10/'Weekly Inputs'!E10,0)</x:f>
        <x:v>0</x:v>
      </x:c>
      <x:c r="D10" s="78" t="n">
        <x:f>IFERROR('Weekly Inputs'!D10/'Weekly Inputs'!C10,0)</x:f>
        <x:v>0</x:v>
      </x:c>
      <x:c r="E10" s="78" t="n">
        <x:f>IFERROR('Weekly Inputs'!G10/'Weekly Inputs'!D10,0)</x:f>
        <x:v>0</x:v>
      </x:c>
      <x:c r="F10" s="78" t="n">
        <x:f>IFERROR('Weekly Inputs'!H10/'Weekly Inputs'!G10,0)</x:f>
        <x:v>0</x:v>
      </x:c>
      <x:c r="G10" s="78" t="n">
        <x:f>IFERROR('Weekly Inputs'!I10/'Weekly Inputs'!H10,0)</x:f>
        <x:v>0</x:v>
      </x:c>
      <x:c r="H10" s="78" t="n">
        <x:f>IFERROR('Weekly Inputs'!J10/'Weekly Inputs'!I10,0)</x:f>
        <x:v>0</x:v>
      </x:c>
      <x:c r="I10" s="78" t="n">
        <x:f>IFERROR('Weekly Inputs'!K10/'Weekly Inputs'!J10,0)</x:f>
        <x:v>0</x:v>
      </x:c>
      <x:c r="J10" s="90" t="n">
        <x:f>SUM('Weekly Inputs'!$L$5:L10)</x:f>
        <x:v>0</x:v>
      </x:c>
      <x:c r="K10" s="90" t="n">
        <x:f>J10*12</x:f>
        <x:v>0</x:v>
      </x:c>
      <x:c r="L10" s="78" t="n">
        <x:f>IFERROR((J10-'Weekly Inputs'!O10)/J10,0)</x:f>
        <x:v>0</x:v>
      </x:c>
      <x:c r="M10" s="78" t="n">
        <x:f>J10/5000</x:f>
        <x:v>0</x:v>
      </x:c>
      <x:c r="N10" s="79" t="str">
        <x:f>IF('Weekly Inputs'!G10=0,"Need form URLs",IF('Weekly Inputs'!H10=0,"Deliver teardowns",IF('Weekly Inputs'!I10=0,"Ask for install calls",IF('Weekly Inputs'!J10=0,"Close install","Keep scaling"))))</x:f>
        <x:v>Need form URLs</x:v>
      </x:c>
    </x:row>
    <x:row r="11">
      <x:c r="A11" s="89" t="n">
        <x:f>'Weekly Inputs'!A11</x:f>
        <x:v>46216</x:v>
      </x:c>
      <x:c r="B11" s="78" t="n">
        <x:f>IFERROR('Weekly Inputs'!G11/'Weekly Inputs'!F11,0)</x:f>
        <x:v>0</x:v>
      </x:c>
      <x:c r="C11" s="78" t="n">
        <x:f>IFERROR('Weekly Inputs'!G11/'Weekly Inputs'!E11,0)</x:f>
        <x:v>0</x:v>
      </x:c>
      <x:c r="D11" s="78" t="n">
        <x:f>IFERROR('Weekly Inputs'!D11/'Weekly Inputs'!C11,0)</x:f>
        <x:v>0</x:v>
      </x:c>
      <x:c r="E11" s="78" t="n">
        <x:f>IFERROR('Weekly Inputs'!G11/'Weekly Inputs'!D11,0)</x:f>
        <x:v>0</x:v>
      </x:c>
      <x:c r="F11" s="78" t="n">
        <x:f>IFERROR('Weekly Inputs'!H11/'Weekly Inputs'!G11,0)</x:f>
        <x:v>0</x:v>
      </x:c>
      <x:c r="G11" s="78" t="n">
        <x:f>IFERROR('Weekly Inputs'!I11/'Weekly Inputs'!H11,0)</x:f>
        <x:v>0</x:v>
      </x:c>
      <x:c r="H11" s="78" t="n">
        <x:f>IFERROR('Weekly Inputs'!J11/'Weekly Inputs'!I11,0)</x:f>
        <x:v>0</x:v>
      </x:c>
      <x:c r="I11" s="78" t="n">
        <x:f>IFERROR('Weekly Inputs'!K11/'Weekly Inputs'!J11,0)</x:f>
        <x:v>0</x:v>
      </x:c>
      <x:c r="J11" s="90" t="n">
        <x:f>SUM('Weekly Inputs'!$L$5:L11)</x:f>
        <x:v>0</x:v>
      </x:c>
      <x:c r="K11" s="90" t="n">
        <x:f>J11*12</x:f>
        <x:v>0</x:v>
      </x:c>
      <x:c r="L11" s="78" t="n">
        <x:f>IFERROR((J11-'Weekly Inputs'!O11)/J11,0)</x:f>
        <x:v>0</x:v>
      </x:c>
      <x:c r="M11" s="78" t="n">
        <x:f>J11/5000</x:f>
        <x:v>0</x:v>
      </x:c>
      <x:c r="N11" s="79" t="str">
        <x:f>IF('Weekly Inputs'!G11=0,"Need form URLs",IF('Weekly Inputs'!H11=0,"Deliver teardowns",IF('Weekly Inputs'!I11=0,"Ask for install calls",IF('Weekly Inputs'!J11=0,"Close install","Keep scaling"))))</x:f>
        <x:v>Need form URLs</x:v>
      </x:c>
    </x:row>
    <x:row r="12">
      <x:c r="A12" s="89" t="n">
        <x:f>'Weekly Inputs'!A12</x:f>
        <x:v>46223</x:v>
      </x:c>
      <x:c r="B12" s="78" t="n">
        <x:f>IFERROR('Weekly Inputs'!G12/'Weekly Inputs'!F12,0)</x:f>
        <x:v>0</x:v>
      </x:c>
      <x:c r="C12" s="78" t="n">
        <x:f>IFERROR('Weekly Inputs'!G12/'Weekly Inputs'!E12,0)</x:f>
        <x:v>0</x:v>
      </x:c>
      <x:c r="D12" s="78" t="n">
        <x:f>IFERROR('Weekly Inputs'!D12/'Weekly Inputs'!C12,0)</x:f>
        <x:v>0</x:v>
      </x:c>
      <x:c r="E12" s="78" t="n">
        <x:f>IFERROR('Weekly Inputs'!G12/'Weekly Inputs'!D12,0)</x:f>
        <x:v>0</x:v>
      </x:c>
      <x:c r="F12" s="78" t="n">
        <x:f>IFERROR('Weekly Inputs'!H12/'Weekly Inputs'!G12,0)</x:f>
        <x:v>0</x:v>
      </x:c>
      <x:c r="G12" s="78" t="n">
        <x:f>IFERROR('Weekly Inputs'!I12/'Weekly Inputs'!H12,0)</x:f>
        <x:v>0</x:v>
      </x:c>
      <x:c r="H12" s="78" t="n">
        <x:f>IFERROR('Weekly Inputs'!J12/'Weekly Inputs'!I12,0)</x:f>
        <x:v>0</x:v>
      </x:c>
      <x:c r="I12" s="78" t="n">
        <x:f>IFERROR('Weekly Inputs'!K12/'Weekly Inputs'!J12,0)</x:f>
        <x:v>0</x:v>
      </x:c>
      <x:c r="J12" s="90" t="n">
        <x:f>SUM('Weekly Inputs'!$L$5:L12)</x:f>
        <x:v>0</x:v>
      </x:c>
      <x:c r="K12" s="90" t="n">
        <x:f>J12*12</x:f>
        <x:v>0</x:v>
      </x:c>
      <x:c r="L12" s="78" t="n">
        <x:f>IFERROR((J12-'Weekly Inputs'!O12)/J12,0)</x:f>
        <x:v>0</x:v>
      </x:c>
      <x:c r="M12" s="78" t="n">
        <x:f>J12/5000</x:f>
        <x:v>0</x:v>
      </x:c>
      <x:c r="N12" s="79" t="str">
        <x:f>IF('Weekly Inputs'!G12=0,"Need form URLs",IF('Weekly Inputs'!H12=0,"Deliver teardowns",IF('Weekly Inputs'!I12=0,"Ask for install calls",IF('Weekly Inputs'!J12=0,"Close install","Keep scaling"))))</x:f>
        <x:v>Need form URLs</x:v>
      </x:c>
    </x:row>
    <x:row r="13">
      <x:c r="A13" s="89" t="n">
        <x:f>'Weekly Inputs'!A13</x:f>
        <x:v>46230</x:v>
      </x:c>
      <x:c r="B13" s="78" t="n">
        <x:f>IFERROR('Weekly Inputs'!G13/'Weekly Inputs'!F13,0)</x:f>
        <x:v>0</x:v>
      </x:c>
      <x:c r="C13" s="78" t="n">
        <x:f>IFERROR('Weekly Inputs'!G13/'Weekly Inputs'!E13,0)</x:f>
        <x:v>0</x:v>
      </x:c>
      <x:c r="D13" s="78" t="n">
        <x:f>IFERROR('Weekly Inputs'!D13/'Weekly Inputs'!C13,0)</x:f>
        <x:v>0</x:v>
      </x:c>
      <x:c r="E13" s="78" t="n">
        <x:f>IFERROR('Weekly Inputs'!G13/'Weekly Inputs'!D13,0)</x:f>
        <x:v>0</x:v>
      </x:c>
      <x:c r="F13" s="78" t="n">
        <x:f>IFERROR('Weekly Inputs'!H13/'Weekly Inputs'!G13,0)</x:f>
        <x:v>0</x:v>
      </x:c>
      <x:c r="G13" s="78" t="n">
        <x:f>IFERROR('Weekly Inputs'!I13/'Weekly Inputs'!H13,0)</x:f>
        <x:v>0</x:v>
      </x:c>
      <x:c r="H13" s="78" t="n">
        <x:f>IFERROR('Weekly Inputs'!J13/'Weekly Inputs'!I13,0)</x:f>
        <x:v>0</x:v>
      </x:c>
      <x:c r="I13" s="78" t="n">
        <x:f>IFERROR('Weekly Inputs'!K13/'Weekly Inputs'!J13,0)</x:f>
        <x:v>0</x:v>
      </x:c>
      <x:c r="J13" s="90" t="n">
        <x:f>SUM('Weekly Inputs'!$L$5:L13)</x:f>
        <x:v>0</x:v>
      </x:c>
      <x:c r="K13" s="90" t="n">
        <x:f>J13*12</x:f>
        <x:v>0</x:v>
      </x:c>
      <x:c r="L13" s="78" t="n">
        <x:f>IFERROR((J13-'Weekly Inputs'!O13)/J13,0)</x:f>
        <x:v>0</x:v>
      </x:c>
      <x:c r="M13" s="78" t="n">
        <x:f>J13/5000</x:f>
        <x:v>0</x:v>
      </x:c>
      <x:c r="N13" s="79" t="str">
        <x:f>IF('Weekly Inputs'!G13=0,"Need form URLs",IF('Weekly Inputs'!H13=0,"Deliver teardowns",IF('Weekly Inputs'!I13=0,"Ask for install calls",IF('Weekly Inputs'!J13=0,"Close install","Keep scaling"))))</x:f>
        <x:v>Need form URLs</x:v>
      </x:c>
    </x:row>
    <x:row r="14">
      <x:c r="A14" s="89" t="n">
        <x:f>'Weekly Inputs'!A14</x:f>
        <x:v>46237</x:v>
      </x:c>
      <x:c r="B14" s="78" t="n">
        <x:f>IFERROR('Weekly Inputs'!G14/'Weekly Inputs'!F14,0)</x:f>
        <x:v>0</x:v>
      </x:c>
      <x:c r="C14" s="78" t="n">
        <x:f>IFERROR('Weekly Inputs'!G14/'Weekly Inputs'!E14,0)</x:f>
        <x:v>0</x:v>
      </x:c>
      <x:c r="D14" s="78" t="n">
        <x:f>IFERROR('Weekly Inputs'!D14/'Weekly Inputs'!C14,0)</x:f>
        <x:v>0</x:v>
      </x:c>
      <x:c r="E14" s="78" t="n">
        <x:f>IFERROR('Weekly Inputs'!G14/'Weekly Inputs'!D14,0)</x:f>
        <x:v>0</x:v>
      </x:c>
      <x:c r="F14" s="78" t="n">
        <x:f>IFERROR('Weekly Inputs'!H14/'Weekly Inputs'!G14,0)</x:f>
        <x:v>0</x:v>
      </x:c>
      <x:c r="G14" s="78" t="n">
        <x:f>IFERROR('Weekly Inputs'!I14/'Weekly Inputs'!H14,0)</x:f>
        <x:v>0</x:v>
      </x:c>
      <x:c r="H14" s="78" t="n">
        <x:f>IFERROR('Weekly Inputs'!J14/'Weekly Inputs'!I14,0)</x:f>
        <x:v>0</x:v>
      </x:c>
      <x:c r="I14" s="78" t="n">
        <x:f>IFERROR('Weekly Inputs'!K14/'Weekly Inputs'!J14,0)</x:f>
        <x:v>0</x:v>
      </x:c>
      <x:c r="J14" s="90" t="n">
        <x:f>SUM('Weekly Inputs'!$L$5:L14)</x:f>
        <x:v>0</x:v>
      </x:c>
      <x:c r="K14" s="90" t="n">
        <x:f>J14*12</x:f>
        <x:v>0</x:v>
      </x:c>
      <x:c r="L14" s="78" t="n">
        <x:f>IFERROR((J14-'Weekly Inputs'!O14)/J14,0)</x:f>
        <x:v>0</x:v>
      </x:c>
      <x:c r="M14" s="78" t="n">
        <x:f>J14/5000</x:f>
        <x:v>0</x:v>
      </x:c>
      <x:c r="N14" s="79" t="str">
        <x:f>IF('Weekly Inputs'!G14=0,"Need form URLs",IF('Weekly Inputs'!H14=0,"Deliver teardowns",IF('Weekly Inputs'!I14=0,"Ask for install calls",IF('Weekly Inputs'!J14=0,"Close install","Keep scaling"))))</x:f>
        <x:v>Need form URLs</x:v>
      </x:c>
    </x:row>
    <x:row r="15">
      <x:c r="A15" s="89" t="n">
        <x:f>'Weekly Inputs'!A15</x:f>
        <x:v>46244</x:v>
      </x:c>
      <x:c r="B15" s="78" t="n">
        <x:f>IFERROR('Weekly Inputs'!G15/'Weekly Inputs'!F15,0)</x:f>
        <x:v>0</x:v>
      </x:c>
      <x:c r="C15" s="78" t="n">
        <x:f>IFERROR('Weekly Inputs'!G15/'Weekly Inputs'!E15,0)</x:f>
        <x:v>0</x:v>
      </x:c>
      <x:c r="D15" s="78" t="n">
        <x:f>IFERROR('Weekly Inputs'!D15/'Weekly Inputs'!C15,0)</x:f>
        <x:v>0</x:v>
      </x:c>
      <x:c r="E15" s="78" t="n">
        <x:f>IFERROR('Weekly Inputs'!G15/'Weekly Inputs'!D15,0)</x:f>
        <x:v>0</x:v>
      </x:c>
      <x:c r="F15" s="78" t="n">
        <x:f>IFERROR('Weekly Inputs'!H15/'Weekly Inputs'!G15,0)</x:f>
        <x:v>0</x:v>
      </x:c>
      <x:c r="G15" s="78" t="n">
        <x:f>IFERROR('Weekly Inputs'!I15/'Weekly Inputs'!H15,0)</x:f>
        <x:v>0</x:v>
      </x:c>
      <x:c r="H15" s="78" t="n">
        <x:f>IFERROR('Weekly Inputs'!J15/'Weekly Inputs'!I15,0)</x:f>
        <x:v>0</x:v>
      </x:c>
      <x:c r="I15" s="78" t="n">
        <x:f>IFERROR('Weekly Inputs'!K15/'Weekly Inputs'!J15,0)</x:f>
        <x:v>0</x:v>
      </x:c>
      <x:c r="J15" s="90" t="n">
        <x:f>SUM('Weekly Inputs'!$L$5:L15)</x:f>
        <x:v>0</x:v>
      </x:c>
      <x:c r="K15" s="90" t="n">
        <x:f>J15*12</x:f>
        <x:v>0</x:v>
      </x:c>
      <x:c r="L15" s="78" t="n">
        <x:f>IFERROR((J15-'Weekly Inputs'!O15)/J15,0)</x:f>
        <x:v>0</x:v>
      </x:c>
      <x:c r="M15" s="78" t="n">
        <x:f>J15/5000</x:f>
        <x:v>0</x:v>
      </x:c>
      <x:c r="N15" s="79" t="str">
        <x:f>IF('Weekly Inputs'!G15=0,"Need form URLs",IF('Weekly Inputs'!H15=0,"Deliver teardowns",IF('Weekly Inputs'!I15=0,"Ask for install calls",IF('Weekly Inputs'!J15=0,"Close install","Keep scaling"))))</x:f>
        <x:v>Need form URLs</x:v>
      </x:c>
    </x:row>
    <x:row r="16">
      <x:c r="A16" s="91" t="n">
        <x:f>'Weekly Inputs'!A16</x:f>
        <x:v>46251</x:v>
      </x:c>
      <x:c r="B16" s="82" t="n">
        <x:f>IFERROR('Weekly Inputs'!G16/'Weekly Inputs'!F16,0)</x:f>
        <x:v>0</x:v>
      </x:c>
      <x:c r="C16" s="82" t="n">
        <x:f>IFERROR('Weekly Inputs'!G16/'Weekly Inputs'!E16,0)</x:f>
        <x:v>0</x:v>
      </x:c>
      <x:c r="D16" s="82" t="n">
        <x:f>IFERROR('Weekly Inputs'!D16/'Weekly Inputs'!C16,0)</x:f>
        <x:v>0</x:v>
      </x:c>
      <x:c r="E16" s="82" t="n">
        <x:f>IFERROR('Weekly Inputs'!G16/'Weekly Inputs'!D16,0)</x:f>
        <x:v>0</x:v>
      </x:c>
      <x:c r="F16" s="82" t="n">
        <x:f>IFERROR('Weekly Inputs'!H16/'Weekly Inputs'!G16,0)</x:f>
        <x:v>0</x:v>
      </x:c>
      <x:c r="G16" s="82" t="n">
        <x:f>IFERROR('Weekly Inputs'!I16/'Weekly Inputs'!H16,0)</x:f>
        <x:v>0</x:v>
      </x:c>
      <x:c r="H16" s="82" t="n">
        <x:f>IFERROR('Weekly Inputs'!J16/'Weekly Inputs'!I16,0)</x:f>
        <x:v>0</x:v>
      </x:c>
      <x:c r="I16" s="82" t="n">
        <x:f>IFERROR('Weekly Inputs'!K16/'Weekly Inputs'!J16,0)</x:f>
        <x:v>0</x:v>
      </x:c>
      <x:c r="J16" s="92" t="n">
        <x:f>SUM('Weekly Inputs'!$L$5:L16)</x:f>
        <x:v>0</x:v>
      </x:c>
      <x:c r="K16" s="92" t="n">
        <x:f>J16*12</x:f>
        <x:v>0</x:v>
      </x:c>
      <x:c r="L16" s="82" t="n">
        <x:f>IFERROR((J16-'Weekly Inputs'!O16)/J16,0)</x:f>
        <x:v>0</x:v>
      </x:c>
      <x:c r="M16" s="82" t="n">
        <x:f>J16/5000</x:f>
        <x:v>0</x:v>
      </x:c>
      <x:c r="N16" s="83" t="str">
        <x:f>IF('Weekly Inputs'!G16=0,"Need form URLs",IF('Weekly Inputs'!H16=0,"Deliver teardowns",IF('Weekly Inputs'!I16=0,"Ask for install calls",IF('Weekly Inputs'!J16=0,"Close install","Keep scaling"))))</x:f>
        <x:v>Need form URLs</x:v>
      </x:c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e3ad13fc83d145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12.779999732971191" hidden="0" customWidth="1"/>
    <x:col min="4" max="4" width="11.109999656677246" hidden="0" customWidth="1"/>
    <x:col min="5" max="5" width="11.670000076293945" hidden="0" customWidth="1"/>
    <x:col min="6" max="6" width="10.5600004196167" hidden="0" customWidth="1"/>
    <x:col min="7" max="7" width="12.220000267028809" hidden="0" customWidth="1"/>
    <x:col min="8" max="8" width="8.890000343322754" hidden="0" customWidth="1"/>
    <x:col min="9" max="9" width="11.109999656677246" hidden="0" customWidth="1"/>
    <x:col min="10" max="10" width="10.5600004196167" hidden="0" customWidth="1"/>
    <x:col min="11" max="11" width="11.109999656677246" hidden="0" customWidth="1"/>
    <x:col min="12" max="12" width="11.109999656677246" hidden="0" customWidth="1"/>
    <x:col min="13" max="13" width="12.220000267028809" hidden="0" customWidth="1"/>
    <x:col min="14" max="14" width="12.220000267028809" hidden="0" customWidth="1"/>
    <x:col min="15" max="15" width="11.109999656677246" hidden="0" customWidth="1"/>
    <x:col min="16" max="16" width="26.670000076293945" hidden="0" customWidth="1"/>
  </x:cols>
  <x:sheetData>
    <x:row r="1" ht="24" customHeight="1">
      <x:c r="A1" s="62" t="str">
        <x:v>Deal Threads Customers And Unit Economics
Track installed customers, activation, profile usefulness, and recurring revenue.</x:v>
      </x:c>
      <x:c r="B1" s="62" t="str">
        <x:v>Deal Threads Customers And Unit Economics
Track installed customers, activation, profile usefulness, and recurring revenue.</x:v>
      </x:c>
      <x:c r="C1" s="62" t="str">
        <x:v>Deal Threads Customers And Unit Economics
Track installed customers, activation, profile usefulness, and recurring revenue.</x:v>
      </x:c>
      <x:c r="D1" s="62" t="str">
        <x:v>Deal Threads Customers And Unit Economics
Track installed customers, activation, profile usefulness, and recurring revenue.</x:v>
      </x:c>
      <x:c r="E1" s="62" t="str">
        <x:v>Deal Threads Customers And Unit Economics
Track installed customers, activation, profile usefulness, and recurring revenue.</x:v>
      </x:c>
      <x:c r="F1" s="62" t="str">
        <x:v>Deal Threads Customers And Unit Economics
Track installed customers, activation, profile usefulness, and recurring revenue.</x:v>
      </x:c>
      <x:c r="G1" s="62" t="str">
        <x:v>Deal Threads Customers And Unit Economics
Track installed customers, activation, profile usefulness, and recurring revenue.</x:v>
      </x:c>
      <x:c r="H1" s="62" t="str">
        <x:v>Deal Threads Customers And Unit Economics
Track installed customers, activation, profile usefulness, and recurring revenue.</x:v>
      </x:c>
      <x:c r="I1" s="62" t="str">
        <x:v>Deal Threads Customers And Unit Economics
Track installed customers, activation, profile usefulness, and recurring revenue.</x:v>
      </x:c>
      <x:c r="J1" s="62" t="str">
        <x:v>Deal Threads Customers And Unit Economics
Track installed customers, activation, profile usefulness, and recurring revenue.</x:v>
      </x:c>
      <x:c r="K1" s="62" t="str">
        <x:v>Deal Threads Customers And Unit Economics
Track installed customers, activation, profile usefulness, and recurring revenue.</x:v>
      </x:c>
      <x:c r="L1" s="62" t="str">
        <x:v>Deal Threads Customers And Unit Economics
Track installed customers, activation, profile usefulness, and recurring revenue.</x:v>
      </x:c>
      <x:c r="M1" s="62" t="str">
        <x:v>Deal Threads Customers And Unit Economics
Track installed customers, activation, profile usefulness, and recurring revenue.</x:v>
      </x:c>
      <x:c r="N1" s="62" t="str">
        <x:v>Deal Threads Customers And Unit Economics
Track installed customers, activation, profile usefulness, and recurring revenue.</x:v>
      </x:c>
      <x:c r="O1" s="62" t="str">
        <x:v>Deal Threads Customers And Unit Economics
Track installed customers, activation, profile usefulness, and recurring revenue.</x:v>
      </x:c>
      <x:c r="P1" s="62" t="str">
        <x:v>Deal Threads Customers And Unit Economics
Track installed customers, activation, profile usefulness, and recurring revenue.</x:v>
      </x:c>
    </x:row>
    <x:row r="2" ht="24" customHeight="1">
      <x:c r="A2" s="62" t="str">
        <x:v>Deal Threads Customers And Unit Economics
Track installed customers, activation, profile usefulness, and recurring revenue.</x:v>
      </x:c>
      <x:c r="B2" s="62" t="str">
        <x:v>Deal Threads Customers And Unit Economics
Track installed customers, activation, profile usefulness, and recurring revenue.</x:v>
      </x:c>
      <x:c r="C2" s="62" t="str">
        <x:v>Deal Threads Customers And Unit Economics
Track installed customers, activation, profile usefulness, and recurring revenue.</x:v>
      </x:c>
      <x:c r="D2" s="62" t="str">
        <x:v>Deal Threads Customers And Unit Economics
Track installed customers, activation, profile usefulness, and recurring revenue.</x:v>
      </x:c>
      <x:c r="E2" s="62" t="str">
        <x:v>Deal Threads Customers And Unit Economics
Track installed customers, activation, profile usefulness, and recurring revenue.</x:v>
      </x:c>
      <x:c r="F2" s="62" t="str">
        <x:v>Deal Threads Customers And Unit Economics
Track installed customers, activation, profile usefulness, and recurring revenue.</x:v>
      </x:c>
      <x:c r="G2" s="62" t="str">
        <x:v>Deal Threads Customers And Unit Economics
Track installed customers, activation, profile usefulness, and recurring revenue.</x:v>
      </x:c>
      <x:c r="H2" s="62" t="str">
        <x:v>Deal Threads Customers And Unit Economics
Track installed customers, activation, profile usefulness, and recurring revenue.</x:v>
      </x:c>
      <x:c r="I2" s="62" t="str">
        <x:v>Deal Threads Customers And Unit Economics
Track installed customers, activation, profile usefulness, and recurring revenue.</x:v>
      </x:c>
      <x:c r="J2" s="62" t="str">
        <x:v>Deal Threads Customers And Unit Economics
Track installed customers, activation, profile usefulness, and recurring revenue.</x:v>
      </x:c>
      <x:c r="K2" s="62" t="str">
        <x:v>Deal Threads Customers And Unit Economics
Track installed customers, activation, profile usefulness, and recurring revenue.</x:v>
      </x:c>
      <x:c r="L2" s="62" t="str">
        <x:v>Deal Threads Customers And Unit Economics
Track installed customers, activation, profile usefulness, and recurring revenue.</x:v>
      </x:c>
      <x:c r="M2" s="62" t="str">
        <x:v>Deal Threads Customers And Unit Economics
Track installed customers, activation, profile usefulness, and recurring revenue.</x:v>
      </x:c>
      <x:c r="N2" s="62" t="str">
        <x:v>Deal Threads Customers And Unit Economics
Track installed customers, activation, profile usefulness, and recurring revenue.</x:v>
      </x:c>
      <x:c r="O2" s="62" t="str">
        <x:v>Deal Threads Customers And Unit Economics
Track installed customers, activation, profile usefulness, and recurring revenue.</x:v>
      </x:c>
      <x:c r="P2" s="62" t="str">
        <x:v>Deal Threads Customers And Unit Economics
Track installed customers, activation, profile usefulness, and recurring revenue.</x:v>
      </x:c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</x:row>
    <x:row r="4">
      <x:c r="A4" s="86" t="str">
        <x:v>Customer</x:v>
      </x:c>
      <x:c r="B4" s="87" t="str">
        <x:v>Tier</x:v>
      </x:c>
      <x:c r="C4" s="87" t="str">
        <x:v>Stage</x:v>
      </x:c>
      <x:c r="D4" s="87" t="str">
        <x:v>Start Date</x:v>
      </x:c>
      <x:c r="E4" s="87" t="str">
        <x:v>Monthly Price</x:v>
      </x:c>
      <x:c r="F4" s="87" t="str">
        <x:v>Setup Fee</x:v>
      </x:c>
      <x:c r="G4" s="87" t="str">
        <x:v>Setup Collected?</x:v>
      </x:c>
      <x:c r="H4" s="87" t="str">
        <x:v>Active?</x:v>
      </x:c>
      <x:c r="I4" s="87" t="str">
        <x:v>Workflow Live?</x:v>
      </x:c>
      <x:c r="J4" s="87" t="str">
        <x:v>Profiles This Week</x:v>
      </x:c>
      <x:c r="K4" s="87" t="str">
        <x:v>Profiles Reviewed</x:v>
      </x:c>
      <x:c r="L4" s="87" t="str">
        <x:v>Useful Profiles</x:v>
      </x:c>
      <x:c r="M4" s="87" t="str">
        <x:v>Useful Profile Rate</x:v>
      </x:c>
      <x:c r="N4" s="87" t="str">
        <x:v>Direct Monthly Cost</x:v>
      </x:c>
      <x:c r="O4" s="87" t="str">
        <x:v>Gross Margin</x:v>
      </x:c>
      <x:c r="P4" s="88" t="str">
        <x:v>Notes</x:v>
      </x:c>
    </x:row>
    <x:row r="5">
      <x:c r="A5" s="76" t="str"/>
      <x:c r="B5" s="77" t="str">
        <x:v>Founder Install</x:v>
      </x:c>
      <x:c r="C5" s="77" t="str">
        <x:v>Prospect</x:v>
      </x:c>
      <x:c r="D5" s="93" t="str"/>
      <x:c r="E5" s="90" t="n">
        <x:v>0</x:v>
      </x:c>
      <x:c r="F5" s="90" t="n">
        <x:v>0</x:v>
      </x:c>
      <x:c r="G5" s="77" t="str">
        <x:v>No</x:v>
      </x:c>
      <x:c r="H5" s="77" t="str">
        <x:v>No</x:v>
      </x:c>
      <x:c r="I5" s="77" t="str">
        <x:v>No</x:v>
      </x:c>
      <x:c r="J5" s="77" t="n">
        <x:v>0</x:v>
      </x:c>
      <x:c r="K5" s="77" t="n">
        <x:v>0</x:v>
      </x:c>
      <x:c r="L5" s="77" t="n">
        <x:v>0</x:v>
      </x:c>
      <x:c r="M5" s="78" t="n">
        <x:f>IFERROR(L5/K5,0)</x:f>
        <x:v>0</x:v>
      </x:c>
      <x:c r="N5" s="90" t="n">
        <x:v>0</x:v>
      </x:c>
      <x:c r="O5" s="78" t="n">
        <x:f>IFERROR((E5-N5)/E5,0)</x:f>
        <x:v>0</x:v>
      </x:c>
      <x:c r="P5" s="79" t="str"/>
    </x:row>
    <x:row r="6">
      <x:c r="A6" s="76" t="str"/>
      <x:c r="B6" s="77" t="str">
        <x:v>Founder Install</x:v>
      </x:c>
      <x:c r="C6" s="77" t="str">
        <x:v>Prospect</x:v>
      </x:c>
      <x:c r="D6" s="93" t="str"/>
      <x:c r="E6" s="90" t="n">
        <x:v>0</x:v>
      </x:c>
      <x:c r="F6" s="90" t="n">
        <x:v>0</x:v>
      </x:c>
      <x:c r="G6" s="77" t="str">
        <x:v>No</x:v>
      </x:c>
      <x:c r="H6" s="77" t="str">
        <x:v>No</x:v>
      </x:c>
      <x:c r="I6" s="77" t="str">
        <x:v>No</x:v>
      </x:c>
      <x:c r="J6" s="77" t="n">
        <x:v>0</x:v>
      </x:c>
      <x:c r="K6" s="77" t="n">
        <x:v>0</x:v>
      </x:c>
      <x:c r="L6" s="77" t="n">
        <x:v>0</x:v>
      </x:c>
      <x:c r="M6" s="78" t="n">
        <x:f>IFERROR(L6/K6,0)</x:f>
        <x:v>0</x:v>
      </x:c>
      <x:c r="N6" s="90" t="n">
        <x:v>0</x:v>
      </x:c>
      <x:c r="O6" s="78" t="n">
        <x:f>IFERROR((E6-N6)/E6,0)</x:f>
        <x:v>0</x:v>
      </x:c>
      <x:c r="P6" s="79" t="str"/>
    </x:row>
    <x:row r="7">
      <x:c r="A7" s="76" t="str"/>
      <x:c r="B7" s="77" t="str">
        <x:v>Founder Install</x:v>
      </x:c>
      <x:c r="C7" s="77" t="str">
        <x:v>Prospect</x:v>
      </x:c>
      <x:c r="D7" s="93" t="str"/>
      <x:c r="E7" s="90" t="n">
        <x:v>0</x:v>
      </x:c>
      <x:c r="F7" s="90" t="n">
        <x:v>0</x:v>
      </x:c>
      <x:c r="G7" s="77" t="str">
        <x:v>No</x:v>
      </x:c>
      <x:c r="H7" s="77" t="str">
        <x:v>No</x:v>
      </x:c>
      <x:c r="I7" s="77" t="str">
        <x:v>No</x:v>
      </x:c>
      <x:c r="J7" s="77" t="n">
        <x:v>0</x:v>
      </x:c>
      <x:c r="K7" s="77" t="n">
        <x:v>0</x:v>
      </x:c>
      <x:c r="L7" s="77" t="n">
        <x:v>0</x:v>
      </x:c>
      <x:c r="M7" s="78" t="n">
        <x:f>IFERROR(L7/K7,0)</x:f>
        <x:v>0</x:v>
      </x:c>
      <x:c r="N7" s="90" t="n">
        <x:v>0</x:v>
      </x:c>
      <x:c r="O7" s="78" t="n">
        <x:f>IFERROR((E7-N7)/E7,0)</x:f>
        <x:v>0</x:v>
      </x:c>
      <x:c r="P7" s="79" t="str"/>
    </x:row>
    <x:row r="8">
      <x:c r="A8" s="76" t="str"/>
      <x:c r="B8" s="77" t="str">
        <x:v>Founder Install</x:v>
      </x:c>
      <x:c r="C8" s="77" t="str">
        <x:v>Prospect</x:v>
      </x:c>
      <x:c r="D8" s="93" t="str"/>
      <x:c r="E8" s="90" t="n">
        <x:v>0</x:v>
      </x:c>
      <x:c r="F8" s="90" t="n">
        <x:v>0</x:v>
      </x:c>
      <x:c r="G8" s="77" t="str">
        <x:v>No</x:v>
      </x:c>
      <x:c r="H8" s="77" t="str">
        <x:v>No</x:v>
      </x:c>
      <x:c r="I8" s="77" t="str">
        <x:v>No</x:v>
      </x:c>
      <x:c r="J8" s="77" t="n">
        <x:v>0</x:v>
      </x:c>
      <x:c r="K8" s="77" t="n">
        <x:v>0</x:v>
      </x:c>
      <x:c r="L8" s="77" t="n">
        <x:v>0</x:v>
      </x:c>
      <x:c r="M8" s="78" t="n">
        <x:f>IFERROR(L8/K8,0)</x:f>
        <x:v>0</x:v>
      </x:c>
      <x:c r="N8" s="90" t="n">
        <x:v>0</x:v>
      </x:c>
      <x:c r="O8" s="78" t="n">
        <x:f>IFERROR((E8-N8)/E8,0)</x:f>
        <x:v>0</x:v>
      </x:c>
      <x:c r="P8" s="79" t="str"/>
    </x:row>
    <x:row r="9">
      <x:c r="A9" s="76" t="str"/>
      <x:c r="B9" s="77" t="str">
        <x:v>Founder Install</x:v>
      </x:c>
      <x:c r="C9" s="77" t="str">
        <x:v>Prospect</x:v>
      </x:c>
      <x:c r="D9" s="93" t="str"/>
      <x:c r="E9" s="90" t="n">
        <x:v>0</x:v>
      </x:c>
      <x:c r="F9" s="90" t="n">
        <x:v>0</x:v>
      </x:c>
      <x:c r="G9" s="77" t="str">
        <x:v>No</x:v>
      </x:c>
      <x:c r="H9" s="77" t="str">
        <x:v>No</x:v>
      </x:c>
      <x:c r="I9" s="77" t="str">
        <x:v>No</x:v>
      </x:c>
      <x:c r="J9" s="77" t="n">
        <x:v>0</x:v>
      </x:c>
      <x:c r="K9" s="77" t="n">
        <x:v>0</x:v>
      </x:c>
      <x:c r="L9" s="77" t="n">
        <x:v>0</x:v>
      </x:c>
      <x:c r="M9" s="78" t="n">
        <x:f>IFERROR(L9/K9,0)</x:f>
        <x:v>0</x:v>
      </x:c>
      <x:c r="N9" s="90" t="n">
        <x:v>0</x:v>
      </x:c>
      <x:c r="O9" s="78" t="n">
        <x:f>IFERROR((E9-N9)/E9,0)</x:f>
        <x:v>0</x:v>
      </x:c>
      <x:c r="P9" s="79" t="str"/>
    </x:row>
    <x:row r="10">
      <x:c r="A10" s="76" t="str"/>
      <x:c r="B10" s="77" t="str">
        <x:v>Founder Install</x:v>
      </x:c>
      <x:c r="C10" s="77" t="str">
        <x:v>Prospect</x:v>
      </x:c>
      <x:c r="D10" s="93" t="str"/>
      <x:c r="E10" s="90" t="n">
        <x:v>0</x:v>
      </x:c>
      <x:c r="F10" s="90" t="n">
        <x:v>0</x:v>
      </x:c>
      <x:c r="G10" s="77" t="str">
        <x:v>No</x:v>
      </x:c>
      <x:c r="H10" s="77" t="str">
        <x:v>No</x:v>
      </x:c>
      <x:c r="I10" s="77" t="str">
        <x:v>No</x:v>
      </x:c>
      <x:c r="J10" s="77" t="n">
        <x:v>0</x:v>
      </x:c>
      <x:c r="K10" s="77" t="n">
        <x:v>0</x:v>
      </x:c>
      <x:c r="L10" s="77" t="n">
        <x:v>0</x:v>
      </x:c>
      <x:c r="M10" s="78" t="n">
        <x:f>IFERROR(L10/K10,0)</x:f>
        <x:v>0</x:v>
      </x:c>
      <x:c r="N10" s="90" t="n">
        <x:v>0</x:v>
      </x:c>
      <x:c r="O10" s="78" t="n">
        <x:f>IFERROR((E10-N10)/E10,0)</x:f>
        <x:v>0</x:v>
      </x:c>
      <x:c r="P10" s="79" t="str"/>
    </x:row>
    <x:row r="11">
      <x:c r="A11" s="76" t="str"/>
      <x:c r="B11" s="77" t="str">
        <x:v>Founder Install</x:v>
      </x:c>
      <x:c r="C11" s="77" t="str">
        <x:v>Prospect</x:v>
      </x:c>
      <x:c r="D11" s="93" t="str"/>
      <x:c r="E11" s="90" t="n">
        <x:v>0</x:v>
      </x:c>
      <x:c r="F11" s="90" t="n">
        <x:v>0</x:v>
      </x:c>
      <x:c r="G11" s="77" t="str">
        <x:v>No</x:v>
      </x:c>
      <x:c r="H11" s="77" t="str">
        <x:v>No</x:v>
      </x:c>
      <x:c r="I11" s="77" t="str">
        <x:v>No</x:v>
      </x:c>
      <x:c r="J11" s="77" t="n">
        <x:v>0</x:v>
      </x:c>
      <x:c r="K11" s="77" t="n">
        <x:v>0</x:v>
      </x:c>
      <x:c r="L11" s="77" t="n">
        <x:v>0</x:v>
      </x:c>
      <x:c r="M11" s="78" t="n">
        <x:f>IFERROR(L11/K11,0)</x:f>
        <x:v>0</x:v>
      </x:c>
      <x:c r="N11" s="90" t="n">
        <x:v>0</x:v>
      </x:c>
      <x:c r="O11" s="78" t="n">
        <x:f>IFERROR((E11-N11)/E11,0)</x:f>
        <x:v>0</x:v>
      </x:c>
      <x:c r="P11" s="79" t="str"/>
    </x:row>
    <x:row r="12">
      <x:c r="A12" s="76" t="str"/>
      <x:c r="B12" s="77" t="str">
        <x:v>Founder Install</x:v>
      </x:c>
      <x:c r="C12" s="77" t="str">
        <x:v>Prospect</x:v>
      </x:c>
      <x:c r="D12" s="93" t="str"/>
      <x:c r="E12" s="90" t="n">
        <x:v>0</x:v>
      </x:c>
      <x:c r="F12" s="90" t="n">
        <x:v>0</x:v>
      </x:c>
      <x:c r="G12" s="77" t="str">
        <x:v>No</x:v>
      </x:c>
      <x:c r="H12" s="77" t="str">
        <x:v>No</x:v>
      </x:c>
      <x:c r="I12" s="77" t="str">
        <x:v>No</x:v>
      </x:c>
      <x:c r="J12" s="77" t="n">
        <x:v>0</x:v>
      </x:c>
      <x:c r="K12" s="77" t="n">
        <x:v>0</x:v>
      </x:c>
      <x:c r="L12" s="77" t="n">
        <x:v>0</x:v>
      </x:c>
      <x:c r="M12" s="78" t="n">
        <x:f>IFERROR(L12/K12,0)</x:f>
        <x:v>0</x:v>
      </x:c>
      <x:c r="N12" s="90" t="n">
        <x:v>0</x:v>
      </x:c>
      <x:c r="O12" s="78" t="n">
        <x:f>IFERROR((E12-N12)/E12,0)</x:f>
        <x:v>0</x:v>
      </x:c>
      <x:c r="P12" s="79" t="str"/>
    </x:row>
    <x:row r="13">
      <x:c r="A13" s="76" t="str"/>
      <x:c r="B13" s="77" t="str">
        <x:v>Founder Install</x:v>
      </x:c>
      <x:c r="C13" s="77" t="str">
        <x:v>Prospect</x:v>
      </x:c>
      <x:c r="D13" s="93" t="str"/>
      <x:c r="E13" s="90" t="n">
        <x:v>0</x:v>
      </x:c>
      <x:c r="F13" s="90" t="n">
        <x:v>0</x:v>
      </x:c>
      <x:c r="G13" s="77" t="str">
        <x:v>No</x:v>
      </x:c>
      <x:c r="H13" s="77" t="str">
        <x:v>No</x:v>
      </x:c>
      <x:c r="I13" s="77" t="str">
        <x:v>No</x:v>
      </x:c>
      <x:c r="J13" s="77" t="n">
        <x:v>0</x:v>
      </x:c>
      <x:c r="K13" s="77" t="n">
        <x:v>0</x:v>
      </x:c>
      <x:c r="L13" s="77" t="n">
        <x:v>0</x:v>
      </x:c>
      <x:c r="M13" s="78" t="n">
        <x:f>IFERROR(L13/K13,0)</x:f>
        <x:v>0</x:v>
      </x:c>
      <x:c r="N13" s="90" t="n">
        <x:v>0</x:v>
      </x:c>
      <x:c r="O13" s="78" t="n">
        <x:f>IFERROR((E13-N13)/E13,0)</x:f>
        <x:v>0</x:v>
      </x:c>
      <x:c r="P13" s="79" t="str"/>
    </x:row>
    <x:row r="14">
      <x:c r="A14" s="76" t="str"/>
      <x:c r="B14" s="77" t="str">
        <x:v>Founder Install</x:v>
      </x:c>
      <x:c r="C14" s="77" t="str">
        <x:v>Prospect</x:v>
      </x:c>
      <x:c r="D14" s="93" t="str"/>
      <x:c r="E14" s="90" t="n">
        <x:v>0</x:v>
      </x:c>
      <x:c r="F14" s="90" t="n">
        <x:v>0</x:v>
      </x:c>
      <x:c r="G14" s="77" t="str">
        <x:v>No</x:v>
      </x:c>
      <x:c r="H14" s="77" t="str">
        <x:v>No</x:v>
      </x:c>
      <x:c r="I14" s="77" t="str">
        <x:v>No</x:v>
      </x:c>
      <x:c r="J14" s="77" t="n">
        <x:v>0</x:v>
      </x:c>
      <x:c r="K14" s="77" t="n">
        <x:v>0</x:v>
      </x:c>
      <x:c r="L14" s="77" t="n">
        <x:v>0</x:v>
      </x:c>
      <x:c r="M14" s="78" t="n">
        <x:f>IFERROR(L14/K14,0)</x:f>
        <x:v>0</x:v>
      </x:c>
      <x:c r="N14" s="90" t="n">
        <x:v>0</x:v>
      </x:c>
      <x:c r="O14" s="78" t="n">
        <x:f>IFERROR((E14-N14)/E14,0)</x:f>
        <x:v>0</x:v>
      </x:c>
      <x:c r="P14" s="79" t="str"/>
    </x:row>
    <x:row r="15">
      <x:c r="A15" s="76" t="str"/>
      <x:c r="B15" s="77" t="str">
        <x:v>Founder Install</x:v>
      </x:c>
      <x:c r="C15" s="77" t="str">
        <x:v>Prospect</x:v>
      </x:c>
      <x:c r="D15" s="93" t="str"/>
      <x:c r="E15" s="90" t="n">
        <x:v>0</x:v>
      </x:c>
      <x:c r="F15" s="90" t="n">
        <x:v>0</x:v>
      </x:c>
      <x:c r="G15" s="77" t="str">
        <x:v>No</x:v>
      </x:c>
      <x:c r="H15" s="77" t="str">
        <x:v>No</x:v>
      </x:c>
      <x:c r="I15" s="77" t="str">
        <x:v>No</x:v>
      </x:c>
      <x:c r="J15" s="77" t="n">
        <x:v>0</x:v>
      </x:c>
      <x:c r="K15" s="77" t="n">
        <x:v>0</x:v>
      </x:c>
      <x:c r="L15" s="77" t="n">
        <x:v>0</x:v>
      </x:c>
      <x:c r="M15" s="78" t="n">
        <x:f>IFERROR(L15/K15,0)</x:f>
        <x:v>0</x:v>
      </x:c>
      <x:c r="N15" s="90" t="n">
        <x:v>0</x:v>
      </x:c>
      <x:c r="O15" s="78" t="n">
        <x:f>IFERROR((E15-N15)/E15,0)</x:f>
        <x:v>0</x:v>
      </x:c>
      <x:c r="P15" s="79" t="str"/>
    </x:row>
    <x:row r="16">
      <x:c r="A16" s="76" t="str"/>
      <x:c r="B16" s="77" t="str">
        <x:v>Founder Install</x:v>
      </x:c>
      <x:c r="C16" s="77" t="str">
        <x:v>Prospect</x:v>
      </x:c>
      <x:c r="D16" s="93" t="str"/>
      <x:c r="E16" s="90" t="n">
        <x:v>0</x:v>
      </x:c>
      <x:c r="F16" s="90" t="n">
        <x:v>0</x:v>
      </x:c>
      <x:c r="G16" s="77" t="str">
        <x:v>No</x:v>
      </x:c>
      <x:c r="H16" s="77" t="str">
        <x:v>No</x:v>
      </x:c>
      <x:c r="I16" s="77" t="str">
        <x:v>No</x:v>
      </x:c>
      <x:c r="J16" s="77" t="n">
        <x:v>0</x:v>
      </x:c>
      <x:c r="K16" s="77" t="n">
        <x:v>0</x:v>
      </x:c>
      <x:c r="L16" s="77" t="n">
        <x:v>0</x:v>
      </x:c>
      <x:c r="M16" s="78" t="n">
        <x:f>IFERROR(L16/K16,0)</x:f>
        <x:v>0</x:v>
      </x:c>
      <x:c r="N16" s="90" t="n">
        <x:v>0</x:v>
      </x:c>
      <x:c r="O16" s="78" t="n">
        <x:f>IFERROR((E16-N16)/E16,0)</x:f>
        <x:v>0</x:v>
      </x:c>
      <x:c r="P16" s="79" t="str"/>
    </x:row>
    <x:row r="17">
      <x:c r="A17" s="76" t="str"/>
      <x:c r="B17" s="77" t="str">
        <x:v>Founder Install</x:v>
      </x:c>
      <x:c r="C17" s="77" t="str">
        <x:v>Prospect</x:v>
      </x:c>
      <x:c r="D17" s="93" t="str"/>
      <x:c r="E17" s="90" t="n">
        <x:v>0</x:v>
      </x:c>
      <x:c r="F17" s="90" t="n">
        <x:v>0</x:v>
      </x:c>
      <x:c r="G17" s="77" t="str">
        <x:v>No</x:v>
      </x:c>
      <x:c r="H17" s="77" t="str">
        <x:v>No</x:v>
      </x:c>
      <x:c r="I17" s="77" t="str">
        <x:v>No</x:v>
      </x:c>
      <x:c r="J17" s="77" t="n">
        <x:v>0</x:v>
      </x:c>
      <x:c r="K17" s="77" t="n">
        <x:v>0</x:v>
      </x:c>
      <x:c r="L17" s="77" t="n">
        <x:v>0</x:v>
      </x:c>
      <x:c r="M17" s="78" t="n">
        <x:f>IFERROR(L17/K17,0)</x:f>
        <x:v>0</x:v>
      </x:c>
      <x:c r="N17" s="90" t="n">
        <x:v>0</x:v>
      </x:c>
      <x:c r="O17" s="78" t="n">
        <x:f>IFERROR((E17-N17)/E17,0)</x:f>
        <x:v>0</x:v>
      </x:c>
      <x:c r="P17" s="79" t="str"/>
    </x:row>
    <x:row r="18">
      <x:c r="A18" s="76" t="str"/>
      <x:c r="B18" s="77" t="str">
        <x:v>Founder Install</x:v>
      </x:c>
      <x:c r="C18" s="77" t="str">
        <x:v>Prospect</x:v>
      </x:c>
      <x:c r="D18" s="93" t="str"/>
      <x:c r="E18" s="90" t="n">
        <x:v>0</x:v>
      </x:c>
      <x:c r="F18" s="90" t="n">
        <x:v>0</x:v>
      </x:c>
      <x:c r="G18" s="77" t="str">
        <x:v>No</x:v>
      </x:c>
      <x:c r="H18" s="77" t="str">
        <x:v>No</x:v>
      </x:c>
      <x:c r="I18" s="77" t="str">
        <x:v>No</x:v>
      </x:c>
      <x:c r="J18" s="77" t="n">
        <x:v>0</x:v>
      </x:c>
      <x:c r="K18" s="77" t="n">
        <x:v>0</x:v>
      </x:c>
      <x:c r="L18" s="77" t="n">
        <x:v>0</x:v>
      </x:c>
      <x:c r="M18" s="78" t="n">
        <x:f>IFERROR(L18/K18,0)</x:f>
        <x:v>0</x:v>
      </x:c>
      <x:c r="N18" s="90" t="n">
        <x:v>0</x:v>
      </x:c>
      <x:c r="O18" s="78" t="n">
        <x:f>IFERROR((E18-N18)/E18,0)</x:f>
        <x:v>0</x:v>
      </x:c>
      <x:c r="P18" s="79" t="str"/>
    </x:row>
    <x:row r="19">
      <x:c r="A19" s="76" t="str"/>
      <x:c r="B19" s="77" t="str">
        <x:v>Founder Install</x:v>
      </x:c>
      <x:c r="C19" s="77" t="str">
        <x:v>Prospect</x:v>
      </x:c>
      <x:c r="D19" s="93" t="str"/>
      <x:c r="E19" s="90" t="n">
        <x:v>0</x:v>
      </x:c>
      <x:c r="F19" s="90" t="n">
        <x:v>0</x:v>
      </x:c>
      <x:c r="G19" s="77" t="str">
        <x:v>No</x:v>
      </x:c>
      <x:c r="H19" s="77" t="str">
        <x:v>No</x:v>
      </x:c>
      <x:c r="I19" s="77" t="str">
        <x:v>No</x:v>
      </x:c>
      <x:c r="J19" s="77" t="n">
        <x:v>0</x:v>
      </x:c>
      <x:c r="K19" s="77" t="n">
        <x:v>0</x:v>
      </x:c>
      <x:c r="L19" s="77" t="n">
        <x:v>0</x:v>
      </x:c>
      <x:c r="M19" s="78" t="n">
        <x:f>IFERROR(L19/K19,0)</x:f>
        <x:v>0</x:v>
      </x:c>
      <x:c r="N19" s="90" t="n">
        <x:v>0</x:v>
      </x:c>
      <x:c r="O19" s="78" t="n">
        <x:f>IFERROR((E19-N19)/E19,0)</x:f>
        <x:v>0</x:v>
      </x:c>
      <x:c r="P19" s="79" t="str"/>
    </x:row>
    <x:row r="20">
      <x:c r="A20" s="76" t="str"/>
      <x:c r="B20" s="77" t="str">
        <x:v>Founder Install</x:v>
      </x:c>
      <x:c r="C20" s="77" t="str">
        <x:v>Prospect</x:v>
      </x:c>
      <x:c r="D20" s="93" t="str"/>
      <x:c r="E20" s="90" t="n">
        <x:v>0</x:v>
      </x:c>
      <x:c r="F20" s="90" t="n">
        <x:v>0</x:v>
      </x:c>
      <x:c r="G20" s="77" t="str">
        <x:v>No</x:v>
      </x:c>
      <x:c r="H20" s="77" t="str">
        <x:v>No</x:v>
      </x:c>
      <x:c r="I20" s="77" t="str">
        <x:v>No</x:v>
      </x:c>
      <x:c r="J20" s="77" t="n">
        <x:v>0</x:v>
      </x:c>
      <x:c r="K20" s="77" t="n">
        <x:v>0</x:v>
      </x:c>
      <x:c r="L20" s="77" t="n">
        <x:v>0</x:v>
      </x:c>
      <x:c r="M20" s="78" t="n">
        <x:f>IFERROR(L20/K20,0)</x:f>
        <x:v>0</x:v>
      </x:c>
      <x:c r="N20" s="90" t="n">
        <x:v>0</x:v>
      </x:c>
      <x:c r="O20" s="78" t="n">
        <x:f>IFERROR((E20-N20)/E20,0)</x:f>
        <x:v>0</x:v>
      </x:c>
      <x:c r="P20" s="79" t="str"/>
    </x:row>
    <x:row r="21">
      <x:c r="A21" s="76" t="str"/>
      <x:c r="B21" s="77" t="str">
        <x:v>Founder Install</x:v>
      </x:c>
      <x:c r="C21" s="77" t="str">
        <x:v>Prospect</x:v>
      </x:c>
      <x:c r="D21" s="93" t="str"/>
      <x:c r="E21" s="90" t="n">
        <x:v>0</x:v>
      </x:c>
      <x:c r="F21" s="90" t="n">
        <x:v>0</x:v>
      </x:c>
      <x:c r="G21" s="77" t="str">
        <x:v>No</x:v>
      </x:c>
      <x:c r="H21" s="77" t="str">
        <x:v>No</x:v>
      </x:c>
      <x:c r="I21" s="77" t="str">
        <x:v>No</x:v>
      </x:c>
      <x:c r="J21" s="77" t="n">
        <x:v>0</x:v>
      </x:c>
      <x:c r="K21" s="77" t="n">
        <x:v>0</x:v>
      </x:c>
      <x:c r="L21" s="77" t="n">
        <x:v>0</x:v>
      </x:c>
      <x:c r="M21" s="78" t="n">
        <x:f>IFERROR(L21/K21,0)</x:f>
        <x:v>0</x:v>
      </x:c>
      <x:c r="N21" s="90" t="n">
        <x:v>0</x:v>
      </x:c>
      <x:c r="O21" s="78" t="n">
        <x:f>IFERROR((E21-N21)/E21,0)</x:f>
        <x:v>0</x:v>
      </x:c>
      <x:c r="P21" s="79" t="str"/>
    </x:row>
    <x:row r="22">
      <x:c r="A22" s="76" t="str"/>
      <x:c r="B22" s="77" t="str">
        <x:v>Founder Install</x:v>
      </x:c>
      <x:c r="C22" s="77" t="str">
        <x:v>Prospect</x:v>
      </x:c>
      <x:c r="D22" s="93" t="str"/>
      <x:c r="E22" s="90" t="n">
        <x:v>0</x:v>
      </x:c>
      <x:c r="F22" s="90" t="n">
        <x:v>0</x:v>
      </x:c>
      <x:c r="G22" s="77" t="str">
        <x:v>No</x:v>
      </x:c>
      <x:c r="H22" s="77" t="str">
        <x:v>No</x:v>
      </x:c>
      <x:c r="I22" s="77" t="str">
        <x:v>No</x:v>
      </x:c>
      <x:c r="J22" s="77" t="n">
        <x:v>0</x:v>
      </x:c>
      <x:c r="K22" s="77" t="n">
        <x:v>0</x:v>
      </x:c>
      <x:c r="L22" s="77" t="n">
        <x:v>0</x:v>
      </x:c>
      <x:c r="M22" s="78" t="n">
        <x:f>IFERROR(L22/K22,0)</x:f>
        <x:v>0</x:v>
      </x:c>
      <x:c r="N22" s="90" t="n">
        <x:v>0</x:v>
      </x:c>
      <x:c r="O22" s="78" t="n">
        <x:f>IFERROR((E22-N22)/E22,0)</x:f>
        <x:v>0</x:v>
      </x:c>
      <x:c r="P22" s="79" t="str"/>
    </x:row>
    <x:row r="23">
      <x:c r="A23" s="76" t="str"/>
      <x:c r="B23" s="77" t="str">
        <x:v>Founder Install</x:v>
      </x:c>
      <x:c r="C23" s="77" t="str">
        <x:v>Prospect</x:v>
      </x:c>
      <x:c r="D23" s="93" t="str"/>
      <x:c r="E23" s="90" t="n">
        <x:v>0</x:v>
      </x:c>
      <x:c r="F23" s="90" t="n">
        <x:v>0</x:v>
      </x:c>
      <x:c r="G23" s="77" t="str">
        <x:v>No</x:v>
      </x:c>
      <x:c r="H23" s="77" t="str">
        <x:v>No</x:v>
      </x:c>
      <x:c r="I23" s="77" t="str">
        <x:v>No</x:v>
      </x:c>
      <x:c r="J23" s="77" t="n">
        <x:v>0</x:v>
      </x:c>
      <x:c r="K23" s="77" t="n">
        <x:v>0</x:v>
      </x:c>
      <x:c r="L23" s="77" t="n">
        <x:v>0</x:v>
      </x:c>
      <x:c r="M23" s="78" t="n">
        <x:f>IFERROR(L23/K23,0)</x:f>
        <x:v>0</x:v>
      </x:c>
      <x:c r="N23" s="90" t="n">
        <x:v>0</x:v>
      </x:c>
      <x:c r="O23" s="78" t="n">
        <x:f>IFERROR((E23-N23)/E23,0)</x:f>
        <x:v>0</x:v>
      </x:c>
      <x:c r="P23" s="79" t="str"/>
    </x:row>
    <x:row r="24">
      <x:c r="A24" s="80" t="str"/>
      <x:c r="B24" s="81" t="str">
        <x:v>Founder Install</x:v>
      </x:c>
      <x:c r="C24" s="81" t="str">
        <x:v>Prospect</x:v>
      </x:c>
      <x:c r="D24" s="94" t="str"/>
      <x:c r="E24" s="92" t="n">
        <x:v>0</x:v>
      </x:c>
      <x:c r="F24" s="92" t="n">
        <x:v>0</x:v>
      </x:c>
      <x:c r="G24" s="81" t="str">
        <x:v>No</x:v>
      </x:c>
      <x:c r="H24" s="81" t="str">
        <x:v>No</x:v>
      </x:c>
      <x:c r="I24" s="81" t="str">
        <x:v>No</x:v>
      </x:c>
      <x:c r="J24" s="81" t="n">
        <x:v>0</x:v>
      </x:c>
      <x:c r="K24" s="81" t="n">
        <x:v>0</x:v>
      </x:c>
      <x:c r="L24" s="81" t="n">
        <x:v>0</x:v>
      </x:c>
      <x:c r="M24" s="82" t="n">
        <x:f>IFERROR(L24/K24,0)</x:f>
        <x:v>0</x:v>
      </x:c>
      <x:c r="N24" s="92" t="n">
        <x:v>0</x:v>
      </x:c>
      <x:c r="O24" s="82" t="n">
        <x:f>IFERROR((E24-N24)/E24,0)</x:f>
        <x:v>0</x:v>
      </x:c>
      <x:c r="P24" s="83" t="str"/>
    </x:row>
  </x:sheetData>
  <x:mergeCells>
    <x:mergeCell ref="A1:P2"/>
  </x:mergeCells>
  <x:dataValidations count="3">
    <x:dataValidation type="list" sqref="B5:B24">
      <x:formula1>"Founder Install,Growth Managed,Pipeline Intelligence,Paid Audit"</x:formula1>
    </x:dataValidation>
    <x:dataValidation type="list" sqref="C5:C24">
      <x:formula1>"Prospect,Teardown,Call,Install,Active,Churned"</x:formula1>
    </x:dataValidation>
    <x:dataValidation type="list" sqref="G5:I2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f605992a7947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31.110000610351562" hidden="0" customWidth="1"/>
  </x:cols>
  <x:sheetData>
    <x:row r="1" ht="24" customHeight="1">
      <x:c r="A1" s="62" t="str">
        <x:v>Deal Threads Metric Thresholds
Green means keep executing. Yellow means diagnose. Red means fix the bottleneck.</x:v>
      </x:c>
      <x:c r="B1" s="62" t="str">
        <x:v>Deal Threads Metric Thresholds
Green means keep executing. Yellow means diagnose. Red means fix the bottleneck.</x:v>
      </x:c>
      <x:c r="C1" s="62" t="str">
        <x:v>Deal Threads Metric Thresholds
Green means keep executing. Yellow means diagnose. Red means fix the bottleneck.</x:v>
      </x:c>
      <x:c r="D1" s="62" t="str">
        <x:v>Deal Threads Metric Thresholds
Green means keep executing. Yellow means diagnose. Red means fix the bottleneck.</x:v>
      </x:c>
      <x:c r="E1" s="62" t="str">
        <x:v>Deal Threads Metric Thresholds
Green means keep executing. Yellow means diagnose. Red means fix the bottleneck.</x:v>
      </x:c>
      <x:c r="F1" s="62" t="str">
        <x:v>Deal Threads Metric Thresholds
Green means keep executing. Yellow means diagnose. Red means fix the bottleneck.</x:v>
      </x:c>
    </x:row>
    <x:row r="2" ht="24" customHeight="1">
      <x:c r="A2" s="62" t="str">
        <x:v>Deal Threads Metric Thresholds
Green means keep executing. Yellow means diagnose. Red means fix the bottleneck.</x:v>
      </x:c>
      <x:c r="B2" s="62" t="str">
        <x:v>Deal Threads Metric Thresholds
Green means keep executing. Yellow means diagnose. Red means fix the bottleneck.</x:v>
      </x:c>
      <x:c r="C2" s="62" t="str">
        <x:v>Deal Threads Metric Thresholds
Green means keep executing. Yellow means diagnose. Red means fix the bottleneck.</x:v>
      </x:c>
      <x:c r="D2" s="62" t="str">
        <x:v>Deal Threads Metric Thresholds
Green means keep executing. Yellow means diagnose. Red means fix the bottleneck.</x:v>
      </x:c>
      <x:c r="E2" s="62" t="str">
        <x:v>Deal Threads Metric Thresholds
Green means keep executing. Yellow means diagnose. Red means fix the bottleneck.</x:v>
      </x:c>
      <x:c r="F2" s="62" t="str">
        <x:v>Deal Threads Metric Thresholds
Green means keep executing. Yellow means diagnose. Red means fix the bottleneck.</x:v>
      </x:c>
    </x:row>
    <x:row r="3">
      <x:c r="A3" s="63"/>
      <x:c r="B3" s="63"/>
      <x:c r="C3" s="63"/>
      <x:c r="D3" s="63"/>
      <x:c r="E3" s="63"/>
      <x:c r="F3" s="63"/>
    </x:row>
    <x:row r="4">
      <x:c r="A4" s="73" t="str">
        <x:v>Metric</x:v>
      </x:c>
      <x:c r="B4" s="74" t="str">
        <x:v>Green</x:v>
      </x:c>
      <x:c r="C4" s="74" t="str">
        <x:v>Yellow Low</x:v>
      </x:c>
      <x:c r="D4" s="74" t="str">
        <x:v>Yellow High</x:v>
      </x:c>
      <x:c r="E4" s="74" t="str">
        <x:v>Red</x:v>
      </x:c>
      <x:c r="F4" s="75" t="str">
        <x:v>Action If Red</x:v>
      </x:c>
    </x:row>
    <x:row r="5">
      <x:c r="A5" s="76" t="str">
        <x:v>LinkedIn posts/week</x:v>
      </x:c>
      <x:c r="B5" s="77" t="n">
        <x:v>5</x:v>
      </x:c>
      <x:c r="C5" s="77" t="n">
        <x:v>3</x:v>
      </x:c>
      <x:c r="D5" s="77" t="n">
        <x:v>4</x:v>
      </x:c>
      <x:c r="E5" s="77" t="str">
        <x:v>&lt;3</x:v>
      </x:c>
      <x:c r="F5" s="79" t="str">
        <x:v>Publish from Week 1 pack before creating new strategy.</x:v>
      </x:c>
    </x:row>
    <x:row r="6">
      <x:c r="A6" s="76" t="str">
        <x:v>ICP comments/week</x:v>
      </x:c>
      <x:c r="B6" s="77" t="n">
        <x:v>50</x:v>
      </x:c>
      <x:c r="C6" s="77" t="n">
        <x:v>25</x:v>
      </x:c>
      <x:c r="D6" s="77" t="n">
        <x:v>49</x:v>
      </x:c>
      <x:c r="E6" s="77" t="str">
        <x:v>&lt;25</x:v>
      </x:c>
      <x:c r="F6" s="79" t="str">
        <x:v>Comment on more founder, RevOps, demand gen, and sales posts.</x:v>
      </x:c>
    </x:row>
    <x:row r="7">
      <x:c r="A7" s="76" t="str">
        <x:v>DM conversations/week</x:v>
      </x:c>
      <x:c r="B7" s="77" t="n">
        <x:v>10</x:v>
      </x:c>
      <x:c r="C7" s="77" t="n">
        <x:v>5</x:v>
      </x:c>
      <x:c r="D7" s="77" t="n">
        <x:v>9</x:v>
      </x:c>
      <x:c r="E7" s="77" t="str">
        <x:v>&lt;5</x:v>
      </x:c>
      <x:c r="F7" s="79" t="str">
        <x:v>Reply to engagers and use the audit CTA directly.</x:v>
      </x:c>
    </x:row>
    <x:row r="8">
      <x:c r="A8" s="76" t="str">
        <x:v>Audit downloads/week</x:v>
      </x:c>
      <x:c r="B8" s="77" t="n">
        <x:v>10</x:v>
      </x:c>
      <x:c r="C8" s="77" t="n">
        <x:v>3</x:v>
      </x:c>
      <x:c r="D8" s="77" t="n">
        <x:v>9</x:v>
      </x:c>
      <x:c r="E8" s="77" t="str">
        <x:v>&lt;3</x:v>
      </x:c>
      <x:c r="F8" s="79" t="str">
        <x:v>Improve landing page CTA and offer the audit in comments/DMs.</x:v>
      </x:c>
    </x:row>
    <x:row r="9">
      <x:c r="A9" s="76" t="str">
        <x:v>Qualified form URLs/week</x:v>
      </x:c>
      <x:c r="B9" s="77" t="n">
        <x:v>3</x:v>
      </x:c>
      <x:c r="C9" s="77" t="n">
        <x:v>1</x:v>
      </x:c>
      <x:c r="D9" s="77" t="n">
        <x:v>2</x:v>
      </x:c>
      <x:c r="E9" s="77" t="str">
        <x:v>0</x:v>
      </x:c>
      <x:c r="F9" s="79" t="str">
        <x:v>Ask directly for form URLs and show more before/after proof.</x:v>
      </x:c>
    </x:row>
    <x:row r="10">
      <x:c r="A10" s="76" t="str">
        <x:v>Teardowns delivered/week</x:v>
      </x:c>
      <x:c r="B10" s="77" t="n">
        <x:v>2</x:v>
      </x:c>
      <x:c r="C10" s="77" t="n">
        <x:v>1</x:v>
      </x:c>
      <x:c r="D10" s="77" t="n">
        <x:v>1</x:v>
      </x:c>
      <x:c r="E10" s="77" t="str">
        <x:v>0</x:v>
      </x:c>
      <x:c r="F10" s="79" t="str">
        <x:v>Use 15-minute teardown template and block delivery time.</x:v>
      </x:c>
    </x:row>
    <x:row r="11">
      <x:c r="A11" s="76" t="str">
        <x:v>Install calls/week</x:v>
      </x:c>
      <x:c r="B11" s="77" t="n">
        <x:v>1</x:v>
      </x:c>
      <x:c r="C11" s="77" t="n">
        <x:v>0</x:v>
      </x:c>
      <x:c r="D11" s="77" t="n">
        <x:v>0</x:v>
      </x:c>
      <x:c r="E11" s="77" t="str">
        <x:v>0</x:v>
      </x:c>
      <x:c r="F11" s="79" t="str">
        <x:v>Add CRM preview and ask for install scoping call.</x:v>
      </x:c>
    </x:row>
    <x:row r="12">
      <x:c r="A12" s="76" t="str">
        <x:v>Teardown-to-call rate</x:v>
      </x:c>
      <x:c r="B12" s="78" t="n">
        <x:v>0.25</x:v>
      </x:c>
      <x:c r="C12" s="78" t="n">
        <x:v>0.1</x:v>
      </x:c>
      <x:c r="D12" s="78" t="n">
        <x:v>0.24</x:v>
      </x:c>
      <x:c r="E12" s="77" t="str">
        <x:v>&lt;10%</x:v>
      </x:c>
      <x:c r="F12" s="79" t="str">
        <x:v>Make teardown more specific and include install CTA.</x:v>
      </x:c>
    </x:row>
    <x:row r="13">
      <x:c r="A13" s="76" t="str">
        <x:v>Call-to-install rate</x:v>
      </x:c>
      <x:c r="B13" s="78" t="n">
        <x:v>0.2</x:v>
      </x:c>
      <x:c r="C13" s="78" t="n">
        <x:v>0.1</x:v>
      </x:c>
      <x:c r="D13" s="78" t="n">
        <x:v>0.19</x:v>
      </x:c>
      <x:c r="E13" s="77" t="str">
        <x:v>&lt;10%</x:v>
      </x:c>
      <x:c r="F13" s="79" t="str">
        <x:v>Improve proof, guarantee, and scope clarity.</x:v>
      </x:c>
    </x:row>
    <x:row r="14">
      <x:c r="A14" s="76" t="str">
        <x:v>Gross margin</x:v>
      </x:c>
      <x:c r="B14" s="78" t="n">
        <x:v>0.7</x:v>
      </x:c>
      <x:c r="C14" s="78" t="n">
        <x:v>0.5</x:v>
      </x:c>
      <x:c r="D14" s="78" t="n">
        <x:v>0.69</x:v>
      </x:c>
      <x:c r="E14" s="77" t="str">
        <x:v>&lt;50%</x:v>
      </x:c>
      <x:c r="F14" s="79" t="str">
        <x:v>Reduce delivery/API cost or raise price.</x:v>
      </x:c>
    </x:row>
    <x:row r="15">
      <x:c r="A15" s="76" t="str">
        <x:v>CAC payback</x:v>
      </x:c>
      <x:c r="B15" s="78" t="n">
        <x:v>1.5</x:v>
      </x:c>
      <x:c r="C15" s="78" t="n">
        <x:v>1.5</x:v>
      </x:c>
      <x:c r="D15" s="78" t="n">
        <x:v>3</x:v>
      </x:c>
      <x:c r="E15" s="77" t="str">
        <x:v>&gt;3 months</x:v>
      </x:c>
      <x:c r="F15" s="79" t="str">
        <x:v>Avoid paid acquisition and tighten conversion.</x:v>
      </x:c>
    </x:row>
    <x:row r="16">
      <x:c r="A16" s="76" t="str">
        <x:v>Monthly churn</x:v>
      </x:c>
      <x:c r="B16" s="78" t="n">
        <x:v>0.05</x:v>
      </x:c>
      <x:c r="C16" s="78" t="n">
        <x:v>0.05</x:v>
      </x:c>
      <x:c r="D16" s="78" t="n">
        <x:v>0.1</x:v>
      </x:c>
      <x:c r="E16" s="77" t="str">
        <x:v>&gt;10%</x:v>
      </x:c>
      <x:c r="F16" s="79" t="str">
        <x:v>Fix activation and profile usefulness before growth.</x:v>
      </x:c>
    </x:row>
    <x:row r="17">
      <x:c r="A17" s="76" t="str">
        <x:v>Useful profile rate</x:v>
      </x:c>
      <x:c r="B17" s="78" t="n">
        <x:v>0.7</x:v>
      </x:c>
      <x:c r="C17" s="78" t="n">
        <x:v>0.5</x:v>
      </x:c>
      <x:c r="D17" s="78" t="n">
        <x:v>0.69</x:v>
      </x:c>
      <x:c r="E17" s="77" t="str">
        <x:v>&lt;50%</x:v>
      </x:c>
      <x:c r="F17" s="79" t="str">
        <x:v>Tune conversation questions and enrichment fields.</x:v>
      </x:c>
    </x:row>
    <x:row r="18">
      <x:c r="A18" s="80" t="str">
        <x:v>MRR by day 90</x:v>
      </x:c>
      <x:c r="B18" s="81" t="n">
        <x:v>5000</x:v>
      </x:c>
      <x:c r="C18" s="81" t="n">
        <x:v>1000</x:v>
      </x:c>
      <x:c r="D18" s="81" t="n">
        <x:v>4999</x:v>
      </x:c>
      <x:c r="E18" s="81" t="str">
        <x:v>0</x:v>
      </x:c>
      <x:c r="F18" s="83" t="str">
        <x:v>Prioritize install calls and paid proof clients.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812969f18ca64d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16.670000076293945" hidden="0" customWidth="1"/>
    <x:col min="3" max="3" width="38.88999938964844" hidden="0" customWidth="1"/>
    <x:col min="4" max="4" width="27.780000686645508" hidden="0" customWidth="1"/>
    <x:col min="5" max="5" width="20" hidden="0" customWidth="1"/>
  </x:cols>
  <x:sheetData>
    <x:row r="1" ht="24" customHeight="1">
      <x:c r="A1" s="62" t="str">
        <x:v>Deal Threads Metric Dictionary
Use one definition per metric so reviews stay consistent.</x:v>
      </x:c>
      <x:c r="B1" s="62" t="str">
        <x:v>Deal Threads Metric Dictionary
Use one definition per metric so reviews stay consistent.</x:v>
      </x:c>
      <x:c r="C1" s="62" t="str">
        <x:v>Deal Threads Metric Dictionary
Use one definition per metric so reviews stay consistent.</x:v>
      </x:c>
      <x:c r="D1" s="62" t="str">
        <x:v>Deal Threads Metric Dictionary
Use one definition per metric so reviews stay consistent.</x:v>
      </x:c>
      <x:c r="E1" s="62" t="str">
        <x:v>Deal Threads Metric Dictionary
Use one definition per metric so reviews stay consistent.</x:v>
      </x:c>
    </x:row>
    <x:row r="2" ht="24" customHeight="1">
      <x:c r="A2" s="62" t="str">
        <x:v>Deal Threads Metric Dictionary
Use one definition per metric so reviews stay consistent.</x:v>
      </x:c>
      <x:c r="B2" s="62" t="str">
        <x:v>Deal Threads Metric Dictionary
Use one definition per metric so reviews stay consistent.</x:v>
      </x:c>
      <x:c r="C2" s="62" t="str">
        <x:v>Deal Threads Metric Dictionary
Use one definition per metric so reviews stay consistent.</x:v>
      </x:c>
      <x:c r="D2" s="62" t="str">
        <x:v>Deal Threads Metric Dictionary
Use one definition per metric so reviews stay consistent.</x:v>
      </x:c>
      <x:c r="E2" s="62" t="str">
        <x:v>Deal Threads Metric Dictionary
Use one definition per metric so reviews stay consistent.</x:v>
      </x:c>
    </x:row>
    <x:row r="3">
      <x:c r="A3" s="63"/>
      <x:c r="B3" s="63"/>
      <x:c r="C3" s="63"/>
      <x:c r="D3" s="63"/>
      <x:c r="E3" s="63"/>
    </x:row>
    <x:row r="4">
      <x:c r="A4" s="73" t="str">
        <x:v>Metric</x:v>
      </x:c>
      <x:c r="B4" s="74" t="str">
        <x:v>Type</x:v>
      </x:c>
      <x:c r="C4" s="74" t="str">
        <x:v>Definition</x:v>
      </x:c>
      <x:c r="D4" s="74" t="str">
        <x:v>Formula</x:v>
      </x:c>
      <x:c r="E4" s="75" t="str">
        <x:v>Review Cadence</x:v>
      </x:c>
    </x:row>
    <x:row r="5">
      <x:c r="A5" s="76" t="str">
        <x:v>Qualified form URLs</x:v>
      </x:c>
      <x:c r="B5" s="77" t="str">
        <x:v>North star</x:v>
      </x:c>
      <x:c r="C5" s="77" t="str">
        <x:v>Submitted B2B demo/contact form URLs that pass qualification.</x:v>
      </x:c>
      <x:c r="D5" s="77" t="str">
        <x:v>Manual qualified count</x:v>
      </x:c>
      <x:c r="E5" s="79" t="str">
        <x:v>Daily/weekly</x:v>
      </x:c>
    </x:row>
    <x:row r="6">
      <x:c r="A6" s="76" t="str">
        <x:v>MRR</x:v>
      </x:c>
      <x:c r="B6" s="77" t="str">
        <x:v>Revenue</x:v>
      </x:c>
      <x:c r="C6" s="77" t="str">
        <x:v>Recurring monthly subscription revenue from active customers.</x:v>
      </x:c>
      <x:c r="D6" s="77" t="str">
        <x:v>SUM active monthly prices</x:v>
      </x:c>
      <x:c r="E6" s="79" t="str">
        <x:v>Weekly/monthly</x:v>
      </x:c>
    </x:row>
    <x:row r="7">
      <x:c r="A7" s="76" t="str">
        <x:v>ARR</x:v>
      </x:c>
      <x:c r="B7" s="77" t="str">
        <x:v>Revenue</x:v>
      </x:c>
      <x:c r="C7" s="77" t="str">
        <x:v>Annualized recurring revenue.</x:v>
      </x:c>
      <x:c r="D7" s="77" t="str">
        <x:v>MRR x 12</x:v>
      </x:c>
      <x:c r="E7" s="79" t="str">
        <x:v>Monthly</x:v>
      </x:c>
    </x:row>
    <x:row r="8">
      <x:c r="A8" s="76" t="str">
        <x:v>Ask-to-submit rate</x:v>
      </x:c>
      <x:c r="B8" s="77" t="str">
        <x:v>Acquisition</x:v>
      </x:c>
      <x:c r="C8" s="77" t="str">
        <x:v>Percent of direct form URL asks that become qualified URL submissions.</x:v>
      </x:c>
      <x:c r="D8" s="77" t="str">
        <x:v>Qualified URLs / Form URL Asks</x:v>
      </x:c>
      <x:c r="E8" s="79" t="str">
        <x:v>Weekly</x:v>
      </x:c>
    </x:row>
    <x:row r="9">
      <x:c r="A9" s="76" t="str">
        <x:v>Audit-to-URL rate</x:v>
      </x:c>
      <x:c r="B9" s="77" t="str">
        <x:v>Acquisition</x:v>
      </x:c>
      <x:c r="C9" s="77" t="str">
        <x:v>Percent of audit downloads that become form URL submissions.</x:v>
      </x:c>
      <x:c r="D9" s="77" t="str">
        <x:v>Qualified URLs / Audit Downloads</x:v>
      </x:c>
      <x:c r="E9" s="79" t="str">
        <x:v>Weekly</x:v>
      </x:c>
    </x:row>
    <x:row r="10">
      <x:c r="A10" s="76" t="str">
        <x:v>Teardown-to-call rate</x:v>
      </x:c>
      <x:c r="B10" s="77" t="str">
        <x:v>Conversion</x:v>
      </x:c>
      <x:c r="C10" s="77" t="str">
        <x:v>Percent of delivered teardowns that book install calls.</x:v>
      </x:c>
      <x:c r="D10" s="77" t="str">
        <x:v>Calls / Teardowns</x:v>
      </x:c>
      <x:c r="E10" s="79" t="str">
        <x:v>Weekly</x:v>
      </x:c>
    </x:row>
    <x:row r="11">
      <x:c r="A11" s="76" t="str">
        <x:v>Call-to-install rate</x:v>
      </x:c>
      <x:c r="B11" s="77" t="str">
        <x:v>Conversion</x:v>
      </x:c>
      <x:c r="C11" s="77" t="str">
        <x:v>Percent of install calls that become installs.</x:v>
      </x:c>
      <x:c r="D11" s="77" t="str">
        <x:v>Installs / Calls</x:v>
      </x:c>
      <x:c r="E11" s="79" t="str">
        <x:v>Weekly</x:v>
      </x:c>
    </x:row>
    <x:row r="12">
      <x:c r="A12" s="76" t="str">
        <x:v>Install-to-paid rate</x:v>
      </x:c>
      <x:c r="B12" s="77" t="str">
        <x:v>Conversion</x:v>
      </x:c>
      <x:c r="C12" s="77" t="str">
        <x:v>Percent of installs that become paying customers.</x:v>
      </x:c>
      <x:c r="D12" s="77" t="str">
        <x:v>Paying Customers / Installs</x:v>
      </x:c>
      <x:c r="E12" s="79" t="str">
        <x:v>Monthly</x:v>
      </x:c>
    </x:row>
    <x:row r="13">
      <x:c r="A13" s="76" t="str">
        <x:v>Useful profile rate</x:v>
      </x:c>
      <x:c r="B13" s="77" t="str">
        <x:v>Activation</x:v>
      </x:c>
      <x:c r="C13" s="77" t="str">
        <x:v>Percent of reviewed buyer profiles that sales/founder rates useful.</x:v>
      </x:c>
      <x:c r="D13" s="77" t="str">
        <x:v>Useful Profiles / Profiles Reviewed</x:v>
      </x:c>
      <x:c r="E13" s="79" t="str">
        <x:v>Weekly</x:v>
      </x:c>
    </x:row>
    <x:row r="14">
      <x:c r="A14" s="76" t="str">
        <x:v>Gross margin</x:v>
      </x:c>
      <x:c r="B14" s="77" t="str">
        <x:v>Financial</x:v>
      </x:c>
      <x:c r="C14" s="77" t="str">
        <x:v>Revenue left after direct API/delivery costs.</x:v>
      </x:c>
      <x:c r="D14" s="77" t="str">
        <x:v>(Revenue - Direct Cost) / Revenue</x:v>
      </x:c>
      <x:c r="E14" s="79" t="str">
        <x:v>Monthly</x:v>
      </x:c>
    </x:row>
    <x:row r="15">
      <x:c r="A15" s="76" t="str">
        <x:v>CAC</x:v>
      </x:c>
      <x:c r="B15" s="77" t="str">
        <x:v>Financial</x:v>
      </x:c>
      <x:c r="C15" s="77" t="str">
        <x:v>Sales and marketing spend divided by new customers.</x:v>
      </x:c>
      <x:c r="D15" s="77" t="str">
        <x:v>S&amp;M Spend / New Customers</x:v>
      </x:c>
      <x:c r="E15" s="79" t="str">
        <x:v>Monthly</x:v>
      </x:c>
    </x:row>
    <x:row r="16">
      <x:c r="A16" s="76" t="str">
        <x:v>CAC payback</x:v>
      </x:c>
      <x:c r="B16" s="77" t="str">
        <x:v>Financial</x:v>
      </x:c>
      <x:c r="C16" s="77" t="str">
        <x:v>Months needed to recover acquisition cost from gross profit.</x:v>
      </x:c>
      <x:c r="D16" s="77" t="str">
        <x:v>CAC / Monthly Gross Profit</x:v>
      </x:c>
      <x:c r="E16" s="79" t="str">
        <x:v>Monthly</x:v>
      </x:c>
    </x:row>
    <x:row r="17">
      <x:c r="A17" s="76" t="str">
        <x:v>Churn</x:v>
      </x:c>
      <x:c r="B17" s="77" t="str">
        <x:v>Retention</x:v>
      </x:c>
      <x:c r="C17" s="77" t="str">
        <x:v>Customers or MRR lost in a period.</x:v>
      </x:c>
      <x:c r="D17" s="77" t="str">
        <x:v>Lost / Starting Base</x:v>
      </x:c>
      <x:c r="E17" s="79" t="str">
        <x:v>Monthly</x:v>
      </x:c>
    </x:row>
    <x:row r="18">
      <x:c r="A18" s="76" t="str">
        <x:v>NRR</x:v>
      </x:c>
      <x:c r="B18" s="77" t="str">
        <x:v>Retention</x:v>
      </x:c>
      <x:c r="C18" s="77" t="str">
        <x:v>Revenue retained after expansion, contraction, and churn.</x:v>
      </x:c>
      <x:c r="D18" s="77" t="str">
        <x:v>(Start MRR + Expansion - Contraction - Churn) / Start MRR</x:v>
      </x:c>
      <x:c r="E18" s="79" t="str">
        <x:v>Monthly</x:v>
      </x:c>
    </x:row>
    <x:row r="19">
      <x:c r="A19" s="76" t="str">
        <x:v>Profile completeness</x:v>
      </x:c>
      <x:c r="B19" s="77" t="str">
        <x:v>Activation</x:v>
      </x:c>
      <x:c r="C19" s="77" t="str">
        <x:v>Target buyer-profile fields populated with useful or explicitly unknown values.</x:v>
      </x:c>
      <x:c r="D19" s="77" t="str">
        <x:v>Completed Fields / Target Fields</x:v>
      </x:c>
      <x:c r="E19" s="79" t="str">
        <x:v>Weekly</x:v>
      </x:c>
    </x:row>
    <x:row r="20">
      <x:c r="A20" s="76" t="str">
        <x:v>Submit-to-profile time</x:v>
      </x:c>
      <x:c r="B20" s="77" t="str">
        <x:v>Activation</x:v>
      </x:c>
      <x:c r="C20" s="77" t="str">
        <x:v>Median time from form submission to CRM buyer profile creation.</x:v>
      </x:c>
      <x:c r="D20" s="77" t="str">
        <x:v>Median minutes</x:v>
      </x:c>
      <x:c r="E20" s="79" t="str">
        <x:v>Weekly</x:v>
      </x:c>
    </x:row>
    <x:row r="21">
      <x:c r="A21" s="76" t="str">
        <x:v>Setup cash</x:v>
      </x:c>
      <x:c r="B21" s="77" t="str">
        <x:v>Financial</x:v>
      </x:c>
      <x:c r="C21" s="77" t="str">
        <x:v>One-time setup fees collected.</x:v>
      </x:c>
      <x:c r="D21" s="77" t="str">
        <x:v>SUM setup fees</x:v>
      </x:c>
      <x:c r="E21" s="79" t="str">
        <x:v>Weekly/monthly</x:v>
      </x:c>
    </x:row>
    <x:row r="22">
      <x:c r="A22" s="76" t="str">
        <x:v>ARPU</x:v>
      </x:c>
      <x:c r="B22" s="77" t="str">
        <x:v>Revenue</x:v>
      </x:c>
      <x:c r="C22" s="77" t="str">
        <x:v>Average recurring revenue per active customer.</x:v>
      </x:c>
      <x:c r="D22" s="77" t="str">
        <x:v>MRR / Active Customers</x:v>
      </x:c>
      <x:c r="E22" s="79" t="str">
        <x:v>Monthly</x:v>
      </x:c>
    </x:row>
    <x:row r="23">
      <x:c r="A23" s="76" t="str">
        <x:v>Founder-time CAC</x:v>
      </x:c>
      <x:c r="B23" s="77" t="str">
        <x:v>Financial</x:v>
      </x:c>
      <x:c r="C23" s="77" t="str">
        <x:v>Founder acquisition time valued as cost per customer.</x:v>
      </x:c>
      <x:c r="D23" s="77" t="str">
        <x:v>Hours x hourly rate / customers</x:v>
      </x:c>
      <x:c r="E23" s="79" t="str">
        <x:v>Monthly</x:v>
      </x:c>
    </x:row>
    <x:row r="24">
      <x:c r="A24" s="80" t="str">
        <x:v>Best buyer phrase</x:v>
      </x:c>
      <x:c r="B24" s="81" t="str">
        <x:v>Learning</x:v>
      </x:c>
      <x:c r="C24" s="81" t="str">
        <x:v>Strongest language heard from ICP buyers that should inform copy.</x:v>
      </x:c>
      <x:c r="D24" s="81" t="str">
        <x:v>Manual note</x:v>
      </x:c>
      <x:c r="E24" s="83" t="str">
        <x:v>Weekly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598a81b1bdd74d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1.110000610351562" hidden="0" customWidth="1"/>
    <x:col min="3" max="3" width="40" hidden="0" customWidth="1"/>
    <x:col min="4" max="4" width="35.560001373291016" hidden="0" customWidth="1"/>
    <x:col min="5" max="5" width="31.110000610351562" hidden="0" customWidth="1"/>
  </x:cols>
  <x:sheetData>
    <x:row r="1" ht="24" customHeight="1">
      <x:c r="A1" s="62" t="str">
        <x:v>Deal Threads Reporting Cadence
Keep reviews short, decision-driven, and tied to the revenue path.</x:v>
      </x:c>
      <x:c r="B1" s="62" t="str">
        <x:v>Deal Threads Reporting Cadence
Keep reviews short, decision-driven, and tied to the revenue path.</x:v>
      </x:c>
      <x:c r="C1" s="62" t="str">
        <x:v>Deal Threads Reporting Cadence
Keep reviews short, decision-driven, and tied to the revenue path.</x:v>
      </x:c>
      <x:c r="D1" s="62" t="str">
        <x:v>Deal Threads Reporting Cadence
Keep reviews short, decision-driven, and tied to the revenue path.</x:v>
      </x:c>
      <x:c r="E1" s="62" t="str">
        <x:v>Deal Threads Reporting Cadence
Keep reviews short, decision-driven, and tied to the revenue path.</x:v>
      </x:c>
    </x:row>
    <x:row r="2" ht="24" customHeight="1">
      <x:c r="A2" s="62" t="str">
        <x:v>Deal Threads Reporting Cadence
Keep reviews short, decision-driven, and tied to the revenue path.</x:v>
      </x:c>
      <x:c r="B2" s="62" t="str">
        <x:v>Deal Threads Reporting Cadence
Keep reviews short, decision-driven, and tied to the revenue path.</x:v>
      </x:c>
      <x:c r="C2" s="62" t="str">
        <x:v>Deal Threads Reporting Cadence
Keep reviews short, decision-driven, and tied to the revenue path.</x:v>
      </x:c>
      <x:c r="D2" s="62" t="str">
        <x:v>Deal Threads Reporting Cadence
Keep reviews short, decision-driven, and tied to the revenue path.</x:v>
      </x:c>
      <x:c r="E2" s="62" t="str">
        <x:v>Deal Threads Reporting Cadence
Keep reviews short, decision-driven, and tied to the revenue path.</x:v>
      </x:c>
    </x:row>
    <x:row r="3">
      <x:c r="A3" s="63"/>
      <x:c r="B3" s="63"/>
      <x:c r="C3" s="63"/>
      <x:c r="D3" s="63"/>
      <x:c r="E3" s="63"/>
    </x:row>
    <x:row r="4">
      <x:c r="A4" s="73" t="str">
        <x:v>Cadence</x:v>
      </x:c>
      <x:c r="B4" s="74" t="str">
        <x:v>Owner</x:v>
      </x:c>
      <x:c r="C4" s="74" t="str">
        <x:v>Review</x:v>
      </x:c>
      <x:c r="D4" s="74" t="str">
        <x:v>Questions</x:v>
      </x:c>
      <x:c r="E4" s="75" t="str">
        <x:v>Decision</x:v>
      </x:c>
    </x:row>
    <x:row r="5">
      <x:c r="A5" s="76" t="str">
        <x:v>Daily 5 min</x:v>
      </x:c>
      <x:c r="B5" s="77" t="str">
        <x:v>Ryan</x:v>
      </x:c>
      <x:c r="C5" s="77" t="str">
        <x:v>Activity and follow-up check</x:v>
      </x:c>
      <x:c r="D5" s="77" t="str">
        <x:v>Did we post/comment/DM? Any form URLs or replies?</x:v>
      </x:c>
      <x:c r="E5" s="79" t="str">
        <x:v>What is today's one conversion action?</x:v>
      </x:c>
    </x:row>
    <x:row r="6">
      <x:c r="A6" s="76" t="str">
        <x:v>Weekly 30 min</x:v>
      </x:c>
      <x:c r="B6" s="77" t="str">
        <x:v>Ryan</x:v>
      </x:c>
      <x:c r="C6" s="77" t="str">
        <x:v>Inbound and funnel review</x:v>
      </x:c>
      <x:c r="D6" s="77" t="str">
        <x:v>Where did the funnel leak? Which persona/CTA worked?</x:v>
      </x:c>
      <x:c r="E6" s="79" t="str">
        <x:v>What do we double down on next week?</x:v>
      </x:c>
    </x:row>
    <x:row r="7">
      <x:c r="A7" s="76" t="str">
        <x:v>Monthly 60 min</x:v>
      </x:c>
      <x:c r="B7" s="77" t="str">
        <x:v>Ryan + advisors</x:v>
      </x:c>
      <x:c r="C7" s="77" t="str">
        <x:v>Business and unit economics review</x:v>
      </x:c>
      <x:c r="D7" s="77" t="str">
        <x:v>MRR, pipeline, activation, margin, delivery load?</x:v>
      </x:c>
      <x:c r="E7" s="79" t="str">
        <x:v>What milestone matters next month?</x:v>
      </x:c>
    </x:row>
    <x:row r="8">
      <x:c r="A8" s="80" t="str">
        <x:v>Quarterly</x:v>
      </x:c>
      <x:c r="B8" s="81" t="str">
        <x:v>Ryan + advisors</x:v>
      </x:c>
      <x:c r="C8" s="81" t="str">
        <x:v>Strategy review</x:v>
      </x:c>
      <x:c r="D8" s="81" t="str">
        <x:v>Is the ICP right? Are installs retaining? Is ARPU rising?</x:v>
      </x:c>
      <x:c r="E8" s="83" t="str">
        <x:v>Stay founder-led, expand upmarket, or adjust offer?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e8ec16ac9f2649c1"/>
  </x:tableParts>
</x:worksheet>
</file>